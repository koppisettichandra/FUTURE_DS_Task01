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chand\Desktop\Data Analysis\"/>
    </mc:Choice>
  </mc:AlternateContent>
  <xr:revisionPtr revIDLastSave="0" documentId="13_ncr:1_{2CA33DCC-CD17-4678-ABC8-520F0361DDC4}" xr6:coauthVersionLast="47" xr6:coauthVersionMax="47" xr10:uidLastSave="{00000000-0000-0000-0000-000000000000}"/>
  <bookViews>
    <workbookView xWindow="-108" yWindow="-108" windowWidth="23256" windowHeight="13176" activeTab="1" xr2:uid="{F9D0E51A-3209-4A19-88B4-E7B328E63C5D}"/>
  </bookViews>
  <sheets>
    <sheet name="SalesData" sheetId="2" r:id="rId1"/>
    <sheet name="KPI Dashboard" sheetId="1" r:id="rId2"/>
    <sheet name="Pivot_Data" sheetId="3" r:id="rId3"/>
  </sheets>
  <definedNames>
    <definedName name="ExternalData_1" localSheetId="0" hidden="1">SalesData!$A$1:$H$4044</definedName>
    <definedName name="Slicer_Category">#N/A</definedName>
    <definedName name="Slicer_Region">#N/A</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8" i="3" l="1"/>
  <c r="H3" i="1"/>
  <c r="D3" i="1"/>
  <c r="B3" i="1"/>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J3" i="1" l="1"/>
  <c r="L3" i="1"/>
  <c r="F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F3F042-C2C7-472F-B853-1668E10ABB60}" keepAlive="1" name="Query - SalesData" description="Connection to the 'SalesData' query in the workbook." type="5" refreshedVersion="8" background="1" saveData="1">
    <dbPr connection="Provider=Microsoft.Mashup.OleDb.1;Data Source=$Workbook$;Location=SalesData;Extended Properties=&quot;&quot;" command="SELECT * FROM [SalesData]"/>
  </connection>
</connections>
</file>

<file path=xl/sharedStrings.xml><?xml version="1.0" encoding="utf-8"?>
<sst xmlns="http://schemas.openxmlformats.org/spreadsheetml/2006/main" count="16231" uniqueCount="3666">
  <si>
    <t>Order ID</t>
  </si>
  <si>
    <t>Order Date</t>
  </si>
  <si>
    <t>Region</t>
  </si>
  <si>
    <t>Category</t>
  </si>
  <si>
    <t>Product Name</t>
  </si>
  <si>
    <t>Sales</t>
  </si>
  <si>
    <t>Quantity</t>
  </si>
  <si>
    <t>Profit</t>
  </si>
  <si>
    <t>CA-2014-140795</t>
  </si>
  <si>
    <t>Central</t>
  </si>
  <si>
    <t>Technology</t>
  </si>
  <si>
    <t>Enermax Aurora Lite Keyboard</t>
  </si>
  <si>
    <t>CA-2014-104269</t>
  </si>
  <si>
    <t>West</t>
  </si>
  <si>
    <t>Furniture</t>
  </si>
  <si>
    <t>Global Deluxe High-Back Manager's Chair</t>
  </si>
  <si>
    <t>US-2014-143707</t>
  </si>
  <si>
    <t>East</t>
  </si>
  <si>
    <t>Sannysis Cute Owl Design Soft Skin Case Cover for Samsung Galaxy S4</t>
  </si>
  <si>
    <t>CA-2014-113880</t>
  </si>
  <si>
    <t>Novimex Swivel Fabric Task Chair</t>
  </si>
  <si>
    <t>Office Supplies</t>
  </si>
  <si>
    <t>Black Print Carbonless 8 1/2" x 8 1/4" Rapid Memo Book</t>
  </si>
  <si>
    <t>CA-2014-131009</t>
  </si>
  <si>
    <t>Plymouth Boxed Rubber Bands by Plymouth</t>
  </si>
  <si>
    <t>Harbour Creations Steel Folding Chair</t>
  </si>
  <si>
    <t>DAX Black Cherry Wood-Tone Poster Frame</t>
  </si>
  <si>
    <t>Fellowes Bankers Box Recycled Super Stor/Drawer</t>
  </si>
  <si>
    <t>CA-2014-168312</t>
  </si>
  <si>
    <t>Recycled Steel Personal File for Hanging File Folders</t>
  </si>
  <si>
    <t>Bevis Round Conference Room Tables and Bases</t>
  </si>
  <si>
    <t>US-2014-157021</t>
  </si>
  <si>
    <t>Avery 490</t>
  </si>
  <si>
    <t>Pressboard Data Binder, Crimson, 12" X 8 1/2"</t>
  </si>
  <si>
    <t>CA-2014-138359</t>
  </si>
  <si>
    <t>Rogers Profile Extra Capacity Storage Tub</t>
  </si>
  <si>
    <t>Zipper Ring Binder Pockets</t>
  </si>
  <si>
    <t>CA-2014-131926</t>
  </si>
  <si>
    <t>Safco Steel Mobile File Cart</t>
  </si>
  <si>
    <t>Adams Telephone Message Book w/Frequently-Called Numbers Space, 400 Messages per Book</t>
  </si>
  <si>
    <t>Honeywell Enviracaire Portable HEPA Air Cleaner for 17' x 22' Room</t>
  </si>
  <si>
    <t>Xerox 205</t>
  </si>
  <si>
    <t>CA-2014-111003</t>
  </si>
  <si>
    <t>GBC Clear Cover, 8-1/2 x 11, unpunched, 25 covers per pack</t>
  </si>
  <si>
    <t>Boston Heavy-Duty Trimline Electric Pencil Sharpeners</t>
  </si>
  <si>
    <t>US-2014-165659</t>
  </si>
  <si>
    <t>South</t>
  </si>
  <si>
    <t>3M Hangers With Command Adhesive</t>
  </si>
  <si>
    <t>Adtran 1202752G1</t>
  </si>
  <si>
    <t>US-2014-157070</t>
  </si>
  <si>
    <t>Wilson Jones Heavy-Duty Casebound Ring Binders with Metal Hinges</t>
  </si>
  <si>
    <t>Acco 6 Outlet Guardian Premium Surge Suppressor</t>
  </si>
  <si>
    <t>CA-2014-153150</t>
  </si>
  <si>
    <t>Cardinal Holdit Business Card Pockets</t>
  </si>
  <si>
    <t>CA-2014-160773</t>
  </si>
  <si>
    <t>Wilson SignalBoost 841262 DB PRO Amplifier Kit</t>
  </si>
  <si>
    <t>Avery Durable Binders</t>
  </si>
  <si>
    <t>CA-2014-117345</t>
  </si>
  <si>
    <t>Self-Adhesive Address Labels for Typewriters by Universal</t>
  </si>
  <si>
    <t>9-3/4 Diameter Round Wall Clock</t>
  </si>
  <si>
    <t>Honeywell Quietcare HEPA Air Cleaner</t>
  </si>
  <si>
    <t>Xerox 1916</t>
  </si>
  <si>
    <t>CA-2014-152296</t>
  </si>
  <si>
    <t>Wilson Jones data.warehouse D-Ring Binders with DublLock</t>
  </si>
  <si>
    <t>CA-2014-162684</t>
  </si>
  <si>
    <t>Acco Clips to Go Binder Clips, 24 Clips in Two Sizes</t>
  </si>
  <si>
    <t>CA-2014-126522</t>
  </si>
  <si>
    <t>BOSTON Model 1800 Electric Pencil Sharpeners, Putty/Woodgrain</t>
  </si>
  <si>
    <t>CA-2014-165428</t>
  </si>
  <si>
    <t>Prestige Round Ring Binders</t>
  </si>
  <si>
    <t>Xerox 216</t>
  </si>
  <si>
    <t>CA-2014-109855</t>
  </si>
  <si>
    <t>Wilson Jones Hanging Recycled Pressboard Data Binders</t>
  </si>
  <si>
    <t>WD My Passport Ultra 2TB Portable External Hard Drive</t>
  </si>
  <si>
    <t>US-2014-132745</t>
  </si>
  <si>
    <t>Sterling Rubber Bands by Alliance</t>
  </si>
  <si>
    <t>CA-2014-134313</t>
  </si>
  <si>
    <t>Model L Table or Wall-Mount Pencil Sharpener</t>
  </si>
  <si>
    <t>ClearOne CHATAttach 160 - speaker phone</t>
  </si>
  <si>
    <t>CA-2014-148915</t>
  </si>
  <si>
    <t>Carina Mini System Audio Rack, Model AR050B</t>
  </si>
  <si>
    <t>Plantronics Voyager Pro HD - Bluetooth Headset</t>
  </si>
  <si>
    <t>CA-2014-102673</t>
  </si>
  <si>
    <t>Staples</t>
  </si>
  <si>
    <t>Newell 320</t>
  </si>
  <si>
    <t>Avery 513</t>
  </si>
  <si>
    <t>Cisco IP Phone 7961G VoIP phone - Dark gray</t>
  </si>
  <si>
    <t>CA-2014-126907</t>
  </si>
  <si>
    <t>Southworth Parchment Paper &amp; Envelopes</t>
  </si>
  <si>
    <t>CA-2014-152562</t>
  </si>
  <si>
    <t>Multi-Use Personal File Cart and Caster Set, Three Stacking Bins</t>
  </si>
  <si>
    <t>OIC #2 Pencils, Medium Soft</t>
  </si>
  <si>
    <t>CA-2014-168305</t>
  </si>
  <si>
    <t>Avery 475</t>
  </si>
  <si>
    <t>Easy-staple paper</t>
  </si>
  <si>
    <t>US-2014-137155</t>
  </si>
  <si>
    <t>Kensington 7 Outlet MasterPiece Power Center</t>
  </si>
  <si>
    <t>Xerox 1934</t>
  </si>
  <si>
    <t>Master Big Foot Doorstop, Beige</t>
  </si>
  <si>
    <t>CA-2014-139423</t>
  </si>
  <si>
    <t>Fellowes Superior 10 Outlet Split Surge Protector</t>
  </si>
  <si>
    <t>CA-2014-114195</t>
  </si>
  <si>
    <t>Howard Miller 13" Diameter Pewter Finish Round Wall Clock</t>
  </si>
  <si>
    <t>Acco Economy Flexible Poly Round Ring Binder</t>
  </si>
  <si>
    <t>GBC Standard Therm-A-Bind Covers</t>
  </si>
  <si>
    <t>CA-2014-120474</t>
  </si>
  <si>
    <t>Office Star - Professional Matrix Back Chair with 2-to-1 Synchro Tilt and Mesh Fabric Seat</t>
  </si>
  <si>
    <t>Hunt BOSTON Vista Battery-Operated Pencil Sharpener, Black</t>
  </si>
  <si>
    <t>CA-2014-131051</t>
  </si>
  <si>
    <t>Floodlight Indoor Halogen Bulbs, 1 Bulb per Pack, 60 Watts</t>
  </si>
  <si>
    <t>CA-2014-131527</t>
  </si>
  <si>
    <t>BlueLounge Milo Smartphone Stand, White/Metallic</t>
  </si>
  <si>
    <t>CA-2014-150798</t>
  </si>
  <si>
    <t>Sharp 1540cs Digital Laser Copier</t>
  </si>
  <si>
    <t>Master Caster Door Stop, Brown</t>
  </si>
  <si>
    <t>Xerox 214</t>
  </si>
  <si>
    <t>Hon Multipurpose Stacking Arm Chairs</t>
  </si>
  <si>
    <t>US-2014-161613</t>
  </si>
  <si>
    <t>Hon 4070 Series Pagoda Round Back Stacking Chairs</t>
  </si>
  <si>
    <t>CA-2014-143210</t>
  </si>
  <si>
    <t>Linden 10" Round Wall Clock, Black</t>
  </si>
  <si>
    <t>Ultra Door Push Plate</t>
  </si>
  <si>
    <t>CA-2014-139857</t>
  </si>
  <si>
    <t>CA-2014-123400</t>
  </si>
  <si>
    <t>Surelock Post Binders</t>
  </si>
  <si>
    <t>AT&amp;T 17929 Lendline Telephone</t>
  </si>
  <si>
    <t>CA-2014-107524</t>
  </si>
  <si>
    <t>Staple envelope</t>
  </si>
  <si>
    <t>Array Parchment Paper, Assorted Colors</t>
  </si>
  <si>
    <t>CA-2014-111157</t>
  </si>
  <si>
    <t>Xerox 1971</t>
  </si>
  <si>
    <t>Hypercom P1300 Pinpad</t>
  </si>
  <si>
    <t>CA-2014-164315</t>
  </si>
  <si>
    <t>Xerox 1990</t>
  </si>
  <si>
    <t>Motorola Droid Maxx</t>
  </si>
  <si>
    <t>Euro-Pro Shark Turbo Vacuum</t>
  </si>
  <si>
    <t>US-2014-157847</t>
  </si>
  <si>
    <t>Xerox 1898</t>
  </si>
  <si>
    <t>Xerox 1947</t>
  </si>
  <si>
    <t>CA-2014-160276</t>
  </si>
  <si>
    <t>Luxo Adjustable Task Clamp Lamp</t>
  </si>
  <si>
    <t>CA-2014-115056</t>
  </si>
  <si>
    <t>Belkin 6 Outlet Metallic Surge Strip</t>
  </si>
  <si>
    <t>CA-2014-124618</t>
  </si>
  <si>
    <t>Brother DCP1000 Digital 3 in 1 Multifunction Machine</t>
  </si>
  <si>
    <t>CA-2014-104472</t>
  </si>
  <si>
    <t>Aluminum Document Frame</t>
  </si>
  <si>
    <t>CA-2014-100895</t>
  </si>
  <si>
    <t>Sanford Colorific Scented Colored Pencils, 12/Pack</t>
  </si>
  <si>
    <t>Mophie Juice Pack Helium for iPhone</t>
  </si>
  <si>
    <t>Hot File 7-Pocket, Floor Stand</t>
  </si>
  <si>
    <t>CA-2014-107594</t>
  </si>
  <si>
    <t>Logitech B530 USB Headset - headset - Full size, Binaural</t>
  </si>
  <si>
    <t>DIXON Ticonderoga Erasable Checking Pencils</t>
  </si>
  <si>
    <t>US-2014-106299</t>
  </si>
  <si>
    <t>Wilson Jones 14 Line Acrylic Coated Pressboard Data Binders</t>
  </si>
  <si>
    <t>Memorex Micro Travel Drive 4 GB</t>
  </si>
  <si>
    <t>Smead Adjustable Mobile File Trolley with Lockable Top</t>
  </si>
  <si>
    <t>CA-2014-157721</t>
  </si>
  <si>
    <t>Holmes Cool Mist Humidifier for the Whole House with 8-Gallon Output per Day, Extended Life Filter</t>
  </si>
  <si>
    <t>Tenex Carpeted, Granite-Look or Clear Contemporary Contour Shape Chair Mats</t>
  </si>
  <si>
    <t>CA-2014-127936</t>
  </si>
  <si>
    <t>SANFORD Major Accent Highlighters</t>
  </si>
  <si>
    <t>US-2014-138828</t>
  </si>
  <si>
    <t>Newell 324</t>
  </si>
  <si>
    <t>CA-2014-151792</t>
  </si>
  <si>
    <t>Logitech Wireless Performance Mouse MX for PC and Mac</t>
  </si>
  <si>
    <t>CA-2014-158281</t>
  </si>
  <si>
    <t>Epson TM-T88V Direct Thermal Printer - Monochrome - Desktop</t>
  </si>
  <si>
    <t>CA-2014-152268</t>
  </si>
  <si>
    <t>GBC DocuBind TL300 Electric Binding System</t>
  </si>
  <si>
    <t>CA-2014-106971</t>
  </si>
  <si>
    <t>Logitech Gaming G510s - Keyboard</t>
  </si>
  <si>
    <t>CA-2014-108189</t>
  </si>
  <si>
    <t>Adams Telephone Message Book W/Dividers/Space For Phone Numbers, 5 1/4"X8 1/2", 300/Messages</t>
  </si>
  <si>
    <t>Bose SoundLink Bluetooth Speaker</t>
  </si>
  <si>
    <t>Letter or Legal Size Expandable Poly String Tie Envelopes</t>
  </si>
  <si>
    <t>Stiletto Hand Letter Openers</t>
  </si>
  <si>
    <t>Pyle PMP37LED</t>
  </si>
  <si>
    <t>Kingston Digital DataTraveler 16GB USB 2.0</t>
  </si>
  <si>
    <t>CA-2014-107454</t>
  </si>
  <si>
    <t>Avery 499</t>
  </si>
  <si>
    <t>Tensor Computer Mounted Lamp</t>
  </si>
  <si>
    <t>CA-2014-148782</t>
  </si>
  <si>
    <t>CA-2014-129147</t>
  </si>
  <si>
    <t>Polycom CX300 Desktop Phone USB VoIP phone</t>
  </si>
  <si>
    <t>I Need's 3d Hello Kitty Hybrid Silicone Case Cover for HTC One X 4g with 3d Hello Kitty Stylus Pen Green/pink</t>
  </si>
  <si>
    <t>Acco D-Ring Binder w/DublLock</t>
  </si>
  <si>
    <t>CA-2014-120670</t>
  </si>
  <si>
    <t>Razer Kraken 7.1 Surround Sound Over Ear USB Gaming Headset</t>
  </si>
  <si>
    <t>CA-2014-115889</t>
  </si>
  <si>
    <t>AT&amp;T CL82213</t>
  </si>
  <si>
    <t>Adjustable Depth Letter/Legal Cart</t>
  </si>
  <si>
    <t>CA-2014-134726</t>
  </si>
  <si>
    <t>Maxell 74 Minute CD-R Spindle, 50/Pack</t>
  </si>
  <si>
    <t>Samsung Rugby III</t>
  </si>
  <si>
    <t>CA-2014-112158</t>
  </si>
  <si>
    <t>Logitech 910-002974 M325 Wireless Mouse for Web Scrolling</t>
  </si>
  <si>
    <t>O'Sullivan Living Dimensions 5-Shelf Bookcases</t>
  </si>
  <si>
    <t>Angle-D Binders with Locking Rings, Label Holders</t>
  </si>
  <si>
    <t>US-2014-117744</t>
  </si>
  <si>
    <t>Deflect-o SuperTray Unbreakable Stackable Tray, Letter, Black</t>
  </si>
  <si>
    <t>Newell 343</t>
  </si>
  <si>
    <t>12-1/2 Diameter Round Wall Clock</t>
  </si>
  <si>
    <t>CA-2014-132864</t>
  </si>
  <si>
    <t>Imation 32GB Pocket Pro USB 3.0 Flash Drive - 32 GB - Black - 1 P ...</t>
  </si>
  <si>
    <t>CA-2014-101147</t>
  </si>
  <si>
    <t>Staple holder</t>
  </si>
  <si>
    <t>CA-2014-154095</t>
  </si>
  <si>
    <t>DAX Metal Frame, Desktop, Stepped-Edge</t>
  </si>
  <si>
    <t>Xerox 1942</t>
  </si>
  <si>
    <t>Global Stack Chair with Arms, Black</t>
  </si>
  <si>
    <t>Avery 509</t>
  </si>
  <si>
    <t>CA-2014-103807</t>
  </si>
  <si>
    <t>Kingston Digital DataTraveler 8GB USB 2.0</t>
  </si>
  <si>
    <t>RSVP Cards &amp; Envelopes, Blank White, 8-1/2" X 11", 24 Cards/25 Envelopes/Set</t>
  </si>
  <si>
    <t>CA-2014-103800</t>
  </si>
  <si>
    <t>Message Book, Wirebound, Four 5 1/2" X 4" Forms/Pg., 200 Dupl. Sets/Book</t>
  </si>
  <si>
    <t>CA-2014-111059</t>
  </si>
  <si>
    <t>Ibico Laser Imprintable Binding System Covers</t>
  </si>
  <si>
    <t>Avery Durable Poly Binders</t>
  </si>
  <si>
    <t>CA-2014-155852</t>
  </si>
  <si>
    <t>Zebra Zazzle Fluorescent Highlighters</t>
  </si>
  <si>
    <t>CA-2014-127964</t>
  </si>
  <si>
    <t>PowerGen Dual USB Car Charger</t>
  </si>
  <si>
    <t>Cardinal HOLDit! Binder Insert Strips,Extra Strips</t>
  </si>
  <si>
    <t>US-2014-127978</t>
  </si>
  <si>
    <t>Avery 495</t>
  </si>
  <si>
    <t>O'Sullivan 4-Shelf Bookcase in Odessa Pine</t>
  </si>
  <si>
    <t>Eldon Shelf Savers Cubes and Bins</t>
  </si>
  <si>
    <t>CA-2014-130421</t>
  </si>
  <si>
    <t>3.6 Cubic Foot Counter Height Office Refrigerator</t>
  </si>
  <si>
    <t>CA-2014-105648</t>
  </si>
  <si>
    <t>Bevis Oval Conference Table, Walnut</t>
  </si>
  <si>
    <t>CA-2014-112291</t>
  </si>
  <si>
    <t>Enermax Briskie RF Wireless Keyboard and Mouse Combo</t>
  </si>
  <si>
    <t>Logitech G600 MMO Gaming Mouse</t>
  </si>
  <si>
    <t>CA-2014-130274</t>
  </si>
  <si>
    <t>Avery 481</t>
  </si>
  <si>
    <t>CA-2014-135755</t>
  </si>
  <si>
    <t>GBC Poly Designer Binding Covers</t>
  </si>
  <si>
    <t>Avery Durable Plastic 1" Binders</t>
  </si>
  <si>
    <t>CA-2014-135657</t>
  </si>
  <si>
    <t>KI Adjustable-Height Table</t>
  </si>
  <si>
    <t>CA-2014-141299</t>
  </si>
  <si>
    <t>Security-Tint Envelopes</t>
  </si>
  <si>
    <t>CA-2014-163867</t>
  </si>
  <si>
    <t>Contract Clock, 14", Brown</t>
  </si>
  <si>
    <t>Recycled Steel Personal File for Standard File Folders</t>
  </si>
  <si>
    <t>CA-2014-133690</t>
  </si>
  <si>
    <t>BoxOffice By Design Rectangular and Half-Moon Meeting Room Tables</t>
  </si>
  <si>
    <t>Bravo II Megaboss 12-Amp Hard Body Upright, Replacement Belts, 2 Belts per Pack</t>
  </si>
  <si>
    <t>CA-2014-125612</t>
  </si>
  <si>
    <t>Xerox 1884</t>
  </si>
  <si>
    <t>Acme Box Cutter Scissors</t>
  </si>
  <si>
    <t>Staple magnet</t>
  </si>
  <si>
    <t>CA-2014-128986</t>
  </si>
  <si>
    <t>White Computer Printout Paper by Universal</t>
  </si>
  <si>
    <t>CA-2014-125171</t>
  </si>
  <si>
    <t>Avery 514</t>
  </si>
  <si>
    <t>US-2014-120236</t>
  </si>
  <si>
    <t>GBC VeloBinder Strips</t>
  </si>
  <si>
    <t>CA-2014-153976</t>
  </si>
  <si>
    <t>Global High-Back Leather Tilter, Burgundy</t>
  </si>
  <si>
    <t>CA-2014-157882</t>
  </si>
  <si>
    <t>Global Deluxe Stacking Chair, Gray</t>
  </si>
  <si>
    <t>US-2014-155817</t>
  </si>
  <si>
    <t>Advantus Rolling Drawer Organizers</t>
  </si>
  <si>
    <t>DIXON Oriole Pencils</t>
  </si>
  <si>
    <t>CA-2014-108903</t>
  </si>
  <si>
    <t>Hunt Boston Vacuum Mount KS Pencil Sharpener</t>
  </si>
  <si>
    <t>Convenience Packs of Business Envelopes</t>
  </si>
  <si>
    <t>Logitech G105 Gaming Keyboard</t>
  </si>
  <si>
    <t>CA-2014-120775</t>
  </si>
  <si>
    <t>Colored Push Pins</t>
  </si>
  <si>
    <t>DAX Natural Wood-Tone Poster Frame</t>
  </si>
  <si>
    <t>Smead Alpha-Z Color-Coded Second Alphabetical Labels and Starter Set</t>
  </si>
  <si>
    <t>Avery Hidden Tab Dividers for Binding Systems</t>
  </si>
  <si>
    <t>CA-2014-137589</t>
  </si>
  <si>
    <t>Compact Automatic Electric Letter Opener</t>
  </si>
  <si>
    <t>CA-2014-121573</t>
  </si>
  <si>
    <t>Panasonic KX-TG9471B</t>
  </si>
  <si>
    <t>Acco Pressboard Covers with Storage Hooks, 14 7/8" x 11", Light Blue</t>
  </si>
  <si>
    <t>CA-2014-155593</t>
  </si>
  <si>
    <t>Acme Kleen Earth Office Shears</t>
  </si>
  <si>
    <t>CA-2014-146731</t>
  </si>
  <si>
    <t>Ampad Evidence Wirebond Steno Books, 6" x 9"</t>
  </si>
  <si>
    <t>CA-2014-165764</t>
  </si>
  <si>
    <t>Acco Perma 4000 Stacking Storage Drawers</t>
  </si>
  <si>
    <t>Hon Racetrack Conference Tables</t>
  </si>
  <si>
    <t>Avery Self-Adhesive Photo Pockets for Polaroid Photos</t>
  </si>
  <si>
    <t>Tenex Antistatic Computer Chair Mats</t>
  </si>
  <si>
    <t>CA-2014-119529</t>
  </si>
  <si>
    <t>US-2014-124625</t>
  </si>
  <si>
    <t>Belkin F8E887 USB Wired Ergonomic Keyboard</t>
  </si>
  <si>
    <t>CA-2014-153619</t>
  </si>
  <si>
    <t>Prang Dustless Chalk Sticks</t>
  </si>
  <si>
    <t>CA-2014-122749</t>
  </si>
  <si>
    <t>Jabra Supreme Plus Driver Edition Headset</t>
  </si>
  <si>
    <t>CA-2014-164861</t>
  </si>
  <si>
    <t>CA-2014-112326</t>
  </si>
  <si>
    <t>Avery 508</t>
  </si>
  <si>
    <t>SAFCO Boltless Steel Shelving</t>
  </si>
  <si>
    <t>GBC Standard Plastic Binding Systems Combs</t>
  </si>
  <si>
    <t>CA-2014-107181</t>
  </si>
  <si>
    <t>GBC Recycled Grain Textured Covers</t>
  </si>
  <si>
    <t>Message Book, Standard Line "While You Were Out", 5 1/2" X 4", 200 Sets/Book</t>
  </si>
  <si>
    <t>CA-2014-104808</t>
  </si>
  <si>
    <t>GBC Standard Recycled Report Covers, Clear Plastic Sheets</t>
  </si>
  <si>
    <t>CA-2014-116239</t>
  </si>
  <si>
    <t>Sensible Storage WireTech Storage Systems</t>
  </si>
  <si>
    <t>CA-2014-117016</t>
  </si>
  <si>
    <t>BIC Brite Liner Highlighters, Chisel Tip</t>
  </si>
  <si>
    <t>CA-2014-105172</t>
  </si>
  <si>
    <t>Avery 518</t>
  </si>
  <si>
    <t>CA-2014-133228</t>
  </si>
  <si>
    <t>Advantus Panel Wall Acrylic Frame</t>
  </si>
  <si>
    <t>Newell 319</t>
  </si>
  <si>
    <t>US-2014-128685</t>
  </si>
  <si>
    <t>Avery Non-Stick Binders</t>
  </si>
  <si>
    <t>CA-2014-149538</t>
  </si>
  <si>
    <t>Safco Commercial Shelving</t>
  </si>
  <si>
    <t>Logitech Wireless Marathon Mouse M705</t>
  </si>
  <si>
    <t>Xerox 209</t>
  </si>
  <si>
    <t>Xerox 1966</t>
  </si>
  <si>
    <t>CA-2014-117709</t>
  </si>
  <si>
    <t>Fellowes Binding Cases</t>
  </si>
  <si>
    <t>CA-2014-155271</t>
  </si>
  <si>
    <t>DAX Wood Document Frame</t>
  </si>
  <si>
    <t>CA-2014-111899</t>
  </si>
  <si>
    <t>Boston Home &amp; Office Model 2000 Electric Pencil Sharpeners</t>
  </si>
  <si>
    <t>OIC Thumb-Tacks</t>
  </si>
  <si>
    <t>US-2014-148194</t>
  </si>
  <si>
    <t>Eldon Regeneration Recycled Desk Accessories, Smoke</t>
  </si>
  <si>
    <t>Holmes Odor Grabber</t>
  </si>
  <si>
    <t>CA-2014-147914</t>
  </si>
  <si>
    <t>CA-2014-151946</t>
  </si>
  <si>
    <t>Seth Thomas 14" Day/Date Wall Clock</t>
  </si>
  <si>
    <t>Commercial WindTunnel Clean Air Upright Vacuum, Replacement Belts, Filtration Bags</t>
  </si>
  <si>
    <t>G.E. Halogen Desk Lamp Bulbs</t>
  </si>
  <si>
    <t>CA-2014-120096</t>
  </si>
  <si>
    <t>Xerox 194</t>
  </si>
  <si>
    <t>Fellowes Mighty 8 Compact Surge Protector</t>
  </si>
  <si>
    <t>CA-2014-138709</t>
  </si>
  <si>
    <t>Southworth Structures Collection</t>
  </si>
  <si>
    <t>CA-2014-126361</t>
  </si>
  <si>
    <t>Hoover WindTunnel Plus Canister Vacuum</t>
  </si>
  <si>
    <t>Newell 329</t>
  </si>
  <si>
    <t>Panasonic KX T7731-B Digital phone</t>
  </si>
  <si>
    <t>Safco Wire Cube Shelving System, For Use as 4 or 5 14" Cubes, Black</t>
  </si>
  <si>
    <t>Ibico Standard Transparent Covers</t>
  </si>
  <si>
    <t>CA-2014-134215</t>
  </si>
  <si>
    <t>Eureka The Boss Cordless Rechargeable Stick Vac</t>
  </si>
  <si>
    <t>Southworth 25% Cotton Premium Laser Paper and Envelopes</t>
  </si>
  <si>
    <t>Maxell 4.7GB DVD-R</t>
  </si>
  <si>
    <t>CA-2014-153479</t>
  </si>
  <si>
    <t>Avery 512</t>
  </si>
  <si>
    <t>GBC Recycled Regency Composition Covers</t>
  </si>
  <si>
    <t>CA-2014-102085</t>
  </si>
  <si>
    <t>Avery 519</t>
  </si>
  <si>
    <t>CA-2014-166891</t>
  </si>
  <si>
    <t>Office Star - Contemporary Task Swivel chair with Loop Arms, Charcoal</t>
  </si>
  <si>
    <t>CA-2014-164973</t>
  </si>
  <si>
    <t>DMI Arturo Collection Mission-style Design Wood Chair</t>
  </si>
  <si>
    <t>Canon imageCLASS MF7460 Monochrome Digital Laser Multifunction Copier</t>
  </si>
  <si>
    <t>Panasonic Kx-TS550</t>
  </si>
  <si>
    <t>NETGEAR N750 Dual Band Wi-Fi Gigabit Router</t>
  </si>
  <si>
    <t>Trav-L-File Heavy-Duty Shuttle II, Black</t>
  </si>
  <si>
    <t>CA-2014-121286</t>
  </si>
  <si>
    <t>OIC Bulk Pack Metal Binder Clips</t>
  </si>
  <si>
    <t>CA-2014-149244</t>
  </si>
  <si>
    <t>Executive Impressions 12" Wall Clock</t>
  </si>
  <si>
    <t>CA-2014-125829</t>
  </si>
  <si>
    <t>Polycom SoundPoint Pro SE-225 Corded phone</t>
  </si>
  <si>
    <t>Bevis Round Conference Table Top, X-Base</t>
  </si>
  <si>
    <t>Cardinal EasyOpen D-Ring Binders</t>
  </si>
  <si>
    <t>Xerox 2000</t>
  </si>
  <si>
    <t>Hewlett-Packard Deskjet D4360 Printer</t>
  </si>
  <si>
    <t>CA-2014-132227</t>
  </si>
  <si>
    <t>Acco Flexible ACCOHIDE Square Ring Data Binder, Dark Blue, 11 1/2" X 14" 7/8"</t>
  </si>
  <si>
    <t>US-2014-134187</t>
  </si>
  <si>
    <t>CA-2014-127187</t>
  </si>
  <si>
    <t>CA-2014-141817</t>
  </si>
  <si>
    <t>Avery Hi-Liter EverBold Pen Style Fluorescent Highlighters, 4/Pack</t>
  </si>
  <si>
    <t>CA-2014-169061</t>
  </si>
  <si>
    <t>Newell 345</t>
  </si>
  <si>
    <t>Logitech Wireless Gaming Headset G930</t>
  </si>
  <si>
    <t>Acme Forged Steel Scissors with Black Enamel Handles</t>
  </si>
  <si>
    <t>GBC Wire Binding Combs</t>
  </si>
  <si>
    <t>Xerox 1891</t>
  </si>
  <si>
    <t>CA-2014-113887</t>
  </si>
  <si>
    <t>Eaton Premium Continuous-Feed Paper, 25% Cotton, Letter Size, White, 1000 Shts/Box</t>
  </si>
  <si>
    <t>CA-2014-102988</t>
  </si>
  <si>
    <t>Crayola Colored Pencils</t>
  </si>
  <si>
    <t>Xerox 1957</t>
  </si>
  <si>
    <t>Newell 321</t>
  </si>
  <si>
    <t>Martin Yale Chadless Opener Electric Letter Opener</t>
  </si>
  <si>
    <t>CA-2014-151001</t>
  </si>
  <si>
    <t>Tenex File Box, Personal Filing Tote with Lid, Black</t>
  </si>
  <si>
    <t>Adjustable Personal File Tote</t>
  </si>
  <si>
    <t>CA-2014-149104</t>
  </si>
  <si>
    <t>Stanley Contemporary Battery Pencil Sharpeners</t>
  </si>
  <si>
    <t>Fellowes Twister Kit, Gray/Clear, 3/pkg</t>
  </si>
  <si>
    <t>Binney &amp; Smith Crayola Metallic Colored Pencils, 8-Color Set</t>
  </si>
  <si>
    <t>Space Solutions HD Industrial Steel Shelving.</t>
  </si>
  <si>
    <t>US-2014-157231</t>
  </si>
  <si>
    <t>CA-2014-166457</t>
  </si>
  <si>
    <t>Adams "While You Were Out" Message Pads</t>
  </si>
  <si>
    <t>Newell 350</t>
  </si>
  <si>
    <t>Xerox 1933</t>
  </si>
  <si>
    <t>CA-2014-110219</t>
  </si>
  <si>
    <t>Global Value Mid-Back Manager's Chair, Gray</t>
  </si>
  <si>
    <t>CA-2014-160738</t>
  </si>
  <si>
    <t>Eldon Portable Mobile Manager</t>
  </si>
  <si>
    <t>CA-2014-111934</t>
  </si>
  <si>
    <t>Storex Dura Pro Binders</t>
  </si>
  <si>
    <t>CA-2014-157784</t>
  </si>
  <si>
    <t>NETGEAR AC1750 Dual Band Gigabit Smart WiFi Router</t>
  </si>
  <si>
    <t>Avery 516</t>
  </si>
  <si>
    <t>Xerox 1995</t>
  </si>
  <si>
    <t>US-2014-160444</t>
  </si>
  <si>
    <t>Gould Plastics 18-Pocket Panel Bin, 34w x 5-1/4d x 20-1/2h</t>
  </si>
  <si>
    <t>Fellowes Bankers Box Stor/Drawer Steel Plus</t>
  </si>
  <si>
    <t>CA-2014-107139</t>
  </si>
  <si>
    <t>Vinyl Sectional Post Binders</t>
  </si>
  <si>
    <t>CA-2014-152849</t>
  </si>
  <si>
    <t>Newell 322</t>
  </si>
  <si>
    <t>CA-2014-103317</t>
  </si>
  <si>
    <t>Advantus Panel Wall Certificate Holder - 8.5x11</t>
  </si>
  <si>
    <t>Wilson Jones Four-Pocket Poly Binders</t>
  </si>
  <si>
    <t>CA-2014-118962</t>
  </si>
  <si>
    <t>Adams Phone Message Book, Professional, 400 Message Capacity, 5 3/6” x 11”</t>
  </si>
  <si>
    <t>Xerox 1913</t>
  </si>
  <si>
    <t>Global Value Steno Chair, Gray</t>
  </si>
  <si>
    <t>CA-2014-150490</t>
  </si>
  <si>
    <t>Logitech Desktop MK120 Mouse and keyboard Combo</t>
  </si>
  <si>
    <t>Akro Stacking Bins</t>
  </si>
  <si>
    <t>Boston KS Multi-Size Manual Pencil Sharpener</t>
  </si>
  <si>
    <t>US-2014-117968</t>
  </si>
  <si>
    <t>Fellowes Advanced Computer Series Surge Protectors</t>
  </si>
  <si>
    <t>Binney &amp; Smith inkTank Erasable Pocket Highlighter, Chisel Tip, Yellow</t>
  </si>
  <si>
    <t>Hon GuestStacker Chair</t>
  </si>
  <si>
    <t>CA-2014-110065</t>
  </si>
  <si>
    <t>Plantronics CS 50-USB - headset - Convertible, Monaural</t>
  </si>
  <si>
    <t>CA-2014-124723</t>
  </si>
  <si>
    <t>SAFCO PlanMaster Heigh-Adjustable Drafting Table Base, 43w x 30d x 30-37h, Black</t>
  </si>
  <si>
    <t>CA-2014-106572</t>
  </si>
  <si>
    <t>Economy Rollaway Files</t>
  </si>
  <si>
    <t>CA-2014-136861</t>
  </si>
  <si>
    <t>Telescoping Adjustable Floor Lamp</t>
  </si>
  <si>
    <t>CA-2014-152422</t>
  </si>
  <si>
    <t>Belkin F5C206VTEL 6 Outlet Surge</t>
  </si>
  <si>
    <t>CA-2014-152233</t>
  </si>
  <si>
    <t>Plantronics Audio 478 Stereo USB Headset</t>
  </si>
  <si>
    <t>CA-2014-109134</t>
  </si>
  <si>
    <t>OIC Stacking Trays</t>
  </si>
  <si>
    <t>CA-2014-133634</t>
  </si>
  <si>
    <t>Maxell 4.7GB DVD-RW 3/Pack</t>
  </si>
  <si>
    <t>CA-2014-114251</t>
  </si>
  <si>
    <t>Wilson Jones Legal Size Ring Binders</t>
  </si>
  <si>
    <t>Tennsco Double-Tier Lockers</t>
  </si>
  <si>
    <t>Sony 16GB Class 10 Micro SDHC R40 Memory Card</t>
  </si>
  <si>
    <t>Memorex Micro Travel Drive 32 GB</t>
  </si>
  <si>
    <t>US-2014-114377</t>
  </si>
  <si>
    <t>CA-2014-106376</t>
  </si>
  <si>
    <t>Hunt BOSTON Model 1606 High-Volume Electric Pencil Sharpener, Beige</t>
  </si>
  <si>
    <t>netTALK DUO VoIP Telephone Service</t>
  </si>
  <si>
    <t>CA-2014-166191</t>
  </si>
  <si>
    <t>Imation Secure+ Hardware Encrypted USB 2.0 Flash Drive; 16GB</t>
  </si>
  <si>
    <t>CA-2014-138296</t>
  </si>
  <si>
    <t>Recycled Eldon Regeneration Jumbo File</t>
  </si>
  <si>
    <t>CA-2014-125542</t>
  </si>
  <si>
    <t>Cameo Buff Policy Envelopes</t>
  </si>
  <si>
    <t>CA-2014-151162</t>
  </si>
  <si>
    <t>Xerox 1893</t>
  </si>
  <si>
    <t>Large Capacity Hanging Post Binders</t>
  </si>
  <si>
    <t>Lunatik TT5L-002 Taktik Strike Impact Protection System for iPhone 5</t>
  </si>
  <si>
    <t>Panasonic KX T7736-B Digital phone</t>
  </si>
  <si>
    <t>CA-2014-133830</t>
  </si>
  <si>
    <t>Prang Colored Pencils</t>
  </si>
  <si>
    <t>Advantus Plastic Paper Clips</t>
  </si>
  <si>
    <t>CA-2014-150203</t>
  </si>
  <si>
    <t>Fellowes 8 Outlet Superior Workstation Surge Protector</t>
  </si>
  <si>
    <t>CA-2014-130813</t>
  </si>
  <si>
    <t>Xerox 225</t>
  </si>
  <si>
    <t>CA-2014-106054</t>
  </si>
  <si>
    <t>Dixon Prang Watercolor Pencils, 10-Color Set with Brush</t>
  </si>
  <si>
    <t>CA-2014-167199</t>
  </si>
  <si>
    <t>Ibico Hi-Tech Manual Binding System</t>
  </si>
  <si>
    <t>Rogers Handheld Barrel Pencil Sharpener</t>
  </si>
  <si>
    <t>GE 30524EE4</t>
  </si>
  <si>
    <t>Wireless Extenders zBoost YX545 SOHO Signal Booster</t>
  </si>
  <si>
    <t>Alliance Super-Size Bands, Assorted Sizes</t>
  </si>
  <si>
    <t>Southworth 25% Cotton Granite Paper &amp; Envelopes</t>
  </si>
  <si>
    <t>CA-2014-131905</t>
  </si>
  <si>
    <t>Avery 480</t>
  </si>
  <si>
    <t>Aastra 57i VoIP phone</t>
  </si>
  <si>
    <t>CA-2014-108182</t>
  </si>
  <si>
    <t>Avery Flip-Chart Easel Binder, Black</t>
  </si>
  <si>
    <t>CA-2014-136742</t>
  </si>
  <si>
    <t>US-2014-118486</t>
  </si>
  <si>
    <t>Martin-Yale Premier Letter Opener</t>
  </si>
  <si>
    <t>CA-2014-169803</t>
  </si>
  <si>
    <t>Chromcraft Bull-Nose Wood Round Conference Table Top, Wood Base</t>
  </si>
  <si>
    <t>Kingston Digital DataTraveler 32GB USB 2.0</t>
  </si>
  <si>
    <t>CA-2014-102652</t>
  </si>
  <si>
    <t>Tenex B1-RE Series Chair Mats for Low Pile Carpets</t>
  </si>
  <si>
    <t>C-Line Cubicle Keepers Polyproplyene Holder With Velcro Backings</t>
  </si>
  <si>
    <t>Xerox 211</t>
  </si>
  <si>
    <t>CA-2014-153808</t>
  </si>
  <si>
    <t>Avery Trapezoid Ring Binder, 3" Capacity, Black, 1040 sheets</t>
  </si>
  <si>
    <t>CA-2014-121664</t>
  </si>
  <si>
    <t>US-2014-154879</t>
  </si>
  <si>
    <t>Staple-on labels</t>
  </si>
  <si>
    <t>CA-2014-133270</t>
  </si>
  <si>
    <t>Sanford Liquid Accent Highlighters</t>
  </si>
  <si>
    <t>CA-2014-159520</t>
  </si>
  <si>
    <t>Wilson Jones Century Plastic Molded Ring Binders</t>
  </si>
  <si>
    <t>Acme Office Executive Series Stainless Steel Trimmers</t>
  </si>
  <si>
    <t>Chromcraft Bull-Nose Wood 48" x 96" Rectangular Conference Tables</t>
  </si>
  <si>
    <t>US-2014-161305</t>
  </si>
  <si>
    <t>#10- 4 1/8" x 9 1/2" Recycled Envelopes</t>
  </si>
  <si>
    <t>CA-2014-151897</t>
  </si>
  <si>
    <t>Round Specialty Laser Printer Labels</t>
  </si>
  <si>
    <t>CA-2014-169257</t>
  </si>
  <si>
    <t>Presstex Flexible Ring Binders</t>
  </si>
  <si>
    <t>Xerox 1944</t>
  </si>
  <si>
    <t>CA-2014-134278</t>
  </si>
  <si>
    <t>Canon Imageclass D680 Copier / Fax</t>
  </si>
  <si>
    <t>CA-2014-147543</t>
  </si>
  <si>
    <t>Global Comet Stacking Armless Chair</t>
  </si>
  <si>
    <t>CA-2014-115357</t>
  </si>
  <si>
    <t>CA-2014-137575</t>
  </si>
  <si>
    <t>Logitech G700s Rechargeable Gaming Mouse</t>
  </si>
  <si>
    <t>CA-2014-130449</t>
  </si>
  <si>
    <t>Eldon Expressions Wood and Plastic Desk Accessories, Cherry Wood</t>
  </si>
  <si>
    <t>CA-2014-134677</t>
  </si>
  <si>
    <t>Imation USB 2.0 Swivel Flash Drive USB flash drive - 4 GB - Pink</t>
  </si>
  <si>
    <t>CA-2014-132542</t>
  </si>
  <si>
    <t>CA-2014-110611</t>
  </si>
  <si>
    <t>Tennsco Lockers, Gray</t>
  </si>
  <si>
    <t>CA-2014-109680</t>
  </si>
  <si>
    <t>Fellowes Staxonsteel Drawer Files</t>
  </si>
  <si>
    <t>CA-2014-120950</t>
  </si>
  <si>
    <t>CA-2014-110030</t>
  </si>
  <si>
    <t>US-2014-112872</t>
  </si>
  <si>
    <t>File Shuttle I and Handi-File</t>
  </si>
  <si>
    <t>US-2014-140452</t>
  </si>
  <si>
    <t>Bionaire 99.97% HEPA Air Cleaner</t>
  </si>
  <si>
    <t>Shocksock Galaxy S4 Armband</t>
  </si>
  <si>
    <t>Nu-Dell Float Frame 11 x 14 1/2</t>
  </si>
  <si>
    <t>Ibico Covers for Plastic or Wire Binding Elements</t>
  </si>
  <si>
    <t>Rogers Deluxe File Chest</t>
  </si>
  <si>
    <t>CA-2014-106726</t>
  </si>
  <si>
    <t>Standard Rollaway File with Lock</t>
  </si>
  <si>
    <t>CA-2014-155390</t>
  </si>
  <si>
    <t>Xerox 1909</t>
  </si>
  <si>
    <t>CA-2014-105417</t>
  </si>
  <si>
    <t>Howard Miller 14-1/2" Diameter Chrome Round Wall Clock</t>
  </si>
  <si>
    <t>Acco Four Pocket Poly Ring Binder with Label Holder, Smoke, 1"</t>
  </si>
  <si>
    <t>CA-2014-107755</t>
  </si>
  <si>
    <t>Maxell DVD-RAM Discs</t>
  </si>
  <si>
    <t>US-2014-169390</t>
  </si>
  <si>
    <t>CA-2014-156587</t>
  </si>
  <si>
    <t>Global Push Button Manager's Chair, Indigo</t>
  </si>
  <si>
    <t>Newell 330</t>
  </si>
  <si>
    <t>Carina 42"Hx23 3/4"W Media Storage Unit</t>
  </si>
  <si>
    <t>US-2014-131982</t>
  </si>
  <si>
    <t>Catalog Binders with Expanding Posts</t>
  </si>
  <si>
    <t>CA-2014-104563</t>
  </si>
  <si>
    <t>Newell Chalk Holder</t>
  </si>
  <si>
    <t>Contico 72"H Heavy-Duty Storage System</t>
  </si>
  <si>
    <t>Office Star - Task Chair with Contemporary Loop Arms</t>
  </si>
  <si>
    <t>Global Leather and Oak Executive Chair, Black</t>
  </si>
  <si>
    <t>CA-2014-124023</t>
  </si>
  <si>
    <t>Stacking Tray, Side-Loading, Legal, Smoke</t>
  </si>
  <si>
    <t>CA-2014-128846</t>
  </si>
  <si>
    <t>AT&amp;T TR1909W</t>
  </si>
  <si>
    <t>Xerox 1945</t>
  </si>
  <si>
    <t>CA-2014-165806</t>
  </si>
  <si>
    <t>Xerox 226</t>
  </si>
  <si>
    <t>RCA Visys Integrated PBX 8-Line Router</t>
  </si>
  <si>
    <t>CA-2014-166086</t>
  </si>
  <si>
    <t>Acco PRESSTEX Data Binder with Storage Hooks, Dark Blue, 14 7/8" X 11"</t>
  </si>
  <si>
    <t>Balt Split Level Computer Training Table</t>
  </si>
  <si>
    <t>Newell 335</t>
  </si>
  <si>
    <t>Lifetime Advantage Folding Chairs, 4/Carton</t>
  </si>
  <si>
    <t>US-2014-134971</t>
  </si>
  <si>
    <t>CA-2014-106229</t>
  </si>
  <si>
    <t>US-2014-138758</t>
  </si>
  <si>
    <t>Howard Miller 11-1/2" Diameter Grantwood Wall Clock</t>
  </si>
  <si>
    <t>CA-2014-122882</t>
  </si>
  <si>
    <t>invisibleSHIELD by ZAGG Smudge-Free Screen Protector</t>
  </si>
  <si>
    <t>StarTech.com 10/100 VDSL2 Ethernet Extender Kit</t>
  </si>
  <si>
    <t>CA-2014-131002</t>
  </si>
  <si>
    <t>Executive Impressions 13" Clairmont Wall Clock</t>
  </si>
  <si>
    <t>GBC Laser Imprintable Binding System Covers, Desert Sand</t>
  </si>
  <si>
    <t>3M Polarizing Task Lamp with Clamp Arm, Light Gray</t>
  </si>
  <si>
    <t>Plantronics Cordless Phone Headset with In-line Volume - M214C</t>
  </si>
  <si>
    <t>CA-2014-100006</t>
  </si>
  <si>
    <t>AT&amp;T EL51110 DECT</t>
  </si>
  <si>
    <t>CA-2014-105165</t>
  </si>
  <si>
    <t>Panasonic KX TS3282B Corded phone</t>
  </si>
  <si>
    <t>Riverside Furniture Oval Coffee Table, Oval End Table, End Table with Drawer</t>
  </si>
  <si>
    <t>Belkin Standard 104 key USB Keyboard</t>
  </si>
  <si>
    <t>Dixon Ticonderoga Core-Lock Colored Pencils</t>
  </si>
  <si>
    <t>CA-2014-117765</t>
  </si>
  <si>
    <t>Avery Recycled Flexi-View Covers for Binding Systems</t>
  </si>
  <si>
    <t>Padded Folding Chairs, Black, 4/Carton</t>
  </si>
  <si>
    <t>Akro-Mils 12-Gallon Tote</t>
  </si>
  <si>
    <t>CA-2014-109918</t>
  </si>
  <si>
    <t>Acme Design Line 8" Stainless Steel Bent Scissors w/Champagne Handles, 3-1/8" Cut</t>
  </si>
  <si>
    <t>Avery Legal 4-Ring Binder</t>
  </si>
  <si>
    <t>CA-2014-126193</t>
  </si>
  <si>
    <t>Acco Hot Clips Clips to Go</t>
  </si>
  <si>
    <t>Avery Heavy-Duty EZD View Binder with Locking Rings</t>
  </si>
  <si>
    <t>CA-2014-117429</t>
  </si>
  <si>
    <t>Seth Thomas 16" Steel Case Clock</t>
  </si>
  <si>
    <t>CA-2014-132801</t>
  </si>
  <si>
    <t>Fellowes Personal Hanging Folder Files, Navy</t>
  </si>
  <si>
    <t>CA-2014-123498</t>
  </si>
  <si>
    <t>Satellite Sectional Post Binders</t>
  </si>
  <si>
    <t>CA-2014-123323</t>
  </si>
  <si>
    <t>CA-2014-159310</t>
  </si>
  <si>
    <t>Hon Deluxe Fabric Upholstered Stacking Chairs, Squared Back</t>
  </si>
  <si>
    <t>Avery Triangle Shaped Sheet Lifters, Black, 2/Pack</t>
  </si>
  <si>
    <t>Acme Stainless Steel Office Snips</t>
  </si>
  <si>
    <t>CA-2014-120278</t>
  </si>
  <si>
    <t>Belkin 8 Outlet Surge Protector</t>
  </si>
  <si>
    <t>Portable Personal File Box</t>
  </si>
  <si>
    <t>X-Rack File for Hanging Folders</t>
  </si>
  <si>
    <t>ACCOHIDE 3-Ring Binder, Blue, 1"</t>
  </si>
  <si>
    <t>CA-2014-146990</t>
  </si>
  <si>
    <t>Binder Clips by OIC</t>
  </si>
  <si>
    <t>Riverleaf Stik-Withit Designer Note Cubes</t>
  </si>
  <si>
    <t>US-2014-139640</t>
  </si>
  <si>
    <t>Panasonic KP-150 Electric Pencil Sharpener</t>
  </si>
  <si>
    <t>CA-2014-159681</t>
  </si>
  <si>
    <t>CA-2014-138737</t>
  </si>
  <si>
    <t>Newell 32</t>
  </si>
  <si>
    <t>CA-2014-101392</t>
  </si>
  <si>
    <t>CA-2014-154592</t>
  </si>
  <si>
    <t>Green Bar Computer Printout Paper</t>
  </si>
  <si>
    <t>CA-2014-125759</t>
  </si>
  <si>
    <t>Master Caster Door Stop, Large Brown</t>
  </si>
  <si>
    <t>CA-2014-100363</t>
  </si>
  <si>
    <t>Things To Do Today Spiral Book</t>
  </si>
  <si>
    <t>US-2014-118997</t>
  </si>
  <si>
    <t>SAFCO PlanMaster Boards, 60w x 37-1/2d, White Melamine</t>
  </si>
  <si>
    <t>US-2014-163797</t>
  </si>
  <si>
    <t>CA-2014-150581</t>
  </si>
  <si>
    <t>Bevis 36 x 72 Conference Tables</t>
  </si>
  <si>
    <t>Logitech Wireless Headset h800</t>
  </si>
  <si>
    <t>CA-2014-121769</t>
  </si>
  <si>
    <t>Riverside Furniture Stanwyck Manor Table Series</t>
  </si>
  <si>
    <t>CA-2014-116666</t>
  </si>
  <si>
    <t>Hewlett Packard LaserJet 3310 Copier</t>
  </si>
  <si>
    <t>US-2014-141257</t>
  </si>
  <si>
    <t>US-2014-109162</t>
  </si>
  <si>
    <t>Situations Contoured Folding Chairs, 4/Set</t>
  </si>
  <si>
    <t>CA-2014-108147</t>
  </si>
  <si>
    <t>Green Canvas Binder for 8-1/2" x 14" Sheets</t>
  </si>
  <si>
    <t>Tennsco Snap-Together Open Shelving Units, Starter Sets and Add-On Units</t>
  </si>
  <si>
    <t>CA-2014-150301</t>
  </si>
  <si>
    <t>CA-2014-100090</t>
  </si>
  <si>
    <t>Hon 2111 Invitation Series Corner Table</t>
  </si>
  <si>
    <t>Wilson Jones Ledger-Size, Piano-Hinge Binder, 2", Blue</t>
  </si>
  <si>
    <t>CA-2014-131450</t>
  </si>
  <si>
    <t>Sharp AL-1530CS Digital Copier</t>
  </si>
  <si>
    <t>AT&amp;T 1070 Corded Phone</t>
  </si>
  <si>
    <t>Dana Halogen Swing-Arm Architect Lamp</t>
  </si>
  <si>
    <t>CA-2014-151708</t>
  </si>
  <si>
    <t>Eldon Delta Triangular Chair Mat, 52" x 58", Clear</t>
  </si>
  <si>
    <t>SanDisk Ultra 64 GB MicroSDHC Class 10 Memory Card</t>
  </si>
  <si>
    <t>CA-2014-154669</t>
  </si>
  <si>
    <t>CA-2014-124478</t>
  </si>
  <si>
    <t>Acco Smartsocket Table Surge Protector, 6 Color-Coded Adapter Outlets</t>
  </si>
  <si>
    <t>Globe Weis Peel &amp; Seel First Class Envelopes</t>
  </si>
  <si>
    <t>CA-2014-156790</t>
  </si>
  <si>
    <t>O'Sullivan 2-Shelf Heavy-Duty Bookcases</t>
  </si>
  <si>
    <t>CA-2014-139892</t>
  </si>
  <si>
    <t>BIC Brite Liner Highlighters</t>
  </si>
  <si>
    <t>Lexmark MX611dhe Monochrome Laser Printer</t>
  </si>
  <si>
    <t>SAFCO Arco Folding Chair</t>
  </si>
  <si>
    <t>JBL Micro Wireless Portable Bluetooth Speaker</t>
  </si>
  <si>
    <t>CA-2014-132500</t>
  </si>
  <si>
    <t>Logitech Wireless Touch Keyboard K400</t>
  </si>
  <si>
    <t>US-2014-115987</t>
  </si>
  <si>
    <t>GBC ProClick Punch Binding System</t>
  </si>
  <si>
    <t>CA-2014-163293</t>
  </si>
  <si>
    <t>Memorex Froggy Flash Drive 4 GB</t>
  </si>
  <si>
    <t>CA-2014-168592</t>
  </si>
  <si>
    <t>Holmes Replacement Filter for HEPA Air Cleaner, Medium Room</t>
  </si>
  <si>
    <t>Pizazz Global Quick File</t>
  </si>
  <si>
    <t>Ideal Clamps</t>
  </si>
  <si>
    <t>CA-2014-128839</t>
  </si>
  <si>
    <t>Epson WorkForce WF-2530 All-in-One Printer, Copier Scanner</t>
  </si>
  <si>
    <t>CA-2014-123127</t>
  </si>
  <si>
    <t>Black &amp; Decker Filter for Double Action Dustbuster Cordless Vac BLDV7210</t>
  </si>
  <si>
    <t>CA-2014-107818</t>
  </si>
  <si>
    <t>Hon Deluxe Fabric Upholstered Stacking Chairs, Rounded Back</t>
  </si>
  <si>
    <t>Hunt PowerHouse Electric Pencil Sharpener, Blue</t>
  </si>
  <si>
    <t>Carina Double Wide Media Storage Towers in Natural &amp; Black</t>
  </si>
  <si>
    <t>CA-2014-146283</t>
  </si>
  <si>
    <t>Geographics Note Cards, Blank, White, 8 1/2" x 11"</t>
  </si>
  <si>
    <t>Snap-A-Way Black Print Carbonless Ruled Speed Letter, Triplicate</t>
  </si>
  <si>
    <t>CA-2014-146815</t>
  </si>
  <si>
    <t>Global Super Steno Chair</t>
  </si>
  <si>
    <t>Nontoxic Chalk</t>
  </si>
  <si>
    <t>CA-2014-140032</t>
  </si>
  <si>
    <t>Acco PRESSTEX Data Binder with Storage Hooks, Light Blue, 9 1/2" X 11"</t>
  </si>
  <si>
    <t>CA-2014-142951</t>
  </si>
  <si>
    <t>Maxell 74 Minute CDR, 10/Pack</t>
  </si>
  <si>
    <t>CA-2014-119977</t>
  </si>
  <si>
    <t>Xerox 197</t>
  </si>
  <si>
    <t>US-2014-126340</t>
  </si>
  <si>
    <t>Toshiba IPT2010-SD IP Telephone</t>
  </si>
  <si>
    <t>CA-2014-104773</t>
  </si>
  <si>
    <t>Companion Letter/Legal File, Black</t>
  </si>
  <si>
    <t>CA-2014-129364</t>
  </si>
  <si>
    <t>Acco PRESSTEX Data Binder with Storage Hooks, Dark Blue, 9 1/2" X 11"</t>
  </si>
  <si>
    <t>Samsung HM1900 Bluetooth Headset</t>
  </si>
  <si>
    <t>Acco Side-Punched Conventional Columnar Pads</t>
  </si>
  <si>
    <t>SanDisk Ultra 16 GB MicroSDHC Class 10 Memory Card</t>
  </si>
  <si>
    <t>Avery 492</t>
  </si>
  <si>
    <t>Xerox 232</t>
  </si>
  <si>
    <t>CA-2014-135608</t>
  </si>
  <si>
    <t>Xerox 1964</t>
  </si>
  <si>
    <t>CA-2014-144071</t>
  </si>
  <si>
    <t>Luxo Economy Swing Arm Lamp</t>
  </si>
  <si>
    <t>CA-2014-135405</t>
  </si>
  <si>
    <t>Newell 312</t>
  </si>
  <si>
    <t>Memorex Micro Travel Drive 8 GB</t>
  </si>
  <si>
    <t>US-2014-102071</t>
  </si>
  <si>
    <t>Sony Micro Vault Click 16 GB USB 2.0 Flash Drive</t>
  </si>
  <si>
    <t>CA-2014-158771</t>
  </si>
  <si>
    <t>Fellowes Super Stor/Drawer</t>
  </si>
  <si>
    <t>Avery 506</t>
  </si>
  <si>
    <t>Weyerhaeuser First Choice Laser/Copy Paper (20Lb. and 88 Bright)</t>
  </si>
  <si>
    <t>CA-2014-115812</t>
  </si>
  <si>
    <t>Mitel 5320 IP Phone VoIP phone</t>
  </si>
  <si>
    <t>DXL Angle-View Binders with Locking Rings by Samsill</t>
  </si>
  <si>
    <t>Chromcraft Rectangular Conference Tables</t>
  </si>
  <si>
    <t>Konftel 250 Conference phone - Charcoal black</t>
  </si>
  <si>
    <t>CA-2014-133753</t>
  </si>
  <si>
    <t>Square Credit Card Reader</t>
  </si>
  <si>
    <t>Logitech M510 Wireless Mouse</t>
  </si>
  <si>
    <t>Boston 1645 Deluxe Heavier-Duty Electric Pencil Sharpener</t>
  </si>
  <si>
    <t>CA-2014-133851</t>
  </si>
  <si>
    <t>Staple remover</t>
  </si>
  <si>
    <t>Deluxe Chalkboard Eraser Cleaner</t>
  </si>
  <si>
    <t>CA-2014-132612</t>
  </si>
  <si>
    <t>Bevis 44 x 96 Conference Tables</t>
  </si>
  <si>
    <t>CA-2014-160262</t>
  </si>
  <si>
    <t>Executive Impressions 13-1/2" Indoor/Outdoor Wall Clock</t>
  </si>
  <si>
    <t>CA-2014-165379</t>
  </si>
  <si>
    <t>Eureka Recycled Copy Paper 8 1/2" x 11", Ream</t>
  </si>
  <si>
    <t>Xerox 1895</t>
  </si>
  <si>
    <t>CA-2014-114125</t>
  </si>
  <si>
    <t>Avery 49</t>
  </si>
  <si>
    <t>Wilson Jones Leather-Like Binders with DublLock Round Rings</t>
  </si>
  <si>
    <t>Perma STOR-ALL Hanging File Box, 13 1/8"W x 12 1/4"D x 10 1/2"H</t>
  </si>
  <si>
    <t>CA-2014-113271</t>
  </si>
  <si>
    <t>Bush Heritage Pine Collection 5-Shelf Bookcase, Albany Pine Finish, *Special Order</t>
  </si>
  <si>
    <t>Prang Drawing Pencil Set</t>
  </si>
  <si>
    <t>Xerox 1967</t>
  </si>
  <si>
    <t>CA-2014-167850</t>
  </si>
  <si>
    <t>Xerox 21</t>
  </si>
  <si>
    <t>CA-2014-110527</t>
  </si>
  <si>
    <t>Avery 494</t>
  </si>
  <si>
    <t>CA-2014-166471</t>
  </si>
  <si>
    <t>Cisco Unified IP Phone 7945G VoIP phone</t>
  </si>
  <si>
    <t>Jawbone MINI JAMBOX Wireless Bluetooth Speaker</t>
  </si>
  <si>
    <t>CA-2014-169726</t>
  </si>
  <si>
    <t>Ibico Ibimaster 300 Manual Binding System</t>
  </si>
  <si>
    <t>CA-2014-141901</t>
  </si>
  <si>
    <t>Great White Multi-Use Recycled Paper (20Lb. and 84 Bright)</t>
  </si>
  <si>
    <t>CA-2014-161249</t>
  </si>
  <si>
    <t>Super Bands, 12/Pack</t>
  </si>
  <si>
    <t>Avery Hole Reinforcements</t>
  </si>
  <si>
    <t>CA-2014-144407</t>
  </si>
  <si>
    <t>Alphabetical Labels for Top Tab Filing</t>
  </si>
  <si>
    <t>CA-2014-126403</t>
  </si>
  <si>
    <t>Global Italian Leather Office Chair</t>
  </si>
  <si>
    <t>Advantus Motivational Note Cards</t>
  </si>
  <si>
    <t>Tennsco 6- and 18-Compartment Lockers</t>
  </si>
  <si>
    <t>CA-2014-102869</t>
  </si>
  <si>
    <t>Xerox 210</t>
  </si>
  <si>
    <t>Rosewill 107 Normal Keys USB Wired Standard Keyboard</t>
  </si>
  <si>
    <t>Master Caster Door Stop, Large Neon Orange</t>
  </si>
  <si>
    <t>Polycom SoundPoint IP 450 VoIP phone</t>
  </si>
  <si>
    <t>US-2014-115196</t>
  </si>
  <si>
    <t>3D Systems Cube Printer, 2nd Generation, White</t>
  </si>
  <si>
    <t>US-2014-131870</t>
  </si>
  <si>
    <t>Nu-Dell Executive Frame</t>
  </si>
  <si>
    <t>CA-2014-103527</t>
  </si>
  <si>
    <t>Ampad Poly Cover Wirebound Steno Book, 6" x 9" Assorted Colors, Gregg Ruled</t>
  </si>
  <si>
    <t>CA-2014-137911</t>
  </si>
  <si>
    <t>CA-2014-138240</t>
  </si>
  <si>
    <t>iOttie HLCRIO102 Car Mount</t>
  </si>
  <si>
    <t>CA-2014-144666</t>
  </si>
  <si>
    <t>Sauder Mission Library with Doors, Fruitwood Finish</t>
  </si>
  <si>
    <t>Samsung Galaxy Note 3</t>
  </si>
  <si>
    <t>Decoflex Hanging Personal Folder File, Blue</t>
  </si>
  <si>
    <t>Recycled Desk Saver Line "While You Were Out" Book, 5 1/2" X 4"</t>
  </si>
  <si>
    <t>Xerox 1912</t>
  </si>
  <si>
    <t>CA-2014-103219</t>
  </si>
  <si>
    <t>Eldon 200 Class Desk Accessories, Black</t>
  </si>
  <si>
    <t>CA-2014-104976</t>
  </si>
  <si>
    <t>Xerox 1987</t>
  </si>
  <si>
    <t>CA-2014-101175</t>
  </si>
  <si>
    <t>Acco Perma 3000 Stacking Storage Drawers</t>
  </si>
  <si>
    <t>CA-2014-109932</t>
  </si>
  <si>
    <t>Xerox 195</t>
  </si>
  <si>
    <t>Recycled Data-Pak for Archival Bound Computer Printouts, 12-1/2 x 12-1/2 x 16</t>
  </si>
  <si>
    <t>CA-2014-169649</t>
  </si>
  <si>
    <t>Astroparche Fine Business Paper</t>
  </si>
  <si>
    <t>Tripp Lite TLP810NET Broadband Surge for Modem/Fax</t>
  </si>
  <si>
    <t>CA-2014-138128</t>
  </si>
  <si>
    <t>Canon PC940 Copier</t>
  </si>
  <si>
    <t>CA-2014-149020</t>
  </si>
  <si>
    <t>Avery 482</t>
  </si>
  <si>
    <t>Howard Miller 11-1/2" Diameter Ridgewood Wall Clock</t>
  </si>
  <si>
    <t>US-2014-100279</t>
  </si>
  <si>
    <t>US-2014-140116</t>
  </si>
  <si>
    <t>BOSTON Ranger #55 Pencil Sharpener, Black</t>
  </si>
  <si>
    <t>CA-2014-159709</t>
  </si>
  <si>
    <t>Strathmore #10 Envelopes, Ultimate White</t>
  </si>
  <si>
    <t>LF Elite 3D Dazzle Designer Hard Case Cover, Lf Stylus Pen and Wiper For Apple Iphone 5c Mini Lite</t>
  </si>
  <si>
    <t>CA-2014-114181</t>
  </si>
  <si>
    <t>Bestar Classic Bookcase</t>
  </si>
  <si>
    <t>CA-2014-103310</t>
  </si>
  <si>
    <t>Wilson Electronics DB Pro Signal Booster</t>
  </si>
  <si>
    <t>Acme Design Stainless Steel Bent Scissors</t>
  </si>
  <si>
    <t>Hon Pagoda Stacking Chairs</t>
  </si>
  <si>
    <t>CA-2014-144281</t>
  </si>
  <si>
    <t>Dot Matrix Printer Tape Reel Labels, White, 5000/Box</t>
  </si>
  <si>
    <t>US-2014-138835</t>
  </si>
  <si>
    <t>Tuff Stuff Recycled Round Ring Binders</t>
  </si>
  <si>
    <t>CA-2014-125731</t>
  </si>
  <si>
    <t>Peel &amp; Seel Envelopes</t>
  </si>
  <si>
    <t>GuestStacker Chair with Chrome Finish Legs</t>
  </si>
  <si>
    <t>CA-2014-113383</t>
  </si>
  <si>
    <t>Kensington 6 Outlet Guardian Standard Surge Protector</t>
  </si>
  <si>
    <t>Dana Fluorescent Magnifying Lamp, White, 36"</t>
  </si>
  <si>
    <t>CA-2014-140403</t>
  </si>
  <si>
    <t>#10- 4 1/8" x 9 1/2" Security-Tint Envelopes</t>
  </si>
  <si>
    <t>CA-2014-150329</t>
  </si>
  <si>
    <t>Westinghouse Clip-On Gooseneck Lamps</t>
  </si>
  <si>
    <t>CA-2014-103492</t>
  </si>
  <si>
    <t>Cisco 8x8 Inc. 6753i IP Business Phone System</t>
  </si>
  <si>
    <t>GBC Personal VeloBind Strips</t>
  </si>
  <si>
    <t>US-2014-105137</t>
  </si>
  <si>
    <t>Hewlett-Packard Deskjet F4180 All-in-One Color Ink-jet - Printer / copier / scanner</t>
  </si>
  <si>
    <t>Premier Elliptical Ring Binder, Black</t>
  </si>
  <si>
    <t>US-2014-134054</t>
  </si>
  <si>
    <t>Dixon Ticonderoga Core-Lock Colored Pencils, 48-Color Set</t>
  </si>
  <si>
    <t>CA-2014-158372</t>
  </si>
  <si>
    <t>Jabra SPEAK 410</t>
  </si>
  <si>
    <t>Southworth 100% Résumé Paper, 24lb.</t>
  </si>
  <si>
    <t>Eldon Expressions Punched Metal &amp; Wood Desk Accessories, Pewter &amp; Cherry</t>
  </si>
  <si>
    <t>Avery White Multi-Purpose Labels</t>
  </si>
  <si>
    <t>CA-2014-121006</t>
  </si>
  <si>
    <t>Avery Hi-Liter Comfort Grip Fluorescent Highlighter, Yellow Ink</t>
  </si>
  <si>
    <t>Xerox 199</t>
  </si>
  <si>
    <t>Xerox 4200 Series MultiUse Premium Copy Paper (20Lb. and 84 Bright)</t>
  </si>
  <si>
    <t>Hon Every-Day Series Multi-Task Chairs</t>
  </si>
  <si>
    <t>CA-2014-148488</t>
  </si>
  <si>
    <t>Adams Write n' Stick Phone Message Book, 11" X 5 1/4", 200 Messages</t>
  </si>
  <si>
    <t>Poly Designer Cover &amp; Back</t>
  </si>
  <si>
    <t>US-2014-112991</t>
  </si>
  <si>
    <t>Office Star - Contemporary Swivel Chair with Padded Adjustable Arms and Flex Back</t>
  </si>
  <si>
    <t>Xerox 1931</t>
  </si>
  <si>
    <t>Xerox Color Copier Paper, 11" x 17", Ream</t>
  </si>
  <si>
    <t>CA-2014-130092</t>
  </si>
  <si>
    <t>DAX Value U-Channel Document Frames, Easel Back</t>
  </si>
  <si>
    <t>CA-2014-127614</t>
  </si>
  <si>
    <t>CA-2014-168368</t>
  </si>
  <si>
    <t>Avery 483</t>
  </si>
  <si>
    <t>Wilson Jones Turn Tabs Binder Tool for Ring Binders</t>
  </si>
  <si>
    <t>Rubbermaid ClusterMat Chairmats, Mat Size- 66" x 60", Lip 20" x 11" -90 Degree Angle</t>
  </si>
  <si>
    <t>VariCap6 Expandable Binder</t>
  </si>
  <si>
    <t>Fellowes Neat Ideas Storage Cubes</t>
  </si>
  <si>
    <t>CA-2014-166884</t>
  </si>
  <si>
    <t>Eldon Wave Desk Accessories</t>
  </si>
  <si>
    <t>Stockwell Push Pins</t>
  </si>
  <si>
    <t>CA-2014-158337</t>
  </si>
  <si>
    <t>CA-2014-114790</t>
  </si>
  <si>
    <t>Fellowes Premier Superior Surge Suppressor, 10-Outlet, With Phone and Remote</t>
  </si>
  <si>
    <t>Xerox 198</t>
  </si>
  <si>
    <t>US-2014-103338</t>
  </si>
  <si>
    <t>Economy #2 Pencils</t>
  </si>
  <si>
    <t>US-2014-102715</t>
  </si>
  <si>
    <t>Acco Banker's Clasps, 5 3/4"-Long</t>
  </si>
  <si>
    <t>Xerox 224</t>
  </si>
  <si>
    <t>Logitech Wireless Anywhere Mouse MX for PC and Mac</t>
  </si>
  <si>
    <t>US-2014-121734</t>
  </si>
  <si>
    <t>CA-2014-138940</t>
  </si>
  <si>
    <t>Jawbone JAMBOX Wireless Bluetooth Speaker</t>
  </si>
  <si>
    <t>CA-2014-110555</t>
  </si>
  <si>
    <t>Eldon Simplefile Box Office</t>
  </si>
  <si>
    <t>AT&amp;T SB67148 SynJ</t>
  </si>
  <si>
    <t>Memorex Mini Travel Drive 64 GB USB 2.0 Flash Drive</t>
  </si>
  <si>
    <t>CA-2014-103849</t>
  </si>
  <si>
    <t>SanDisk Cruzer 64 GB USB Flash Drive</t>
  </si>
  <si>
    <t>Xblue XB-1670-86 X16 Small Office Telephone - Titanium</t>
  </si>
  <si>
    <t>Deflect-o EconoMat Studded, No Bevel Mat for Low Pile Carpeting</t>
  </si>
  <si>
    <t>CA-2014-139017</t>
  </si>
  <si>
    <t>Logitech ClearChat Comfort/USB Headset H390</t>
  </si>
  <si>
    <t>CA-2014-127523</t>
  </si>
  <si>
    <t>CA-2014-152100</t>
  </si>
  <si>
    <t>CA-2014-119172</t>
  </si>
  <si>
    <t>Avery Arch Ring Binders</t>
  </si>
  <si>
    <t>CA-2014-163552</t>
  </si>
  <si>
    <t>Cisco SPA508G</t>
  </si>
  <si>
    <t>Global Commerce Series High-Back Swivel/Tilt Chairs</t>
  </si>
  <si>
    <t>CA-2014-123225</t>
  </si>
  <si>
    <t>Polycom VVX 310 VoIP phone</t>
  </si>
  <si>
    <t>Xerox 200</t>
  </si>
  <si>
    <t>CA-2014-133305</t>
  </si>
  <si>
    <t>Xerox 1881</t>
  </si>
  <si>
    <t>Newell 3-Hole Punched Plastic Slotted Magazine Holders for Binders</t>
  </si>
  <si>
    <t>CA-2014-166555</t>
  </si>
  <si>
    <t>Cisco SPA112 2 Port Phone Adapter</t>
  </si>
  <si>
    <t>CA-2014-127012</t>
  </si>
  <si>
    <t>Eldon Image Series Desk Accessories, Ebony</t>
  </si>
  <si>
    <t>Sanford 52201 APSCO Electric Pencil Sharpener</t>
  </si>
  <si>
    <t>Vinyl Coated Wire Paper Clips in Organizer Box, 800/Box</t>
  </si>
  <si>
    <t>CA-2014-154641</t>
  </si>
  <si>
    <t>Tennsco Single-Tier Lockers</t>
  </si>
  <si>
    <t>CA-2014-112837</t>
  </si>
  <si>
    <t>Deflect-o DuraMat Lighweight, Studded, Beveled Mat for Low Pile Carpeting</t>
  </si>
  <si>
    <t>US-2014-126571</t>
  </si>
  <si>
    <t>Fellowes High-Stak Drawer Files</t>
  </si>
  <si>
    <t>Airmail Envelopes</t>
  </si>
  <si>
    <t>CA-2014-116834</t>
  </si>
  <si>
    <t>DAX Cubicle Frames - 8x10</t>
  </si>
  <si>
    <t>WD My Passport Ultra 1TB Portable External Hard Drive</t>
  </si>
  <si>
    <t>CA-2014-157924</t>
  </si>
  <si>
    <t>Iris Project Case</t>
  </si>
  <si>
    <t>Global Enterprise Series Seating High-Back Swivel/Tilt Chairs</t>
  </si>
  <si>
    <t>CA-2014-114314</t>
  </si>
  <si>
    <t>Eldon Pizzaz Desk Accessories</t>
  </si>
  <si>
    <t>CA-2014-128538</t>
  </si>
  <si>
    <t>CA-2014-105893</t>
  </si>
  <si>
    <t>Stur-D-Stor Shelving, Vertical 5-Shelf: 72"H x 36"W x 18 1/2"D</t>
  </si>
  <si>
    <t>CA-2014-163419</t>
  </si>
  <si>
    <t>BIC Brite Liner Grip Highlighters, Assorted, 5/Pack</t>
  </si>
  <si>
    <t>Samsung Galaxy S III - 16GB - pebble blue (T-Mobile)</t>
  </si>
  <si>
    <t>Global Airflow Leather Mesh Back Chair, Black</t>
  </si>
  <si>
    <t>CA-2014-165309</t>
  </si>
  <si>
    <t>Universal Recycled Hanging Pressboard Report Binders, Letter Size</t>
  </si>
  <si>
    <t>Boston Electric Pencil Sharpener, Model 1818, Charcoal Black</t>
  </si>
  <si>
    <t>Wirebound Message Book, 4 per Page</t>
  </si>
  <si>
    <t>Geemarc AmpliPOWER60</t>
  </si>
  <si>
    <t>Classic Ivory Antique Telephone ZL1810</t>
  </si>
  <si>
    <t>CA-2014-105270</t>
  </si>
  <si>
    <t>50 Colored Long Pencils</t>
  </si>
  <si>
    <t>Hon Olson Stacker Stools</t>
  </si>
  <si>
    <t>CA-2014-155796</t>
  </si>
  <si>
    <t>GE 4 Foot Flourescent Tube, 40 Watt</t>
  </si>
  <si>
    <t>Atlantic Metals Mobile 3-Shelf Bookcases, Custom Colors</t>
  </si>
  <si>
    <t>CA-2014-140732</t>
  </si>
  <si>
    <t>Xerox 1979</t>
  </si>
  <si>
    <t>CA-2014-128524</t>
  </si>
  <si>
    <t>Fellowes PB500 Electric Punch Plastic Comb Binding Machine with Manual Bind</t>
  </si>
  <si>
    <t>US-2014-140914</t>
  </si>
  <si>
    <t>DAX Wood Document Frame.</t>
  </si>
  <si>
    <t>US-2014-143287</t>
  </si>
  <si>
    <t>Wirebound Message Books, Four 2 3/4" x 5" Forms per Page, 600 Sets per Book</t>
  </si>
  <si>
    <t>Xerox 1882</t>
  </si>
  <si>
    <t>Acme Value Line Scissors</t>
  </si>
  <si>
    <t>US-2014-110674</t>
  </si>
  <si>
    <t>Global Geo Office Task Chair, Gray</t>
  </si>
  <si>
    <t>CA-2014-154599</t>
  </si>
  <si>
    <t>AT&amp;T 1080 Corded phone</t>
  </si>
  <si>
    <t>Recycled Pressboard Report Cover with Reinforced Top Hinge</t>
  </si>
  <si>
    <t>O'Sullivan Living Dimensions 2-Shelf Bookcases</t>
  </si>
  <si>
    <t>US-2014-158365</t>
  </si>
  <si>
    <t>Xerox 213</t>
  </si>
  <si>
    <t>CA-2014-142979</t>
  </si>
  <si>
    <t>Prismacolor Color Pencil Set</t>
  </si>
  <si>
    <t>CA-2014-127159</t>
  </si>
  <si>
    <t>CA-2014-155887</t>
  </si>
  <si>
    <t>Bevis Traditional Conference Table Top, Plinth Base</t>
  </si>
  <si>
    <t>CA-2014-129924</t>
  </si>
  <si>
    <t>Hon 5100 Series Wood Tables</t>
  </si>
  <si>
    <t>CA-2014-110184</t>
  </si>
  <si>
    <t>GE DSL Phone Line Filter</t>
  </si>
  <si>
    <t>CA-2014-131310</t>
  </si>
  <si>
    <t>Safco Chair Connectors, 6/Carton</t>
  </si>
  <si>
    <t>Self-Adhesive Ring Binder Labels</t>
  </si>
  <si>
    <t>CA-2014-124807</t>
  </si>
  <si>
    <t>Xerox 1949</t>
  </si>
  <si>
    <t>Verbatim 25 GB 6x Blu-ray Single Layer Recordable Disc, 1/Pack</t>
  </si>
  <si>
    <t>CA-2014-161508</t>
  </si>
  <si>
    <t>Hon Deluxe Fabric Upholstered Stacking Chairs</t>
  </si>
  <si>
    <t>Fluorescent Highlighters by Dixon</t>
  </si>
  <si>
    <t>CA-2014-109302</t>
  </si>
  <si>
    <t>Performers Binder/Pad Holder, Black</t>
  </si>
  <si>
    <t>CA-2014-109897</t>
  </si>
  <si>
    <t>BlackBerry Q10</t>
  </si>
  <si>
    <t>CA-2014-156244</t>
  </si>
  <si>
    <t>Xerox 229</t>
  </si>
  <si>
    <t>Bulldog Vacuum Base Pencil Sharpener</t>
  </si>
  <si>
    <t>Acco Smartsocket Color-Coded Six-Outlet AC Adapter Model Surge Protectors</t>
  </si>
  <si>
    <t>Avery 501</t>
  </si>
  <si>
    <t>CA-2014-153927</t>
  </si>
  <si>
    <t>Acco Translucent Poly Ring Binders</t>
  </si>
  <si>
    <t>CA-2014-101476</t>
  </si>
  <si>
    <t>CA-2014-138527</t>
  </si>
  <si>
    <t>Xerox 220</t>
  </si>
  <si>
    <t>SanDisk Cruzer 32 GB USB Flash Drive</t>
  </si>
  <si>
    <t>US-2014-150924</t>
  </si>
  <si>
    <t>Wilson Jones Impact Binders</t>
  </si>
  <si>
    <t>CA-2014-103702</t>
  </si>
  <si>
    <t>US-2014-119081</t>
  </si>
  <si>
    <t>SanDisk Cruzer 16 GB USB Flash Drive</t>
  </si>
  <si>
    <t>GBC DocuBind P100 Manual Binding Machine</t>
  </si>
  <si>
    <t>Seth Thomas 8 1/2" Cubicle Clock</t>
  </si>
  <si>
    <t>CA-2014-116246</t>
  </si>
  <si>
    <t>HON 5400 Series Task Chairs for Big and Tall</t>
  </si>
  <si>
    <t>CA-2014-139451</t>
  </si>
  <si>
    <t>Premium Writing Pencils, Soft, #2 by Central Association for the Blind</t>
  </si>
  <si>
    <t>Sortfiler Multipurpose Personal File Organizer, Black</t>
  </si>
  <si>
    <t>US-2014-154655</t>
  </si>
  <si>
    <t>Acme Hot Forged Carbon Steel Scissors with Nickel-Plated Handles, 3 7/8" Cut, 8"L</t>
  </si>
  <si>
    <t>CA-2014-151078</t>
  </si>
  <si>
    <t>Personal Filing Tote with Lid, Black/Gray</t>
  </si>
  <si>
    <t>CA-2014-151295</t>
  </si>
  <si>
    <t>Xerox 1974</t>
  </si>
  <si>
    <t>Bevis Boat-Shaped Conference Table</t>
  </si>
  <si>
    <t>CA-2014-164910</t>
  </si>
  <si>
    <t>US-2014-159618</t>
  </si>
  <si>
    <t>Avery Fluorescent Highlighter Four-Color Set</t>
  </si>
  <si>
    <t>Imation 16GB Mini TravelDrive USB 2.0 Flash Drive</t>
  </si>
  <si>
    <t>CA-2014-122609</t>
  </si>
  <si>
    <t>GE General Use Halogen Bulbs, 100 Watts, 1 Bulb per Pack</t>
  </si>
  <si>
    <t>Logitech G602 Wireless Gaming Mouse</t>
  </si>
  <si>
    <t>CA-2014-168494</t>
  </si>
  <si>
    <t>Hon Non-Folding Utility Tables</t>
  </si>
  <si>
    <t>Bretford Rectangular Conference Table Tops</t>
  </si>
  <si>
    <t>CA-2014-141607</t>
  </si>
  <si>
    <t>Eldon Advantage Chair Mats for Low to Medium Pile Carpets</t>
  </si>
  <si>
    <t>US-2014-122959</t>
  </si>
  <si>
    <t>GBC DocuBind 300 Electric Binding Machine</t>
  </si>
  <si>
    <t>CA-2014-113320</t>
  </si>
  <si>
    <t>Eldon Image Series Desk Accessories, Burgundy</t>
  </si>
  <si>
    <t>Woodgrain Magazine Files by Perma</t>
  </si>
  <si>
    <t>Longer-Life Soft White Bulbs</t>
  </si>
  <si>
    <t>CA-2014-107573</t>
  </si>
  <si>
    <t>CA-2015-153325</t>
  </si>
  <si>
    <t>XtraLife ClearVue Slant-D Ring Binder, White, 3"</t>
  </si>
  <si>
    <t>CA-2015-102316</t>
  </si>
  <si>
    <t>Global Deluxe Steno Chair</t>
  </si>
  <si>
    <t>CA-2015-133494</t>
  </si>
  <si>
    <t>Hoover Replacement Belt for Commercial Guardsman Heavy-Duty Upright Vacuum</t>
  </si>
  <si>
    <t>CA-2015-133585</t>
  </si>
  <si>
    <t>Panasonic KP-350BK Electric Pencil Sharpener with Auto Stop</t>
  </si>
  <si>
    <t>Atlantic Metals Mobile 5-Shelf Bookcases, Custom Colors</t>
  </si>
  <si>
    <t>CA-2015-104052</t>
  </si>
  <si>
    <t>Jackery Bar Premium Fast-charging Portable Charger</t>
  </si>
  <si>
    <t>CA-2015-145821</t>
  </si>
  <si>
    <t>OtterBox Defender Series Case - iPhone 5c</t>
  </si>
  <si>
    <t>CA-2015-161998</t>
  </si>
  <si>
    <t>Fiskars 8" Scissors, 2/Pack</t>
  </si>
  <si>
    <t>Panasonic KP-380BK Classic Electric Pencil Sharpener</t>
  </si>
  <si>
    <t>CA-2015-104486</t>
  </si>
  <si>
    <t>GBC Twin Loop Wire Binding Elements, 9/16" Spine, Black</t>
  </si>
  <si>
    <t>Acme 10" Easy Grip Assistive Scissors</t>
  </si>
  <si>
    <t>US-2015-163685</t>
  </si>
  <si>
    <t>Avery Poly Binder Pockets</t>
  </si>
  <si>
    <t>Xerox 1928</t>
  </si>
  <si>
    <t>US-2015-132836</t>
  </si>
  <si>
    <t>iKross Bluetooth Portable Keyboard + Cell Phone Stand Holder + Brush for Apple iPhone 5S 5C 5, 4S 4</t>
  </si>
  <si>
    <t>Avery 491</t>
  </si>
  <si>
    <t>CA-2015-161242</t>
  </si>
  <si>
    <t>CA-2015-153388</t>
  </si>
  <si>
    <t>CA-2015-137946</t>
  </si>
  <si>
    <t>CA-2015-104626</t>
  </si>
  <si>
    <t>Deluxe Heavy-Duty Vinyl Round Ring Binder</t>
  </si>
  <si>
    <t>Deflect-o Glass Clear Studded Chair Mats</t>
  </si>
  <si>
    <t>CA-2015-166135</t>
  </si>
  <si>
    <t>CA-2015-115392</t>
  </si>
  <si>
    <t>Cisco SPA301</t>
  </si>
  <si>
    <t>CA-2015-148873</t>
  </si>
  <si>
    <t>Accohide Poly Flexible Ring Binders</t>
  </si>
  <si>
    <t>Lenovo 17-Key USB Numeric Keypad</t>
  </si>
  <si>
    <t>CA-2015-156566</t>
  </si>
  <si>
    <t>CA-2015-105221</t>
  </si>
  <si>
    <t>SanDisk Ultra 32 GB MicroSDHC Class 10 Memory Card</t>
  </si>
  <si>
    <t>Brites Rubber Bands, 1 1/2 oz. Box</t>
  </si>
  <si>
    <t>CA-2015-130995</t>
  </si>
  <si>
    <t>Cush Cases Heavy Duty Rugged Cover Case for Samsung Galaxy S5 - Purple</t>
  </si>
  <si>
    <t>CA-2015-113145</t>
  </si>
  <si>
    <t>Avoid Verbal Orders Carbonless Minifold Book</t>
  </si>
  <si>
    <t>Plantronics MX500i Earset</t>
  </si>
  <si>
    <t>Razer Tiamat Over Ear 7.1 Surround Sound PC Gaming Headset</t>
  </si>
  <si>
    <t>US-2015-110163</t>
  </si>
  <si>
    <t>Lumber Crayons</t>
  </si>
  <si>
    <t>CA-2015-108119</t>
  </si>
  <si>
    <t>Iceberg OfficeWorks 42" Round Tables</t>
  </si>
  <si>
    <t>CA-2015-126739</t>
  </si>
  <si>
    <t>Global Highback Leather Tilter in Burgundy</t>
  </si>
  <si>
    <t>CA-2015-141740</t>
  </si>
  <si>
    <t>Hon Comfortask Task/Swivel Chairs</t>
  </si>
  <si>
    <t>CA-2015-119907</t>
  </si>
  <si>
    <t>US-2015-105676</t>
  </si>
  <si>
    <t>CA-2015-103723</t>
  </si>
  <si>
    <t>US-2015-148817</t>
  </si>
  <si>
    <t>GBC Pre-Punched Binding Paper, Plastic, White, 8-1/2" x 11"</t>
  </si>
  <si>
    <t>CA-2015-137113</t>
  </si>
  <si>
    <t>Global Troy Executive Leather Low-Back Tilter</t>
  </si>
  <si>
    <t>Xerox 219</t>
  </si>
  <si>
    <t>Bush Advantage Collection Round Conference Table</t>
  </si>
  <si>
    <t>Tennsco Industrial Shelving</t>
  </si>
  <si>
    <t>CA-2015-111038</t>
  </si>
  <si>
    <t>CA-2015-110324</t>
  </si>
  <si>
    <t>Xerox 207</t>
  </si>
  <si>
    <t>Newell 307</t>
  </si>
  <si>
    <t>CA-2015-146262</t>
  </si>
  <si>
    <t>Avery 505</t>
  </si>
  <si>
    <t>O'Sullivan 2-Door Barrister Bookcase in Odessa Pine</t>
  </si>
  <si>
    <t>Speck Products Candyshell Flip Case</t>
  </si>
  <si>
    <t>Cisco 9971 IP Video Phone Charcoal</t>
  </si>
  <si>
    <t>CA-2015-104514</t>
  </si>
  <si>
    <t>SAFCO Mobile Desk Side File, Wire Frame</t>
  </si>
  <si>
    <t>Newell 313</t>
  </si>
  <si>
    <t>Xerox 1959</t>
  </si>
  <si>
    <t>CA-2015-110457</t>
  </si>
  <si>
    <t>CA-2015-105970</t>
  </si>
  <si>
    <t>Brown Kraft Recycled Envelopes</t>
  </si>
  <si>
    <t>US-2015-122140</t>
  </si>
  <si>
    <t>APC 7 Outlet Network SurgeArrest Surge Protector</t>
  </si>
  <si>
    <t>Anker Ultra-Slim Mini Bluetooth 3.0 Wireless Keyboard</t>
  </si>
  <si>
    <t>CA-2015-136378</t>
  </si>
  <si>
    <t>Aluminum Screw Posts</t>
  </si>
  <si>
    <t>US-2015-159513</t>
  </si>
  <si>
    <t>Vtech AT&amp;T CL2940 Corded Speakerphone, Black</t>
  </si>
  <si>
    <t>US-2015-142811</t>
  </si>
  <si>
    <t>CA-2015-116687</t>
  </si>
  <si>
    <t>CA-2015-120397</t>
  </si>
  <si>
    <t>CA-2015-157322</t>
  </si>
  <si>
    <t>Hon 4070 Series Pagoda Armless Upholstered Stacking Chairs</t>
  </si>
  <si>
    <t>Global Wood Trimmed Manager's Task Chair, Khaki</t>
  </si>
  <si>
    <t>Advantus Rolling Storage Box</t>
  </si>
  <si>
    <t>CA-2015-111703</t>
  </si>
  <si>
    <t>CA-2015-150196</t>
  </si>
  <si>
    <t>CA-2015-140718</t>
  </si>
  <si>
    <t>24-Hour Round Wall Clock</t>
  </si>
  <si>
    <t>Things To Do Today Pad</t>
  </si>
  <si>
    <t>CA-2015-147501</t>
  </si>
  <si>
    <t>Ibico Presentation Index for Binding Systems</t>
  </si>
  <si>
    <t>Okidata C331dn Printer</t>
  </si>
  <si>
    <t>CA-2015-122406</t>
  </si>
  <si>
    <t>Important Message Pads, 50 4-1/4 x 5-1/2 Forms per Pad</t>
  </si>
  <si>
    <t>Office Star Flex Back Scooter Chair with White Frame</t>
  </si>
  <si>
    <t>CA-2015-112767</t>
  </si>
  <si>
    <t>CA-2015-104493</t>
  </si>
  <si>
    <t>US-2015-137008</t>
  </si>
  <si>
    <t>Computer Printout Paper with Letter-Trim Perforations</t>
  </si>
  <si>
    <t>US-2015-119312</t>
  </si>
  <si>
    <t>Eldon ProFile File 'N Store Portable File Tub Letter/Legal Size Black</t>
  </si>
  <si>
    <t>CA-2015-125696</t>
  </si>
  <si>
    <t>Pressboard Hanging Data Binders for Unburst Sheets</t>
  </si>
  <si>
    <t>CA-2015-129917</t>
  </si>
  <si>
    <t>HTC One Mini</t>
  </si>
  <si>
    <t>US-2015-145121</t>
  </si>
  <si>
    <t>CA-2015-140375</t>
  </si>
  <si>
    <t>Xerox 202</t>
  </si>
  <si>
    <t>GBC Plastic Binding Combs</t>
  </si>
  <si>
    <t>CA-2015-128356</t>
  </si>
  <si>
    <t>US-2015-144771</t>
  </si>
  <si>
    <t>CA-2015-130890</t>
  </si>
  <si>
    <t>Bevis Round Bullnose 29" High Table Top</t>
  </si>
  <si>
    <t>CA-2015-125416</t>
  </si>
  <si>
    <t>Logitech K350 2.4Ghz Wireless Keyboard</t>
  </si>
  <si>
    <t>CA-2015-100657</t>
  </si>
  <si>
    <t>Global Armless Task Chair, Royal Blue</t>
  </si>
  <si>
    <t>CA-2015-168207</t>
  </si>
  <si>
    <t>Contemporary Wood/Metal Frame</t>
  </si>
  <si>
    <t>GBC Premium Transparent Covers with Diagonal Lined Pattern</t>
  </si>
  <si>
    <t>O'Sullivan Living Dimensions 3-Shelf Bookcases</t>
  </si>
  <si>
    <t>CA-2015-160227</t>
  </si>
  <si>
    <t>Hon Olson Stacker Chairs</t>
  </si>
  <si>
    <t>CA-2015-141810</t>
  </si>
  <si>
    <t>Aastra 6757i CT Wireless VoIP phone</t>
  </si>
  <si>
    <t>CA-2015-138625</t>
  </si>
  <si>
    <t>Eureka Hand Vacuum, Bagless</t>
  </si>
  <si>
    <t>CA-2015-121097</t>
  </si>
  <si>
    <t>CA-2015-141243</t>
  </si>
  <si>
    <t>Enermax Acrylux Wireless Keyboard</t>
  </si>
  <si>
    <t>Newell 317</t>
  </si>
  <si>
    <t>CA-2015-140921</t>
  </si>
  <si>
    <t>Coloredge Poster Frame</t>
  </si>
  <si>
    <t xml:space="preserve">Kensington SlimBlade Notebook Wireless Mouse with Nano Receiver </t>
  </si>
  <si>
    <t>CA-2015-157959</t>
  </si>
  <si>
    <t>Hand-Finished Solid Wood Document Frame</t>
  </si>
  <si>
    <t>CA-2015-132633</t>
  </si>
  <si>
    <t>Wilson Jones Standard D-Ring Binders</t>
  </si>
  <si>
    <t>CA-2015-103093</t>
  </si>
  <si>
    <t>CA-2015-127327</t>
  </si>
  <si>
    <t>Global Fabric Manager's Chair, Dark Gray</t>
  </si>
  <si>
    <t>CA-2015-107937</t>
  </si>
  <si>
    <t>CA-2015-112130</t>
  </si>
  <si>
    <t>Sanford Prismacolor Professional Thick Lead Art Pencils, 36-Color Set</t>
  </si>
  <si>
    <t>Holmes Replacement Filter for HEPA Air Cleaner, Large Room</t>
  </si>
  <si>
    <t>Xerox 1897</t>
  </si>
  <si>
    <t>Global Leather Highback Executive Chair with Pneumatic Height Adjustment, Black</t>
  </si>
  <si>
    <t>CA-2015-150770</t>
  </si>
  <si>
    <t>Ibico Recycled Linen-Style Covers</t>
  </si>
  <si>
    <t>GBC Linen Binding Covers</t>
  </si>
  <si>
    <t>CA-2015-160864</t>
  </si>
  <si>
    <t>Avery Binding System Hidden Tab Executive Style Index Sets</t>
  </si>
  <si>
    <t>CA-2015-128139</t>
  </si>
  <si>
    <t>Novimex High-Tech Fabric Mesh Task Chair</t>
  </si>
  <si>
    <t>US-2015-153500</t>
  </si>
  <si>
    <t>Eldon Antistatic Chair Mats for Low to Medium Pile Carpets</t>
  </si>
  <si>
    <t>Howard Miller 12" Round Wall Clock</t>
  </si>
  <si>
    <t>CA-2015-149734</t>
  </si>
  <si>
    <t>Jet-Pak Recycled Peel 'N' Seal Padded Mailers</t>
  </si>
  <si>
    <t>US-2015-138303</t>
  </si>
  <si>
    <t>Eldon Gobal File Keepers</t>
  </si>
  <si>
    <t>White Business Envelopes with Contemporary Seam, Recycled White Business Envelopes</t>
  </si>
  <si>
    <t>CA-2015-130204</t>
  </si>
  <si>
    <t>Sterilite Officeware Hinged File Box</t>
  </si>
  <si>
    <t>TRENDnet 56K USB 2.0 Phone, Internet and Fax Modem</t>
  </si>
  <si>
    <t>CA-2015-121608</t>
  </si>
  <si>
    <t>Holmes Replacement Filter for HEPA Air Cleaner, Very Large Room, HEPA Filter</t>
  </si>
  <si>
    <t>US-2015-104185</t>
  </si>
  <si>
    <t xml:space="preserve">Iceberg Mobile Mega Data/Printer Cart </t>
  </si>
  <si>
    <t>US-2015-146745</t>
  </si>
  <si>
    <t>Office Star - Ergonomically Designed Knee Chair</t>
  </si>
  <si>
    <t>Avery Durable Slant Ring Binders, No Labels</t>
  </si>
  <si>
    <t>CA-2015-113215</t>
  </si>
  <si>
    <t>GE 48" Fluorescent Tube, Cool White Energy Saver, 34 Watts, 30/Box</t>
  </si>
  <si>
    <t>CA-2015-169537</t>
  </si>
  <si>
    <t>Smead Alpha-Z Color-Coded Name Labels First Letter Starter Set</t>
  </si>
  <si>
    <t>US-2015-157014</t>
  </si>
  <si>
    <t>Imation 8gb Micro Traveldrive Usb 2.0 Flash Drive</t>
  </si>
  <si>
    <t>Safco Value Mate Series Steel Bookcases, Baked Enamel Finish on Steel, Gray</t>
  </si>
  <si>
    <t>Microsoft Natural Ergonomic Keyboard 4000</t>
  </si>
  <si>
    <t>CA-2015-125178</t>
  </si>
  <si>
    <t>CA-2015-126137</t>
  </si>
  <si>
    <t>CA-2015-140410</t>
  </si>
  <si>
    <t>Cisco IP Phone 7961G-GE VoIP phone</t>
  </si>
  <si>
    <t>Logitech Trackman Marble Mouse</t>
  </si>
  <si>
    <t>CA-2015-121041</t>
  </si>
  <si>
    <t>#10 Gummed Flap White Envelopes, 100/Box</t>
  </si>
  <si>
    <t>CA-2015-162047</t>
  </si>
  <si>
    <t>Office Star - Mid Back Dual function Ergonomic High Back Chair with 2-Way Adjustable Arms</t>
  </si>
  <si>
    <t>CA-2015-122756</t>
  </si>
  <si>
    <t>Lexmark MarkNet N8150 Wireless Print Server</t>
  </si>
  <si>
    <t>CA-2015-147851</t>
  </si>
  <si>
    <t>Cardinal Poly Pocket Divider Pockets for Ring Binders</t>
  </si>
  <si>
    <t>CA-2015-110093</t>
  </si>
  <si>
    <t>Verbatim 25 GB 6x Blu-ray Single Layer Recordable Disc, 25/Pack</t>
  </si>
  <si>
    <t>CA-2015-142475</t>
  </si>
  <si>
    <t>GBC Therma-A-Bind 250T Electric Binding System</t>
  </si>
  <si>
    <t>US-2015-145422</t>
  </si>
  <si>
    <t>Sauder Forest Hills Library, Woodland Oak Finish</t>
  </si>
  <si>
    <t>CA-2015-123092</t>
  </si>
  <si>
    <t>GBC DocuBind P50 Personal Binding Machine</t>
  </si>
  <si>
    <t>Panasonic KX-TG6844B Expandable Digital Cordless Telephone</t>
  </si>
  <si>
    <t>CA-2015-156853</t>
  </si>
  <si>
    <t>Xerox 1935</t>
  </si>
  <si>
    <t>CA-2015-149811</t>
  </si>
  <si>
    <t>CA-2015-104241</t>
  </si>
  <si>
    <t>CA-2015-110667</t>
  </si>
  <si>
    <t>Eldon Advantage Foldable Chair Mats for Low Pile Carpets</t>
  </si>
  <si>
    <t>GBC Prestige Therm-A-Bind Covers</t>
  </si>
  <si>
    <t>Avery Round Ring Poly Binders</t>
  </si>
  <si>
    <t>CA-2015-112452</t>
  </si>
  <si>
    <t>Hoover Shoulder Vac Commercial Portable Vacuum</t>
  </si>
  <si>
    <t>Acco Expandable Hanging Binders</t>
  </si>
  <si>
    <t>CA-2015-144253</t>
  </si>
  <si>
    <t>Electrix 20W Halogen Replacement Bulb for Zoom-In Desk Lamp</t>
  </si>
  <si>
    <t>CA-2015-129700</t>
  </si>
  <si>
    <t>Staple-based wall hangings</t>
  </si>
  <si>
    <t>CA-2015-110548</t>
  </si>
  <si>
    <t>ShoreTel ShorePhone IP 230 VoIP phone</t>
  </si>
  <si>
    <t>CA-2015-146290</t>
  </si>
  <si>
    <t>CA-2015-164833</t>
  </si>
  <si>
    <t>US-2015-142020</t>
  </si>
  <si>
    <t>Wirebound Message Books, Two 4 1/4" x 5" Forms per Page</t>
  </si>
  <si>
    <t>Executive Impressions 10" Spectator Wall Clock</t>
  </si>
  <si>
    <t>CA-2015-158491</t>
  </si>
  <si>
    <t>Logitech Z-906 Speaker sys - home theater - 5.1-CH</t>
  </si>
  <si>
    <t>CA-2015-154956</t>
  </si>
  <si>
    <t>Mitel MiVoice 5330e IP Phone</t>
  </si>
  <si>
    <t>CA-2015-124268</t>
  </si>
  <si>
    <t>Colorific Watercolor Pencils</t>
  </si>
  <si>
    <t>CA-2015-152513</t>
  </si>
  <si>
    <t>Avery Premier Heavy-Duty Binder with Round Locking Rings</t>
  </si>
  <si>
    <t>CA-2015-142755</t>
  </si>
  <si>
    <t>Xerox 1908</t>
  </si>
  <si>
    <t>Logitech G19 Programmable Gaming Keyboard</t>
  </si>
  <si>
    <t>CA-2015-101924</t>
  </si>
  <si>
    <t>CA-2015-159863</t>
  </si>
  <si>
    <t>CA-2015-113523</t>
  </si>
  <si>
    <t>CA-2015-168004</t>
  </si>
  <si>
    <t>Office Star - Mesh Screen back chair with Vinyl seat</t>
  </si>
  <si>
    <t>CA-2015-121391</t>
  </si>
  <si>
    <t>Tenex Personal Project File with Scoop Front Design, Black</t>
  </si>
  <si>
    <t>CA-2015-134859</t>
  </si>
  <si>
    <t>DataProducts Ampli Magnifier Task Lamp, Black,</t>
  </si>
  <si>
    <t>Xerox 1946</t>
  </si>
  <si>
    <t>CA-2015-110247</t>
  </si>
  <si>
    <t>SpineVue Locking Slant-D Ring Binders by Cardinal</t>
  </si>
  <si>
    <t>CA-2015-161718</t>
  </si>
  <si>
    <t>DAX Two-Tone Rosewood/Black Document Frame, Desktop, 5 x 7</t>
  </si>
  <si>
    <t>CA-2015-130659</t>
  </si>
  <si>
    <t>Wausau Papers Astrobrights Colored Envelopes</t>
  </si>
  <si>
    <t>CA-2015-142377</t>
  </si>
  <si>
    <t>CA-2015-155600</t>
  </si>
  <si>
    <t>GBC Ibimaster 500 Manual ProClick Binding System</t>
  </si>
  <si>
    <t>CA-2015-118871</t>
  </si>
  <si>
    <t>Tyvek Side-Opening Peel &amp; Seel Expanding Envelopes</t>
  </si>
  <si>
    <t>Jensen SMPS-640 - speaker phone</t>
  </si>
  <si>
    <t>CA-2015-119508</t>
  </si>
  <si>
    <t>Avery Hi-Liter Fluorescent Desk Style Markers</t>
  </si>
  <si>
    <t>CA-2015-154970</t>
  </si>
  <si>
    <t>CA-2015-108588</t>
  </si>
  <si>
    <t>Newell 34</t>
  </si>
  <si>
    <t>CA-2015-158701</t>
  </si>
  <si>
    <t>CA-2015-109512</t>
  </si>
  <si>
    <t>Fellowes Strictly Business Drawer File, Letter/Legal Size</t>
  </si>
  <si>
    <t>CA-2015-153108</t>
  </si>
  <si>
    <t>CA-2015-109001</t>
  </si>
  <si>
    <t>Samsung Convoy 3</t>
  </si>
  <si>
    <t>CA-2015-125185</t>
  </si>
  <si>
    <t>36X48 HARDFLOOR CHAIRMAT</t>
  </si>
  <si>
    <t>CA-2015-120320</t>
  </si>
  <si>
    <t>Cisco SPA525G2 IP Phone - Wireless</t>
  </si>
  <si>
    <t>CA-2015-151785</t>
  </si>
  <si>
    <t>CA-2015-140221</t>
  </si>
  <si>
    <t>Avanti 4.4 Cu. Ft. Refrigerator</t>
  </si>
  <si>
    <t>US-2015-136476</t>
  </si>
  <si>
    <t>CA-2015-167010</t>
  </si>
  <si>
    <t>Cardinal Slant-D Ring Binders</t>
  </si>
  <si>
    <t>DAX Charcoal/Nickel-Tone Document Frame, 5 x 7</t>
  </si>
  <si>
    <t>CA-2015-119942</t>
  </si>
  <si>
    <t>CA-2015-161452</t>
  </si>
  <si>
    <t>CA-2015-102855</t>
  </si>
  <si>
    <t>Dixon Ticonderoga Pencils</t>
  </si>
  <si>
    <t>CA-2015-166947</t>
  </si>
  <si>
    <t>CA-2015-115168</t>
  </si>
  <si>
    <t>Xerox 1981</t>
  </si>
  <si>
    <t>CA-2015-116750</t>
  </si>
  <si>
    <t>Stackable Trays</t>
  </si>
  <si>
    <t>CA-2015-130610</t>
  </si>
  <si>
    <t>Durable Pressboard Binders</t>
  </si>
  <si>
    <t>CA-2015-164336</t>
  </si>
  <si>
    <t>HP Standard 104 key PS/2 Keyboard</t>
  </si>
  <si>
    <t>US-2015-158911</t>
  </si>
  <si>
    <t>CA-2015-112214</t>
  </si>
  <si>
    <t>Eldon Expressions Wood Desk Accessories, Oak</t>
  </si>
  <si>
    <t>CA-2015-130785</t>
  </si>
  <si>
    <t>Sauder Camden County Barrister Bookcase, Planked Cherry Finish</t>
  </si>
  <si>
    <t>DXL Angle-View Binders with Locking Rings, Black</t>
  </si>
  <si>
    <t>Sauder Camden County Collection Libraries, Planked Cherry Finish</t>
  </si>
  <si>
    <t>CA-2015-162621</t>
  </si>
  <si>
    <t>CA-2015-105158</t>
  </si>
  <si>
    <t>CA-2015-135510</t>
  </si>
  <si>
    <t>Tensor Brushed Steel Torchiere Floor Lamp</t>
  </si>
  <si>
    <t>CA-2015-115091</t>
  </si>
  <si>
    <t>CA-2015-161214</t>
  </si>
  <si>
    <t>CA-2015-145828</t>
  </si>
  <si>
    <t>CA-2015-133445</t>
  </si>
  <si>
    <t>Bush Cubix Collection Bookcases, Fully Assembled</t>
  </si>
  <si>
    <t>CA-2015-151722</t>
  </si>
  <si>
    <t>CA-2015-131422</t>
  </si>
  <si>
    <t>CA-2015-118444</t>
  </si>
  <si>
    <t>Belkin 325VA UPS Surge Protector, 6'</t>
  </si>
  <si>
    <t>CA-2015-144386</t>
  </si>
  <si>
    <t>Wilson Jones 1" Hanging DublLock Ring Binders</t>
  </si>
  <si>
    <t>CA-2015-103961</t>
  </si>
  <si>
    <t>Avery 476</t>
  </si>
  <si>
    <t>CA-2015-145485</t>
  </si>
  <si>
    <t>Hanging Personal Folder File</t>
  </si>
  <si>
    <t>CA-2015-131072</t>
  </si>
  <si>
    <t>US-2015-136259</t>
  </si>
  <si>
    <t>Insertable Tab Post Binder Dividers</t>
  </si>
  <si>
    <t>Acme Titanium Bonded Scissors</t>
  </si>
  <si>
    <t>CA-2015-156440</t>
  </si>
  <si>
    <t>Executive Impressions 14" Contract Wall Clock</t>
  </si>
  <si>
    <t>CA-2015-101091</t>
  </si>
  <si>
    <t>GBC White Gloss Covers, Plain Front</t>
  </si>
  <si>
    <t>CA-2015-134943</t>
  </si>
  <si>
    <t>CA-2015-142937</t>
  </si>
  <si>
    <t>CA-2015-110814</t>
  </si>
  <si>
    <t>Xerox 188</t>
  </si>
  <si>
    <t>CA-2015-149566</t>
  </si>
  <si>
    <t>Avery 488</t>
  </si>
  <si>
    <t>US-2015-131842</t>
  </si>
  <si>
    <t>CA-2015-117898</t>
  </si>
  <si>
    <t>CA-2015-149636</t>
  </si>
  <si>
    <t>It's Hot Message Books with Stickers, 2 3/4" x 5"</t>
  </si>
  <si>
    <t>CA-2015-111507</t>
  </si>
  <si>
    <t>Newell 310</t>
  </si>
  <si>
    <t>CA-2015-156482</t>
  </si>
  <si>
    <t>Hon Metal Bookcases, Putty</t>
  </si>
  <si>
    <t>SANFORD Liquid Accent Tank-Style Highlighters</t>
  </si>
  <si>
    <t>CA-2015-137064</t>
  </si>
  <si>
    <t>UniKeep View Case Binders</t>
  </si>
  <si>
    <t>Memorex Mini Travel Drive 8 GB USB 2.0 Flash Drive</t>
  </si>
  <si>
    <t>CA-2015-104038</t>
  </si>
  <si>
    <t>Xerox 1920</t>
  </si>
  <si>
    <t>CA-2015-142944</t>
  </si>
  <si>
    <t>Canon PC1060 Personal Laser Copier</t>
  </si>
  <si>
    <t>CA-2015-124541</t>
  </si>
  <si>
    <t>CA-2015-100888</t>
  </si>
  <si>
    <t>CA-2015-108665</t>
  </si>
  <si>
    <t>OtterBox Commuter Series Case - Samsung Galaxy S4</t>
  </si>
  <si>
    <t>CA-2015-146087</t>
  </si>
  <si>
    <t>Bush Mission Pointe Library</t>
  </si>
  <si>
    <t>CA-2015-161627</t>
  </si>
  <si>
    <t>Novimex Turbo Task Chair</t>
  </si>
  <si>
    <t>CA-2015-116260</t>
  </si>
  <si>
    <t>Newell 333</t>
  </si>
  <si>
    <t>CA-2015-160794</t>
  </si>
  <si>
    <t>CA-2015-135251</t>
  </si>
  <si>
    <t>Xerox 1906</t>
  </si>
  <si>
    <t>O'Sullivan Manor Hill 2-Door Library in Brianna Oak</t>
  </si>
  <si>
    <t>CA-2015-138002</t>
  </si>
  <si>
    <t>Acco Hanging Data Binders</t>
  </si>
  <si>
    <t>Howard Miller 16" Diameter Gallery Wall Clock</t>
  </si>
  <si>
    <t>CA-2015-143238</t>
  </si>
  <si>
    <t>CA-2015-150791</t>
  </si>
  <si>
    <t>CA-2015-160696</t>
  </si>
  <si>
    <t>Assorted Color Push Pins</t>
  </si>
  <si>
    <t>CA-2015-133977</t>
  </si>
  <si>
    <t>GBC Plasticlear Binding Covers</t>
  </si>
  <si>
    <t>US-2015-109015</t>
  </si>
  <si>
    <t>CA-2015-169572</t>
  </si>
  <si>
    <t>SlimView Poly Binder, 3/8"</t>
  </si>
  <si>
    <t>US-2015-151435</t>
  </si>
  <si>
    <t>CA-2015-105312</t>
  </si>
  <si>
    <t>Redi-Strip #10 Envelopes, 4 1/8 x 9 1/2</t>
  </si>
  <si>
    <t>CA-2015-143490</t>
  </si>
  <si>
    <t>US-2015-149692</t>
  </si>
  <si>
    <t>Avery Reinforcements for Hole-Punch Pages</t>
  </si>
  <si>
    <t>CA-2015-144806</t>
  </si>
  <si>
    <t>Xerox 1970</t>
  </si>
  <si>
    <t>Xerox 1960</t>
  </si>
  <si>
    <t>Belkin 19" Vented Equipment Shelf, Black</t>
  </si>
  <si>
    <t>CA-2015-131884</t>
  </si>
  <si>
    <t>Polycom SoundStation2 EX Conference phone</t>
  </si>
  <si>
    <t>Global Low Back Tilter Chair</t>
  </si>
  <si>
    <t>CA-2015-148628</t>
  </si>
  <si>
    <t>Message Book, Phone, Wirebound Standard Line Memo, 2 3/4" X 5"</t>
  </si>
  <si>
    <t>US-2015-127040</t>
  </si>
  <si>
    <t>Xerox 1903</t>
  </si>
  <si>
    <t>Logitech VX Revolution Cordless Laser Mouse for Notebooks (Black)</t>
  </si>
  <si>
    <t>CA-2015-156104</t>
  </si>
  <si>
    <t>Hewlett Packard 610 Color Digital Copier / Printer</t>
  </si>
  <si>
    <t>US-2015-114741</t>
  </si>
  <si>
    <t>Xerox 20</t>
  </si>
  <si>
    <t>CA-2015-168634</t>
  </si>
  <si>
    <t>CA-2015-153752</t>
  </si>
  <si>
    <t>CA-2015-166338</t>
  </si>
  <si>
    <t>CA-2015-136700</t>
  </si>
  <si>
    <t>Spiral Phone Message Books with Labels by Adams</t>
  </si>
  <si>
    <t>CA-2015-147529</t>
  </si>
  <si>
    <t>CA-2015-146255</t>
  </si>
  <si>
    <t>Microsoft Sculpt Comfort Mouse</t>
  </si>
  <si>
    <t>LG G3</t>
  </si>
  <si>
    <t>CA-2015-140025</t>
  </si>
  <si>
    <t>Hoover Upright Vacuum With Dirt Cup</t>
  </si>
  <si>
    <t>Razer Kraken PRO Over Ear PC and Music Headset</t>
  </si>
  <si>
    <t>CA-2015-130554</t>
  </si>
  <si>
    <t>Newell 331</t>
  </si>
  <si>
    <t>CA-2015-166492</t>
  </si>
  <si>
    <t>Xerox 192</t>
  </si>
  <si>
    <t>CA-2015-137512</t>
  </si>
  <si>
    <t>Chromcraft Round Conference Tables</t>
  </si>
  <si>
    <t>CA-2015-147879</t>
  </si>
  <si>
    <t>Xerox 1902</t>
  </si>
  <si>
    <t>CA-2015-142041</t>
  </si>
  <si>
    <t>3-ring staple pack</t>
  </si>
  <si>
    <t>CA-2015-157343</t>
  </si>
  <si>
    <t>CA-2015-163895</t>
  </si>
  <si>
    <t>CA-2015-141936</t>
  </si>
  <si>
    <t>Cardinal Hold-It CD Pocket</t>
  </si>
  <si>
    <t>US-2015-124219</t>
  </si>
  <si>
    <t>Wilson Jones Hanging View Binder, White, 1"</t>
  </si>
  <si>
    <t>Tenex V2T-RE Standard Weight Series Chair Mat, 45" x 53", Lip 25" x 12"</t>
  </si>
  <si>
    <t>CA-2015-138331</t>
  </si>
  <si>
    <t>US-2015-117492</t>
  </si>
  <si>
    <t>Acco Six-Outlet Power Strip, 4' Cord Length</t>
  </si>
  <si>
    <t>CA-2015-163237</t>
  </si>
  <si>
    <t>Ativa D5772 2-Line 5.8GHz Digital Expandable Corded/Cordless Phone System with Answering &amp; Caller ID/Call Waiting, Black/Silver</t>
  </si>
  <si>
    <t>Avery 50</t>
  </si>
  <si>
    <t>CA-2015-110744</t>
  </si>
  <si>
    <t>Safco Industrial Wire Shelving</t>
  </si>
  <si>
    <t>CA-2015-122623</t>
  </si>
  <si>
    <t>Metal Folding Chairs, Beige, 4/Carton</t>
  </si>
  <si>
    <t>CA-2015-105599</t>
  </si>
  <si>
    <t>Anderson Hickey Conga Table Tops &amp; Accessories</t>
  </si>
  <si>
    <t>CA-2015-102876</t>
  </si>
  <si>
    <t>GBC Wire Binding Strips</t>
  </si>
  <si>
    <t>Angle-D Ring Binders</t>
  </si>
  <si>
    <t>CA-2015-161445</t>
  </si>
  <si>
    <t>CA-2015-140557</t>
  </si>
  <si>
    <t>CA-2015-164084</t>
  </si>
  <si>
    <t>Mobile Personal File Cube</t>
  </si>
  <si>
    <t>KeyTronic E03601U1 - Keyboard - Beige</t>
  </si>
  <si>
    <t>Acco Pressboard Covers with Storage Hooks, 9 1/2" x 11", Executive Red</t>
  </si>
  <si>
    <t>Bretford CR8500 Series Meeting Room Furniture</t>
  </si>
  <si>
    <t>CA-2015-102848</t>
  </si>
  <si>
    <t>Safco Contoured Stacking Chairs</t>
  </si>
  <si>
    <t>CA-2015-148432</t>
  </si>
  <si>
    <t>Rubber Band Ball</t>
  </si>
  <si>
    <t>Loose Memo Sheets</t>
  </si>
  <si>
    <t>CA-2015-134922</t>
  </si>
  <si>
    <t>White Envelopes, White Envelopes with Clear Poly Window</t>
  </si>
  <si>
    <t>CA-2015-162887</t>
  </si>
  <si>
    <t>CA-2015-105571</t>
  </si>
  <si>
    <t>Avery Hanging File Binders</t>
  </si>
  <si>
    <t>CA-2015-126669</t>
  </si>
  <si>
    <t>Xerox 1886</t>
  </si>
  <si>
    <t>CA-2015-163181</t>
  </si>
  <si>
    <t>Gould Plastics 9-Pocket Panel Bin, 18-3/8w x 5-1/4d x 20-1/2h, Black</t>
  </si>
  <si>
    <t>Tenex Chairmats For Use with Hard Floors</t>
  </si>
  <si>
    <t>Fellowes Recycled Storage Drawers</t>
  </si>
  <si>
    <t>Canon PC170 Desktop Personal Copier</t>
  </si>
  <si>
    <t>CA-2015-134894</t>
  </si>
  <si>
    <t>CA-2015-130736</t>
  </si>
  <si>
    <t>Alliance Big Bands Rubber Bands, 12/Pack</t>
  </si>
  <si>
    <t>CA-2015-135272</t>
  </si>
  <si>
    <t>CA-2015-165050</t>
  </si>
  <si>
    <t>Pressboard Data Binders by Wilson Jones</t>
  </si>
  <si>
    <t>Avery Durable Slant Ring Binders With Label Holder</t>
  </si>
  <si>
    <t>Digium D40 VoIP phone</t>
  </si>
  <si>
    <t>US-2015-120957</t>
  </si>
  <si>
    <t>Xerox 218</t>
  </si>
  <si>
    <t>CA-2015-114923</t>
  </si>
  <si>
    <t>US-2015-130491</t>
  </si>
  <si>
    <t>Wirebound Message Books, Four 2 3/4 x 5 Forms per Page, 200 Sets per Book</t>
  </si>
  <si>
    <t>Advantus Push Pins, Aluminum Head</t>
  </si>
  <si>
    <t>Sanford Colorific Colored Pencils, 12/Box</t>
  </si>
  <si>
    <t>CA-2015-105627</t>
  </si>
  <si>
    <t>Rush Hierlooms Collection 1" Thick Stackable Bookcases</t>
  </si>
  <si>
    <t>Hon Mobius Operator's Chair</t>
  </si>
  <si>
    <t>Nortel Meridian M3904 Professional Digital phone</t>
  </si>
  <si>
    <t>Boston 1900 Electric Pencil Sharpener</t>
  </si>
  <si>
    <t>CA-2015-160213</t>
  </si>
  <si>
    <t>Xerox 1997</t>
  </si>
  <si>
    <t>CA-2015-107741</t>
  </si>
  <si>
    <t>CA-2015-132136</t>
  </si>
  <si>
    <t>CA-2015-113971</t>
  </si>
  <si>
    <t>CA-2015-109939</t>
  </si>
  <si>
    <t>CA-2015-136798</t>
  </si>
  <si>
    <t>VTech DS6151</t>
  </si>
  <si>
    <t>CA-2015-142055</t>
  </si>
  <si>
    <t>US-2015-160857</t>
  </si>
  <si>
    <t>Xerox 204</t>
  </si>
  <si>
    <t>CA-2015-164007</t>
  </si>
  <si>
    <t>Maxell 4.7GB DVD+R 5/Pack</t>
  </si>
  <si>
    <t>CA-2015-162201</t>
  </si>
  <si>
    <t>Xerox 1951</t>
  </si>
  <si>
    <t>Fellowes Super Stor/Drawer Files</t>
  </si>
  <si>
    <t>Advantus Employee of the Month Certificate Frame, 11 x 13-1/2</t>
  </si>
  <si>
    <t>Newell 344</t>
  </si>
  <si>
    <t>Xerox 1963</t>
  </si>
  <si>
    <t>CA-2015-129392</t>
  </si>
  <si>
    <t>CA-2015-168564</t>
  </si>
  <si>
    <t>Global Ergonomic Managers Chair</t>
  </si>
  <si>
    <t>CA-2015-129322</t>
  </si>
  <si>
    <t>Boston 1827 Commercial Additional Cutter, Drive Gear &amp; Gear Rack for 1606</t>
  </si>
  <si>
    <t>Conquest 14 Commercial Heavy-Duty Upright Vacuum, Collection System, Accessory Kit</t>
  </si>
  <si>
    <t>CA-2015-127544</t>
  </si>
  <si>
    <t>CA-2015-162166</t>
  </si>
  <si>
    <t>CA-2015-151624</t>
  </si>
  <si>
    <t>Acrylic Self-Standing Desk Frames</t>
  </si>
  <si>
    <t>CA-2015-168529</t>
  </si>
  <si>
    <t>CA-2015-125710</t>
  </si>
  <si>
    <t>Binney &amp; Smith inkTank Desk Highlighter, Chisel Tip, Yellow, 12/Box</t>
  </si>
  <si>
    <t>CA-2015-131352</t>
  </si>
  <si>
    <t>Tenex Traditional Chairmats for Medium Pile Carpet, Standard Lip, 36" x 48"</t>
  </si>
  <si>
    <t>CA-2015-105634</t>
  </si>
  <si>
    <t>American Pencil</t>
  </si>
  <si>
    <t>CA-2015-117611</t>
  </si>
  <si>
    <t>CA-2015-123568</t>
  </si>
  <si>
    <t>Alliance Rubber Bands</t>
  </si>
  <si>
    <t>Xerox 1988</t>
  </si>
  <si>
    <t>CA-2015-164441</t>
  </si>
  <si>
    <t>CA-2015-111990</t>
  </si>
  <si>
    <t>CA-2015-154886</t>
  </si>
  <si>
    <t>Microsoft Arc Touch Mouse</t>
  </si>
  <si>
    <t>CA-2015-109386</t>
  </si>
  <si>
    <t>Newell 314</t>
  </si>
  <si>
    <t>US-2015-151407</t>
  </si>
  <si>
    <t>CA-2015-114811</t>
  </si>
  <si>
    <t>Fellowes Desktop Hanging File Manager</t>
  </si>
  <si>
    <t>Nu-Dell EZ-Mount Plastic Wall Frames</t>
  </si>
  <si>
    <t>Zebra ZM400 Thermal Label Printer</t>
  </si>
  <si>
    <t>CA-2015-108259</t>
  </si>
  <si>
    <t>OIC Binder Clips</t>
  </si>
  <si>
    <t>Permanent Self-Adhesive File Folder Labels for Typewriters, 1 1/8 x 3 1/2, White</t>
  </si>
  <si>
    <t>CA-2015-117086</t>
  </si>
  <si>
    <t>Riverside Palais Royal Lawyers Bookcase, Royale Cherry Finish</t>
  </si>
  <si>
    <t>CA-2015-135622</t>
  </si>
  <si>
    <t>CA-2015-103205</t>
  </si>
  <si>
    <t>Nokia Lumia 521 (T-Mobile)</t>
  </si>
  <si>
    <t>CA-2015-129532</t>
  </si>
  <si>
    <t>WD My Passport Ultra 500GB Portable External Hard Drive</t>
  </si>
  <si>
    <t>CA-2015-156118</t>
  </si>
  <si>
    <t>CA-2015-119480</t>
  </si>
  <si>
    <t>Belkin 5 Outlet SurgeMaster Power Centers</t>
  </si>
  <si>
    <t>Boston 1730 StandUp Electric Pencil Sharpener</t>
  </si>
  <si>
    <t>Speediset Carbonless Redi-Letter 7" x 8 1/2"</t>
  </si>
  <si>
    <t>CA-2015-101007</t>
  </si>
  <si>
    <t>CA-2015-135391</t>
  </si>
  <si>
    <t>CA-2015-146038</t>
  </si>
  <si>
    <t>US-2015-153374</t>
  </si>
  <si>
    <t>CA-2015-123155</t>
  </si>
  <si>
    <t>CA-2015-110345</t>
  </si>
  <si>
    <t>CA-2015-142027</t>
  </si>
  <si>
    <t>Laminate Occasional Tables</t>
  </si>
  <si>
    <t>CA-2015-116512</t>
  </si>
  <si>
    <t>CA-2015-101000</t>
  </si>
  <si>
    <t>Honeywell Enviracaire Portable HEPA Air Cleaner for up to 10 x 16 Room</t>
  </si>
  <si>
    <t>CA-2015-155635</t>
  </si>
  <si>
    <t>CA-2015-110947</t>
  </si>
  <si>
    <t>CA-2015-144190</t>
  </si>
  <si>
    <t>CA-2015-141012</t>
  </si>
  <si>
    <t>Dexim XPower Skin Super-Thin Power Case for iPhone 5 - Black</t>
  </si>
  <si>
    <t>CA-2015-101868</t>
  </si>
  <si>
    <t>Wilson Jones Elliptical Ring 3 1/2" Capacity Binders, 800 sheets</t>
  </si>
  <si>
    <t>Logitech Keyboard K120</t>
  </si>
  <si>
    <t>CA-2015-111094</t>
  </si>
  <si>
    <t>Tops Wirebound Message Log Books</t>
  </si>
  <si>
    <t>CA-2015-153626</t>
  </si>
  <si>
    <t>CA-2015-132626</t>
  </si>
  <si>
    <t>Advantus Map Pennant Flags and Round Head Tacks</t>
  </si>
  <si>
    <t>Fellowes Powershred HS-440 4-Sheet High Security Shredder</t>
  </si>
  <si>
    <t>Eldon ClusterMat Chair Mat with Cordless Antistatic Protection</t>
  </si>
  <si>
    <t>Avery 05222 Permanent Self-Adhesive File Folder Labels for Typewriters, on Rolls, White, 250/Roll</t>
  </si>
  <si>
    <t>GBC Recycled VeloBinder Covers</t>
  </si>
  <si>
    <t>Wilson Jones Active Use Binders</t>
  </si>
  <si>
    <t>Project Tote Personal File</t>
  </si>
  <si>
    <t>CA-2015-135314</t>
  </si>
  <si>
    <t>Panasonic KX-TG9541B DECT 6.0 Digital 2-Line Expandable Cordless Phone With Digital Answering System</t>
  </si>
  <si>
    <t>CA-2015-123456</t>
  </si>
  <si>
    <t>Acco 7-Outlet Masterpiece Power Center, Wihtout Fax/Phone Line Protection</t>
  </si>
  <si>
    <t>CA-2015-163055</t>
  </si>
  <si>
    <t>Sanford Uni-Blazer View Highlighters, Chisel Tip, Yellow</t>
  </si>
  <si>
    <t>CA-2015-131338</t>
  </si>
  <si>
    <t>KI Conference Tables</t>
  </si>
  <si>
    <t>Artistic Insta-Plaque</t>
  </si>
  <si>
    <t>Belkin QODE FastFit Bluetooth Keyboard</t>
  </si>
  <si>
    <t>CA-2015-155453</t>
  </si>
  <si>
    <t>Avery File Folder Labels</t>
  </si>
  <si>
    <t>CA-2015-103954</t>
  </si>
  <si>
    <t>O'Sullivan Cherrywood Estates Traditional Barrister Bookcase</t>
  </si>
  <si>
    <t>CA-2015-128013</t>
  </si>
  <si>
    <t>Xerox 1885</t>
  </si>
  <si>
    <t>CA-2015-129098</t>
  </si>
  <si>
    <t>CA-2015-141040</t>
  </si>
  <si>
    <t>CA-2015-124107</t>
  </si>
  <si>
    <t>KLD Oscar II Style Snap-on Ultra Thin Side Flip Synthetic Leather Cover Case for HTC One HTC M7</t>
  </si>
  <si>
    <t>CA-2015-162761</t>
  </si>
  <si>
    <t>Clear Mylar Reinforcing Strips</t>
  </si>
  <si>
    <t>Avery Hi-Liter Smear-Safe Highlighters</t>
  </si>
  <si>
    <t>CA-2015-124499</t>
  </si>
  <si>
    <t>High-Back Leather Manager's Chair</t>
  </si>
  <si>
    <t>Belkin 8 Outlet SurgeMaster II Gold Surge Protector</t>
  </si>
  <si>
    <t>CA-2015-158554</t>
  </si>
  <si>
    <t>While You Were Out Pads, 50 per Pad, 4 x 5 1/4, Green Cycle</t>
  </si>
  <si>
    <t>CA-2015-127509</t>
  </si>
  <si>
    <t>Binder Posts</t>
  </si>
  <si>
    <t>Bevis Round Conference Table Top &amp; Single Column Base</t>
  </si>
  <si>
    <t>Xerox 1978</t>
  </si>
  <si>
    <t>CA-2015-169796</t>
  </si>
  <si>
    <t>CA-2015-146486</t>
  </si>
  <si>
    <t>Poly String Tie Envelopes</t>
  </si>
  <si>
    <t>AmazonBasics 3-Button USB Wired Mouse</t>
  </si>
  <si>
    <t>CA-2015-126466</t>
  </si>
  <si>
    <t>OIC Binder Clips, Mini, 1/4" Capacity, Black</t>
  </si>
  <si>
    <t>CA-2015-113222</t>
  </si>
  <si>
    <t>CA-2015-157035</t>
  </si>
  <si>
    <t>US-2015-157154</t>
  </si>
  <si>
    <t>Bush Advantage Collection Racetrack Conference Table</t>
  </si>
  <si>
    <t>CA-2015-101126</t>
  </si>
  <si>
    <t>CA-2015-146829</t>
  </si>
  <si>
    <t>Acco Suede Grain Vinyl Round Ring Binder</t>
  </si>
  <si>
    <t>US-2015-118906</t>
  </si>
  <si>
    <t>CA-2015-168767</t>
  </si>
  <si>
    <t>CA-2015-134201</t>
  </si>
  <si>
    <t>Steel Personal Filing/Posting Tote</t>
  </si>
  <si>
    <t>Faber Castell Col-Erase Pencils</t>
  </si>
  <si>
    <t>CA-2015-129217</t>
  </si>
  <si>
    <t>Tripp Lite Isotel 8 Ultra 8 Outlet Metal Surge</t>
  </si>
  <si>
    <t>CA-2015-144043</t>
  </si>
  <si>
    <t>CA-2015-149384</t>
  </si>
  <si>
    <t>CA-2015-107020</t>
  </si>
  <si>
    <t>CA-2015-130022</t>
  </si>
  <si>
    <t>Avery 489</t>
  </si>
  <si>
    <t>Peel-Off China Markers</t>
  </si>
  <si>
    <t>US-2015-156496</t>
  </si>
  <si>
    <t>CA-2015-121699</t>
  </si>
  <si>
    <t>GBC Binding covers</t>
  </si>
  <si>
    <t>CA-2015-132906</t>
  </si>
  <si>
    <t>CA-2015-168186</t>
  </si>
  <si>
    <t>Xerox 1952</t>
  </si>
  <si>
    <t>US-2015-147242</t>
  </si>
  <si>
    <t>CA-2015-117772</t>
  </si>
  <si>
    <t>Belkin 19" Center-Weighted Shelf, Gray</t>
  </si>
  <si>
    <t>CA-2015-136658</t>
  </si>
  <si>
    <t>Manco Dry-Lighter Erasable Highlighter</t>
  </si>
  <si>
    <t>CA-2015-108672</t>
  </si>
  <si>
    <t>Seth Thomas 13 1/2" Wall Clock</t>
  </si>
  <si>
    <t>CA-2015-139374</t>
  </si>
  <si>
    <t>Global Commerce Series Low-Back Swivel/Tilt Chairs</t>
  </si>
  <si>
    <t>CA-2015-109736</t>
  </si>
  <si>
    <t>Xerox 1894</t>
  </si>
  <si>
    <t>CA-2015-134719</t>
  </si>
  <si>
    <t>CA-2015-112522</t>
  </si>
  <si>
    <t>CA-2015-132388</t>
  </si>
  <si>
    <t>Global Leather &amp; Oak Executive Chair, Burgundy</t>
  </si>
  <si>
    <t>Avery 503</t>
  </si>
  <si>
    <t>CA-2015-155040</t>
  </si>
  <si>
    <t>CA-2015-158659</t>
  </si>
  <si>
    <t>Letter Size Cart</t>
  </si>
  <si>
    <t>CA-2015-121783</t>
  </si>
  <si>
    <t>CA-2015-147690</t>
  </si>
  <si>
    <t>CA-2015-121650</t>
  </si>
  <si>
    <t>Permanent Self-Adhesive File Folder Labels for Typewriters by Universal</t>
  </si>
  <si>
    <t>US-2015-168732</t>
  </si>
  <si>
    <t>Staples in misc. colors</t>
  </si>
  <si>
    <t>Xerox 201</t>
  </si>
  <si>
    <t>Memorex 25GB 6X Branded Blu-Ray Recordable Disc, 15/Pack</t>
  </si>
  <si>
    <t>CA-2015-143105</t>
  </si>
  <si>
    <t>Avery 486</t>
  </si>
  <si>
    <t>Adams Phone Message Book, 200 Message Capacity, 8 1/16” x 11”</t>
  </si>
  <si>
    <t>Xerox 1883</t>
  </si>
  <si>
    <t>US-2015-138093</t>
  </si>
  <si>
    <t>CA-2015-115693</t>
  </si>
  <si>
    <t>CA-2015-106208</t>
  </si>
  <si>
    <t>3M Replacement Filter for Office Air Cleaner for 20' x 33' Room</t>
  </si>
  <si>
    <t>CA-2015-127502</t>
  </si>
  <si>
    <t>CA-2015-112823</t>
  </si>
  <si>
    <t>CA-2015-111164</t>
  </si>
  <si>
    <t>OtterBox Commuter Series Case - iPhone 5 &amp; 5s</t>
  </si>
  <si>
    <t>Kensington 4 Outlet MasterPiece Compact Power Control Center</t>
  </si>
  <si>
    <t>CA-2015-125563</t>
  </si>
  <si>
    <t>Executive Impressions Supervisor Wall Clock</t>
  </si>
  <si>
    <t>Executive Impressions 14" Two-Color Numerals Wall Clock</t>
  </si>
  <si>
    <t>US-2015-136987</t>
  </si>
  <si>
    <t>Canon PC-428 Personal Copier</t>
  </si>
  <si>
    <t>CA-2015-135727</t>
  </si>
  <si>
    <t>Global Chrome Stack Chair</t>
  </si>
  <si>
    <t>US-2015-123960</t>
  </si>
  <si>
    <t>Xerox 222</t>
  </si>
  <si>
    <t>DAX Clear Channel Poster Frame</t>
  </si>
  <si>
    <t>CA-2015-121720</t>
  </si>
  <si>
    <t>Hon 2090 “Pillow Soft” Series Mid Back Swivel/Tilt Chairs</t>
  </si>
  <si>
    <t>GBC Standard Plastic Binding Systems' Combs</t>
  </si>
  <si>
    <t>Tennsco 16-Compartment Lockers with Coat Rack</t>
  </si>
  <si>
    <t>CA-2015-142237</t>
  </si>
  <si>
    <t>Howard Miller 13-3/4" Diameter Brushed Chrome Round Wall Clock</t>
  </si>
  <si>
    <t>3M Organizer Strips</t>
  </si>
  <si>
    <t>Novimex Fabric Task Chair</t>
  </si>
  <si>
    <t>CA-2015-142419</t>
  </si>
  <si>
    <t>Xerox 1896</t>
  </si>
  <si>
    <t>CA-2015-136469</t>
  </si>
  <si>
    <t>Lesro Sheffield Collection Coffee Table, End Table, Center Table, Corner Table</t>
  </si>
  <si>
    <t>Tuf-Vin Binders</t>
  </si>
  <si>
    <t>CA-2015-119634</t>
  </si>
  <si>
    <t>US-2015-156797</t>
  </si>
  <si>
    <t>AT&amp;T 841000 Phone</t>
  </si>
  <si>
    <t>CA-2015-165057</t>
  </si>
  <si>
    <t>Boston 19500 Mighty Mite Electric Pencil Sharpener</t>
  </si>
  <si>
    <t>Avery 474</t>
  </si>
  <si>
    <t>CA-2015-153794</t>
  </si>
  <si>
    <t>CA-2015-132465</t>
  </si>
  <si>
    <t>Deflect-o DuraMat Antistatic Studded Beveled Mat for Medium Pile Carpeting</t>
  </si>
  <si>
    <t>Space Solutions Industrial Galvanized Steel Shelving.</t>
  </si>
  <si>
    <t>Logitech LS21 Speaker System - PC Multimedia - 2.1-CH - Wired</t>
  </si>
  <si>
    <t>CA-2015-126186</t>
  </si>
  <si>
    <t>Deflect-O Glasstique Clear Desk Accessories</t>
  </si>
  <si>
    <t>CA-2015-125934</t>
  </si>
  <si>
    <t>Fellowes Advanced 8 Outlet Surge Suppressor with Phone/Fax Protection</t>
  </si>
  <si>
    <t>Xerox 208</t>
  </si>
  <si>
    <t>US-2015-108966</t>
  </si>
  <si>
    <t>Bretford CR4500 Series Slim Rectangular Table</t>
  </si>
  <si>
    <t>Eldon Fold 'N Roll Cart System</t>
  </si>
  <si>
    <t>CA-2015-112053</t>
  </si>
  <si>
    <t>Memorex 25GB 6X Branded Blu-Ray Recordable Disc, 30/Pack</t>
  </si>
  <si>
    <t>CA-2015-111948</t>
  </si>
  <si>
    <t>Advantus 10-Drawer Portable Organizer, Chrome Metal Frame, Smoke Drawers</t>
  </si>
  <si>
    <t>CA-2015-150560</t>
  </si>
  <si>
    <t>CA-2015-155761</t>
  </si>
  <si>
    <t>US-2015-120572</t>
  </si>
  <si>
    <t>CA-2015-104346</t>
  </si>
  <si>
    <t>Bush Westfield Collection Bookcases, Dark Cherry Finish</t>
  </si>
  <si>
    <t>Newell 326</t>
  </si>
  <si>
    <t>Bevis Rectangular Conference Tables</t>
  </si>
  <si>
    <t>Xerox 1932</t>
  </si>
  <si>
    <t>Avery Personal Creations Heavyweight Cards</t>
  </si>
  <si>
    <t>CA-2015-106362</t>
  </si>
  <si>
    <t>CA-2015-134082</t>
  </si>
  <si>
    <t>CA-2015-135853</t>
  </si>
  <si>
    <t>Maxell 4.7GB DVD+RW 3/Pack</t>
  </si>
  <si>
    <t>CA-2015-156755</t>
  </si>
  <si>
    <t>Dual Level, Single-Width Filing Carts</t>
  </si>
  <si>
    <t>CA-2015-128608</t>
  </si>
  <si>
    <t>Anker 24W Portable Micro USB Car Charger</t>
  </si>
  <si>
    <t>SanDisk Cruzer 4 GB USB Flash Drive</t>
  </si>
  <si>
    <t>LG Electronics Tone+ HBS-730 Bluetooth Headset</t>
  </si>
  <si>
    <t>CA-2015-128083</t>
  </si>
  <si>
    <t>Eldon Expressions Desk Accessory, Wood Pencil Holder, Oak</t>
  </si>
  <si>
    <t>CA-2015-148705</t>
  </si>
  <si>
    <t>CA-2015-145415</t>
  </si>
  <si>
    <t>Rogers Jumbo File, Granite</t>
  </si>
  <si>
    <t>CA-2015-159380</t>
  </si>
  <si>
    <t>Xerox 1962</t>
  </si>
  <si>
    <t>Xerox 1953</t>
  </si>
  <si>
    <t>US-2015-122910</t>
  </si>
  <si>
    <t>CA-2015-130876</t>
  </si>
  <si>
    <t>CA-2015-162607</t>
  </si>
  <si>
    <t>CA-2015-131856</t>
  </si>
  <si>
    <t>CA-2015-139850</t>
  </si>
  <si>
    <t>CA-2015-131779</t>
  </si>
  <si>
    <t>CA-2015-104115</t>
  </si>
  <si>
    <t>CA-2015-136105</t>
  </si>
  <si>
    <t>CA-2015-126557</t>
  </si>
  <si>
    <t>Vtech CS6719</t>
  </si>
  <si>
    <t>GE 2-Jack Phone Line Splitter</t>
  </si>
  <si>
    <t>CA-2015-112711</t>
  </si>
  <si>
    <t>CA-2015-166464</t>
  </si>
  <si>
    <t>Hewlett Packard 310 Color Digital Copier</t>
  </si>
  <si>
    <t>Avery 520</t>
  </si>
  <si>
    <t>CA-2015-102015</t>
  </si>
  <si>
    <t>HP Office Recycled Paper (20Lb. and 87 Bright)</t>
  </si>
  <si>
    <t>Tyvek  Top-Opening Peel &amp; Seel Envelopes, Plain White</t>
  </si>
  <si>
    <t>CA-2015-128993</t>
  </si>
  <si>
    <t>CA-2015-102281</t>
  </si>
  <si>
    <t>Atlantic Metals Mobile 4-Shelf Bookcases, Custom Colors</t>
  </si>
  <si>
    <t>4009 Highlighters by Sanford</t>
  </si>
  <si>
    <t>CA-2015-159786</t>
  </si>
  <si>
    <t>CA-2015-134747</t>
  </si>
  <si>
    <t>CA-2015-142993</t>
  </si>
  <si>
    <t>CA-2015-153220</t>
  </si>
  <si>
    <t>CA-2015-113628</t>
  </si>
  <si>
    <t>CA-2015-162964</t>
  </si>
  <si>
    <t>Blue String-Tie &amp; Button Interoffice Envelopes, 10 x 13</t>
  </si>
  <si>
    <t>US-2015-153283</t>
  </si>
  <si>
    <t>CA-2015-154620</t>
  </si>
  <si>
    <t>CA-2015-145065</t>
  </si>
  <si>
    <t>Recycled Premium Regency Composition Covers</t>
  </si>
  <si>
    <t>CA-2015-129042</t>
  </si>
  <si>
    <t>US-2015-167220</t>
  </si>
  <si>
    <t>CA-2015-155586</t>
  </si>
  <si>
    <t>Newell 311</t>
  </si>
  <si>
    <t>Black Print Carbonless Snap-Off Rapid Letter, 8 1/2" x 7"</t>
  </si>
  <si>
    <t>CA-2015-134075</t>
  </si>
  <si>
    <t>Eldon Cleatmat Chair Mats for Medium Pile Carpets</t>
  </si>
  <si>
    <t>CA-2015-127481</t>
  </si>
  <si>
    <t>Xerox 1930</t>
  </si>
  <si>
    <t>CA-2015-110870</t>
  </si>
  <si>
    <t>US-2016-140809</t>
  </si>
  <si>
    <t>CA-2016-154067</t>
  </si>
  <si>
    <t>US-2016-143819</t>
  </si>
  <si>
    <t>Ativa V4110MDD Micro-Cut Shredder</t>
  </si>
  <si>
    <t>US-2016-151862</t>
  </si>
  <si>
    <t>RCA ViSYS 25423RE1 Corded phone</t>
  </si>
  <si>
    <t>CA-2016-166674</t>
  </si>
  <si>
    <t>Newell 342</t>
  </si>
  <si>
    <t>Belkin Grip Candy Sheer Case / Cover for iPhone 5 and 5S</t>
  </si>
  <si>
    <t>CA-2016-103947</t>
  </si>
  <si>
    <t>Belkin F9H710-06 7 Outlet SurgeMaster Surge Protector</t>
  </si>
  <si>
    <t>CA-2016-149902</t>
  </si>
  <si>
    <t>Boston 16801 Nautilus Battery Pencil Sharpener</t>
  </si>
  <si>
    <t>CA-2016-161473</t>
  </si>
  <si>
    <t>Avery 473</t>
  </si>
  <si>
    <t>CA-2016-111213</t>
  </si>
  <si>
    <t>CA-2016-127985</t>
  </si>
  <si>
    <t>Regeneration Desk Collection</t>
  </si>
  <si>
    <t>US-2016-160206</t>
  </si>
  <si>
    <t>Cyber Acoustics AC-202b Speech Recognition Stereo Headset</t>
  </si>
  <si>
    <t>CA-2016-164784</t>
  </si>
  <si>
    <t>CA-2016-101525</t>
  </si>
  <si>
    <t>Xerox 1914</t>
  </si>
  <si>
    <t>Xerox 1994</t>
  </si>
  <si>
    <t>CA-2016-152163</t>
  </si>
  <si>
    <t>Binding Machine Supplies</t>
  </si>
  <si>
    <t>CA-2016-139997</t>
  </si>
  <si>
    <t>US-2016-126431</t>
  </si>
  <si>
    <t>Avery 477</t>
  </si>
  <si>
    <t>KeyTronic KT400U2 - Keyboard - Black</t>
  </si>
  <si>
    <t>Southworth 25% Cotton Antique Laid Paper &amp; Envelopes</t>
  </si>
  <si>
    <t>US-2016-158680</t>
  </si>
  <si>
    <t>CA-2016-144337</t>
  </si>
  <si>
    <t>CA-2016-155978</t>
  </si>
  <si>
    <t>Apple iPhone 5</t>
  </si>
  <si>
    <t>CA-2016-132990</t>
  </si>
  <si>
    <t>Eldon 500 Class Desk Accessories</t>
  </si>
  <si>
    <t>CA-2016-129714</t>
  </si>
  <si>
    <t>Sabrent 4-Port USB 2.0 Hub</t>
  </si>
  <si>
    <t>GBC DocuBind P400 Electric Binding System</t>
  </si>
  <si>
    <t>CA-2016-120859</t>
  </si>
  <si>
    <t>CA-2016-155481</t>
  </si>
  <si>
    <t>Telephone Message Books with Fax/Mobile Section, 5 1/2" x 3 3/16"</t>
  </si>
  <si>
    <t>Anker 36W 4-Port USB Wall Charger Travel Power Adapter for iPhone 5s 5c 5</t>
  </si>
  <si>
    <t>CA-2016-151561</t>
  </si>
  <si>
    <t>CA-2016-116526</t>
  </si>
  <si>
    <t>Eureka The Boss Plus 12-Amp Hard Box Upright Vacuum, Red</t>
  </si>
  <si>
    <t>Newell 315</t>
  </si>
  <si>
    <t>CA-2016-124583</t>
  </si>
  <si>
    <t>CA-2016-157686</t>
  </si>
  <si>
    <t>CA-2016-155992</t>
  </si>
  <si>
    <t>CA-2016-139157</t>
  </si>
  <si>
    <t>CA-2016-111794</t>
  </si>
  <si>
    <t>CA-2016-116918</t>
  </si>
  <si>
    <t>CA-2016-159212</t>
  </si>
  <si>
    <t>CA-2016-100671</t>
  </si>
  <si>
    <t>Tenex Personal Filing Tote With Secure Closure Lid, Black/Frost</t>
  </si>
  <si>
    <t>CA-2016-129196</t>
  </si>
  <si>
    <t>CA-2016-129903</t>
  </si>
  <si>
    <t>Universal Premium White Copier/Laser Paper (20Lb. and 87 Bright)</t>
  </si>
  <si>
    <t>CA-2016-113621</t>
  </si>
  <si>
    <t>CA-2016-136434</t>
  </si>
  <si>
    <t>CA-2016-136483</t>
  </si>
  <si>
    <t>US-2016-150035</t>
  </si>
  <si>
    <t>CA-2016-157336</t>
  </si>
  <si>
    <t>CA-2016-127698</t>
  </si>
  <si>
    <t>CA-2016-130393</t>
  </si>
  <si>
    <t>CA-2016-142594</t>
  </si>
  <si>
    <t>Executive Impressions 14"</t>
  </si>
  <si>
    <t>CA-2016-143805</t>
  </si>
  <si>
    <t>Acme Softgrip Scissors</t>
  </si>
  <si>
    <t>US-2016-155768</t>
  </si>
  <si>
    <t>Tenex Chairmats For Use With Carpeted Floors</t>
  </si>
  <si>
    <t>Sauder Facets Collection Locker/File Cabinet, Sky Alder Finish</t>
  </si>
  <si>
    <t>CA-2016-104689</t>
  </si>
  <si>
    <t>CA-2016-160304</t>
  </si>
  <si>
    <t>Bush Westfield Collection Bookcases, Medium Cherry Finish</t>
  </si>
  <si>
    <t>GE 30522EE2</t>
  </si>
  <si>
    <t>CA-2016-147431</t>
  </si>
  <si>
    <t>CA-2016-158841</t>
  </si>
  <si>
    <t>HP Designjet T520 Inkjet Large Format Printer - 24" Color</t>
  </si>
  <si>
    <t>CA-2016-144645</t>
  </si>
  <si>
    <t>Deflect-o RollaMat Studded, Beveled Mat for Medium Pile Carpeting</t>
  </si>
  <si>
    <t>CA-2016-123540</t>
  </si>
  <si>
    <t>Global Executive Mid-Back Manager's Chair</t>
  </si>
  <si>
    <t>CA-2016-148698</t>
  </si>
  <si>
    <t>CA-2016-146836</t>
  </si>
  <si>
    <t>Super Decoflex Portable Personal File</t>
  </si>
  <si>
    <t>CA-2016-154060</t>
  </si>
  <si>
    <t>Global Stack Chair without Arms, Black</t>
  </si>
  <si>
    <t>CA-2016-104311</t>
  </si>
  <si>
    <t>Sterilite Show Offs Storage Containers</t>
  </si>
  <si>
    <t>Avery 502</t>
  </si>
  <si>
    <t>CA-2016-109400</t>
  </si>
  <si>
    <t>CA-2016-158155</t>
  </si>
  <si>
    <t>Eldon 200 Class Desk Accessories</t>
  </si>
  <si>
    <t>US-2016-128293</t>
  </si>
  <si>
    <t>US-2016-119046</t>
  </si>
  <si>
    <t>CA-2016-149314</t>
  </si>
  <si>
    <t>CA-2016-101469</t>
  </si>
  <si>
    <t>Avery Hi-Liter Pen Style Six-Color Fluorescent Set</t>
  </si>
  <si>
    <t>CA-2016-102813</t>
  </si>
  <si>
    <t>CA-2016-156265</t>
  </si>
  <si>
    <t>Barricks Non-Folding Utility Table with Steel Legs, Laminate Tops</t>
  </si>
  <si>
    <t>Nortel Business Series Terminal T7208 Digital phone</t>
  </si>
  <si>
    <t>XtraLife ClearVue Slant-D Ring Binders by Cardinal</t>
  </si>
  <si>
    <t>CA-2016-130407</t>
  </si>
  <si>
    <t>CA-2016-116540</t>
  </si>
  <si>
    <t>CA-2016-113096</t>
  </si>
  <si>
    <t>CA-2016-144764</t>
  </si>
  <si>
    <t>Okidata C610n Printer</t>
  </si>
  <si>
    <t>CA-2016-129847</t>
  </si>
  <si>
    <t>CA-2016-106950</t>
  </si>
  <si>
    <t>Heavy-Duty E-Z-D Binders</t>
  </si>
  <si>
    <t>Belkin F9M820V08 8 Outlet Surge</t>
  </si>
  <si>
    <t>Plantronics Savi W720 Multi-Device Wireless Headset System</t>
  </si>
  <si>
    <t>CA-2016-166429</t>
  </si>
  <si>
    <t>CA-2016-112739</t>
  </si>
  <si>
    <t>Logitech MX Performance Wireless Mouse</t>
  </si>
  <si>
    <t>CA-2016-106278</t>
  </si>
  <si>
    <t>Global Leather Task Chair, Black</t>
  </si>
  <si>
    <t>Inter-Office Recycled Envelopes, Brown Kraft, Button-String,10" x 13" , 100/Box</t>
  </si>
  <si>
    <t>CA-2016-126732</t>
  </si>
  <si>
    <t>Ultra Door Pull Handle</t>
  </si>
  <si>
    <t>Blackstonian Pencils</t>
  </si>
  <si>
    <t>CA-2016-134376</t>
  </si>
  <si>
    <t>CA-2016-118969</t>
  </si>
  <si>
    <t>CA-2016-118689</t>
  </si>
  <si>
    <t>Canon imageCLASS 2200 Advanced Copier</t>
  </si>
  <si>
    <t>Stanley Bostitch Contemporary Electric Pencil Sharpeners</t>
  </si>
  <si>
    <t>US-2016-108455</t>
  </si>
  <si>
    <t>US-2016-113985</t>
  </si>
  <si>
    <t>GBC VeloBind Cover Sets</t>
  </si>
  <si>
    <t>Eldon Regeneration Recycled Desk Accessories, Black</t>
  </si>
  <si>
    <t>CA-2016-163804</t>
  </si>
  <si>
    <t>Deluxe Rollaway Locking File with Drawer</t>
  </si>
  <si>
    <t>US-2016-155103</t>
  </si>
  <si>
    <t>Ibico EB-19 Dual Function Manual Binding System</t>
  </si>
  <si>
    <t>CA-2016-143154</t>
  </si>
  <si>
    <t>CA-2016-105354</t>
  </si>
  <si>
    <t>CA-2016-164770</t>
  </si>
  <si>
    <t>Sauder Camden County Collection Library</t>
  </si>
  <si>
    <t>CA-2016-125206</t>
  </si>
  <si>
    <t>US-2016-116365</t>
  </si>
  <si>
    <t>Imation Clip USB flash drive - 8 GB</t>
  </si>
  <si>
    <t>CA-2016-105207</t>
  </si>
  <si>
    <t>Hon Practical Foundations 30 x 60 Training Table, Light Gray/Charcoal</t>
  </si>
  <si>
    <t>CA-2016-118514</t>
  </si>
  <si>
    <t>CA-2016-112123</t>
  </si>
  <si>
    <t>CA-2016-116799</t>
  </si>
  <si>
    <t>Rediform Wirebound "Phone Memo" Message Book, 11 x 5-3/4</t>
  </si>
  <si>
    <t>CA-2016-167759</t>
  </si>
  <si>
    <t>Plantronics Encore H101 Dual Earpieces Headset</t>
  </si>
  <si>
    <t>CA-2016-145730</t>
  </si>
  <si>
    <t>Office Impressions End Table, 20-1/2"H x 24"W x 20"D</t>
  </si>
  <si>
    <t>CA-2016-120005</t>
  </si>
  <si>
    <t>Elite 5" Scissors</t>
  </si>
  <si>
    <t>CA-2016-103982</t>
  </si>
  <si>
    <t>High Speed Automatic Electric Letter Opener</t>
  </si>
  <si>
    <t>CA-2016-120796</t>
  </si>
  <si>
    <t>GBC Velobind Prepunched Cover Sets, Regency Series</t>
  </si>
  <si>
    <t>CA-2016-167682</t>
  </si>
  <si>
    <t>CA-2016-162222</t>
  </si>
  <si>
    <t>CA-2016-163398</t>
  </si>
  <si>
    <t>Newell 316</t>
  </si>
  <si>
    <t>CA-2016-129280</t>
  </si>
  <si>
    <t>Computer Room Manger, 14"</t>
  </si>
  <si>
    <t>Cisco 8961 IP Phone Charcoal</t>
  </si>
  <si>
    <t>Avery 496</t>
  </si>
  <si>
    <t>CA-2016-164889</t>
  </si>
  <si>
    <t>Hon 61000 Series Interactive Training Tables</t>
  </si>
  <si>
    <t>CA-2016-130029</t>
  </si>
  <si>
    <t>CA-2016-168543</t>
  </si>
  <si>
    <t>Avanti 1.7 Cu. Ft. Refrigerator</t>
  </si>
  <si>
    <t>CA-2016-104983</t>
  </si>
  <si>
    <t>Xerox 1925</t>
  </si>
  <si>
    <t>CA-2016-104150</t>
  </si>
  <si>
    <t>Sony Micro Vault Click 4 GB USB 2.0 Flash Drive</t>
  </si>
  <si>
    <t>CA-2016-158099</t>
  </si>
  <si>
    <t>US-2016-100566</t>
  </si>
  <si>
    <t>Tenex "The Solids" Textured Chair Mats</t>
  </si>
  <si>
    <t>CA-2016-159737</t>
  </si>
  <si>
    <t>CA-2016-132143</t>
  </si>
  <si>
    <t>CA-2016-163986</t>
  </si>
  <si>
    <t>Crate-A-Files</t>
  </si>
  <si>
    <t>US-2016-101616</t>
  </si>
  <si>
    <t>US-2016-147711</t>
  </si>
  <si>
    <t>US-2016-104815</t>
  </si>
  <si>
    <t>Safco Value Mate Steel Bookcase, Baked Enamel Finish on Steel, Black</t>
  </si>
  <si>
    <t>CA-2016-153185</t>
  </si>
  <si>
    <t>Wirebound Four 2-3/4 x 5 Forms per Page, 400 Sets per Book</t>
  </si>
  <si>
    <t>CA-2016-140634</t>
  </si>
  <si>
    <t>CA-2016-144939</t>
  </si>
  <si>
    <t>Office Star - Contemporary Task Swivel Chair</t>
  </si>
  <si>
    <t>CA-2016-103919</t>
  </si>
  <si>
    <t>Eldon Expressions Desk Accessory, Wood Photo Frame, Mahogany</t>
  </si>
  <si>
    <t>CA-2016-101672</t>
  </si>
  <si>
    <t>Xerox 1900</t>
  </si>
  <si>
    <t>CA-2016-128867</t>
  </si>
  <si>
    <t>CA-2016-127250</t>
  </si>
  <si>
    <t>Newell 332</t>
  </si>
  <si>
    <t>CA-2016-114972</t>
  </si>
  <si>
    <t>Global Deluxe High-Back Office Chair in Storm</t>
  </si>
  <si>
    <t>Kensington K72356US Mouse-in-a-Box USB Desktop Mouse</t>
  </si>
  <si>
    <t>Honeywell Enviracaire Portable HEPA Air Cleaner for 16' x 20' Room</t>
  </si>
  <si>
    <t>CA-2016-168893</t>
  </si>
  <si>
    <t>Magna Visual Magnetic Picture Hangers</t>
  </si>
  <si>
    <t>Boston 16750 Black Compact Battery Pencil Sharpener</t>
  </si>
  <si>
    <t>Global Adaptabilities Conference Tables</t>
  </si>
  <si>
    <t>CA-2016-109365</t>
  </si>
  <si>
    <t>Holmes 99% HEPA Air Purifier</t>
  </si>
  <si>
    <t>Xerox 1892</t>
  </si>
  <si>
    <t>Fellowes Black Plastic Comb Bindings</t>
  </si>
  <si>
    <t>Xerox 22</t>
  </si>
  <si>
    <t>Multicolor Computer Printout Paper</t>
  </si>
  <si>
    <t>CA-2016-160136</t>
  </si>
  <si>
    <t>CA-2016-159023</t>
  </si>
  <si>
    <t>Okidata B401 Printer</t>
  </si>
  <si>
    <t>CA-2016-134180</t>
  </si>
  <si>
    <t>Bevis Steel Folding Chairs</t>
  </si>
  <si>
    <t>US-2016-150861</t>
  </si>
  <si>
    <t>Personal Folder Holder, Ebony</t>
  </si>
  <si>
    <t>US-2016-161683</t>
  </si>
  <si>
    <t>CA-2016-153598</t>
  </si>
  <si>
    <t>3M Polarizing Light Filter Sleeves</t>
  </si>
  <si>
    <t>CA-2016-122063</t>
  </si>
  <si>
    <t>CA-2016-161025</t>
  </si>
  <si>
    <t>CA-2016-149762</t>
  </si>
  <si>
    <t>Hon 4060 Series Tables</t>
  </si>
  <si>
    <t>US-2016-164630</t>
  </si>
  <si>
    <t>CA-2016-158211</t>
  </si>
  <si>
    <t>CA-2016-117912</t>
  </si>
  <si>
    <t>CA-2016-150077</t>
  </si>
  <si>
    <t>CA-2016-101189</t>
  </si>
  <si>
    <t>CA-2016-154053</t>
  </si>
  <si>
    <t>Berol Giant Pencil Sharpener</t>
  </si>
  <si>
    <t>CA-2016-122518</t>
  </si>
  <si>
    <t>CA-2016-164637</t>
  </si>
  <si>
    <t>CA-2016-158358</t>
  </si>
  <si>
    <t>CA-2016-159142</t>
  </si>
  <si>
    <t>Anker Astro 15000mAh USB Portable Charger</t>
  </si>
  <si>
    <t>CA-2016-167115</t>
  </si>
  <si>
    <t>CA-2016-123050</t>
  </si>
  <si>
    <t>CA-2016-119823</t>
  </si>
  <si>
    <t>CA-2016-157749</t>
  </si>
  <si>
    <t>Luxo Professional Fluorescent Magnifier Lamp with Clamp-Mount Base</t>
  </si>
  <si>
    <t>PureGear Roll-On Screen Protector</t>
  </si>
  <si>
    <t>Eldon 100 Class Desk Accessories</t>
  </si>
  <si>
    <t>CA-2016-165848</t>
  </si>
  <si>
    <t>Panasonic KX MC6040 Color Laser Multifunction Printer</t>
  </si>
  <si>
    <t>Sauder Inglewood Library Bookcases</t>
  </si>
  <si>
    <t>CA-2016-147137</t>
  </si>
  <si>
    <t>CA-2016-103107</t>
  </si>
  <si>
    <t>Avaya 4621SW VoIP phone</t>
  </si>
  <si>
    <t>OtterBox Defender Series Case - Samsung Galaxy S4</t>
  </si>
  <si>
    <t>CA-2016-110254</t>
  </si>
  <si>
    <t>Avery 478</t>
  </si>
  <si>
    <t>US-2016-128195</t>
  </si>
  <si>
    <t>CA-2016-111913</t>
  </si>
  <si>
    <t>Pressboard Covers with Storage Hooks, 9 1/2" x 11", Light Blue</t>
  </si>
  <si>
    <t>CA-2016-169971</t>
  </si>
  <si>
    <t>CA-2016-123120</t>
  </si>
  <si>
    <t>Plastic Binding Combs</t>
  </si>
  <si>
    <t>Acme Preferred Stainless Steel Scissors</t>
  </si>
  <si>
    <t>CA-2016-149783</t>
  </si>
  <si>
    <t>CA-2016-131205</t>
  </si>
  <si>
    <t>CA-2016-168774</t>
  </si>
  <si>
    <t>CA-2016-142524</t>
  </si>
  <si>
    <t>CA-2016-117604</t>
  </si>
  <si>
    <t>CA-2016-129630</t>
  </si>
  <si>
    <t>6" Cubicle Wall Clock, Black</t>
  </si>
  <si>
    <t>CA-2016-121601</t>
  </si>
  <si>
    <t>Laser &amp; Ink Jet Business Envelopes</t>
  </si>
  <si>
    <t>US-2016-140158</t>
  </si>
  <si>
    <t>Ibico Plastic Spiral Binding Combs</t>
  </si>
  <si>
    <t>Letter Size File</t>
  </si>
  <si>
    <t>CA-2016-131296</t>
  </si>
  <si>
    <t>Bush Andora Conference Table, Maple/Graphite Gray Finish</t>
  </si>
  <si>
    <t>CA-2016-145709</t>
  </si>
  <si>
    <t>CA-2016-143308</t>
  </si>
  <si>
    <t>OIC Colored Binder Clips, Assorted Sizes</t>
  </si>
  <si>
    <t>CA-2016-163755</t>
  </si>
  <si>
    <t>CA-2016-166443</t>
  </si>
  <si>
    <t>CA-2016-146766</t>
  </si>
  <si>
    <t>CA-2016-163328</t>
  </si>
  <si>
    <t>Serrated Blade or Curved Handle Hand Letter Openers</t>
  </si>
  <si>
    <t>Xerox 1887</t>
  </si>
  <si>
    <t>CA-2016-165827</t>
  </si>
  <si>
    <t>CA-2016-119018</t>
  </si>
  <si>
    <t>CA-2016-162236</t>
  </si>
  <si>
    <t>BPI Conference Tables</t>
  </si>
  <si>
    <t>Premier Electric Letter Opener</t>
  </si>
  <si>
    <t>CA-2016-158260</t>
  </si>
  <si>
    <t>Okidata B400 Printer</t>
  </si>
  <si>
    <t>US-2016-111563</t>
  </si>
  <si>
    <t>CA-2016-126004</t>
  </si>
  <si>
    <t>Peel &amp; Stick Add-On Corner Pockets</t>
  </si>
  <si>
    <t>Carina Media Storage Towers in Natural &amp; Black</t>
  </si>
  <si>
    <t>Fellowes Econo/Stor Drawers</t>
  </si>
  <si>
    <t>CA-2016-139885</t>
  </si>
  <si>
    <t>Belkin OmniView SE Rackmount Kit</t>
  </si>
  <si>
    <t>CA-2016-105277</t>
  </si>
  <si>
    <t>GBC Instant Report Kit</t>
  </si>
  <si>
    <t>CA-2016-112060</t>
  </si>
  <si>
    <t>Xerox 1915</t>
  </si>
  <si>
    <t>CA-2016-134474</t>
  </si>
  <si>
    <t>Newell 337</t>
  </si>
  <si>
    <t>US-2016-108504</t>
  </si>
  <si>
    <t>Revere Boxed Rubber Bands by Revere</t>
  </si>
  <si>
    <t>Bush Andora Bookcase, Maple/Graphite Gray Finish</t>
  </si>
  <si>
    <t>Ames Color-File Green Diamond Border X-ray Mailers</t>
  </si>
  <si>
    <t>White Dual Perf Computer Printout Paper, 2700 Sheets, 1 Part, Heavyweight, 20 lbs., 14 7/8 x 11</t>
  </si>
  <si>
    <t>Xerox 1943</t>
  </si>
  <si>
    <t>CA-2016-100993</t>
  </si>
  <si>
    <t>Fellowes Mobile File Cart, Black</t>
  </si>
  <si>
    <t>CA-2016-165218</t>
  </si>
  <si>
    <t>CA-2016-159695</t>
  </si>
  <si>
    <t>CA-2016-161907</t>
  </si>
  <si>
    <t>Clearsounds A400</t>
  </si>
  <si>
    <t>Premier Automatic Letter Opener</t>
  </si>
  <si>
    <t>CA-2016-145247</t>
  </si>
  <si>
    <t>CA-2016-112676</t>
  </si>
  <si>
    <t>Xerox 1965</t>
  </si>
  <si>
    <t>CA-2016-137729</t>
  </si>
  <si>
    <t>Cisco Small Business SPA 502G VoIP phone</t>
  </si>
  <si>
    <t>CA-2016-160500</t>
  </si>
  <si>
    <t>Computer Printout Index Tabs</t>
  </si>
  <si>
    <t>US-2016-147991</t>
  </si>
  <si>
    <t>CA-2016-126165</t>
  </si>
  <si>
    <t>US-2016-102239</t>
  </si>
  <si>
    <t>CA-2016-105662</t>
  </si>
  <si>
    <t>Snap-A-Way Black Print Carbonless Speed Message, No Reply Area, Duplicate</t>
  </si>
  <si>
    <t>US-2016-134908</t>
  </si>
  <si>
    <t>Eldon Base for stackable storage shelf, platinum</t>
  </si>
  <si>
    <t>CA-2016-165169</t>
  </si>
  <si>
    <t>CA-2016-110982</t>
  </si>
  <si>
    <t>CA-2016-149671</t>
  </si>
  <si>
    <t>US-2016-102232</t>
  </si>
  <si>
    <t>Boston Model 1800 Electric Pencil Sharpener, Gray</t>
  </si>
  <si>
    <t>CA-2016-110366</t>
  </si>
  <si>
    <t>CA-2016-115756</t>
  </si>
  <si>
    <t>Fellowes Bankers Box Staxonsteel Drawer File/Stacking System</t>
  </si>
  <si>
    <t>Eldon Mobile Mega Data Cart  Mega Stackable  Add-On Trays</t>
  </si>
  <si>
    <t>CA-2016-160815</t>
  </si>
  <si>
    <t>CA-2016-140774</t>
  </si>
  <si>
    <t>US-2016-148110</t>
  </si>
  <si>
    <t>CA-2016-137673</t>
  </si>
  <si>
    <t>CA-2016-154536</t>
  </si>
  <si>
    <t>C-Line Peel &amp; Stick Add-On Filing Pockets, 8-3/4 x 5-1/8, 10/Pack</t>
  </si>
  <si>
    <t>CA-2016-136231</t>
  </si>
  <si>
    <t>Nortel Networks T7316 E Nt8 B27</t>
  </si>
  <si>
    <t>CA-2016-144540</t>
  </si>
  <si>
    <t>CA-2016-151372</t>
  </si>
  <si>
    <t>14-7/8 x 11 Blue Bar Computer Printout Paper</t>
  </si>
  <si>
    <t>Advantus Push Pins</t>
  </si>
  <si>
    <t>CA-2016-149195</t>
  </si>
  <si>
    <t>CA-2016-133319</t>
  </si>
  <si>
    <t>US-2016-152373</t>
  </si>
  <si>
    <t>US-2016-121013</t>
  </si>
  <si>
    <t>CA-2016-164490</t>
  </si>
  <si>
    <t>Xerox 196</t>
  </si>
  <si>
    <t>CA-2016-162383</t>
  </si>
  <si>
    <t>Recycled Easel Ring Binders</t>
  </si>
  <si>
    <t>CA-2016-136595</t>
  </si>
  <si>
    <t>CA-2016-158778</t>
  </si>
  <si>
    <t>Global Task Chair, Black</t>
  </si>
  <si>
    <t>Global Comet Stacking Arm Chair</t>
  </si>
  <si>
    <t>CA-2016-139409</t>
  </si>
  <si>
    <t>CA-2016-140207</t>
  </si>
  <si>
    <t>Cardinal Holdit Data Disk Pockets</t>
  </si>
  <si>
    <t>US-2016-106677</t>
  </si>
  <si>
    <t>Anker Astro Mini 3000mAh Ultra-Compact Portable Charger</t>
  </si>
  <si>
    <t>US-2016-131611</t>
  </si>
  <si>
    <t>O'Sullivan Plantations 2-Door Library in Landvery Oak</t>
  </si>
  <si>
    <t>Premium Transparent Presentation Covers by GBC</t>
  </si>
  <si>
    <t>Logitech Wireless Headset H600 Over-The-Head Design</t>
  </si>
  <si>
    <t>US-2016-165078</t>
  </si>
  <si>
    <t>CA-2016-148908</t>
  </si>
  <si>
    <t>GBC Twin Loop Wire Binding Elements</t>
  </si>
  <si>
    <t>CA-2016-143441</t>
  </si>
  <si>
    <t>CA-2016-125094</t>
  </si>
  <si>
    <t>Cherry 142-key Programmable Keyboard</t>
  </si>
  <si>
    <t>CA-2016-144092</t>
  </si>
  <si>
    <t>Harbour Creations 67200 Series Stacking Chairs</t>
  </si>
  <si>
    <t>CA-2016-157280</t>
  </si>
  <si>
    <t>Tenex Chairmat w/ Average Lip, 45" x 53"</t>
  </si>
  <si>
    <t>CA-2016-161389</t>
  </si>
  <si>
    <t>Fellowes PB200 Plastic Comb Binding Machine</t>
  </si>
  <si>
    <t>CA-2016-114489</t>
  </si>
  <si>
    <t>CA-2016-124772</t>
  </si>
  <si>
    <t>CA-2016-108434</t>
  </si>
  <si>
    <t>CA-2016-143749</t>
  </si>
  <si>
    <t>O'Sullivan 5-Shelf Heavy-Duty Bookcases</t>
  </si>
  <si>
    <t>CA-2016-140564</t>
  </si>
  <si>
    <t>CA-2016-109722</t>
  </si>
  <si>
    <t>CA-2016-145009</t>
  </si>
  <si>
    <t>CA-2016-163636</t>
  </si>
  <si>
    <t>CA-2016-146374</t>
  </si>
  <si>
    <t>#10 White Business Envelopes,4 1/8 x 9 1/2</t>
  </si>
  <si>
    <t>CA-2016-125017</t>
  </si>
  <si>
    <t>US-2016-155173</t>
  </si>
  <si>
    <t>Grandstream GXP1160 VoIP phone</t>
  </si>
  <si>
    <t>CA-2016-110898</t>
  </si>
  <si>
    <t>Eldon Cleatmat Plus Chair Mats for High Pile Carpets</t>
  </si>
  <si>
    <t>US-2016-150140</t>
  </si>
  <si>
    <t>Nortel Meridian M5316 Digital phone</t>
  </si>
  <si>
    <t>CA-2016-118052</t>
  </si>
  <si>
    <t>Advantus T-Pin Paper Clips</t>
  </si>
  <si>
    <t>DAX Solid Wood Frames</t>
  </si>
  <si>
    <t>CA-2016-139234</t>
  </si>
  <si>
    <t>US-2016-146857</t>
  </si>
  <si>
    <t>CA-2016-137393</t>
  </si>
  <si>
    <t>Executive Impressions 8-1/2" Career Panel/Partition Cubicle Clock</t>
  </si>
  <si>
    <t>CA-2016-125318</t>
  </si>
  <si>
    <t>CA-2016-127369</t>
  </si>
  <si>
    <t>CA-2016-108350</t>
  </si>
  <si>
    <t>US-2016-167472</t>
  </si>
  <si>
    <t>Plantronics S12 Corded Telephone Headset System</t>
  </si>
  <si>
    <t>Xerox 191</t>
  </si>
  <si>
    <t>Trimflex Flexible Post Binders</t>
  </si>
  <si>
    <t>Avery Binder Labels</t>
  </si>
  <si>
    <t>Xerox 230</t>
  </si>
  <si>
    <t>US-2016-155971</t>
  </si>
  <si>
    <t>Xerox Blank Computer Paper</t>
  </si>
  <si>
    <t>CA-2016-160717</t>
  </si>
  <si>
    <t>Samsung Galaxy Mega 6.3</t>
  </si>
  <si>
    <t>CA-2016-112830</t>
  </si>
  <si>
    <t>Electrix Halogen Magnifier Lamp</t>
  </si>
  <si>
    <t>Deflect-o EconoMat Nonstudded, No Bevel Mat</t>
  </si>
  <si>
    <t>CA-2016-158869</t>
  </si>
  <si>
    <t>CA-2016-151092</t>
  </si>
  <si>
    <t>CA-2016-105263</t>
  </si>
  <si>
    <t>CA-2016-149223</t>
  </si>
  <si>
    <t>Fellowes Basic Home/Office Series Surge Protectors</t>
  </si>
  <si>
    <t>CA-2016-102981</t>
  </si>
  <si>
    <t>CA-2016-133123</t>
  </si>
  <si>
    <t>CA-2016-145240</t>
  </si>
  <si>
    <t>CA-2016-123932</t>
  </si>
  <si>
    <t>AT&amp;T CL83451 4-Handset Telephone</t>
  </si>
  <si>
    <t>US-2016-115952</t>
  </si>
  <si>
    <t>US-2016-157490</t>
  </si>
  <si>
    <t>Zebra GK420t Direct Thermal/Thermal Transfer Printer</t>
  </si>
  <si>
    <t>Avery Framed View Binder, EZD Ring (Locking), Navy, 1 1/2"</t>
  </si>
  <si>
    <t>US-2016-125969</t>
  </si>
  <si>
    <t>US-2016-153815</t>
  </si>
  <si>
    <t>Embossed Ink Jet Note Cards</t>
  </si>
  <si>
    <t>CA-2016-109925</t>
  </si>
  <si>
    <t>US-2016-114776</t>
  </si>
  <si>
    <t>US-2016-169040</t>
  </si>
  <si>
    <t>Plantronics Calisto P620-M USB Wireless Speakerphone System</t>
  </si>
  <si>
    <t>Google Nexus 5</t>
  </si>
  <si>
    <t>Ibico Plastic and Wire Spiral Binding Combs</t>
  </si>
  <si>
    <t>Xerox 1880</t>
  </si>
  <si>
    <t>CA-2016-162390</t>
  </si>
  <si>
    <t>US-2016-103674</t>
  </si>
  <si>
    <t>Avaya 5410 Digital phone</t>
  </si>
  <si>
    <t>Xerox 1977</t>
  </si>
  <si>
    <t>CA-2016-101938</t>
  </si>
  <si>
    <t>CA-2016-158806</t>
  </si>
  <si>
    <t>Xerox 212</t>
  </si>
  <si>
    <t>CA-2016-106894</t>
  </si>
  <si>
    <t>Micro Innovations USB RF Wireless Keyboard with Mouse</t>
  </si>
  <si>
    <t>CA-2016-161662</t>
  </si>
  <si>
    <t>CA-2016-135461</t>
  </si>
  <si>
    <t>Motorola L703CM</t>
  </si>
  <si>
    <t>US-2016-137547</t>
  </si>
  <si>
    <t>CA-2016-110499</t>
  </si>
  <si>
    <t>CA-2016-120530</t>
  </si>
  <si>
    <t>CA-2016-132899</t>
  </si>
  <si>
    <t>CA-2016-154998</t>
  </si>
  <si>
    <t>Xerox 1939</t>
  </si>
  <si>
    <t>CA-2016-114405</t>
  </si>
  <si>
    <t>Belkin 7-Outlet SurgeMaster Home Series</t>
  </si>
  <si>
    <t>Eldon Jumbo ProFile Portable File Boxes Graphite/Black</t>
  </si>
  <si>
    <t>CA-2016-128818</t>
  </si>
  <si>
    <t>Bady BDG101FRU Card Printer</t>
  </si>
  <si>
    <t>CA-2016-120558</t>
  </si>
  <si>
    <t>CA-2016-103163</t>
  </si>
  <si>
    <t>CA-2016-107475</t>
  </si>
  <si>
    <t>CA-2016-114713</t>
  </si>
  <si>
    <t>CA-2016-100965</t>
  </si>
  <si>
    <t>CA-2016-159940</t>
  </si>
  <si>
    <t>Flat Face Poster Frame</t>
  </si>
  <si>
    <t>CA-2016-135265</t>
  </si>
  <si>
    <t>CA-2016-129308</t>
  </si>
  <si>
    <t>Acco Pressboard Covers with Storage Hooks, 14 7/8" x 11", Executive Red</t>
  </si>
  <si>
    <t>CA-2016-106397</t>
  </si>
  <si>
    <t>CA-2016-148516</t>
  </si>
  <si>
    <t>Logitech Illuminated - Keyboard</t>
  </si>
  <si>
    <t>CA-2016-162614</t>
  </si>
  <si>
    <t>CA-2016-127649</t>
  </si>
  <si>
    <t>CA-2016-155033</t>
  </si>
  <si>
    <t>CA-2016-163216</t>
  </si>
  <si>
    <t>Avery 511</t>
  </si>
  <si>
    <t>CA-2016-139808</t>
  </si>
  <si>
    <t>CA-2016-113817</t>
  </si>
  <si>
    <t>Wilson Jones International Size A4 Ring Binders</t>
  </si>
  <si>
    <t>CA-2016-161669</t>
  </si>
  <si>
    <t>CA-2016-147585</t>
  </si>
  <si>
    <t>C-Line Magnetic Cubicle Keepers, Clear Polypropylene</t>
  </si>
  <si>
    <t>CA-2016-144554</t>
  </si>
  <si>
    <t>US-2016-139388</t>
  </si>
  <si>
    <t>CA-2016-164896</t>
  </si>
  <si>
    <t>CA-2016-152247</t>
  </si>
  <si>
    <t>CA-2016-132997</t>
  </si>
  <si>
    <t>Xerox 23</t>
  </si>
  <si>
    <t>CA-2016-116337</t>
  </si>
  <si>
    <t>Executive Impressions 14" Contract Wall Clock with Quartz Movement</t>
  </si>
  <si>
    <t>Mini 13-1/2 Capacity Data Binder Rack, Pearl</t>
  </si>
  <si>
    <t>CA-2016-168830</t>
  </si>
  <si>
    <t>CA-2016-116379</t>
  </si>
  <si>
    <t>GBC VeloBinder Manual Binding System</t>
  </si>
  <si>
    <t>US-2016-100461</t>
  </si>
  <si>
    <t>US-2016-137295</t>
  </si>
  <si>
    <t>CA-2016-109344</t>
  </si>
  <si>
    <t>Samsung Galaxy S4 Mini</t>
  </si>
  <si>
    <t>CA-2016-163048</t>
  </si>
  <si>
    <t>CA-2016-169103</t>
  </si>
  <si>
    <t>CA-2016-106306</t>
  </si>
  <si>
    <t>CA-2016-111976</t>
  </si>
  <si>
    <t>CA-2016-137337</t>
  </si>
  <si>
    <t>Xerox 1993</t>
  </si>
  <si>
    <t>CA-2016-130400</t>
  </si>
  <si>
    <t>Verbatim 25 GB 6x Blu-ray Single Layer Recordable Disc, 3/Pack</t>
  </si>
  <si>
    <t>Tyvek Interoffice Envelopes, 9 1/2" x 12 1/2", 100/Box</t>
  </si>
  <si>
    <t>US-2016-140172</t>
  </si>
  <si>
    <t>Honeywell Enviracaire Portable Air Cleaner for up to 8 x 10 Room</t>
  </si>
  <si>
    <t>CA-2016-138520</t>
  </si>
  <si>
    <t>Sauder Barrister Bookcases</t>
  </si>
  <si>
    <t>CA-2016-130477</t>
  </si>
  <si>
    <t>Xerox 1923</t>
  </si>
  <si>
    <t>CA-2016-130946</t>
  </si>
  <si>
    <t>Kensington Orbit Wireless Mobile Trackball for PC and Mac</t>
  </si>
  <si>
    <t>CA-2016-104969</t>
  </si>
  <si>
    <t>#10 Self-Seal White Envelopes</t>
  </si>
  <si>
    <t>CA-2016-124233</t>
  </si>
  <si>
    <t>CA-2016-150000</t>
  </si>
  <si>
    <t>Ampad #10 Peel &amp; Seel Holiday Envelopes</t>
  </si>
  <si>
    <t>US-2016-106600</t>
  </si>
  <si>
    <t>Hon Metal Bookcases, Black</t>
  </si>
  <si>
    <t>CA-2016-134789</t>
  </si>
  <si>
    <t>Eldon Radial Chair Mat for Low to Medium Pile Carpets</t>
  </si>
  <si>
    <t>CA-2016-164672</t>
  </si>
  <si>
    <t>Tenex 46" x 60" Computer Anti-Static Chairmat, Rectangular Shaped</t>
  </si>
  <si>
    <t>CA-2016-106530</t>
  </si>
  <si>
    <t>CA-2016-111696</t>
  </si>
  <si>
    <t>CA-2016-156685</t>
  </si>
  <si>
    <t>Cisco SPA 502G IP Phone</t>
  </si>
  <si>
    <t>CA-2016-112109</t>
  </si>
  <si>
    <t>CA-2016-155474</t>
  </si>
  <si>
    <t>Logitech Mobile Speakerphone P710e - speaker phone</t>
  </si>
  <si>
    <t>CA-2016-152471</t>
  </si>
  <si>
    <t>Jabra SPEAK 410 Multidevice Speakerphone</t>
  </si>
  <si>
    <t>Xerox 1921</t>
  </si>
  <si>
    <t>CA-2016-152520</t>
  </si>
  <si>
    <t>CA-2016-121034</t>
  </si>
  <si>
    <t>Ink Jet Note and Greeting Cards, 8-1/2" x 5-1/2" Card Size</t>
  </si>
  <si>
    <t>CA-2016-169026</t>
  </si>
  <si>
    <t>CA-2016-107328</t>
  </si>
  <si>
    <t>Chromcraft 48" x 96" Racetrack Double Pedestal Table</t>
  </si>
  <si>
    <t>CA-2016-130078</t>
  </si>
  <si>
    <t>Xerox 1954</t>
  </si>
  <si>
    <t>CA-2016-108987</t>
  </si>
  <si>
    <t>Sony 64GB Class 10 Micro SDHC R40 Memory Card</t>
  </si>
  <si>
    <t>CA-2016-113516</t>
  </si>
  <si>
    <t>Square Ring Data Binders, Rigid 75 Pt. Covers, 11" x 14-7/8"</t>
  </si>
  <si>
    <t>US-2016-114174</t>
  </si>
  <si>
    <t>Avery 52</t>
  </si>
  <si>
    <t>US-2016-115455</t>
  </si>
  <si>
    <t>CA-2016-131499</t>
  </si>
  <si>
    <t>Kensington 7 Outlet MasterPiece Power Center with Fax/Phone Line Protection</t>
  </si>
  <si>
    <t>CA-2016-108868</t>
  </si>
  <si>
    <t>Belkin SportFit Armband For iPhone 5s/5c, Fuchsia</t>
  </si>
  <si>
    <t>CA-2016-155138</t>
  </si>
  <si>
    <t>Petty Cash Envelope</t>
  </si>
  <si>
    <t>CA-2016-153101</t>
  </si>
  <si>
    <t>Lesro Round Back Collection Coffee Table, End Table</t>
  </si>
  <si>
    <t>CA-2016-110009</t>
  </si>
  <si>
    <t>Ampad Gold Fibre Wirebound Steno Books, 6" x 9", Gregg Ruled</t>
  </si>
  <si>
    <t>CA-2016-103709</t>
  </si>
  <si>
    <t>Eberhard Faber 3 1/2" Golf Pencils</t>
  </si>
  <si>
    <t>US-2016-126844</t>
  </si>
  <si>
    <t>US-2016-162026</t>
  </si>
  <si>
    <t>CA-2016-149685</t>
  </si>
  <si>
    <t>CA-2016-135636</t>
  </si>
  <si>
    <t>CA-2016-152156</t>
  </si>
  <si>
    <t>Bush Somerset Collection Bookcase</t>
  </si>
  <si>
    <t>CA-2016-117590</t>
  </si>
  <si>
    <t>Electrix Architect's Clamp-On Swing Arm Lamp, Black</t>
  </si>
  <si>
    <t>CA-2016-134425</t>
  </si>
  <si>
    <t>Motorola HK250 Universal Bluetooth Headset</t>
  </si>
  <si>
    <t>CA-2016-124562</t>
  </si>
  <si>
    <t>CA-2016-131289</t>
  </si>
  <si>
    <t>Newell 341</t>
  </si>
  <si>
    <t>Hon 94000 Series Round Tables</t>
  </si>
  <si>
    <t>CA-2016-115224</t>
  </si>
  <si>
    <t>SimpliFile Personal File, Black Granite, 15w x 6-15/16d x 11-1/4h</t>
  </si>
  <si>
    <t>CA-2016-113733</t>
  </si>
  <si>
    <t>Imation 30456 USB Flash Drive 8GB</t>
  </si>
  <si>
    <t>CA-2016-158302</t>
  </si>
  <si>
    <t>CA-2016-160108</t>
  </si>
  <si>
    <t>CA-2016-108882</t>
  </si>
  <si>
    <t>Logitech G500s Laser Gaming Mouse with Adjustable Weight Tuning</t>
  </si>
  <si>
    <t>CA-2016-126543</t>
  </si>
  <si>
    <t>US-2016-112396</t>
  </si>
  <si>
    <t>CA-2016-120803</t>
  </si>
  <si>
    <t>CA-2016-153269</t>
  </si>
  <si>
    <t>Xerox 193</t>
  </si>
  <si>
    <t>CA-2016-126809</t>
  </si>
  <si>
    <t>CA-2016-128517</t>
  </si>
  <si>
    <t>Storex Flexible Poly Binders with Double Pockets</t>
  </si>
  <si>
    <t>CA-2016-117681</t>
  </si>
  <si>
    <t>CA-2016-169166</t>
  </si>
  <si>
    <t>Sony Micro Vault Click 8 GB USB 2.0 Flash Drive</t>
  </si>
  <si>
    <t>CA-2016-109176</t>
  </si>
  <si>
    <t>CA-2016-161158</t>
  </si>
  <si>
    <t>Sanford Pocket Accent Highlighters</t>
  </si>
  <si>
    <t>US-2016-159093</t>
  </si>
  <si>
    <t>TOPS Money Receipt Book, Consecutively Numbered in Red,</t>
  </si>
  <si>
    <t>CA-2016-112382</t>
  </si>
  <si>
    <t>CA-2016-159765</t>
  </si>
  <si>
    <t>US-2016-144057</t>
  </si>
  <si>
    <t>Euro Pro Shark Stick Mini Vacuum</t>
  </si>
  <si>
    <t>Xerox 1911</t>
  </si>
  <si>
    <t>US-2016-139710</t>
  </si>
  <si>
    <t>CA-2016-147368</t>
  </si>
  <si>
    <t>Cisco CP-7937G Unified IP Conference Station Phone</t>
  </si>
  <si>
    <t>CA-2016-122448</t>
  </si>
  <si>
    <t>CA-2016-154662</t>
  </si>
  <si>
    <t>Bush Cubix Conference Tables, Fully Assembled</t>
  </si>
  <si>
    <t>CA-2016-136329</t>
  </si>
  <si>
    <t>US-2016-113649</t>
  </si>
  <si>
    <t>Apple EarPods with Remote and Mic</t>
  </si>
  <si>
    <t>CA-2016-118934</t>
  </si>
  <si>
    <t>Avery Durable Slant Ring Binders</t>
  </si>
  <si>
    <t>CA-2016-110023</t>
  </si>
  <si>
    <t>CA-2016-112893</t>
  </si>
  <si>
    <t>CA-2016-137176</t>
  </si>
  <si>
    <t>Eldon Expressions Punched Metal &amp; Wood Desk Accessories, Black &amp; Cherry</t>
  </si>
  <si>
    <t>CA-2016-116974</t>
  </si>
  <si>
    <t>Mediabridge Sport Armband iPhone 5s</t>
  </si>
  <si>
    <t>US-2016-128909</t>
  </si>
  <si>
    <t>Luxo Professional Magnifying Clamp-On Fluorescent Lamps</t>
  </si>
  <si>
    <t>CA-2016-114748</t>
  </si>
  <si>
    <t>CA-2016-138233</t>
  </si>
  <si>
    <t>CA-2016-137330</t>
  </si>
  <si>
    <t>Newell 318</t>
  </si>
  <si>
    <t>CA-2016-141082</t>
  </si>
  <si>
    <t>Avery 517</t>
  </si>
  <si>
    <t>CA-2016-128923</t>
  </si>
  <si>
    <t>US-2016-161844</t>
  </si>
  <si>
    <t>CA-2016-133340</t>
  </si>
  <si>
    <t>CA-2016-159989</t>
  </si>
  <si>
    <t>ARKON Windshield Dashboard Air Vent Car Mount Holder</t>
  </si>
  <si>
    <t>US-2016-131114</t>
  </si>
  <si>
    <t>CA-2016-149503</t>
  </si>
  <si>
    <t>CA-2016-102092</t>
  </si>
  <si>
    <t>CA-2016-116547</t>
  </si>
  <si>
    <t>Logitech Media Keyboard K200</t>
  </si>
  <si>
    <t>CA-2016-163937</t>
  </si>
  <si>
    <t>US-2016-112977</t>
  </si>
  <si>
    <t>US-2016-122182</t>
  </si>
  <si>
    <t>CA-2016-159016</t>
  </si>
  <si>
    <t>Rediform Voice Mail Log Books</t>
  </si>
  <si>
    <t>CA-2016-169663</t>
  </si>
  <si>
    <t>Okidata MB760 Printer</t>
  </si>
  <si>
    <t>CA-2016-108959</t>
  </si>
  <si>
    <t>US-2016-114622</t>
  </si>
  <si>
    <t>CA-2016-124814</t>
  </si>
  <si>
    <t>Xerox 227</t>
  </si>
  <si>
    <t>Wilson Jones Clip &amp; Carry Folder Binder Tool for Ring Binders, Clear</t>
  </si>
  <si>
    <t>CA-2016-123358</t>
  </si>
  <si>
    <t>GBC Prepunched Paper, 19-Hole, for Binding Systems, 24-lb</t>
  </si>
  <si>
    <t>CA-2016-109652</t>
  </si>
  <si>
    <t>CA-2016-161543</t>
  </si>
  <si>
    <t>CA-2016-133816</t>
  </si>
  <si>
    <t>CA-2016-117625</t>
  </si>
  <si>
    <t>Grip Seal Envelopes</t>
  </si>
  <si>
    <t>CA-2016-113243</t>
  </si>
  <si>
    <t>Bretford “Just In Time” Height-Adjustable Multi-Task Work Tables</t>
  </si>
  <si>
    <t>CA-2016-121993</t>
  </si>
  <si>
    <t>Avery 487</t>
  </si>
  <si>
    <t>CA-2016-126613</t>
  </si>
  <si>
    <t>US-2016-131149</t>
  </si>
  <si>
    <t>CA-2016-134222</t>
  </si>
  <si>
    <t>CA-2016-164924</t>
  </si>
  <si>
    <t>Brother MFC-9340CDW LED All-In-One Printer, Copier Scanner</t>
  </si>
  <si>
    <t>US-2016-118780</t>
  </si>
  <si>
    <t>Acco Perma 2700 Stacking Storage Drawers</t>
  </si>
  <si>
    <t>Wirebound Message Books, Four 2 3/4 x 5 White Forms per Page</t>
  </si>
  <si>
    <t>CA-2016-164350</t>
  </si>
  <si>
    <t>CA-2016-146206</t>
  </si>
  <si>
    <t>CA-2016-112277</t>
  </si>
  <si>
    <t>CA-2016-165918</t>
  </si>
  <si>
    <t>JM Magazine Binder</t>
  </si>
  <si>
    <t>CA-2016-126102</t>
  </si>
  <si>
    <t>US-2016-150357</t>
  </si>
  <si>
    <t>CA-2016-157707</t>
  </si>
  <si>
    <t>Bush Westfield Collection Bookcases, Dark Cherry Finish, Fully Assembled</t>
  </si>
  <si>
    <t>Global Manager's Adjustable Task Chair, Storm</t>
  </si>
  <si>
    <t>CA-2016-126627</t>
  </si>
  <si>
    <t>Eldon 400 Class Desk Accessories, Black Carbon</t>
  </si>
  <si>
    <t>CA-2016-105494</t>
  </si>
  <si>
    <t>CA-2016-163384</t>
  </si>
  <si>
    <t>Xerox 1996</t>
  </si>
  <si>
    <t>CA-2016-137736</t>
  </si>
  <si>
    <t>CA-2016-115588</t>
  </si>
  <si>
    <t>CA-2016-145177</t>
  </si>
  <si>
    <t>Xerox 1924</t>
  </si>
  <si>
    <t>US-2016-144547</t>
  </si>
  <si>
    <t>CA-2016-119935</t>
  </si>
  <si>
    <t>CA-2016-125164</t>
  </si>
  <si>
    <t>Canvas Sectional Post Binders</t>
  </si>
  <si>
    <t>CA-2016-158694</t>
  </si>
  <si>
    <t>Belkin F9S820V06 8 Outlet Surge</t>
  </si>
  <si>
    <t>Newell 338</t>
  </si>
  <si>
    <t>CA-2016-162348</t>
  </si>
  <si>
    <t>Eldon Expressions Wood and Plastic Desk Accessories, Oak</t>
  </si>
  <si>
    <t>CA-2016-152940</t>
  </si>
  <si>
    <t>US-2016-136581</t>
  </si>
  <si>
    <t>CA-2016-140935</t>
  </si>
  <si>
    <t>Sauder Facets Collection Library, Sky Alder Finish</t>
  </si>
  <si>
    <t>CA-2016-127761</t>
  </si>
  <si>
    <t>CA-2016-154739</t>
  </si>
  <si>
    <t>CA-2016-146941</t>
  </si>
  <si>
    <t>CA-2016-128412</t>
  </si>
  <si>
    <t>Holmes HEPA Air Purifier</t>
  </si>
  <si>
    <t>Harmony HEPA Quiet Air Purifiers</t>
  </si>
  <si>
    <t>US-2016-143448</t>
  </si>
  <si>
    <t>CA-2016-147123</t>
  </si>
  <si>
    <t>CA-2016-144309</t>
  </si>
  <si>
    <t>CA-2016-127194</t>
  </si>
  <si>
    <t>CA-2016-100587</t>
  </si>
  <si>
    <t>Xerox 221</t>
  </si>
  <si>
    <t>CA-2016-126529</t>
  </si>
  <si>
    <t>Xerox 2</t>
  </si>
  <si>
    <t>CA-2016-141887</t>
  </si>
  <si>
    <t>CA-2016-164938</t>
  </si>
  <si>
    <t>CA-2016-118255</t>
  </si>
  <si>
    <t>US-2016-128902</t>
  </si>
  <si>
    <t>CA-2016-146171</t>
  </si>
  <si>
    <t>CA-2016-122511</t>
  </si>
  <si>
    <t>CA-2016-162733</t>
  </si>
  <si>
    <t>CA-2016-169922</t>
  </si>
  <si>
    <t>CA-2016-127775</t>
  </si>
  <si>
    <t>CA-2016-142405</t>
  </si>
  <si>
    <t>Logitech G35 7.1-Channel Surround Sound Headset</t>
  </si>
  <si>
    <t>CA-2016-118745</t>
  </si>
  <si>
    <t>CA-2016-128671</t>
  </si>
  <si>
    <t>Premium Transparent Presentation Covers, No Pattern/Clear, 8 1/2" x 11"</t>
  </si>
  <si>
    <t>CA-2016-145625</t>
  </si>
  <si>
    <t>Logitech P710e Mobile Speakerphone</t>
  </si>
  <si>
    <t>CA-2016-121223</t>
  </si>
  <si>
    <t>Xerox 1972</t>
  </si>
  <si>
    <t>CA-2016-164154</t>
  </si>
  <si>
    <t>CA-2016-102162</t>
  </si>
  <si>
    <t>CA-2016-116561</t>
  </si>
  <si>
    <t>CA-2016-153157</t>
  </si>
  <si>
    <t>CA-2016-150007</t>
  </si>
  <si>
    <t>Insertable Tab Indexes For Data Binders</t>
  </si>
  <si>
    <t>CA-2016-143476</t>
  </si>
  <si>
    <t>Crayola Anti Dust Chalk, 12/Pack</t>
  </si>
  <si>
    <t>Xerox 1976</t>
  </si>
  <si>
    <t>CA-2016-130225</t>
  </si>
  <si>
    <t>CA-2016-113390</t>
  </si>
  <si>
    <t>Newell 309</t>
  </si>
  <si>
    <t>CA-2016-124667</t>
  </si>
  <si>
    <t>Micropad Numeric Keypads</t>
  </si>
  <si>
    <t>CA-2016-124506</t>
  </si>
  <si>
    <t>CA-2016-139878</t>
  </si>
  <si>
    <t>CA-2016-130799</t>
  </si>
  <si>
    <t>CA-2016-131968</t>
  </si>
  <si>
    <t>Sanyo 2.5 Cubic Foot Mid-Size Office Refrigerators</t>
  </si>
  <si>
    <t>CA-2016-145548</t>
  </si>
  <si>
    <t>Boston School Pro Electric Pencil Sharpener, 1670</t>
  </si>
  <si>
    <t>CA-2016-116722</t>
  </si>
  <si>
    <t>Magnifier Swing Arm Lamp</t>
  </si>
  <si>
    <t>US-2016-164196</t>
  </si>
  <si>
    <t>Balt Solid Wood Round Tables</t>
  </si>
  <si>
    <t>CA-2016-103128</t>
  </si>
  <si>
    <t>CA-2016-105816</t>
  </si>
  <si>
    <t>US-2016-135720</t>
  </si>
  <si>
    <t>Tennsco Regal Shelving Units</t>
  </si>
  <si>
    <t>CA-2016-160745</t>
  </si>
  <si>
    <t>First Data FD10 PIN Pad</t>
  </si>
  <si>
    <t>US-2016-148803</t>
  </si>
  <si>
    <t>US-2016-132857</t>
  </si>
  <si>
    <t>CA-2016-162187</t>
  </si>
  <si>
    <t>CA-2016-143609</t>
  </si>
  <si>
    <t>CA-2016-165330</t>
  </si>
  <si>
    <t>Boston 16765 Mini Stand Up Battery Pencil Sharpener</t>
  </si>
  <si>
    <t>IBM Multi-Purpose Copy Paper, 8 1/2 x 11", Case</t>
  </si>
  <si>
    <t>Black Avery Memo-Size 3-Ring Binder, 5 1/2" x 8 1/2"</t>
  </si>
  <si>
    <t>US-2016-151260</t>
  </si>
  <si>
    <t>CA-2016-110492</t>
  </si>
  <si>
    <t>CA-2016-115504</t>
  </si>
  <si>
    <t>CA-2016-119683</t>
  </si>
  <si>
    <t>CA-2016-127138</t>
  </si>
  <si>
    <t>Tennsco Stur-D-Stor Boltless Shelving, 5 Shelves, 24" Deep, Sand</t>
  </si>
  <si>
    <t>US-2016-119270</t>
  </si>
  <si>
    <t>Hammermill Color Copier Paper (28Lb. and 96 Bright)</t>
  </si>
  <si>
    <t>CA-2016-112102</t>
  </si>
  <si>
    <t>CA-2016-142398</t>
  </si>
  <si>
    <t>CA-2016-163594</t>
  </si>
  <si>
    <t>Xerox 206</t>
  </si>
  <si>
    <t>CA-2016-124254</t>
  </si>
  <si>
    <t>TOPS "Important Message" Pads, Canary, 4-1/4 x 5-1/2, 50 Sheets per Pad</t>
  </si>
  <si>
    <t>CA-2016-109911</t>
  </si>
  <si>
    <t>US-2016-101196</t>
  </si>
  <si>
    <t>CA-2016-167416</t>
  </si>
  <si>
    <t>Manila Recycled Extra-Heavyweight Clasp Envelopes, 6" x 9"</t>
  </si>
  <si>
    <t>CA-2016-100510</t>
  </si>
  <si>
    <t>US-2016-123610</t>
  </si>
  <si>
    <t>Memorex Mini Travel Drive 32 GB USB 2.0 Flash Drive</t>
  </si>
  <si>
    <t>CA-2016-138688</t>
  </si>
  <si>
    <t>CA-2016-127208</t>
  </si>
  <si>
    <t>1.7 Cubic Foot Compact "Cube" Office Refrigerators</t>
  </si>
  <si>
    <t>Avery Heavy-Duty EZD  Binder With Locking Rings</t>
  </si>
  <si>
    <t>CA-2016-103730</t>
  </si>
  <si>
    <t>CA-2016-147375</t>
  </si>
  <si>
    <t>Canon Color ImageCLASS MF8580Cdw Wireless Laser All-In-One Printer, Copier, Scanner</t>
  </si>
  <si>
    <t>CA-2016-164035</t>
  </si>
  <si>
    <t>CA-2016-139941</t>
  </si>
  <si>
    <t>CA-2016-104633</t>
  </si>
  <si>
    <t>Xerox 228</t>
  </si>
  <si>
    <t>CA-2016-120824</t>
  </si>
  <si>
    <t>Dax Clear Box Frame</t>
  </si>
  <si>
    <t>Xerox 1975</t>
  </si>
  <si>
    <t>CA-2016-103891</t>
  </si>
  <si>
    <t>CA-2016-167584</t>
  </si>
  <si>
    <t>CA-2016-155845</t>
  </si>
  <si>
    <t>Logitech diNovo Edge Keyboard</t>
  </si>
  <si>
    <t>CA-2016-143910</t>
  </si>
  <si>
    <t>CA-2016-118073</t>
  </si>
  <si>
    <t>CA-2016-105459</t>
  </si>
  <si>
    <t>US-2016-144477</t>
  </si>
  <si>
    <t>CA-2016-142902</t>
  </si>
  <si>
    <t>CA-2016-128811</t>
  </si>
  <si>
    <t>CA-2016-123946</t>
  </si>
  <si>
    <t>CA-2016-152457</t>
  </si>
  <si>
    <t>Xerox 1991</t>
  </si>
  <si>
    <t>CA-2016-151148</t>
  </si>
  <si>
    <t>CA-2016-113082</t>
  </si>
  <si>
    <t>DAX Contemporary Wood Frame with Silver Metal Mat, Desktop, 11 x 14 Size</t>
  </si>
  <si>
    <t>CA-2016-134348</t>
  </si>
  <si>
    <t>Round Ring Binders</t>
  </si>
  <si>
    <t>CA-2016-152170</t>
  </si>
  <si>
    <t>Tyvek  Top-Opening Peel &amp; Seel  Envelopes, Gray</t>
  </si>
  <si>
    <t>CA-2016-124590</t>
  </si>
  <si>
    <t>CA-2016-164399</t>
  </si>
  <si>
    <t>Panasonic KX TS3282W Corded phone</t>
  </si>
  <si>
    <t>CA-2016-149349</t>
  </si>
  <si>
    <t>US-2016-108777</t>
  </si>
  <si>
    <t>CA-2016-139395</t>
  </si>
  <si>
    <t>US-2016-169369</t>
  </si>
  <si>
    <t>Case Logic 2.4GHz Wireless Keyboard</t>
  </si>
  <si>
    <t>Xerox 1907</t>
  </si>
  <si>
    <t>CA-2016-136686</t>
  </si>
  <si>
    <t>CA-2016-169824</t>
  </si>
  <si>
    <t>Fiskars Home &amp; Office Scissors</t>
  </si>
  <si>
    <t>CA-2017-107503</t>
  </si>
  <si>
    <t>CA-2017-144463</t>
  </si>
  <si>
    <t>Howard Miller 11-1/2" Diameter Brentwood Wall Clock</t>
  </si>
  <si>
    <t>CA-2017-154466</t>
  </si>
  <si>
    <t>Wilson Jones Easy Flow II Sheet Lifters</t>
  </si>
  <si>
    <t>CA-2017-151750</t>
  </si>
  <si>
    <t>CA-2017-145877</t>
  </si>
  <si>
    <t>CA-2017-147942</t>
  </si>
  <si>
    <t>Avery 498</t>
  </si>
  <si>
    <t>CA-2017-149881</t>
  </si>
  <si>
    <t>Cubify CubeX 3D Printer Double Head Print</t>
  </si>
  <si>
    <t>CA-2017-118360</t>
  </si>
  <si>
    <t>CA-2017-134495</t>
  </si>
  <si>
    <t>CA-2017-129028</t>
  </si>
  <si>
    <t>CA-2017-110212</t>
  </si>
  <si>
    <t>CA-2017-102204</t>
  </si>
  <si>
    <t>Kleencut Forged Office Shears by Acme United Corporation</t>
  </si>
  <si>
    <t>CA-2017-110198</t>
  </si>
  <si>
    <t>US-2017-112928</t>
  </si>
  <si>
    <t>Eureka Sanitaire  Multi-Pro Heavy-Duty Upright, Disposable Bags</t>
  </si>
  <si>
    <t>CA-2017-106831</t>
  </si>
  <si>
    <t>CA-2017-146493</t>
  </si>
  <si>
    <t>CA-2017-157413</t>
  </si>
  <si>
    <t>CA-2017-121559</t>
  </si>
  <si>
    <t>Maxell LTO Ultrium - 800 GB</t>
  </si>
  <si>
    <t>US-2017-148362</t>
  </si>
  <si>
    <t>CA-2017-135034</t>
  </si>
  <si>
    <t>CA-2017-133235</t>
  </si>
  <si>
    <t>CA-2017-162691</t>
  </si>
  <si>
    <t>Xerox 1998</t>
  </si>
  <si>
    <t>CA-2017-124576</t>
  </si>
  <si>
    <t>CA-2017-168942</t>
  </si>
  <si>
    <t>CA-2017-131625</t>
  </si>
  <si>
    <t>Seth Thomas 12" Clock w/ Goldtone Case</t>
  </si>
  <si>
    <t>CA-2017-107909</t>
  </si>
  <si>
    <t>Avery Metallic Poly Binders</t>
  </si>
  <si>
    <t>US-2017-135230</t>
  </si>
  <si>
    <t>CA-2017-145653</t>
  </si>
  <si>
    <t>CA-2017-128041</t>
  </si>
  <si>
    <t>CA-2017-152275</t>
  </si>
  <si>
    <t>Design Ebony Sketching Pencil</t>
  </si>
  <si>
    <t>CA-2017-156951</t>
  </si>
  <si>
    <t>Personal Creations Ink Jet Cards and Labels</t>
  </si>
  <si>
    <t>CA-2017-129378</t>
  </si>
  <si>
    <t>CA-2017-113418</t>
  </si>
  <si>
    <t>CA-2017-117807</t>
  </si>
  <si>
    <t>US-2017-139577</t>
  </si>
  <si>
    <t>Sony 32GB Class 10 Micro SDHC R40 Memory Card</t>
  </si>
  <si>
    <t>CA-2017-123967</t>
  </si>
  <si>
    <t>CA-2017-104136</t>
  </si>
  <si>
    <t>CA-2017-135860</t>
  </si>
  <si>
    <t>CA-2017-163139</t>
  </si>
  <si>
    <t>Safco Industrial Shelving</t>
  </si>
  <si>
    <t>Acco 3-Hole Punch</t>
  </si>
  <si>
    <t>CA-2017-145233</t>
  </si>
  <si>
    <t>Jabra BIZ 2300 Duo QD Duo Corded Headset</t>
  </si>
  <si>
    <t>CA-2017-144862</t>
  </si>
  <si>
    <t>Quality Park Security Envelopes</t>
  </si>
  <si>
    <t>CA-2017-113355</t>
  </si>
  <si>
    <t>CA-2017-118542</t>
  </si>
  <si>
    <t>Xerox 1905</t>
  </si>
  <si>
    <t>CA-2017-127313</t>
  </si>
  <si>
    <t>Personal File Boxes with Fold-Down Carry Handle</t>
  </si>
  <si>
    <t>Ultra Door Kickplate, 8"H x 34"W</t>
  </si>
  <si>
    <t>CA-2017-143245</t>
  </si>
  <si>
    <t>CA-2017-145660</t>
  </si>
  <si>
    <t>CA-2017-138618</t>
  </si>
  <si>
    <t>CA-2017-166926</t>
  </si>
  <si>
    <t>CA-2017-101805</t>
  </si>
  <si>
    <t>CA-2017-103968</t>
  </si>
  <si>
    <t>CA-2017-122539</t>
  </si>
  <si>
    <t>Acco Pressboard Covers with Storage Hooks, 14 7/8" x 11", Dark Blue</t>
  </si>
  <si>
    <t>CA-2017-113481</t>
  </si>
  <si>
    <t>Avery 3 1/2" Diskette Storage Pages, 10/Pack</t>
  </si>
  <si>
    <t>CA-2017-147207</t>
  </si>
  <si>
    <t>Hoover Commercial SteamVac</t>
  </si>
  <si>
    <t>CA-2017-118668</t>
  </si>
  <si>
    <t>US-2017-164147</t>
  </si>
  <si>
    <t>CA-2017-161333</t>
  </si>
  <si>
    <t>CA-2017-128076</t>
  </si>
  <si>
    <t>GBC Durable Plastic Covers</t>
  </si>
  <si>
    <t>HP Officejet Pro 8600 e-All-In-One Printer, Copier, Scanner, Fax</t>
  </si>
  <si>
    <t>CA-2017-146024</t>
  </si>
  <si>
    <t>CA-2017-163902</t>
  </si>
  <si>
    <t>Logitech G13 Programmable Gameboard with LCD Display</t>
  </si>
  <si>
    <t>CA-2017-104885</t>
  </si>
  <si>
    <t>CA-2017-152261</t>
  </si>
  <si>
    <t>CA-2017-155712</t>
  </si>
  <si>
    <t>CA-2017-124114</t>
  </si>
  <si>
    <t>US-2017-123281</t>
  </si>
  <si>
    <t>CA-2017-121419</t>
  </si>
  <si>
    <t>CA-2017-106355</t>
  </si>
  <si>
    <t>CA-2017-145275</t>
  </si>
  <si>
    <t>CA-2017-123134</t>
  </si>
  <si>
    <t>US-2017-128398</t>
  </si>
  <si>
    <t>CA-2017-147844</t>
  </si>
  <si>
    <t>CA-2017-127705</t>
  </si>
  <si>
    <t>CA-2017-140760</t>
  </si>
  <si>
    <t>CA-2017-158883</t>
  </si>
  <si>
    <t>CA-2017-143294</t>
  </si>
  <si>
    <t>CA-2017-107958</t>
  </si>
  <si>
    <t>CA-2017-114552</t>
  </si>
  <si>
    <t>Eldon 200 Class Desk Accessories, Burgundy</t>
  </si>
  <si>
    <t>CA-2017-137596</t>
  </si>
  <si>
    <t>Polycom CX600 IP Phone VoIP phone</t>
  </si>
  <si>
    <t>Maxell iVDR EX 500GB Cartridge</t>
  </si>
  <si>
    <t>CA-2017-114216</t>
  </si>
  <si>
    <t>CA-2017-110380</t>
  </si>
  <si>
    <t>Pencil and Crayon Sharpener</t>
  </si>
  <si>
    <t>CA-2017-157987</t>
  </si>
  <si>
    <t>BIC Brite Liner Grip Highlighters</t>
  </si>
  <si>
    <t>CA-2017-123001</t>
  </si>
  <si>
    <t>Ooma Telo VoIP Home Phone System</t>
  </si>
  <si>
    <t>CA-2017-145037</t>
  </si>
  <si>
    <t>Xerox 1890</t>
  </si>
  <si>
    <t>CA-2017-111220</t>
  </si>
  <si>
    <t>CA-2017-113075</t>
  </si>
  <si>
    <t>US-2017-163657</t>
  </si>
  <si>
    <t>Hon 2111 Invitation Series Straight Table</t>
  </si>
  <si>
    <t>CA-2017-111388</t>
  </si>
  <si>
    <t>CA-2017-146983</t>
  </si>
  <si>
    <t>CA-2017-102218</t>
  </si>
  <si>
    <t>CA-2017-169327</t>
  </si>
  <si>
    <t>Luxo Professional Combination Clamp-On Lamps</t>
  </si>
  <si>
    <t>CA-2017-126074</t>
  </si>
  <si>
    <t>Nu-Dell Leatherette Frames</t>
  </si>
  <si>
    <t>CA-2017-147564</t>
  </si>
  <si>
    <t>CA-2017-123981</t>
  </si>
  <si>
    <t>Plantronics 81402</t>
  </si>
  <si>
    <t>CA-2017-101308</t>
  </si>
  <si>
    <t>i.Sound Portable Power - 8000 mAh</t>
  </si>
  <si>
    <t>CA-2017-105914</t>
  </si>
  <si>
    <t>US-2017-162558</t>
  </si>
  <si>
    <t>Chromcraft Bull-Nose Wood Oval Conference Tables &amp; Bases</t>
  </si>
  <si>
    <t>Lock-Up Easel 'Spel-Binder'</t>
  </si>
  <si>
    <t>CA-2017-116113</t>
  </si>
  <si>
    <t>Master Caster Door Stop, Gray</t>
  </si>
  <si>
    <t>CA-2017-141117</t>
  </si>
  <si>
    <t>CA-2017-137414</t>
  </si>
  <si>
    <t>Ricoh - Ink Collector Unit for GX3000 Series Printers</t>
  </si>
  <si>
    <t>CA-2017-152926</t>
  </si>
  <si>
    <t>Acco 6 Outlet Guardian Premium Plus Surge Suppressor</t>
  </si>
  <si>
    <t>CA-2017-164049</t>
  </si>
  <si>
    <t>CA-2017-116358</t>
  </si>
  <si>
    <t>US-2017-163790</t>
  </si>
  <si>
    <t>Document Clip Frames</t>
  </si>
  <si>
    <t>Space Solutions Commercial Steel Shelving</t>
  </si>
  <si>
    <t>CA-2017-143567</t>
  </si>
  <si>
    <t>CA-2017-127782</t>
  </si>
  <si>
    <t>Eldon Image Series Black Desk Accessories</t>
  </si>
  <si>
    <t>Colored Envelopes</t>
  </si>
  <si>
    <t>CA-2017-168179</t>
  </si>
  <si>
    <t>CA-2017-141425</t>
  </si>
  <si>
    <t>US-2017-115609</t>
  </si>
  <si>
    <t>Fellowes 8 Outlet Superior Workstation Surge Protector w/o Phone/Fax/Modem Protection</t>
  </si>
  <si>
    <t>US-2017-145597</t>
  </si>
  <si>
    <t>CA-2017-167227</t>
  </si>
  <si>
    <t>CA-2017-120061</t>
  </si>
  <si>
    <t>CA-2017-169005</t>
  </si>
  <si>
    <t>CA-2017-116715</t>
  </si>
  <si>
    <t>Xerox 1940</t>
  </si>
  <si>
    <t>US-2017-108063</t>
  </si>
  <si>
    <t>US-2017-147221</t>
  </si>
  <si>
    <t>CA-2017-164917</t>
  </si>
  <si>
    <t>CA-2017-109701</t>
  </si>
  <si>
    <t>CA-2017-155089</t>
  </si>
  <si>
    <t>CA-2017-155075</t>
  </si>
  <si>
    <t>CA-2017-160885</t>
  </si>
  <si>
    <t>CA-2017-102379</t>
  </si>
  <si>
    <t>CA-2017-143756</t>
  </si>
  <si>
    <t>CA-2017-104108</t>
  </si>
  <si>
    <t>CA-2017-165715</t>
  </si>
  <si>
    <t>US-2017-112347</t>
  </si>
  <si>
    <t>Hon 4-Shelf Metal Bookcases</t>
  </si>
  <si>
    <t>Seidio BD2-HK3IPH5-BK DILEX Case and Holster Combo for Apple iPhone 5/5s - Black</t>
  </si>
  <si>
    <t>Macally Suction Cup Mount</t>
  </si>
  <si>
    <t>CA-2017-147767</t>
  </si>
  <si>
    <t>CA-2017-157469</t>
  </si>
  <si>
    <t>AT&amp;T CL2909</t>
  </si>
  <si>
    <t>CA-2017-167395</t>
  </si>
  <si>
    <t>US-2017-114034</t>
  </si>
  <si>
    <t>CA-2017-111738</t>
  </si>
  <si>
    <t>GBC ProClick 150 Presentation Binding System</t>
  </si>
  <si>
    <t>CA-2017-167703</t>
  </si>
  <si>
    <t>CA-2017-126354</t>
  </si>
  <si>
    <t>CA-2017-127474</t>
  </si>
  <si>
    <t>Xerox 189</t>
  </si>
  <si>
    <t>CA-2017-121804</t>
  </si>
  <si>
    <t>CA-2017-127621</t>
  </si>
  <si>
    <t>CA-2017-111815</t>
  </si>
  <si>
    <t>CA-2017-123085</t>
  </si>
  <si>
    <t>Imation Bio 2GB USB Flash Drive Imation Corp</t>
  </si>
  <si>
    <t>CA-2017-117513</t>
  </si>
  <si>
    <t>CA-2017-131156</t>
  </si>
  <si>
    <t>CA-2017-127264</t>
  </si>
  <si>
    <t>CA-2017-132178</t>
  </si>
  <si>
    <t>Fellowes Stor/Drawer Steel Plus Storage Drawers</t>
  </si>
  <si>
    <t>CA-2017-163209</t>
  </si>
  <si>
    <t>CA-2017-132199</t>
  </si>
  <si>
    <t>Career Cubicle Clock, 8 1/4", Black</t>
  </si>
  <si>
    <t>CA-2017-126382</t>
  </si>
  <si>
    <t>CA-2017-150420</t>
  </si>
  <si>
    <t>Plantronics Audio 995 Wireless Stereo Headset</t>
  </si>
  <si>
    <t>CA-2017-145772</t>
  </si>
  <si>
    <t>CA-2017-140872</t>
  </si>
  <si>
    <t>CA-2017-113908</t>
  </si>
  <si>
    <t>Hewlett-Packard 300S Scientific Calculator</t>
  </si>
  <si>
    <t>CA-2017-145506</t>
  </si>
  <si>
    <t>US-2017-126179</t>
  </si>
  <si>
    <t>Westinghouse Floor Lamp with Metal Mesh Shade, Black</t>
  </si>
  <si>
    <t>CA-2017-124828</t>
  </si>
  <si>
    <t>CA-2017-111647</t>
  </si>
  <si>
    <t>CA-2017-121503</t>
  </si>
  <si>
    <t>Hewlett-Packard Deskjet 5550 Printer</t>
  </si>
  <si>
    <t>CA-2017-140053</t>
  </si>
  <si>
    <t>US-2017-111024</t>
  </si>
  <si>
    <t>CA-2017-168109</t>
  </si>
  <si>
    <t>Okidata MB491 Multifunction Printer</t>
  </si>
  <si>
    <t>Square Credit Card Reader, 4 1/2" x 4 1/2" x 1", White</t>
  </si>
  <si>
    <t>US-2017-129777</t>
  </si>
  <si>
    <t>CA-2017-169124</t>
  </si>
  <si>
    <t>CA-2017-139437</t>
  </si>
  <si>
    <t>US-2017-166233</t>
  </si>
  <si>
    <t>CA-2017-106747</t>
  </si>
  <si>
    <t>CA-2017-165386</t>
  </si>
  <si>
    <t>O'Sullivan Elevations Bookcase, Cherry Finish</t>
  </si>
  <si>
    <t>CA-2017-168396</t>
  </si>
  <si>
    <t>US-2017-143175</t>
  </si>
  <si>
    <t>Fellowes Bases and Tops For Staxonsteel/High-Stak Systems</t>
  </si>
  <si>
    <t>CA-2017-140781</t>
  </si>
  <si>
    <t>CA-2017-141747</t>
  </si>
  <si>
    <t>Letter/Legal File Tote with Clear Snap-On Lid, Black Granite</t>
  </si>
  <si>
    <t>CA-2017-163566</t>
  </si>
  <si>
    <t>US-2017-122637</t>
  </si>
  <si>
    <t>CA-2017-146136</t>
  </si>
  <si>
    <t>CA-2017-161823</t>
  </si>
  <si>
    <t>CA-2017-123022</t>
  </si>
  <si>
    <t>Kensington Expert Mouse Optical USB Trackball for PC or Mac</t>
  </si>
  <si>
    <t>CA-2017-161067</t>
  </si>
  <si>
    <t>Office Star Flex Back Scooter Chair with Aluminum Finish Frame</t>
  </si>
  <si>
    <t>US-2017-153255</t>
  </si>
  <si>
    <t>CA-2017-161557</t>
  </si>
  <si>
    <t>CA-2017-167626</t>
  </si>
  <si>
    <t>"While you Were Out" Message Book, One Form per Page</t>
  </si>
  <si>
    <t>CA-2017-141789</t>
  </si>
  <si>
    <t>CA-2017-134607</t>
  </si>
  <si>
    <t>CA-2017-101749</t>
  </si>
  <si>
    <t>CA-2017-149853</t>
  </si>
  <si>
    <t>Hoover Portapower Portable Vacuum</t>
  </si>
  <si>
    <t>CA-2017-143035</t>
  </si>
  <si>
    <t>Quartet Alpha White Chalk, 12/Pack</t>
  </si>
  <si>
    <t>CA-2017-144820</t>
  </si>
  <si>
    <t>CA-2017-153339</t>
  </si>
  <si>
    <t>CA-2017-142636</t>
  </si>
  <si>
    <t>Global Deluxe Office Fabric Chairs</t>
  </si>
  <si>
    <t>CA-2017-126046</t>
  </si>
  <si>
    <t>CA-2017-143329</t>
  </si>
  <si>
    <t>CA-2017-121615</t>
  </si>
  <si>
    <t>CA-2017-110429</t>
  </si>
  <si>
    <t>Mead 1st Gear 2" Zipper Binder, Asst. Colors</t>
  </si>
  <si>
    <t>US-2017-110989</t>
  </si>
  <si>
    <t>CA-2017-103009</t>
  </si>
  <si>
    <t>CA-2017-148320</t>
  </si>
  <si>
    <t>Xerox 1992</t>
  </si>
  <si>
    <t>CA-2017-161130</t>
  </si>
  <si>
    <t>US-2017-101518</t>
  </si>
  <si>
    <t>US-2017-105998</t>
  </si>
  <si>
    <t>CA-2017-130834</t>
  </si>
  <si>
    <t>Strathmore Photo Mount Cards</t>
  </si>
  <si>
    <t>US-2017-168802</t>
  </si>
  <si>
    <t>CA-2017-135419</t>
  </si>
  <si>
    <t>CA-2017-100622</t>
  </si>
  <si>
    <t>Canon Image Class D660 Copier</t>
  </si>
  <si>
    <t>CA-2017-148691</t>
  </si>
  <si>
    <t>CA-2017-136875</t>
  </si>
  <si>
    <t>Xerox 1888</t>
  </si>
  <si>
    <t>CA-2017-128699</t>
  </si>
  <si>
    <t>US-2017-149510</t>
  </si>
  <si>
    <t>CA-2017-143126</t>
  </si>
  <si>
    <t>CA-2017-103415</t>
  </si>
  <si>
    <t>CA-2017-123071</t>
  </si>
  <si>
    <t>CA-2017-118017</t>
  </si>
  <si>
    <t>Memorex Micro Travel Drive 16 GB</t>
  </si>
  <si>
    <t>DAX Two-Tone Silver Metal Document Frame</t>
  </si>
  <si>
    <t>CA-2017-169474</t>
  </si>
  <si>
    <t>CA-2017-110478</t>
  </si>
  <si>
    <t>CA-2017-142174</t>
  </si>
  <si>
    <t>US-2017-119816</t>
  </si>
  <si>
    <t>Avery 497</t>
  </si>
  <si>
    <t>CA-2017-157903</t>
  </si>
  <si>
    <t>CA-2017-144848</t>
  </si>
  <si>
    <t>Panasonic KX - TS880B Telephone</t>
  </si>
  <si>
    <t>CA-2017-109211</t>
  </si>
  <si>
    <t>CA-2017-140536</t>
  </si>
  <si>
    <t>CA-2017-162978</t>
  </si>
  <si>
    <t>Motorola L804</t>
  </si>
  <si>
    <t>CA-2017-128755</t>
  </si>
  <si>
    <t>Tenex Personal Self-Stacking Standard File Box, Black/Gray</t>
  </si>
  <si>
    <t>CA-2017-168900</t>
  </si>
  <si>
    <t>CA-2017-133067</t>
  </si>
  <si>
    <t>CA-2017-119914</t>
  </si>
  <si>
    <t>CA-2017-158407</t>
  </si>
  <si>
    <t>Innergie mMini Combo Duo USB Travel Charging Kit</t>
  </si>
  <si>
    <t>CA-2017-100426</t>
  </si>
  <si>
    <t>Ampad Phone Message Book, Recycled, 400 Message Capacity, 5 ¾” x 11”</t>
  </si>
  <si>
    <t>CA-2017-158106</t>
  </si>
  <si>
    <t>Newell 346</t>
  </si>
  <si>
    <t>CA-2017-158953</t>
  </si>
  <si>
    <t>CA-2017-133095</t>
  </si>
  <si>
    <t>CA-2017-149720</t>
  </si>
  <si>
    <t>CA-2017-132738</t>
  </si>
  <si>
    <t>Hammermill CopyPlus Copy Paper (20Lb. and 84 Bright)</t>
  </si>
  <si>
    <t>CA-2017-146367</t>
  </si>
  <si>
    <t>CA-2017-152485</t>
  </si>
  <si>
    <t>Sanford Colorific Eraseable Coloring Pencils, 12 Count</t>
  </si>
  <si>
    <t>CA-2017-120761</t>
  </si>
  <si>
    <t>CA-2017-102750</t>
  </si>
  <si>
    <t>CA-2017-101182</t>
  </si>
  <si>
    <t>CA-2017-140326</t>
  </si>
  <si>
    <t>Bush Birmingham Collection Bookcase, Dark Cherry</t>
  </si>
  <si>
    <t>CA-2017-109757</t>
  </si>
  <si>
    <t>Telephone Message Books with Fax/Mobile Section, 4 1/4" x 6"</t>
  </si>
  <si>
    <t>CA-2017-141929</t>
  </si>
  <si>
    <t>QVS USB Car Charger 2-Port 2.1Amp for iPod/iPhone/iPad/iPad 2/iPad 3</t>
  </si>
  <si>
    <t>CA-2017-117394</t>
  </si>
  <si>
    <t>CA-2017-117261</t>
  </si>
  <si>
    <t>CA-2017-116680</t>
  </si>
  <si>
    <t>US-2017-166394</t>
  </si>
  <si>
    <t>CA-2017-147410</t>
  </si>
  <si>
    <t>24 Capacity Maxi Data Binder Racks, Pearl</t>
  </si>
  <si>
    <t>US-2017-117450</t>
  </si>
  <si>
    <t>CA-2017-100783</t>
  </si>
  <si>
    <t>CA-2017-137582</t>
  </si>
  <si>
    <t>US-2017-147655</t>
  </si>
  <si>
    <t>Avery Trapezoid Extra Heavy Duty 4" Binders</t>
  </si>
  <si>
    <t>CA-2017-163818</t>
  </si>
  <si>
    <t>US-2017-168116</t>
  </si>
  <si>
    <t>Cubify CubeX 3D Printer Triple Head Print</t>
  </si>
  <si>
    <t>US-2017-156083</t>
  </si>
  <si>
    <t>Adams Telephone Message Books, 5 1/4” x 11”</t>
  </si>
  <si>
    <t>CA-2017-105144</t>
  </si>
  <si>
    <t>CA-2017-147760</t>
  </si>
  <si>
    <t>Motorola Moto X</t>
  </si>
  <si>
    <t>CA-2017-102610</t>
  </si>
  <si>
    <t>iOttie XL Car Mount</t>
  </si>
  <si>
    <t>CA-2017-121160</t>
  </si>
  <si>
    <t>US-2017-122672</t>
  </si>
  <si>
    <t>CA-2017-159135</t>
  </si>
  <si>
    <t>CA-2017-156412</t>
  </si>
  <si>
    <t>CA-2017-139773</t>
  </si>
  <si>
    <t>CA-2017-117667</t>
  </si>
  <si>
    <t>Xerox 1956</t>
  </si>
  <si>
    <t>CA-2017-152660</t>
  </si>
  <si>
    <t>US-2017-107384</t>
  </si>
  <si>
    <t>First Data TMFD35 PIN Pad</t>
  </si>
  <si>
    <t>Logitech G430 Surround Sound Gaming Headset with Dolby 7.1 Technology</t>
  </si>
  <si>
    <t>CA-2017-109183</t>
  </si>
  <si>
    <t>CA-2017-160031</t>
  </si>
  <si>
    <t>CA-2017-153227</t>
  </si>
  <si>
    <t>CA-2017-118003</t>
  </si>
  <si>
    <t>Tensor "Hersey Kiss" Styled Floor Lamp</t>
  </si>
  <si>
    <t>CA-2017-147550</t>
  </si>
  <si>
    <t>CA-2017-131282</t>
  </si>
  <si>
    <t>CA-2017-107517</t>
  </si>
  <si>
    <t>Sanyo Counter Height Refrigerator with Crisper, 3.6 Cubic Foot, Stainless Steel/Black</t>
  </si>
  <si>
    <t>CA-2017-147753</t>
  </si>
  <si>
    <t>Avery 515</t>
  </si>
  <si>
    <t>CA-2017-168123</t>
  </si>
  <si>
    <t>CA-2017-161046</t>
  </si>
  <si>
    <t>Kensington 7 Outlet MasterPiece HOMEOFFICE Power Control Center</t>
  </si>
  <si>
    <t>US-2017-141943</t>
  </si>
  <si>
    <t>Peel &amp; Seel Recycled Catalog Envelopes, Brown</t>
  </si>
  <si>
    <t>CA-2017-105991</t>
  </si>
  <si>
    <t>CA-2017-160724</t>
  </si>
  <si>
    <t>CA-2017-107552</t>
  </si>
  <si>
    <t>CA-2017-126788</t>
  </si>
  <si>
    <t>CA-2017-141614</t>
  </si>
  <si>
    <t>CA-2017-100223</t>
  </si>
  <si>
    <t>CA-2017-104388</t>
  </si>
  <si>
    <t>CA-2017-117695</t>
  </si>
  <si>
    <t>CA-2017-154676</t>
  </si>
  <si>
    <t>Tennsco Lockers, Sand</t>
  </si>
  <si>
    <t>CA-2017-128328</t>
  </si>
  <si>
    <t>CA-2017-107293</t>
  </si>
  <si>
    <t>CA-2017-120705</t>
  </si>
  <si>
    <t>CA-2017-102736</t>
  </si>
  <si>
    <t>US-2017-103247</t>
  </si>
  <si>
    <t>CA-2017-167661</t>
  </si>
  <si>
    <t>CA-2017-143112</t>
  </si>
  <si>
    <t>3D Systems Cube Printer, 2nd Generation, Magenta</t>
  </si>
  <si>
    <t>CA-2017-157672</t>
  </si>
  <si>
    <t>CA-2017-131807</t>
  </si>
  <si>
    <t>Hoover Replacement Belts For Soft Guard &amp; Commercial Ltweight Upright Vacs, 2/Pk</t>
  </si>
  <si>
    <t>US-2017-107272</t>
  </si>
  <si>
    <t>US-2017-111745</t>
  </si>
  <si>
    <t>CA-2017-116225</t>
  </si>
  <si>
    <t>CA-2017-154732</t>
  </si>
  <si>
    <t>CA-2017-114258</t>
  </si>
  <si>
    <t>CA-2017-157196</t>
  </si>
  <si>
    <t>CA-2017-102925</t>
  </si>
  <si>
    <t>CA-2017-118213</t>
  </si>
  <si>
    <t>CA-2017-130351</t>
  </si>
  <si>
    <t>CA-2017-126865</t>
  </si>
  <si>
    <t>CA-2017-104066</t>
  </si>
  <si>
    <t>CA-2017-105235</t>
  </si>
  <si>
    <t>Seth Thomas 14" Putty-Colored Wall Clock</t>
  </si>
  <si>
    <t>CA-2017-131212</t>
  </si>
  <si>
    <t>US-2017-126053</t>
  </si>
  <si>
    <t>Self-Adhesive Removable Labels</t>
  </si>
  <si>
    <t>CA-2017-156958</t>
  </si>
  <si>
    <t>CA-2017-117128</t>
  </si>
  <si>
    <t>CA-2017-150931</t>
  </si>
  <si>
    <t>CA-2017-122994</t>
  </si>
  <si>
    <t>CA-2017-115105</t>
  </si>
  <si>
    <t>US-2017-101840</t>
  </si>
  <si>
    <t>Acco Recycled 2" Capacity Laser Printer Hanging Data Binders</t>
  </si>
  <si>
    <t>CA-2017-154102</t>
  </si>
  <si>
    <t>CA-2017-168193</t>
  </si>
  <si>
    <t>US-2017-119039</t>
  </si>
  <si>
    <t>Economy Binders</t>
  </si>
  <si>
    <t>CA-2017-125101</t>
  </si>
  <si>
    <t>File Shuttle II and Handi-File, Black</t>
  </si>
  <si>
    <t>CA-2017-167640</t>
  </si>
  <si>
    <t>CA-2017-148642</t>
  </si>
  <si>
    <t>CA-2017-107265</t>
  </si>
  <si>
    <t>CA-2017-161592</t>
  </si>
  <si>
    <t>CA-2017-140242</t>
  </si>
  <si>
    <t>CA-2017-167668</t>
  </si>
  <si>
    <t>CA-2017-156769</t>
  </si>
  <si>
    <t>US-2017-133200</t>
  </si>
  <si>
    <t>CA-2017-144498</t>
  </si>
  <si>
    <t>Avery 4027 File Folder Labels for Dot Matrix Printers, 5000 Labels per Box, White</t>
  </si>
  <si>
    <t>CA-2017-133487</t>
  </si>
  <si>
    <t>CA-2017-145779</t>
  </si>
  <si>
    <t>US-2017-162124</t>
  </si>
  <si>
    <t>US-2017-131849</t>
  </si>
  <si>
    <t>Eldon 300 Class Desk Accessories, Black</t>
  </si>
  <si>
    <t>US-2017-124303</t>
  </si>
  <si>
    <t>Wirebound Message Books, 5-1/2 x 4 Forms, 2 or 4 Forms per Page</t>
  </si>
  <si>
    <t>US-2017-152492</t>
  </si>
  <si>
    <t>US-2017-101784</t>
  </si>
  <si>
    <t>CA-2017-161200</t>
  </si>
  <si>
    <t>CA-2017-136609</t>
  </si>
  <si>
    <t>CA-2017-151981</t>
  </si>
  <si>
    <t>CA-2017-168172</t>
  </si>
  <si>
    <t>US-2017-148054</t>
  </si>
  <si>
    <t>US-2017-136868</t>
  </si>
  <si>
    <t>Adams Telephone Message Book W/Dividers/Space For Phone Numbers, 5 1/4"X8 1/2", 200/Messages</t>
  </si>
  <si>
    <t>CA-2017-109099</t>
  </si>
  <si>
    <t>CA-2017-118577</t>
  </si>
  <si>
    <t>Xerox 217</t>
  </si>
  <si>
    <t>CA-2017-146269</t>
  </si>
  <si>
    <t>CA-2017-137421</t>
  </si>
  <si>
    <t>US-2017-109484</t>
  </si>
  <si>
    <t>Flexible Leather- Look Classic Collection Ring Binder</t>
  </si>
  <si>
    <t>CA-2017-107720</t>
  </si>
  <si>
    <t>Decoflex Hanging Personal Folder File</t>
  </si>
  <si>
    <t>CA-2017-154816</t>
  </si>
  <si>
    <t>CA-2017-100013</t>
  </si>
  <si>
    <t>CA-2017-167941</t>
  </si>
  <si>
    <t>CA-2017-125290</t>
  </si>
  <si>
    <t>Newell 339</t>
  </si>
  <si>
    <t>CA-2017-154109</t>
  </si>
  <si>
    <t>US-2017-153948</t>
  </si>
  <si>
    <t>CA-2017-144596</t>
  </si>
  <si>
    <t>CA-2017-107174</t>
  </si>
  <si>
    <t>US-2017-119319</t>
  </si>
  <si>
    <t>CA-2017-106691</t>
  </si>
  <si>
    <t>CA-2017-150504</t>
  </si>
  <si>
    <t>US-2017-149006</t>
  </si>
  <si>
    <t>CA-2017-159366</t>
  </si>
  <si>
    <t>US-2017-168690</t>
  </si>
  <si>
    <t>US-2017-123862</t>
  </si>
  <si>
    <t>Tennsco Commercial Shelving</t>
  </si>
  <si>
    <t>Acme Galleria Hot Forged Steel Scissors with Colored Handles</t>
  </si>
  <si>
    <t>CA-2017-136672</t>
  </si>
  <si>
    <t>CA-2017-110884</t>
  </si>
  <si>
    <t>US-2017-100930</t>
  </si>
  <si>
    <t>GBC Instant Index System for Binding Systems</t>
  </si>
  <si>
    <t>Tenex Contemporary Contur Chairmats for Low and Medium Pile Carpet, Computer, 39" x 49"</t>
  </si>
  <si>
    <t>CA-2017-165904</t>
  </si>
  <si>
    <t>CA-2017-141733</t>
  </si>
  <si>
    <t>SAFCO Optional Arm Kit for Workspace Cribbage Stacking Chair</t>
  </si>
  <si>
    <t>Belkin Premiere Surge Master II 8-outlet surge protector</t>
  </si>
  <si>
    <t>CA-2017-159688</t>
  </si>
  <si>
    <t>CA-2017-102820</t>
  </si>
  <si>
    <t>Blue Parrot B250XT Professional Grade Wireless Bluetooth Headset with</t>
  </si>
  <si>
    <t>CA-2017-105053</t>
  </si>
  <si>
    <t>CA-2017-155152</t>
  </si>
  <si>
    <t>US-2017-169551</t>
  </si>
  <si>
    <t>O'Sullivan 3-Shelf Heavy-Duty Bookcases</t>
  </si>
  <si>
    <t>Apple iPhone 5S</t>
  </si>
  <si>
    <t>Plastic Stacking Crates &amp; Casters</t>
  </si>
  <si>
    <t>Plantronics CS510 - Over-the-Head monaural Wireless Headset System</t>
  </si>
  <si>
    <t>CA-2017-106824</t>
  </si>
  <si>
    <t>CA-2017-163321</t>
  </si>
  <si>
    <t>CA-2017-117023</t>
  </si>
  <si>
    <t>Quartet Omega Colored Chalk, 12/Pack</t>
  </si>
  <si>
    <t>US-2017-155999</t>
  </si>
  <si>
    <t>Avery Printable Repositionable Plastic Tabs</t>
  </si>
  <si>
    <t>CA-2017-158344</t>
  </si>
  <si>
    <t>CA-2017-115175</t>
  </si>
  <si>
    <t>CA-2017-110821</t>
  </si>
  <si>
    <t>CA-2017-156776</t>
  </si>
  <si>
    <t>Polycom VoiceStation 500 Conference phone</t>
  </si>
  <si>
    <t>Global Enterprise Series Seating Low-Back Swivel/Tilt Chairs</t>
  </si>
  <si>
    <t>US-2017-129441</t>
  </si>
  <si>
    <t>CA-2017-124401</t>
  </si>
  <si>
    <t>CA-2017-148929</t>
  </si>
  <si>
    <t>CA-2017-100335</t>
  </si>
  <si>
    <t>CA-2017-103877</t>
  </si>
  <si>
    <t>CA-2017-163692</t>
  </si>
  <si>
    <t>CA-2017-100160</t>
  </si>
  <si>
    <t>US-2017-104094</t>
  </si>
  <si>
    <t>CA-2017-151008</t>
  </si>
  <si>
    <t>DAX Copper Panel Document Frame, 5 x 7 Size</t>
  </si>
  <si>
    <t>Motorla HX550 Universal Bluetooth Headset</t>
  </si>
  <si>
    <t>CA-2017-107244</t>
  </si>
  <si>
    <t>CA-2017-128783</t>
  </si>
  <si>
    <t>US-2017-150070</t>
  </si>
  <si>
    <t>CA-2017-128769</t>
  </si>
  <si>
    <t>US-2017-130687</t>
  </si>
  <si>
    <t>Boston 1799 Powerhouse Electric Pencil Sharpener</t>
  </si>
  <si>
    <t>US-2017-169488</t>
  </si>
  <si>
    <t>CA-2017-104003</t>
  </si>
  <si>
    <t>CA-2017-108574</t>
  </si>
  <si>
    <t>CA-2017-148404</t>
  </si>
  <si>
    <t>CA-2017-128426</t>
  </si>
  <si>
    <t>Storex DuraTech Recycled Plastic Frosted Binders</t>
  </si>
  <si>
    <t>CA-2017-152709</t>
  </si>
  <si>
    <t>CA-2017-122504</t>
  </si>
  <si>
    <t>CA-2017-149888</t>
  </si>
  <si>
    <t>CA-2017-152737</t>
  </si>
  <si>
    <t>CA-2017-132346</t>
  </si>
  <si>
    <t>CA-2017-113572</t>
  </si>
  <si>
    <t>Maxell CD-R Discs</t>
  </si>
  <si>
    <t>CA-2017-113460</t>
  </si>
  <si>
    <t>CA-2017-163188</t>
  </si>
  <si>
    <t>CA-2017-137099</t>
  </si>
  <si>
    <t>CA-2017-134285</t>
  </si>
  <si>
    <t>CA-2017-157980</t>
  </si>
  <si>
    <t>US-2017-136189</t>
  </si>
  <si>
    <t>US-2017-122714</t>
  </si>
  <si>
    <t>Ibico EPK-21 Electric Binding System</t>
  </si>
  <si>
    <t>CA-2017-135587</t>
  </si>
  <si>
    <t>Eureka The Boss Lite 10-Amp Upright Vacuum, Blue</t>
  </si>
  <si>
    <t>CA-2017-142328</t>
  </si>
  <si>
    <t>REDIFORM Incoming/Outgoing Call Register, 11" X 8 1/2", 100 Messages</t>
  </si>
  <si>
    <t>CA-2017-115154</t>
  </si>
  <si>
    <t>CA-2017-155698</t>
  </si>
  <si>
    <t>Belkin 8 Outlet SurgeMaster II Gold Surge Protector with Phone Protection</t>
  </si>
  <si>
    <t>Avery Address/Shipping Labels for Typewriters, 4" x 2"</t>
  </si>
  <si>
    <t>CA-2017-104080</t>
  </si>
  <si>
    <t>Newell 323</t>
  </si>
  <si>
    <t>CA-2017-157854</t>
  </si>
  <si>
    <t>CA-2017-112333</t>
  </si>
  <si>
    <t>CA-2017-150987</t>
  </si>
  <si>
    <t>US-2017-136721</t>
  </si>
  <si>
    <t>CA-2017-149181</t>
  </si>
  <si>
    <t>CA-2017-133865</t>
  </si>
  <si>
    <t>CA-2017-156895</t>
  </si>
  <si>
    <t>US-2017-104451</t>
  </si>
  <si>
    <t>CA-2017-107797</t>
  </si>
  <si>
    <t>US-2017-155299</t>
  </si>
  <si>
    <t>Eureka Disposable Bags for Sanitaire Vibra Groomer I Upright Vac</t>
  </si>
  <si>
    <t>CA-2017-132682</t>
  </si>
  <si>
    <t>Acme Tagit Stainless Steel Antibacterial Scissors</t>
  </si>
  <si>
    <t>ClearOne Communications CHAT 70 OC Speaker Phone</t>
  </si>
  <si>
    <t>CA-2017-117436</t>
  </si>
  <si>
    <t>US-2017-106579</t>
  </si>
  <si>
    <t>US-2017-109316</t>
  </si>
  <si>
    <t>US-2017-107979</t>
  </si>
  <si>
    <t>GBC VeloBinder Electric Binding Machine</t>
  </si>
  <si>
    <t>CA-2017-134306</t>
  </si>
  <si>
    <t>Binney &amp; Smith inkTank Erasable Desk Highlighter, Chisel Tip, Yellow, 12/Box</t>
  </si>
  <si>
    <t>CA-2017-133249</t>
  </si>
  <si>
    <t>CA-2017-108560</t>
  </si>
  <si>
    <t>CA-2017-150189</t>
  </si>
  <si>
    <t>Avery 485</t>
  </si>
  <si>
    <t>CA-2017-138464</t>
  </si>
  <si>
    <t>CA-2017-140480</t>
  </si>
  <si>
    <t>Tensor Track Tree Floor Lamp</t>
  </si>
  <si>
    <t>Newell 325</t>
  </si>
  <si>
    <t>CA-2017-111759</t>
  </si>
  <si>
    <t>US-2017-124968</t>
  </si>
  <si>
    <t>CA-2017-149895</t>
  </si>
  <si>
    <t>CA-2017-158036</t>
  </si>
  <si>
    <t>Imation Swivel Flash Drive USB flash drive - 8 GB</t>
  </si>
  <si>
    <t>CA-2017-152856</t>
  </si>
  <si>
    <t>CA-2017-126396</t>
  </si>
  <si>
    <t>Memorex Froggy Flash Drive 8 GB</t>
  </si>
  <si>
    <t>US-2017-124779</t>
  </si>
  <si>
    <t>CA-2017-144456</t>
  </si>
  <si>
    <t>CA-2017-132437</t>
  </si>
  <si>
    <t>CA-2017-105487</t>
  </si>
  <si>
    <t>CA-2017-151596</t>
  </si>
  <si>
    <t>US-2017-168613</t>
  </si>
  <si>
    <t>CA-2017-143658</t>
  </si>
  <si>
    <t>Panasonic KP-310 Heavy-Duty Electric Pencil Sharpener</t>
  </si>
  <si>
    <t>CA-2017-155621</t>
  </si>
  <si>
    <t>Howard Miller Distant Time Traveler Alarm Clock</t>
  </si>
  <si>
    <t>CA-2017-117457</t>
  </si>
  <si>
    <t>Wirebound Service Call Books, 5 1/2" x 4"</t>
  </si>
  <si>
    <t>CA-2017-145226</t>
  </si>
  <si>
    <t>C-Line Cubicle Keepers Polyproplyene Holder w/Velcro Back, 8-1/2x11, 25/Bx</t>
  </si>
  <si>
    <t>Safco Industrial Wire Shelving System</t>
  </si>
  <si>
    <t>CA-2017-148264</t>
  </si>
  <si>
    <t>Tenex Traditional Chairmats for Hard Floors, Average Lip, 36" x 48"</t>
  </si>
  <si>
    <t>Xerox 1968</t>
  </si>
  <si>
    <t>CA-2017-117926</t>
  </si>
  <si>
    <t>Belkin 8-Outlet Premiere SurgeMaster II Surge Protectors</t>
  </si>
  <si>
    <t>CA-2017-108854</t>
  </si>
  <si>
    <t>Standard Line “While You Were Out” Hardbound Telephone Message Book</t>
  </si>
  <si>
    <t>CA-2017-117324</t>
  </si>
  <si>
    <t>CA-2017-152436</t>
  </si>
  <si>
    <t>US-2017-167570</t>
  </si>
  <si>
    <t>US-2017-131961</t>
  </si>
  <si>
    <t>iHome FM Clock Radio with Lightning Dock</t>
  </si>
  <si>
    <t>CA-2017-154760</t>
  </si>
  <si>
    <t>CA-2017-118773</t>
  </si>
  <si>
    <t>Stacking Trays by OIC</t>
  </si>
  <si>
    <t>CA-2017-150602</t>
  </si>
  <si>
    <t>CA-2017-145807</t>
  </si>
  <si>
    <t>CA-2017-102834</t>
  </si>
  <si>
    <t>CA-2017-147354</t>
  </si>
  <si>
    <t>CA-2017-135279</t>
  </si>
  <si>
    <t>Color-Coded Legal Exhibit Labels</t>
  </si>
  <si>
    <t>Computer Printout Paper with Letter-Trim Fine Perforations</t>
  </si>
  <si>
    <t>Office Impressions Heavy Duty Welded Shelving &amp; Multimedia Storage Drawers</t>
  </si>
  <si>
    <t>CA-2017-122154</t>
  </si>
  <si>
    <t>Avery 48</t>
  </si>
  <si>
    <t>CA-2017-112900</t>
  </si>
  <si>
    <t>CA-2017-169404</t>
  </si>
  <si>
    <t>CA-2017-134810</t>
  </si>
  <si>
    <t>CA-2017-118199</t>
  </si>
  <si>
    <t>Home/Office Personal File Carts</t>
  </si>
  <si>
    <t>US-2017-106663</t>
  </si>
  <si>
    <t>CA-2017-100951</t>
  </si>
  <si>
    <t>US-2017-146822</t>
  </si>
  <si>
    <t>US-2017-100209</t>
  </si>
  <si>
    <t>CA-2017-115651</t>
  </si>
  <si>
    <t>CA-2017-132122</t>
  </si>
  <si>
    <t>CA-2017-145128</t>
  </si>
  <si>
    <t>CA-2017-121083</t>
  </si>
  <si>
    <t>US-2017-118087</t>
  </si>
  <si>
    <t>Samsung Galaxy Note 2</t>
  </si>
  <si>
    <t>CA-2017-147361</t>
  </si>
  <si>
    <t>Fellowes Officeware Wire Shelving</t>
  </si>
  <si>
    <t>CA-2017-147228</t>
  </si>
  <si>
    <t>US-2017-159562</t>
  </si>
  <si>
    <t>CA-2017-155929</t>
  </si>
  <si>
    <t>Unpadded Memo Slips</t>
  </si>
  <si>
    <t>CA-2017-137498</t>
  </si>
  <si>
    <t>Newell 35</t>
  </si>
  <si>
    <t>CA-2017-100825</t>
  </si>
  <si>
    <t>CA-2017-139444</t>
  </si>
  <si>
    <t>CA-2017-169439</t>
  </si>
  <si>
    <t>US-2017-146213</t>
  </si>
  <si>
    <t>Microsoft Wireless Mobile Mouse 4000</t>
  </si>
  <si>
    <t>CA-2017-168403</t>
  </si>
  <si>
    <t>CA-2017-152198</t>
  </si>
  <si>
    <t>Acco Data Flex Cable Posts For Top &amp; Bottom Load Binders, 6" Capacity</t>
  </si>
  <si>
    <t>CA-2017-162635</t>
  </si>
  <si>
    <t>US-2017-117247</t>
  </si>
  <si>
    <t>CA-2017-132430</t>
  </si>
  <si>
    <t>CA-2017-141873</t>
  </si>
  <si>
    <t>TOPS 4 x 6 Fluorescent Color Memo Sheets, 500 Sheets per Pack</t>
  </si>
  <si>
    <t>CA-2017-163125</t>
  </si>
  <si>
    <t>Hon Every-Day Chair Series Swivel Task Chairs</t>
  </si>
  <si>
    <t>US-2017-115595</t>
  </si>
  <si>
    <t>Wirebound Message Books, 2 7/8" x 5", 3 Forms per Page</t>
  </si>
  <si>
    <t>CA-2017-161018</t>
  </si>
  <si>
    <t>CA-2017-158246</t>
  </si>
  <si>
    <t>CA-2017-159597</t>
  </si>
  <si>
    <t>CA-2017-152912</t>
  </si>
  <si>
    <t>US-2017-141852</t>
  </si>
  <si>
    <t>CA-2017-119494</t>
  </si>
  <si>
    <t>CA-2017-159667</t>
  </si>
  <si>
    <t>US-2017-118038</t>
  </si>
  <si>
    <t>CA-2017-108329</t>
  </si>
  <si>
    <t>US-2017-145366</t>
  </si>
  <si>
    <t>Recycled Interoffice Envelopes with String and Button Closure, 10 x 13</t>
  </si>
  <si>
    <t>CA-2017-139199</t>
  </si>
  <si>
    <t>CA-2017-129833</t>
  </si>
  <si>
    <t>CA-2017-148012</t>
  </si>
  <si>
    <t>CA-2017-109960</t>
  </si>
  <si>
    <t>Maxell Pro 80 Minute CD-R, 10/Pack</t>
  </si>
  <si>
    <t>BIC Liqua Brite Liner</t>
  </si>
  <si>
    <t>CA-2017-109715</t>
  </si>
  <si>
    <t>CA-2017-102407</t>
  </si>
  <si>
    <t>Harmony Air Purifier</t>
  </si>
  <si>
    <t>US-2017-103814</t>
  </si>
  <si>
    <t>CA-2017-139402</t>
  </si>
  <si>
    <t>CA-2017-141201</t>
  </si>
  <si>
    <t>US-2017-167920</t>
  </si>
  <si>
    <t>US-2017-132927</t>
  </si>
  <si>
    <t>CA-2017-102659</t>
  </si>
  <si>
    <t>GBC Imprintable Covers</t>
  </si>
  <si>
    <t>CA-2017-124086</t>
  </si>
  <si>
    <t>CA-2017-123659</t>
  </si>
  <si>
    <t>CA-2017-144638</t>
  </si>
  <si>
    <t>CA-2017-130967</t>
  </si>
  <si>
    <t>CA-2017-155824</t>
  </si>
  <si>
    <t>CA-2017-140494</t>
  </si>
  <si>
    <t>CA-2017-132290</t>
  </si>
  <si>
    <t>CA-2017-161984</t>
  </si>
  <si>
    <t>CA-2017-125115</t>
  </si>
  <si>
    <t>CA-2017-115070</t>
  </si>
  <si>
    <t>CA-2017-150623</t>
  </si>
  <si>
    <t>CA-2017-135069</t>
  </si>
  <si>
    <t>Tripp Lite Isotel 6 Outlet Surge Protector with Fax/Modem Protection</t>
  </si>
  <si>
    <t>CA-2017-140963</t>
  </si>
  <si>
    <t>CA-2017-106103</t>
  </si>
  <si>
    <t>CA-2017-143343</t>
  </si>
  <si>
    <t>Newell 351</t>
  </si>
  <si>
    <t>US-2017-131583</t>
  </si>
  <si>
    <t>CA-2017-107167</t>
  </si>
  <si>
    <t>CA-2017-167080</t>
  </si>
  <si>
    <t>CA-2017-158071</t>
  </si>
  <si>
    <t>CA-2017-137001</t>
  </si>
  <si>
    <t>Sanford EarthWrite Recycled Pencils, Medium Soft, #2</t>
  </si>
  <si>
    <t>CA-2017-112172</t>
  </si>
  <si>
    <t>CA-2017-128629</t>
  </si>
  <si>
    <t>Eldon 200 Class Desk Accessories, Smoke</t>
  </si>
  <si>
    <t>CA-2017-127460</t>
  </si>
  <si>
    <t>CA-2017-169012</t>
  </si>
  <si>
    <t>CA-2017-143063</t>
  </si>
  <si>
    <t>CA-2017-145443</t>
  </si>
  <si>
    <t>CA-2017-120999</t>
  </si>
  <si>
    <t>CA-2017-128370</t>
  </si>
  <si>
    <t>CA-2017-110905</t>
  </si>
  <si>
    <t>Acco 6 Outlet Guardian Standard Surge Suppressor</t>
  </si>
  <si>
    <t>CA-2017-152093</t>
  </si>
  <si>
    <t>CA-2017-122280</t>
  </si>
  <si>
    <t>Rediform S.O.S. 1-Up Phone Message Bk, 4-1/4x3-1/16 Bk, 1 Form/Pg, 40 Messages/Bk, 3/Pk</t>
  </si>
  <si>
    <t>CA-2017-126438</t>
  </si>
  <si>
    <t>CA-2017-147403</t>
  </si>
  <si>
    <t>CA-2017-159954</t>
  </si>
  <si>
    <t>Wilson Jones Suede Grain Vinyl Binders</t>
  </si>
  <si>
    <t>CA-2017-123036</t>
  </si>
  <si>
    <t>CA-2017-111717</t>
  </si>
  <si>
    <t>US-2017-155425</t>
  </si>
  <si>
    <t>DYMO CardScan Personal V9 Business Card Scanner</t>
  </si>
  <si>
    <t>CA-2017-104640</t>
  </si>
  <si>
    <t>Fellowes PB300 Plastic Comb Binding Machine</t>
  </si>
  <si>
    <t>CA-2017-161739</t>
  </si>
  <si>
    <t>CA-2017-163874</t>
  </si>
  <si>
    <t>CA-2017-142671</t>
  </si>
  <si>
    <t>CA-2017-162096</t>
  </si>
  <si>
    <t>12 Colored Short Pencils</t>
  </si>
  <si>
    <t>US-2017-128447</t>
  </si>
  <si>
    <t>CA-2017-141138</t>
  </si>
  <si>
    <t>Memorex Mini Travel Drive 16 GB USB 2.0 Flash Drive</t>
  </si>
  <si>
    <t>CA-2017-137624</t>
  </si>
  <si>
    <t>CA-2017-167150</t>
  </si>
  <si>
    <t>CA-2017-157651</t>
  </si>
  <si>
    <t>CA-2017-108294</t>
  </si>
  <si>
    <t>CA-2017-148446</t>
  </si>
  <si>
    <t>CA-2017-143798</t>
  </si>
  <si>
    <t>CA-2017-152695</t>
  </si>
  <si>
    <t>CA-2017-158967</t>
  </si>
  <si>
    <t>US-2017-140907</t>
  </si>
  <si>
    <t>Col-Erase Pencils with Erasers</t>
  </si>
  <si>
    <t>CA-2017-148922</t>
  </si>
  <si>
    <t>CA-2017-107748</t>
  </si>
  <si>
    <t>US-2017-135503</t>
  </si>
  <si>
    <t>US-2017-110149</t>
  </si>
  <si>
    <t>CA-2017-116204</t>
  </si>
  <si>
    <t>CA-2017-131828</t>
  </si>
  <si>
    <t>US-2017-118535</t>
  </si>
  <si>
    <t>CA-2017-138156</t>
  </si>
  <si>
    <t>CA-2017-147291</t>
  </si>
  <si>
    <t>GBC DocuBind TL200 Manual Binding Machine</t>
  </si>
  <si>
    <t>US-2017-141558</t>
  </si>
  <si>
    <t>Desktop 3-Pocket Hot File</t>
  </si>
  <si>
    <t>US-2017-133081</t>
  </si>
  <si>
    <t>Executive Impressions 16-1/2" Circular Wall Clock</t>
  </si>
  <si>
    <t>CA-2017-166128</t>
  </si>
  <si>
    <t>Dixon Ticonderoga Erasable Colored Pencil Set, 12-Color</t>
  </si>
  <si>
    <t>US-2017-143028</t>
  </si>
  <si>
    <t>US-2017-100482</t>
  </si>
  <si>
    <t>CA-2017-130904</t>
  </si>
  <si>
    <t>CA-2017-133823</t>
  </si>
  <si>
    <t>CA-2017-140298</t>
  </si>
  <si>
    <t>Newell 348</t>
  </si>
  <si>
    <t>Xerox 1927</t>
  </si>
  <si>
    <t>US-2017-139647</t>
  </si>
  <si>
    <t>CA-2017-115322</t>
  </si>
  <si>
    <t>Panasonic KP-4ABK Battery-Operated Pencil Sharpener</t>
  </si>
  <si>
    <t>US-2017-152002</t>
  </si>
  <si>
    <t>US-2017-120418</t>
  </si>
  <si>
    <t>Global Leather Executive Chair</t>
  </si>
  <si>
    <t>CA-2017-102554</t>
  </si>
  <si>
    <t>CA-2017-134565</t>
  </si>
  <si>
    <t>Cisco Desktop Collaboration Experience DX650 IP Video Phone</t>
  </si>
  <si>
    <t>CA-2017-141481</t>
  </si>
  <si>
    <t>CA-2017-133928</t>
  </si>
  <si>
    <t>CA-2017-164959</t>
  </si>
  <si>
    <t>CA-2017-156818</t>
  </si>
  <si>
    <t>CA-2017-127656</t>
  </si>
  <si>
    <t>CA-2017-162015</t>
  </si>
  <si>
    <t>CA-2017-136623</t>
  </si>
  <si>
    <t>Belkin iPhone and iPad Lightning Cable</t>
  </si>
  <si>
    <t>CA-2017-139311</t>
  </si>
  <si>
    <t>CA-2017-160899</t>
  </si>
  <si>
    <t>CA-2017-100433</t>
  </si>
  <si>
    <t>CA-2017-112774</t>
  </si>
  <si>
    <t>CA-2017-124898</t>
  </si>
  <si>
    <t>CA-2017-149559</t>
  </si>
  <si>
    <t>CA-2017-117044</t>
  </si>
  <si>
    <t>CA-2017-144484</t>
  </si>
  <si>
    <t>US-2017-142188</t>
  </si>
  <si>
    <t>US-2017-160836</t>
  </si>
  <si>
    <t>CA-2017-166898</t>
  </si>
  <si>
    <t>US-2017-152898</t>
  </si>
  <si>
    <t>CA-2017-127726</t>
  </si>
  <si>
    <t>CA-2017-150959</t>
  </si>
  <si>
    <t>CA-2017-143455</t>
  </si>
  <si>
    <t>CA-2017-110842</t>
  </si>
  <si>
    <t>CA-2017-157483</t>
  </si>
  <si>
    <t>CA-2017-120327</t>
  </si>
  <si>
    <t>CA-2017-143217</t>
  </si>
  <si>
    <t>CA-2017-154137</t>
  </si>
  <si>
    <t>CA-2017-158561</t>
  </si>
  <si>
    <t>CA-2017-115448</t>
  </si>
  <si>
    <t>CA-2017-148985</t>
  </si>
  <si>
    <t>US-2017-116491</t>
  </si>
  <si>
    <t>CA-2017-167976</t>
  </si>
  <si>
    <t>CA-2017-101798</t>
  </si>
  <si>
    <t>US-2017-160759</t>
  </si>
  <si>
    <t>Leather Task Chair, Black</t>
  </si>
  <si>
    <t>CA-2017-162565</t>
  </si>
  <si>
    <t>CA-2017-129581</t>
  </si>
  <si>
    <t>CA-2017-149706</t>
  </si>
  <si>
    <t>CA-2017-100230</t>
  </si>
  <si>
    <t>CA-2017-165099</t>
  </si>
  <si>
    <t>Hoover Commercial Lightweight Upright Vacuum</t>
  </si>
  <si>
    <t>CA-2017-168389</t>
  </si>
  <si>
    <t>CA-2017-142776</t>
  </si>
  <si>
    <t>Pastel Pink Envelopes</t>
  </si>
  <si>
    <t>US-2017-125213</t>
  </si>
  <si>
    <t>CA-2017-153871</t>
  </si>
  <si>
    <t>US-2017-158512</t>
  </si>
  <si>
    <t>CA-2017-108000</t>
  </si>
  <si>
    <t>US-2017-148551</t>
  </si>
  <si>
    <t>CA-2017-159352</t>
  </si>
  <si>
    <t>CA-2017-116288</t>
  </si>
  <si>
    <t>CA-2017-152786</t>
  </si>
  <si>
    <t>CA-2017-122735</t>
  </si>
  <si>
    <t>Xerox 1948</t>
  </si>
  <si>
    <t>US-2017-158218</t>
  </si>
  <si>
    <t>CA-2017-104577</t>
  </si>
  <si>
    <t>TOPS Carbonless Receipt Book, Four 2-3/4 x 7-1/4 Money Receipts per Page</t>
  </si>
  <si>
    <t>US-2017-106796</t>
  </si>
  <si>
    <t>Newell 347</t>
  </si>
  <si>
    <t>CA-2017-117632</t>
  </si>
  <si>
    <t>Hoover Commercial Soft Guard Upright Vacuum And Disposable Filtration Bags</t>
  </si>
  <si>
    <t>CA-2017-152226</t>
  </si>
  <si>
    <t>CA-2017-122175</t>
  </si>
  <si>
    <t>DAX Cubicle Frames, 8-1/2 x 11</t>
  </si>
  <si>
    <t>CA-2017-148474</t>
  </si>
  <si>
    <t>CA-2017-108441</t>
  </si>
  <si>
    <t>TOPS Voice Message Log Book, Flash Format</t>
  </si>
  <si>
    <t>CA-2017-143861</t>
  </si>
  <si>
    <t>Dana Swing-Arm Lamps</t>
  </si>
  <si>
    <t>CA-2017-117821</t>
  </si>
  <si>
    <t>CA-2017-119424</t>
  </si>
  <si>
    <t>Xerox 203</t>
  </si>
  <si>
    <t>CA-2017-124191</t>
  </si>
  <si>
    <t>CA-2017-106047</t>
  </si>
  <si>
    <t>CA-2017-106537</t>
  </si>
  <si>
    <t>CA-2017-158169</t>
  </si>
  <si>
    <t>US-2017-118941</t>
  </si>
  <si>
    <t>Hon 4700 Series Mobuis Mid-Back Task Chairs with Adjustable Arms</t>
  </si>
  <si>
    <t>CA-2017-152310</t>
  </si>
  <si>
    <t>Xerox 1937</t>
  </si>
  <si>
    <t>Perixx PERIBOARD-512B, Ergonomic Split Keyboard</t>
  </si>
  <si>
    <t>CA-2017-103611</t>
  </si>
  <si>
    <t>CA-2017-140676</t>
  </si>
  <si>
    <t>CA-2017-108749</t>
  </si>
  <si>
    <t>US-2017-109582</t>
  </si>
  <si>
    <t>CA-2017-152702</t>
  </si>
  <si>
    <t>CA-2017-149146</t>
  </si>
  <si>
    <t>Xerox 1989</t>
  </si>
  <si>
    <t>CA-2017-168655</t>
  </si>
  <si>
    <t>CA-2017-126536</t>
  </si>
  <si>
    <t>Maxell 4.7GB DVD-R 5/Pack</t>
  </si>
  <si>
    <t>CA-2017-112431</t>
  </si>
  <si>
    <t>CA-2017-169362</t>
  </si>
  <si>
    <t>CA-2017-150091</t>
  </si>
  <si>
    <t>Global Adaptabilites Bookcase, Cherry/Storm Gray Finish</t>
  </si>
  <si>
    <t>CA-2017-152933</t>
  </si>
  <si>
    <t>Clarity 53712</t>
  </si>
  <si>
    <t>CA-2017-130505</t>
  </si>
  <si>
    <t>CA-2017-169607</t>
  </si>
  <si>
    <t>CA-2017-160514</t>
  </si>
  <si>
    <t>CA-2017-134978</t>
  </si>
  <si>
    <t>CA-2017-130386</t>
  </si>
  <si>
    <t>US-2017-116659</t>
  </si>
  <si>
    <t>CA-2017-134915</t>
  </si>
  <si>
    <t>CA-2017-164168</t>
  </si>
  <si>
    <t>CA-2017-122644</t>
  </si>
  <si>
    <t>Verbatim 25 GB 6x Blu-ray Single Layer Recordable Disc, 10/Pack</t>
  </si>
  <si>
    <t>CA-2017-164364</t>
  </si>
  <si>
    <t>Dixon Ticonderoga Maple Cedar Pencil, #2</t>
  </si>
  <si>
    <t>US-2017-136707</t>
  </si>
  <si>
    <t>CA-2017-149944</t>
  </si>
  <si>
    <t>CA-2017-154088</t>
  </si>
  <si>
    <t>US-2017-132220</t>
  </si>
  <si>
    <t>US-2017-125808</t>
  </si>
  <si>
    <t>Xerox 1899</t>
  </si>
  <si>
    <t>CA-2017-166835</t>
  </si>
  <si>
    <t>SAFCO Commercial Wire Shelving, Black</t>
  </si>
  <si>
    <t>Profit Margin %</t>
  </si>
  <si>
    <t>Year</t>
  </si>
  <si>
    <t>Month No</t>
  </si>
  <si>
    <t>Month Name</t>
  </si>
  <si>
    <t>Avg Price Per Unit</t>
  </si>
  <si>
    <t>Profit Status</t>
  </si>
  <si>
    <t>Total Revenue</t>
  </si>
  <si>
    <t>Total Profit</t>
  </si>
  <si>
    <t>Total Orders</t>
  </si>
  <si>
    <t>Average Order Value</t>
  </si>
  <si>
    <t>Average Profit per Order</t>
  </si>
  <si>
    <t>Sum of Sales</t>
  </si>
  <si>
    <t>Revenue by Category</t>
  </si>
  <si>
    <t>Revenue by Region</t>
  </si>
  <si>
    <t>Monthly Sales Trend</t>
  </si>
  <si>
    <t>Jan</t>
  </si>
  <si>
    <t>Feb</t>
  </si>
  <si>
    <t>Mar</t>
  </si>
  <si>
    <t>Apr</t>
  </si>
  <si>
    <t>May</t>
  </si>
  <si>
    <t>Jun</t>
  </si>
  <si>
    <t>Jul</t>
  </si>
  <si>
    <t>Aug</t>
  </si>
  <si>
    <t>Sep</t>
  </si>
  <si>
    <t>Oct</t>
  </si>
  <si>
    <t>Nov</t>
  </si>
  <si>
    <t>Dec</t>
  </si>
  <si>
    <t>Top 5 Products</t>
  </si>
  <si>
    <t>Profit by Category</t>
  </si>
  <si>
    <t>Sum of Profit</t>
  </si>
  <si>
    <t>Sales Performance Dashboard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</si>
</sst>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 #,##0.00;[Red]&quot;₹&quot;\ \-#,##0.00"/>
    <numFmt numFmtId="164" formatCode="[$-14009]yyyy/mm/dd;@"/>
  </numFmts>
  <fonts count="6" x14ac:knownFonts="1">
    <font>
      <sz val="11"/>
      <color theme="1"/>
      <name val="Aptos Narrow"/>
      <family val="2"/>
      <scheme val="minor"/>
    </font>
    <font>
      <sz val="12"/>
      <color theme="1"/>
      <name val="Aptos Narrow"/>
      <family val="2"/>
      <scheme val="minor"/>
    </font>
    <font>
      <b/>
      <sz val="22"/>
      <color rgb="FF000814"/>
      <name val="Aptos Narrow"/>
      <family val="2"/>
      <scheme val="minor"/>
    </font>
    <font>
      <b/>
      <sz val="22"/>
      <color theme="0"/>
      <name val="Aptos Narrow"/>
      <family val="2"/>
      <scheme val="minor"/>
    </font>
    <font>
      <sz val="8"/>
      <name val="Aptos Narrow"/>
      <family val="2"/>
      <scheme val="minor"/>
    </font>
    <font>
      <sz val="18"/>
      <color theme="1"/>
      <name val="Aptos Narrow"/>
      <family val="2"/>
      <scheme val="minor"/>
    </font>
  </fonts>
  <fills count="6">
    <fill>
      <patternFill patternType="none"/>
    </fill>
    <fill>
      <patternFill patternType="gray125"/>
    </fill>
    <fill>
      <patternFill patternType="solid">
        <fgColor rgb="FFE5E5E5"/>
        <bgColor indexed="64"/>
      </patternFill>
    </fill>
    <fill>
      <patternFill patternType="solid">
        <fgColor theme="6" tint="0.59999389629810485"/>
        <bgColor indexed="64"/>
      </patternFill>
    </fill>
    <fill>
      <patternFill patternType="solid">
        <fgColor rgb="FFBDE0FE"/>
        <bgColor indexed="64"/>
      </patternFill>
    </fill>
    <fill>
      <patternFill patternType="solid">
        <fgColor rgb="FF415A7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0" xfId="0" applyAlignment="1">
      <alignment horizontal="right"/>
    </xf>
    <xf numFmtId="0" fontId="0" fillId="0" borderId="0" xfId="0" applyAlignment="1">
      <alignment horizontal="center"/>
    </xf>
    <xf numFmtId="164" fontId="0" fillId="0" borderId="0" xfId="0" applyNumberFormat="1"/>
    <xf numFmtId="9" fontId="0" fillId="0" borderId="0" xfId="0" applyNumberFormat="1"/>
    <xf numFmtId="0" fontId="1" fillId="0" borderId="0" xfId="0" applyFont="1" applyBorder="1" applyAlignment="1">
      <alignment horizontal="right"/>
    </xf>
    <xf numFmtId="0" fontId="0" fillId="0" borderId="0" xfId="0" applyBorder="1"/>
    <xf numFmtId="0" fontId="0" fillId="0" borderId="0" xfId="0" pivotButton="1" applyBorder="1"/>
    <xf numFmtId="0" fontId="0" fillId="0" borderId="0" xfId="0" applyBorder="1" applyAlignment="1">
      <alignment horizontal="left"/>
    </xf>
    <xf numFmtId="2" fontId="0" fillId="0" borderId="0" xfId="0" applyNumberFormat="1" applyBorder="1"/>
    <xf numFmtId="0" fontId="0" fillId="0" borderId="0" xfId="0" applyAlignment="1">
      <alignment vertical="top"/>
    </xf>
    <xf numFmtId="0" fontId="1" fillId="0" borderId="0" xfId="0" applyFont="1" applyAlignment="1">
      <alignment horizontal="right" vertical="top"/>
    </xf>
    <xf numFmtId="0" fontId="0" fillId="0" borderId="0" xfId="0" applyAlignment="1">
      <alignment horizontal="right" vertical="top"/>
    </xf>
    <xf numFmtId="8" fontId="2" fillId="4" borderId="1" xfId="0" applyNumberFormat="1" applyFont="1" applyFill="1" applyBorder="1" applyAlignment="1">
      <alignment horizontal="center" vertical="top"/>
    </xf>
    <xf numFmtId="8" fontId="2" fillId="3" borderId="1" xfId="0" applyNumberFormat="1" applyFont="1" applyFill="1" applyBorder="1" applyAlignment="1">
      <alignment horizontal="center" vertical="top"/>
    </xf>
    <xf numFmtId="9" fontId="2" fillId="2" borderId="1" xfId="0" applyNumberFormat="1" applyFont="1" applyFill="1" applyBorder="1" applyAlignment="1">
      <alignment horizontal="center" vertical="top"/>
    </xf>
    <xf numFmtId="0" fontId="3" fillId="5" borderId="1" xfId="0" applyFont="1" applyFill="1" applyBorder="1" applyAlignment="1">
      <alignment horizontal="center" vertical="top"/>
    </xf>
    <xf numFmtId="2" fontId="2" fillId="2" borderId="1" xfId="0" applyNumberFormat="1" applyFont="1" applyFill="1" applyBorder="1" applyAlignment="1">
      <alignment horizontal="center" vertical="top"/>
    </xf>
    <xf numFmtId="8" fontId="2" fillId="2" borderId="1" xfId="0" applyNumberFormat="1" applyFont="1" applyFill="1" applyBorder="1" applyAlignment="1">
      <alignment horizontal="center" vertical="top"/>
    </xf>
    <xf numFmtId="0" fontId="0" fillId="0" borderId="0" xfId="0" applyNumberFormat="1" applyBorder="1"/>
    <xf numFmtId="0" fontId="5" fillId="0" borderId="0" xfId="0" applyFont="1" applyBorder="1"/>
    <xf numFmtId="0" fontId="0" fillId="0" borderId="0" xfId="0" applyBorder="1" applyAlignment="1">
      <alignment horizontal="right"/>
    </xf>
  </cellXfs>
  <cellStyles count="1">
    <cellStyle name="Normal" xfId="0" builtinId="0"/>
  </cellStyles>
  <dxfs count="34">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13" formatCode="0%"/>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dxf>
    <dxf>
      <numFmt numFmtId="0" formatCode="General"/>
    </dxf>
    <dxf>
      <numFmt numFmtId="0" formatCode="General"/>
    </dxf>
    <dxf>
      <numFmt numFmtId="164" formatCode="[$-14009]yyyy/mm/dd;@"/>
    </dxf>
    <dxf>
      <numFmt numFmtId="0" formatCode="General"/>
    </dxf>
  </dxfs>
  <tableStyles count="0" defaultTableStyle="TableStyleMedium2" defaultPivotStyle="PivotStyleLight16"/>
  <colors>
    <mruColors>
      <color rgb="FF415A77"/>
      <color rgb="FF14213D"/>
      <color rgb="FFBDE0FE"/>
      <color rgb="FF000814"/>
      <color rgb="FFE5E5E5"/>
      <color rgb="FFBC6C25"/>
      <color rgb="FFDDA15E"/>
      <color rgb="FF778DA9"/>
      <color rgb="FF1B26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Dataset.xlsx]Pivot_Data!PivotTable1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Pivot_Data!$C$6</c:f>
              <c:strCache>
                <c:ptCount val="1"/>
                <c:pt idx="0">
                  <c:v>Total</c:v>
                </c:pt>
              </c:strCache>
            </c:strRef>
          </c:tx>
          <c:spPr>
            <a:solidFill>
              <a:schemeClr val="accent1"/>
            </a:solidFill>
            <a:ln>
              <a:noFill/>
            </a:ln>
            <a:effectLst/>
          </c:spPr>
          <c:invertIfNegative val="0"/>
          <c:cat>
            <c:strRef>
              <c:f>Pivot_Data!$B$7:$B$9</c:f>
              <c:strCache>
                <c:ptCount val="3"/>
                <c:pt idx="0">
                  <c:v>Furniture</c:v>
                </c:pt>
                <c:pt idx="1">
                  <c:v>Office Supplies</c:v>
                </c:pt>
                <c:pt idx="2">
                  <c:v>Technology</c:v>
                </c:pt>
              </c:strCache>
            </c:strRef>
          </c:cat>
          <c:val>
            <c:numRef>
              <c:f>Pivot_Data!$C$7:$C$9</c:f>
              <c:numCache>
                <c:formatCode>0.00</c:formatCode>
                <c:ptCount val="3"/>
                <c:pt idx="0">
                  <c:v>289736.28060000052</c:v>
                </c:pt>
                <c:pt idx="1">
                  <c:v>259573.56699999995</c:v>
                </c:pt>
                <c:pt idx="2">
                  <c:v>338607.46400000021</c:v>
                </c:pt>
              </c:numCache>
            </c:numRef>
          </c:val>
          <c:extLst>
            <c:ext xmlns:c16="http://schemas.microsoft.com/office/drawing/2014/chart" uri="{C3380CC4-5D6E-409C-BE32-E72D297353CC}">
              <c16:uniqueId val="{00000000-6974-4741-9869-0023CCF6E6D2}"/>
            </c:ext>
          </c:extLst>
        </c:ser>
        <c:dLbls>
          <c:showLegendKey val="0"/>
          <c:showVal val="0"/>
          <c:showCatName val="0"/>
          <c:showSerName val="0"/>
          <c:showPercent val="0"/>
          <c:showBubbleSize val="0"/>
        </c:dLbls>
        <c:gapWidth val="219"/>
        <c:overlap val="-27"/>
        <c:axId val="866111376"/>
        <c:axId val="866112336"/>
      </c:barChart>
      <c:catAx>
        <c:axId val="86611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112336"/>
        <c:crosses val="autoZero"/>
        <c:auto val="1"/>
        <c:lblAlgn val="ctr"/>
        <c:lblOffset val="100"/>
        <c:noMultiLvlLbl val="0"/>
      </c:catAx>
      <c:valAx>
        <c:axId val="8661123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111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Dataset.xlsx]Pivot_Data!PivotTable2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Pivot_Data!$F$6</c:f>
              <c:strCache>
                <c:ptCount val="1"/>
                <c:pt idx="0">
                  <c:v>Total</c:v>
                </c:pt>
              </c:strCache>
            </c:strRef>
          </c:tx>
          <c:spPr>
            <a:solidFill>
              <a:schemeClr val="accent1"/>
            </a:solidFill>
            <a:ln>
              <a:noFill/>
            </a:ln>
            <a:effectLst/>
          </c:spPr>
          <c:invertIfNegative val="0"/>
          <c:cat>
            <c:strRef>
              <c:f>Pivot_Data!$E$7:$E$10</c:f>
              <c:strCache>
                <c:ptCount val="4"/>
                <c:pt idx="0">
                  <c:v>Central</c:v>
                </c:pt>
                <c:pt idx="1">
                  <c:v>East</c:v>
                </c:pt>
                <c:pt idx="2">
                  <c:v>South</c:v>
                </c:pt>
                <c:pt idx="3">
                  <c:v>West</c:v>
                </c:pt>
              </c:strCache>
            </c:strRef>
          </c:cat>
          <c:val>
            <c:numRef>
              <c:f>Pivot_Data!$F$7:$F$10</c:f>
              <c:numCache>
                <c:formatCode>0.00</c:formatCode>
                <c:ptCount val="4"/>
                <c:pt idx="0">
                  <c:v>214272.09359999996</c:v>
                </c:pt>
                <c:pt idx="1">
                  <c:v>249123.12900000007</c:v>
                </c:pt>
                <c:pt idx="2">
                  <c:v>147643.06749999989</c:v>
                </c:pt>
                <c:pt idx="3">
                  <c:v>276879.02150000021</c:v>
                </c:pt>
              </c:numCache>
            </c:numRef>
          </c:val>
          <c:extLst>
            <c:ext xmlns:c16="http://schemas.microsoft.com/office/drawing/2014/chart" uri="{C3380CC4-5D6E-409C-BE32-E72D297353CC}">
              <c16:uniqueId val="{00000000-F874-41A9-AECE-B3BB970FC130}"/>
            </c:ext>
          </c:extLst>
        </c:ser>
        <c:dLbls>
          <c:showLegendKey val="0"/>
          <c:showVal val="0"/>
          <c:showCatName val="0"/>
          <c:showSerName val="0"/>
          <c:showPercent val="0"/>
          <c:showBubbleSize val="0"/>
        </c:dLbls>
        <c:gapWidth val="219"/>
        <c:overlap val="-27"/>
        <c:axId val="734897552"/>
        <c:axId val="734896592"/>
      </c:barChart>
      <c:catAx>
        <c:axId val="73489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896592"/>
        <c:crosses val="autoZero"/>
        <c:auto val="1"/>
        <c:lblAlgn val="ctr"/>
        <c:lblOffset val="100"/>
        <c:noMultiLvlLbl val="0"/>
      </c:catAx>
      <c:valAx>
        <c:axId val="7348965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89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Dataset.xlsx]Pivot_Data!PivotTable3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Pivot_Data!$I$6</c:f>
              <c:strCache>
                <c:ptCount val="1"/>
                <c:pt idx="0">
                  <c:v>Total</c:v>
                </c:pt>
              </c:strCache>
            </c:strRef>
          </c:tx>
          <c:spPr>
            <a:ln w="28575" cap="rnd">
              <a:solidFill>
                <a:schemeClr val="accent1"/>
              </a:solidFill>
              <a:round/>
            </a:ln>
            <a:effectLst/>
          </c:spPr>
          <c:marker>
            <c:symbol val="none"/>
          </c:marker>
          <c:cat>
            <c:strRef>
              <c:f>Pivot_Data!$H$7:$H$18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Pivot_Data!$I$7:$I$18</c:f>
              <c:numCache>
                <c:formatCode>0.00</c:formatCode>
                <c:ptCount val="12"/>
                <c:pt idx="0">
                  <c:v>95524.566399999865</c:v>
                </c:pt>
                <c:pt idx="1">
                  <c:v>105139.12400000008</c:v>
                </c:pt>
                <c:pt idx="2">
                  <c:v>72319.924599999955</c:v>
                </c:pt>
                <c:pt idx="3">
                  <c:v>68162.339000000022</c:v>
                </c:pt>
                <c:pt idx="4">
                  <c:v>64520.508799999981</c:v>
                </c:pt>
                <c:pt idx="5">
                  <c:v>53306.858000000015</c:v>
                </c:pt>
                <c:pt idx="6">
                  <c:v>62610.906500000012</c:v>
                </c:pt>
                <c:pt idx="7">
                  <c:v>101577.95059999995</c:v>
                </c:pt>
                <c:pt idx="8">
                  <c:v>66582.364999999947</c:v>
                </c:pt>
                <c:pt idx="9">
                  <c:v>62993.841000000015</c:v>
                </c:pt>
                <c:pt idx="10">
                  <c:v>69615.231500000024</c:v>
                </c:pt>
                <c:pt idx="11">
                  <c:v>65563.696199999962</c:v>
                </c:pt>
              </c:numCache>
            </c:numRef>
          </c:val>
          <c:smooth val="0"/>
          <c:extLst>
            <c:ext xmlns:c16="http://schemas.microsoft.com/office/drawing/2014/chart" uri="{C3380CC4-5D6E-409C-BE32-E72D297353CC}">
              <c16:uniqueId val="{00000000-428B-4866-A06B-BEC1F7EB71F6}"/>
            </c:ext>
          </c:extLst>
        </c:ser>
        <c:dLbls>
          <c:showLegendKey val="0"/>
          <c:showVal val="0"/>
          <c:showCatName val="0"/>
          <c:showSerName val="0"/>
          <c:showPercent val="0"/>
          <c:showBubbleSize val="0"/>
        </c:dLbls>
        <c:smooth val="0"/>
        <c:axId val="927794720"/>
        <c:axId val="927796640"/>
      </c:lineChart>
      <c:catAx>
        <c:axId val="92779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796640"/>
        <c:crosses val="autoZero"/>
        <c:auto val="1"/>
        <c:lblAlgn val="ctr"/>
        <c:lblOffset val="100"/>
        <c:noMultiLvlLbl val="0"/>
      </c:catAx>
      <c:valAx>
        <c:axId val="9277966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79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Dataset.xlsx]Pivot_Data!PivotTable4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5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Pivot_Data!$L$6</c:f>
              <c:strCache>
                <c:ptCount val="1"/>
                <c:pt idx="0">
                  <c:v>Total</c:v>
                </c:pt>
              </c:strCache>
            </c:strRef>
          </c:tx>
          <c:spPr>
            <a:solidFill>
              <a:schemeClr val="accent1"/>
            </a:solidFill>
            <a:ln>
              <a:noFill/>
            </a:ln>
            <a:effectLst/>
          </c:spPr>
          <c:invertIfNegative val="0"/>
          <c:cat>
            <c:strRef>
              <c:f>Pivot_Data!$K$7:$K$11</c:f>
              <c:strCache>
                <c:ptCount val="5"/>
                <c:pt idx="0">
                  <c:v>Canon imageCLASS 2200 Advanced Copier</c:v>
                </c:pt>
                <c:pt idx="1">
                  <c:v>Lexmark MX611dhe Monochrome Laser Printer</c:v>
                </c:pt>
                <c:pt idx="2">
                  <c:v>HP Designjet T520 Inkjet Large Format Printer - 24" Color</c:v>
                </c:pt>
                <c:pt idx="3">
                  <c:v>GBC DocuBind TL300 Electric Binding System</c:v>
                </c:pt>
                <c:pt idx="4">
                  <c:v>Riverside Palais Royal Lawyers Bookcase, Royale Cherry Finish</c:v>
                </c:pt>
              </c:strCache>
            </c:strRef>
          </c:cat>
          <c:val>
            <c:numRef>
              <c:f>Pivot_Data!$L$7:$L$11</c:f>
              <c:numCache>
                <c:formatCode>0.00</c:formatCode>
                <c:ptCount val="5"/>
                <c:pt idx="0">
                  <c:v>17499.95</c:v>
                </c:pt>
                <c:pt idx="1">
                  <c:v>11219.934000000001</c:v>
                </c:pt>
                <c:pt idx="2">
                  <c:v>8749.9500000000007</c:v>
                </c:pt>
                <c:pt idx="3">
                  <c:v>8521.4049999999988</c:v>
                </c:pt>
                <c:pt idx="4">
                  <c:v>8298.8315999999995</c:v>
                </c:pt>
              </c:numCache>
            </c:numRef>
          </c:val>
          <c:extLst>
            <c:ext xmlns:c16="http://schemas.microsoft.com/office/drawing/2014/chart" uri="{C3380CC4-5D6E-409C-BE32-E72D297353CC}">
              <c16:uniqueId val="{00000000-8F18-4385-83FD-392CAC86B3CE}"/>
            </c:ext>
          </c:extLst>
        </c:ser>
        <c:dLbls>
          <c:showLegendKey val="0"/>
          <c:showVal val="0"/>
          <c:showCatName val="0"/>
          <c:showSerName val="0"/>
          <c:showPercent val="0"/>
          <c:showBubbleSize val="0"/>
        </c:dLbls>
        <c:gapWidth val="219"/>
        <c:overlap val="-27"/>
        <c:axId val="1758403856"/>
        <c:axId val="1758401936"/>
      </c:barChart>
      <c:catAx>
        <c:axId val="175840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401936"/>
        <c:crosses val="autoZero"/>
        <c:auto val="1"/>
        <c:lblAlgn val="ctr"/>
        <c:lblOffset val="100"/>
        <c:noMultiLvlLbl val="0"/>
      </c:catAx>
      <c:valAx>
        <c:axId val="17584019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40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Dataset.xlsx]Pivot_Data!PivotTable5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Pivot_Data!$O$6</c:f>
              <c:strCache>
                <c:ptCount val="1"/>
                <c:pt idx="0">
                  <c:v>Total</c:v>
                </c:pt>
              </c:strCache>
            </c:strRef>
          </c:tx>
          <c:spPr>
            <a:solidFill>
              <a:schemeClr val="accent1"/>
            </a:solidFill>
            <a:ln>
              <a:noFill/>
            </a:ln>
            <a:effectLst/>
          </c:spPr>
          <c:invertIfNegative val="0"/>
          <c:cat>
            <c:strRef>
              <c:f>Pivot_Data!$N$7:$N$9</c:f>
              <c:strCache>
                <c:ptCount val="3"/>
                <c:pt idx="0">
                  <c:v>Furniture</c:v>
                </c:pt>
                <c:pt idx="1">
                  <c:v>Office Supplies</c:v>
                </c:pt>
                <c:pt idx="2">
                  <c:v>Technology</c:v>
                </c:pt>
              </c:strCache>
            </c:strRef>
          </c:cat>
          <c:val>
            <c:numRef>
              <c:f>Pivot_Data!$O$7:$O$9</c:f>
              <c:numCache>
                <c:formatCode>General</c:formatCode>
                <c:ptCount val="3"/>
                <c:pt idx="0">
                  <c:v>8944.9305000000077</c:v>
                </c:pt>
                <c:pt idx="1">
                  <c:v>36533.963700000029</c:v>
                </c:pt>
                <c:pt idx="2">
                  <c:v>63324.420900000034</c:v>
                </c:pt>
              </c:numCache>
            </c:numRef>
          </c:val>
          <c:extLst>
            <c:ext xmlns:c16="http://schemas.microsoft.com/office/drawing/2014/chart" uri="{C3380CC4-5D6E-409C-BE32-E72D297353CC}">
              <c16:uniqueId val="{00000000-6B49-4AF0-808E-9A0B201CD93C}"/>
            </c:ext>
          </c:extLst>
        </c:ser>
        <c:dLbls>
          <c:showLegendKey val="0"/>
          <c:showVal val="0"/>
          <c:showCatName val="0"/>
          <c:showSerName val="0"/>
          <c:showPercent val="0"/>
          <c:showBubbleSize val="0"/>
        </c:dLbls>
        <c:gapWidth val="219"/>
        <c:overlap val="-27"/>
        <c:axId val="84101600"/>
        <c:axId val="1837964832"/>
      </c:barChart>
      <c:catAx>
        <c:axId val="8410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964832"/>
        <c:crosses val="autoZero"/>
        <c:auto val="1"/>
        <c:lblAlgn val="ctr"/>
        <c:lblOffset val="100"/>
        <c:noMultiLvlLbl val="0"/>
      </c:catAx>
      <c:valAx>
        <c:axId val="1837964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0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529590</xdr:colOff>
      <xdr:row>5</xdr:row>
      <xdr:rowOff>102870</xdr:rowOff>
    </xdr:from>
    <xdr:to>
      <xdr:col>3</xdr:col>
      <xdr:colOff>1466850</xdr:colOff>
      <xdr:row>16</xdr:row>
      <xdr:rowOff>57150</xdr:rowOff>
    </xdr:to>
    <xdr:graphicFrame macro="">
      <xdr:nvGraphicFramePr>
        <xdr:cNvPr id="4" name="Chart 3">
          <a:extLst>
            <a:ext uri="{FF2B5EF4-FFF2-40B4-BE49-F238E27FC236}">
              <a16:creationId xmlns:a16="http://schemas.microsoft.com/office/drawing/2014/main" id="{4BF83B77-3150-5933-19DB-6B8FAC9096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62865</xdr:colOff>
      <xdr:row>5</xdr:row>
      <xdr:rowOff>99060</xdr:rowOff>
    </xdr:from>
    <xdr:to>
      <xdr:col>8</xdr:col>
      <xdr:colOff>657225</xdr:colOff>
      <xdr:row>18</xdr:row>
      <xdr:rowOff>171450</xdr:rowOff>
    </xdr:to>
    <xdr:graphicFrame macro="">
      <xdr:nvGraphicFramePr>
        <xdr:cNvPr id="5" name="Chart 4">
          <a:extLst>
            <a:ext uri="{FF2B5EF4-FFF2-40B4-BE49-F238E27FC236}">
              <a16:creationId xmlns:a16="http://schemas.microsoft.com/office/drawing/2014/main" id="{98634EE3-AB47-5C63-232E-FB71EC2413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28575</xdr:colOff>
      <xdr:row>5</xdr:row>
      <xdr:rowOff>85724</xdr:rowOff>
    </xdr:from>
    <xdr:to>
      <xdr:col>12</xdr:col>
      <xdr:colOff>876300</xdr:colOff>
      <xdr:row>18</xdr:row>
      <xdr:rowOff>47624</xdr:rowOff>
    </xdr:to>
    <xdr:graphicFrame macro="">
      <xdr:nvGraphicFramePr>
        <xdr:cNvPr id="6" name="Chart 5">
          <a:extLst>
            <a:ext uri="{FF2B5EF4-FFF2-40B4-BE49-F238E27FC236}">
              <a16:creationId xmlns:a16="http://schemas.microsoft.com/office/drawing/2014/main" id="{311F171D-6643-E6EB-AC56-FFE0E0F999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28575</xdr:colOff>
      <xdr:row>19</xdr:row>
      <xdr:rowOff>171450</xdr:rowOff>
    </xdr:from>
    <xdr:to>
      <xdr:col>8</xdr:col>
      <xdr:colOff>619125</xdr:colOff>
      <xdr:row>34</xdr:row>
      <xdr:rowOff>38100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5DD2D0E1-A633-478E-B690-1A34ACFB1A6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060746" y="3883479"/>
              <a:ext cx="1820636" cy="26425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476250</xdr:colOff>
      <xdr:row>17</xdr:row>
      <xdr:rowOff>66675</xdr:rowOff>
    </xdr:from>
    <xdr:to>
      <xdr:col>3</xdr:col>
      <xdr:colOff>1466850</xdr:colOff>
      <xdr:row>31</xdr:row>
      <xdr:rowOff>114300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49F3BA48-1E12-4C30-8D0F-5D69AB209F7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751364" y="3408589"/>
              <a:ext cx="1828800" cy="2638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428625</xdr:colOff>
      <xdr:row>19</xdr:row>
      <xdr:rowOff>133349</xdr:rowOff>
    </xdr:from>
    <xdr:to>
      <xdr:col>14</xdr:col>
      <xdr:colOff>409575</xdr:colOff>
      <xdr:row>37</xdr:row>
      <xdr:rowOff>152400</xdr:rowOff>
    </xdr:to>
    <xdr:graphicFrame macro="">
      <xdr:nvGraphicFramePr>
        <xdr:cNvPr id="7" name="Chart 6">
          <a:extLst>
            <a:ext uri="{FF2B5EF4-FFF2-40B4-BE49-F238E27FC236}">
              <a16:creationId xmlns:a16="http://schemas.microsoft.com/office/drawing/2014/main" id="{F83A8FEE-BF8A-4740-BD53-DFDB789DB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1152525</xdr:colOff>
      <xdr:row>2</xdr:row>
      <xdr:rowOff>47624</xdr:rowOff>
    </xdr:from>
    <xdr:to>
      <xdr:col>18</xdr:col>
      <xdr:colOff>314325</xdr:colOff>
      <xdr:row>18</xdr:row>
      <xdr:rowOff>9524</xdr:rowOff>
    </xdr:to>
    <xdr:graphicFrame macro="">
      <xdr:nvGraphicFramePr>
        <xdr:cNvPr id="8" name="Chart 7">
          <a:extLst>
            <a:ext uri="{FF2B5EF4-FFF2-40B4-BE49-F238E27FC236}">
              <a16:creationId xmlns:a16="http://schemas.microsoft.com/office/drawing/2014/main" id="{CB4966CE-A3AE-49BE-8265-DB0BF701B9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72.731883449072" createdVersion="8" refreshedVersion="8" minRefreshableVersion="3" recordCount="4043" xr:uid="{0BF48E82-9315-42E2-9C54-8D1E892D8242}">
  <cacheSource type="worksheet">
    <worksheetSource name="SalesData"/>
  </cacheSource>
  <cacheFields count="14">
    <cacheField name="Order ID" numFmtId="0">
      <sharedItems containsBlank="1"/>
    </cacheField>
    <cacheField name="Order Date" numFmtId="164">
      <sharedItems containsNonDate="0" containsDate="1" containsString="0" containsBlank="1" minDate="2014-01-02T00:00:00" maxDate="2017-12-12T00:00:00"/>
    </cacheField>
    <cacheField name="Region" numFmtId="0">
      <sharedItems containsBlank="1" count="5">
        <s v="East"/>
        <s v="West"/>
        <s v="Central"/>
        <s v="South"/>
        <m/>
      </sharedItems>
    </cacheField>
    <cacheField name="Category" numFmtId="0">
      <sharedItems containsBlank="1" count="4">
        <s v="Furniture"/>
        <s v="Office Supplies"/>
        <s v="Technology"/>
        <m/>
      </sharedItems>
    </cacheField>
    <cacheField name="Product Name" numFmtId="0">
      <sharedItems containsBlank="1" count="1611">
        <s v="Linden 10&quot; Round Wall Clock, Black"/>
        <s v="Howard Miller 11-1/2&quot; Diameter Brentwood Wall Clock"/>
        <s v="Wilson Jones Easy Flow II Sheet Lifters"/>
        <s v="SAFCO Boltless Steel Shelving"/>
        <s v="Tenex Carpeted, Granite-Look or Clear Contemporary Contour Shape Chair Mats"/>
        <s v="Office Star - Contemporary Task Swivel Chair"/>
        <s v="Fluorescent Highlighters by Dixon"/>
        <s v="GBC Instant Report Kit"/>
        <s v="Pressboard Covers with Storage Hooks, 9 1/2&quot; x 11&quot;, Light Blue"/>
        <s v="Fellowes Superior 10 Outlet Split Surge Protector"/>
        <s v="Hanging Personal Folder File"/>
        <s v="Staple envelope"/>
        <s v="Avery 498"/>
        <s v="Fellowes Binding Cases"/>
        <s v="Safco Value Mate Steel Bookcase, Baked Enamel Finish on Steel, Black"/>
        <s v="Cubify CubeX 3D Printer Double Head Print"/>
        <s v="Wirebound Message Books, Four 2 3/4 x 5 Forms per Page, 200 Sets per Book"/>
        <s v="Mediabridge Sport Armband iPhone 5s"/>
        <s v="Avery 494"/>
        <s v="Staple holder"/>
        <s v="Global Wood Trimmed Manager's Task Chair, Khaki"/>
        <s v="Deflect-o DuraMat Lighweight, Studded, Beveled Mat for Low Pile Carpeting"/>
        <s v="Maxell 74 Minute CDR, 10/Pack"/>
        <s v="Kleencut Forged Office Shears by Acme United Corporation"/>
        <s v="Bush Advantage Collection Racetrack Conference Table"/>
        <s v="HON 5400 Series Task Chairs for Big and Tall"/>
        <s v="Bush Somerset Collection Bookcase"/>
        <s v="Avery 492"/>
        <s v="Eureka Sanitaire  Multi-Pro Heavy-Duty Upright, Disposable Bags"/>
        <s v="Cardinal HOLDit! Binder Insert Strips,Extra Strips"/>
        <s v="Xerox 1924"/>
        <s v="Panasonic KX-TG6844B Expandable Digital Cordless Telephone"/>
        <s v="GBC Standard Recycled Report Covers, Clear Plastic Sheets"/>
        <s v="Tennsco Stur-D-Stor Boltless Shelving, 5 Shelves, 24&quot; Deep, Sand"/>
        <s v="Hon 4070 Series Pagoda Round Back Stacking Chairs"/>
        <s v="Honeywell Enviracaire Portable HEPA Air Cleaner for 17' x 22' Room"/>
        <s v="Maxell LTO Ultrium - 800 GB"/>
        <s v="Logitech MX Performance Wireless Mouse"/>
        <s v="Cardinal Slant-D Ring Binders"/>
        <s v="Carina Mini System Audio Rack, Model AR050B"/>
        <s v="Fellowes PB200 Plastic Comb Binding Machine"/>
        <s v="Xerox 226"/>
        <s v="JBL Micro Wireless Portable Bluetooth Speaker"/>
        <s v="Nortel Networks T7316 E Nt8 B27"/>
        <s v="Bady BDG101FRU Card Printer"/>
        <s v="Xerox 1998"/>
        <s v="GBC Prestige Therm-A-Bind Covers"/>
        <s v="Fellowes Mobile File Cart, Black"/>
        <s v="Seth Thomas 12&quot; Clock w/ Goldtone Case"/>
        <s v="Logitech LS21 Speaker System - PC Multimedia - 2.1-CH - Wired"/>
        <s v="Avery Metallic Poly Binders"/>
        <s v="Staples in misc. colors"/>
        <s v="Harbour Creations 67200 Series Stacking Chairs"/>
        <s v="Honeywell Quietcare HEPA Air Cleaner"/>
        <s v="KI Conference Tables"/>
        <s v="Design Ebony Sketching Pencil"/>
        <s v="Personal Creations Ink Jet Cards and Labels"/>
        <s v="GBC White Gloss Covers, Plain Front"/>
        <s v="Xerox 222"/>
        <s v="Hon Every-Day Series Multi-Task Chairs"/>
        <s v="Storex Dura Pro Binders"/>
        <s v="Belkin 325VA UPS Surge Protector, 6'"/>
        <s v="Metal Folding Chairs, Beige, 4/Carton"/>
        <s v="Fellowes Powershred HS-440 4-Sheet High Security Shredder"/>
        <s v="Xerox 1915"/>
        <s v="Sony 32GB Class 10 Micro SDHC R40 Memory Card"/>
        <s v="GBC Standard Plastic Binding Systems' Combs"/>
        <s v="Hon 94000 Series Round Tables"/>
        <s v="Xerox 1939"/>
        <s v="Xerox 1893"/>
        <s v="Tennsco Lockers, Gray"/>
        <s v="Avery Durable Slant Ring Binders, No Labels"/>
        <s v="Advantus Push Pins, Aluminum Head"/>
        <s v="Gould Plastics 18-Pocket Panel Bin, 34w x 5-1/4d x 20-1/2h"/>
        <s v="Sabrent 4-Port USB 2.0 Hub"/>
        <s v="Safco Industrial Shelving"/>
        <s v="Acco 3-Hole Punch"/>
        <s v="GE 30524EE4"/>
        <s v="AT&amp;T SB67148 SynJ"/>
        <s v="Fellowes Basic Home/Office Series Surge Protectors"/>
        <s v="Recycled Pressboard Report Cover with Reinforced Top Hinge"/>
        <s v="Jabra BIZ 2300 Duo QD Duo Corded Headset"/>
        <s v="Quality Park Security Envelopes"/>
        <s v="Belkin SportFit Armband For iPhone 5s/5c, Fuchsia"/>
        <s v="Cisco SPA112 2 Port Phone Adapter"/>
        <s v="DMI Arturo Collection Mission-style Design Wood Chair"/>
        <s v="Xerox 1905"/>
        <s v="Personal File Boxes with Fold-Down Carry Handle"/>
        <s v="Ultra Door Kickplate, 8&quot;H x 34&quot;W"/>
        <s v="Xerox 214"/>
        <s v="Global Comet Stacking Armless Chair"/>
        <s v="Magna Visual Magnetic Picture Hangers"/>
        <s v="Xerox 201"/>
        <s v="Xerox 1947"/>
        <s v="Hon Metal Bookcases, Putty"/>
        <s v="Ibico Presentation Index for Binding Systems"/>
        <s v="Eldon Wave Desk Accessories"/>
        <s v="Tenex &quot;The Solids&quot; Textured Chair Mats"/>
        <s v="Avery 483"/>
        <s v="Acco Pressboard Covers with Storage Hooks, 14 7/8&quot; x 11&quot;, Dark Blue"/>
        <s v="Global Commerce Series High-Back Swivel/Tilt Chairs"/>
        <s v="Cisco CP-7937G Unified IP Conference Station Phone"/>
        <s v="Avery 3 1/2&quot; Diskette Storage Pages, 10/Pack"/>
        <s v="Avery Recycled Flexi-View Covers for Binding Systems"/>
        <s v="Newell 319"/>
        <s v="Hoover Commercial SteamVac"/>
        <s v="Bevis Oval Conference Table, Walnut"/>
        <s v="Dual Level, Single-Width Filing Carts"/>
        <s v="Kensington K72356US Mouse-in-a-Box USB Desktop Mouse"/>
        <s v="Anker 36W 4-Port USB Wall Charger Travel Power Adapter for iPhone 5s 5c 5"/>
        <s v="Xerox 1916"/>
        <s v="Staples"/>
        <s v="Howard Miller 11-1/2&quot; Diameter Grantwood Wall Clock"/>
        <s v="Multi-Use Personal File Cart and Caster Set, Three Stacking Bins"/>
        <s v="Harmony HEPA Quiet Air Purifiers"/>
        <s v="Eldon Antistatic Chair Mats for Low to Medium Pile Carpets"/>
        <s v="GBC Durable Plastic Covers"/>
        <s v="HP Officejet Pro 8600 e-All-In-One Printer, Copier, Scanner, Fax"/>
        <s v="Staple remover"/>
        <s v="Wilson Jones Leather-Like Binders with DublLock Round Rings"/>
        <s v="Panasonic KX TS3282B Corded phone"/>
        <s v="Logitech G13 Programmable Gameboard with LCD Display"/>
        <s v="Newell 34"/>
        <s v="Bush Cubix Collection Bookcases, Fully Assembled"/>
        <s v="Easy-staple paper"/>
        <s v="GBC VeloBind Cover Sets"/>
        <s v="Catalog Binders with Expanding Posts"/>
        <s v="Acco Suede Grain Vinyl Round Ring Binder"/>
        <s v="Westinghouse Clip-On Gooseneck Lamps"/>
        <s v="Bevis 44 x 96 Conference Tables"/>
        <s v="NETGEAR N750 Dual Band Wi-Fi Gigabit Router"/>
        <s v="Newell 318"/>
        <s v="Avery 499"/>
        <s v="Eldon Advantage Chair Mats for Low to Medium Pile Carpets"/>
        <s v="Adams &quot;While You Were Out&quot; Message Pads"/>
        <s v="Adams Phone Message Book, 200 Message Capacity, 8 1/16” x 11”"/>
        <s v="Cush Cases Heavy Duty Rugged Cover Case for Samsung Galaxy S5 - Purple"/>
        <s v="Advantus Rolling Storage Box"/>
        <s v="Xerox 4200 Series MultiUse Premium Copy Paper (20Lb. and 84 Bright)"/>
        <s v="Manila Recycled Extra-Heavyweight Clasp Envelopes, 6&quot; x 9&quot;"/>
        <s v="Things To Do Today Spiral Book"/>
        <s v="Xerox 1977"/>
        <s v="White Dual Perf Computer Printout Paper, 2700 Sheets, 1 Part, Heavyweight, 20 lbs., 14 7/8 x 11"/>
        <s v="Wilson Jones Four-Pocket Poly Binders"/>
        <s v="Eldon 200 Class Desk Accessories, Burgundy"/>
        <s v="Polycom CX600 IP Phone VoIP phone"/>
        <s v="Maxell iVDR EX 500GB Cartridge"/>
        <s v="Fellowes High-Stak Drawer Files"/>
        <s v="RSVP Cards &amp; Envelopes, Blank White, 8-1/2&quot; X 11&quot;, 24 Cards/25 Envelopes/Set"/>
        <s v="Pencil and Crayon Sharpener"/>
        <s v="Newell 324"/>
        <s v="DAX Cubicle Frames - 8x10"/>
        <s v="ACCOHIDE 3-Ring Binder, Blue, 1&quot;"/>
        <s v="Cisco SPA508G"/>
        <s v="Avery 518"/>
        <s v="BIC Brite Liner Grip Highlighters"/>
        <s v="WD My Passport Ultra 2TB Portable External Hard Drive"/>
        <s v="Sony Micro Vault Click 16 GB USB 2.0 Flash Drive"/>
        <s v="Xerox 1962"/>
        <s v="OIC #2 Pencils, Medium Soft"/>
        <s v="Avery 505"/>
        <s v="Ooma Telo VoIP Home Phone System"/>
        <s v="Crate-A-Files"/>
        <s v="Xerox 191"/>
        <s v="Xerox 1890"/>
        <s v="Advantus Plastic Paper Clips"/>
        <s v="Belkin 7-Outlet SurgeMaster Home Series"/>
        <s v="Belkin 19&quot; Center-Weighted Shelf, Gray"/>
        <s v="Kingston Digital DataTraveler 32GB USB 2.0"/>
        <s v="Acco Translucent Poly Ring Binders"/>
        <s v="Hon 2111 Invitation Series Straight Table"/>
        <s v="Global Leather Task Chair, Black"/>
        <s v="GBC DocuBind 300 Electric Binding Machine"/>
        <s v="Avery 519"/>
        <s v="Acco Six-Outlet Power Strip, 4' Cord Length"/>
        <s v="Luxo Professional Combination Clamp-On Lamps"/>
        <s v="GBC Velobind Prepunched Cover Sets, Regency Series"/>
        <s v="Nu-Dell Leatherette Frames"/>
        <s v="Avery Hi-Liter EverBold Pen Style Fluorescent Highlighters, 4/Pack"/>
        <s v="Avery Durable Binders"/>
        <s v="Xerox 1907"/>
        <s v="Plantronics 81402"/>
        <s v="i.Sound Portable Power - 8000 mAh"/>
        <s v="Performers Binder/Pad Holder, Black"/>
        <s v="Tennsco Double-Tier Lockers"/>
        <s v="Eldon Expressions Wood Desk Accessories, Oak"/>
        <s v="Eldon 500 Class Desk Accessories"/>
        <s v="Xerox 1996"/>
        <s v="Ibico Plastic Spiral Binding Combs"/>
        <s v="Chromcraft Bull-Nose Wood Oval Conference Tables &amp; Bases"/>
        <s v="Lock-Up Easel 'Spel-Binder'"/>
        <s v="Eldon Image Series Desk Accessories, Ebony"/>
        <s v="Master Caster Door Stop, Gray"/>
        <s v="O'Sullivan 4-Shelf Bookcase in Odessa Pine"/>
        <s v="Acme Softgrip Scissors"/>
        <s v="Berol Giant Pencil Sharpener"/>
        <s v="Dax Clear Box Frame"/>
        <s v="Ricoh - Ink Collector Unit for GX3000 Series Printers"/>
        <s v="Acco 6 Outlet Guardian Premium Plus Surge Suppressor"/>
        <s v="Binney &amp; Smith Crayola Metallic Colored Pencils, 8-Color Set"/>
        <s v="White Business Envelopes with Contemporary Seam, Recycled White Business Envelopes"/>
        <s v="Nontoxic Chalk"/>
        <s v="GBC Therma-A-Bind 250T Electric Binding System"/>
        <s v="Super Bands, 12/Pack"/>
        <s v="Document Clip Frames"/>
        <s v="Space Solutions Commercial Steel Shelving"/>
        <s v="Letter or Legal Size Expandable Poly String Tie Envelopes"/>
        <s v="Hon Deluxe Fabric Upholstered Stacking Chairs, Rounded Back"/>
        <s v="Logitech diNovo Edge Keyboard"/>
        <s v="Super Decoflex Portable Personal File"/>
        <s v="Eldon Image Series Black Desk Accessories"/>
        <s v="Black &amp; Decker Filter for Double Action Dustbuster Cordless Vac BLDV7210"/>
        <s v="Colored Envelopes"/>
        <s v="Wilson Electronics DB Pro Signal Booster"/>
        <s v="Xerox 220"/>
        <s v="Premier Automatic Letter Opener"/>
        <s v="Fellowes 8 Outlet Superior Workstation Surge Protector w/o Phone/Fax/Modem Protection"/>
        <s v="Stanley Bostitch Contemporary Electric Pencil Sharpeners"/>
        <s v="Adams Telephone Message Book W/Dividers/Space For Phone Numbers, 5 1/4&quot;X8 1/2&quot;, 300/Messages"/>
        <s v="Office Star Flex Back Scooter Chair with White Frame"/>
        <s v="Xerox 1940"/>
        <s v="Newell 309"/>
        <s v="3.6 Cubic Foot Counter Height Office Refrigerator"/>
        <s v="Advantus Panel Wall Acrylic Frame"/>
        <s v="Bulldog Vacuum Base Pencil Sharpener"/>
        <s v="3-ring staple pack"/>
        <s v="Satellite Sectional Post Binders"/>
        <s v="Wirebound Message Book, 4 per Page"/>
        <s v="Fellowes Advanced Computer Series Surge Protectors"/>
        <s v="Prang Dustless Chalk Sticks"/>
        <s v="Premier Elliptical Ring Binder, Black"/>
        <s v="ClearOne CHATAttach 160 - speaker phone"/>
        <s v="Anker Astro 15000mAh USB Portable Charger"/>
        <s v="Office Star - Mid Back Dual function Ergonomic High Back Chair with 2-Way Adjustable Arms"/>
        <s v="Panasonic KP-380BK Classic Electric Pencil Sharpener"/>
        <s v="Office Star - Professional Matrix Back Chair with 2-to-1 Synchro Tilt and Mesh Fabric Seat"/>
        <s v="Manco Dry-Lighter Erasable Highlighter"/>
        <s v="Sanford 52201 APSCO Electric Pencil Sharpener"/>
        <s v="Letter Size Cart"/>
        <s v="Aluminum Screw Posts"/>
        <s v="Hon 4-Shelf Metal Bookcases"/>
        <s v="Seidio BD2-HK3IPH5-BK DILEX Case and Holster Combo for Apple iPhone 5/5s - Black"/>
        <s v="Tenex 46&quot; x 60&quot; Computer Anti-Static Chairmat, Rectangular Shaped"/>
        <s v="Macally Suction Cup Mount"/>
        <s v="Hon GuestStacker Chair"/>
        <s v="Vinyl Sectional Post Binders"/>
        <s v="Rogers Handheld Barrel Pencil Sharpener"/>
        <s v="AT&amp;T CL2909"/>
        <s v="Belkin 8 Outlet Surge Protector"/>
        <s v="GBC ProClick 150 Presentation Binding System"/>
        <s v="Fellowes Black Plastic Comb Bindings"/>
        <s v="Hot File 7-Pocket, Floor Stand"/>
        <s v="14-7/8 x 11 Blue Bar Computer Printout Paper"/>
        <s v="Xerox 2"/>
        <s v="Eldon Cleatmat Chair Mats for Medium Pile Carpets"/>
        <s v="Xerox 189"/>
        <s v="Acco 6 Outlet Guardian Premium Surge Suppressor"/>
        <s v="Important Message Pads, 50 4-1/4 x 5-1/2 Forms per Pad"/>
        <s v="Global Ergonomic Managers Chair"/>
        <s v="Logitech Wireless Marathon Mouse M705"/>
        <s v="Imation Bio 2GB USB Flash Drive Imation Corp"/>
        <s v="Novimex Turbo Task Chair"/>
        <s v="Lesro Sheffield Collection Coffee Table, End Table, Center Table, Corner Table"/>
        <s v="Staple-based wall hangings"/>
        <s v="Prang Colored Pencils"/>
        <s v="Fellowes Stor/Drawer Steel Plus Storage Drawers"/>
        <s v="Newell 350"/>
        <s v="Career Cubicle Clock, 8 1/4&quot;, Black"/>
        <s v="Wilson Jones Legal Size Ring Binders"/>
        <s v="Bevis 36 x 72 Conference Tables"/>
        <s v="Wilson Jones Elliptical Ring 3 1/2&quot; Capacity Binders, 800 sheets"/>
        <s v="Plantronics Audio 995 Wireless Stereo Headset"/>
        <s v="Kingston Digital DataTraveler 16GB USB 2.0"/>
        <s v="UniKeep View Case Binders"/>
        <s v="Wilson Jones Standard D-Ring Binders"/>
        <s v="Bravo II Megaboss 12-Amp Hard Body Upright, Replacement Belts, 2 Belts per Pack"/>
        <s v="Logitech P710e Mobile Speakerphone"/>
        <s v="Xerox 206"/>
        <s v="VTech DS6151"/>
        <s v="Bush Mission Pointe Library"/>
        <s v="WD My Passport Ultra 1TB Portable External Hard Drive"/>
        <s v="Chromcraft 48&quot; x 96&quot; Racetrack Double Pedestal Table"/>
        <s v="Hewlett-Packard 300S Scientific Calculator"/>
        <s v="Xerox 188"/>
        <s v="Eldon Gobal File Keepers"/>
        <s v="Westinghouse Floor Lamp with Metal Mesh Shade, Black"/>
        <s v="Pyle PMP37LED"/>
        <s v="4009 Highlighters by Sanford"/>
        <s v="netTALK DUO VoIP Telephone Service"/>
        <s v="Xerox 1891"/>
        <s v="Hewlett-Packard Deskjet 5550 Printer"/>
        <s v="Tenex Traditional Chairmats for Medium Pile Carpet, Standard Lip, 36&quot; x 48&quot;"/>
        <s v="Message Book, Wirebound, Four 5 1/2&quot; X 4&quot; Forms/Pg., 200 Dupl. Sets/Book"/>
        <s v="Bevis Round Conference Table Top, X-Base"/>
        <s v="Wirebound Four 2-3/4 x 5 Forms per Page, 400 Sets per Book"/>
        <s v="Logitech 910-002974 M325 Wireless Mouse for Web Scrolling"/>
        <s v="Okidata MB491 Multifunction Printer"/>
        <s v="Plantronics Savi W720 Multi-Device Wireless Headset System"/>
        <s v="Square Credit Card Reader, 4 1/2&quot; x 4 1/2&quot; x 1&quot;, White"/>
        <s v="TRENDnet 56K USB 2.0 Phone, Internet and Fax Modem"/>
        <s v="Xerox 1881"/>
        <s v="Rogers Deluxe File Chest"/>
        <s v="Imation 8gb Micro Traveldrive Usb 2.0 Flash Drive"/>
        <s v="O'Sullivan Elevations Bookcase, Cherry Finish"/>
        <s v="Avery 473"/>
        <s v="Deflect-o EconoMat Studded, No Bevel Mat for Low Pile Carpeting"/>
        <s v="Fellowes Bases and Tops For Staxonsteel/High-Stak Systems"/>
        <s v="Letter/Legal File Tote with Clear Snap-On Lid, Black Granite"/>
        <s v="Avery 476"/>
        <s v="#10- 4 1/8&quot; x 9 1/2&quot; Security-Tint Envelopes"/>
        <s v="Premium Writing Pencils, Soft, #2 by Central Association for the Blind"/>
        <s v="Square Ring Data Binders, Rigid 75 Pt. Covers, 11&quot; x 14-7/8&quot;"/>
        <s v="Kensington Expert Mouse Optical USB Trackball for PC or Mac"/>
        <s v="Office Star Flex Back Scooter Chair with Aluminum Finish Frame"/>
        <s v="Global Low Back Tilter Chair"/>
        <s v="Prang Drawing Pencil Set"/>
        <s v="Bush Heritage Pine Collection 5-Shelf Bookcase, Albany Pine Finish, *Special Order"/>
        <s v="Eldon Advantage Foldable Chair Mats for Low Pile Carpets"/>
        <s v="&quot;While you Were Out&quot; Message Book, One Form per Page"/>
        <s v="Hypercom P1300 Pinpad"/>
        <s v="GBC DocuBind TL300 Electric Binding System"/>
        <s v="X-Rack File for Hanging Folders"/>
        <s v="Xerox 208"/>
        <s v="Hoover Portapower Portable Vacuum"/>
        <s v="Magnifier Swing Arm Lamp"/>
        <s v="Quartet Alpha White Chalk, 12/Pack"/>
        <s v="Logitech G19 Programmable Gaming Keyboard"/>
        <s v="Colorific Watercolor Pencils"/>
        <s v="Telescoping Adjustable Floor Lamp"/>
        <s v="Global Deluxe Office Fabric Chairs"/>
        <s v="9-3/4 Diameter Round Wall Clock"/>
        <s v="Xerox 1971"/>
        <s v="Sterilite Officeware Hinged File Box"/>
        <s v="Avery 513"/>
        <s v="Mead 1st Gear 2&quot; Zipper Binder, Asst. Colors"/>
        <s v="HP Standard 104 key PS/2 Keyboard"/>
        <s v="Xerox 1963"/>
        <s v="Xerox 1992"/>
        <s v="Polycom SoundPoint IP 450 VoIP phone"/>
        <s v="Memorex 25GB 6X Branded Blu-Ray Recordable Disc, 15/Pack"/>
        <s v="Microsoft Sculpt Comfort Mouse"/>
        <s v="Chromcraft Round Conference Tables"/>
        <s v="Strathmore Photo Mount Cards"/>
        <s v="Binder Posts"/>
        <s v="SAFCO PlanMaster Boards, 60w x 37-1/2d, White Melamine"/>
        <s v="Canon Image Class D660 Copier"/>
        <s v="Avery Self-Adhesive Photo Pockets for Polaroid Photos"/>
        <s v="Hunt Boston Vacuum Mount KS Pencil Sharpener"/>
        <s v="Xerox 1923"/>
        <s v="GBC Premium Transparent Covers with Diagonal Lined Pattern"/>
        <s v="SpineVue Locking Slant-D Ring Binders by Cardinal"/>
        <s v="AT&amp;T 1080 Corded phone"/>
        <s v="Avery 520"/>
        <s v="Xerox 1888"/>
        <s v="Kensington Orbit Wireless Mobile Trackball for PC and Mac"/>
        <s v="Belkin F9H710-06 7 Outlet SurgeMaster Surge Protector"/>
        <s v="GBC Pre-Punched Binding Paper, Plastic, White, 8-1/2&quot; x 11&quot;"/>
        <s v="Rediform Wirebound &quot;Phone Memo&quot; Message Book, 11 x 5-3/4"/>
        <s v="Tensor Brushed Steel Torchiere Floor Lamp"/>
        <s v="Newell 344"/>
        <s v="Memorex Micro Travel Drive 16 GB"/>
        <s v="Elite 5&quot; Scissors"/>
        <s v="Eldon Image Series Desk Accessories, Burgundy"/>
        <s v="DAX Two-Tone Silver Metal Document Frame"/>
        <s v="Belkin 6 Outlet Metallic Surge Strip"/>
        <s v="American Pencil"/>
        <s v="White Envelopes, White Envelopes with Clear Poly Window"/>
        <s v="Xerox 1934"/>
        <s v="Howard Miller 13-3/4&quot; Diameter Brushed Chrome Round Wall Clock"/>
        <s v="Avery 497"/>
        <s v="Cisco SPA 502G IP Phone"/>
        <s v="Panasonic KX - TS880B Telephone"/>
        <s v="LG Electronics Tone+ HBS-730 Bluetooth Headset"/>
        <s v="Brown Kraft Recycled Envelopes"/>
        <s v="Newell 326"/>
        <s v="Motorola L804"/>
        <s v="Things To Do Today Pad"/>
        <s v="Bretford Rectangular Conference Table Tops"/>
        <s v="Black Print Carbonless Snap-Off Rapid Letter, 8 1/2&quot; x 7&quot;"/>
        <s v="Xerox 23"/>
        <s v="Tenex Personal Self-Stacking Standard File Box, Black/Gray"/>
        <s v="DXL Angle-View Binders with Locking Rings by Samsill"/>
        <s v="Black Avery Memo-Size 3-Ring Binder, 5 1/2&quot; x 8 1/2&quot;"/>
        <s v="Acco 7-Outlet Masterpiece Power Center, Wihtout Fax/Phone Line Protection"/>
        <s v="Innergie mMini Combo Duo USB Travel Charging Kit"/>
        <s v="Ampad Phone Message Book, Recycled, 400 Message Capacity, 5 ¾” x 11”"/>
        <s v="Newell 346"/>
        <s v="Presstex Flexible Ring Binders"/>
        <s v="Insertable Tab Indexes For Data Binders"/>
        <s v="Nu-Dell Executive Frame"/>
        <s v="Hammermill CopyPlus Copy Paper (20Lb. and 84 Bright)"/>
        <s v="Avery Durable Poly Binders"/>
        <s v="Crayola Anti Dust Chalk, 12/Pack"/>
        <s v="Acco Perma 3000 Stacking Storage Drawers"/>
        <s v="Sanford Colorific Eraseable Coloring Pencils, 12 Count"/>
        <s v="Verbatim 25 GB 6x Blu-ray Single Layer Recordable Disc, 25/Pack"/>
        <s v="invisibleSHIELD by ZAGG Smudge-Free Screen Protector"/>
        <s v="Bush Birmingham Collection Bookcase, Dark Cherry"/>
        <s v="It's Hot Message Books with Stickers, 2 3/4&quot; x 5&quot;"/>
        <s v="Sanford Colorific Colored Pencils, 12/Box"/>
        <s v="DIXON Oriole Pencils"/>
        <s v="GBC Recycled VeloBinder Covers"/>
        <s v="Wilson Jones Active Use Binders"/>
        <s v="Telephone Message Books with Fax/Mobile Section, 4 1/4&quot; x 6&quot;"/>
        <s v="Ibico Hi-Tech Manual Binding System"/>
        <s v="QVS USB Car Charger 2-Port 2.1Amp for iPod/iPhone/iPad/iPad 2/iPad 3"/>
        <s v="Trav-L-File Heavy-Duty Shuttle II, Black"/>
        <s v="Kingston Digital DataTraveler 8GB USB 2.0"/>
        <s v="Rogers Jumbo File, Granite"/>
        <s v="Bush Cubix Conference Tables, Fully Assembled"/>
        <s v="24 Capacity Maxi Data Binder Racks, Pearl"/>
        <s v="Global Value Steno Chair, Gray"/>
        <s v="Xerox 213"/>
        <s v="Hunt PowerHouse Electric Pencil Sharpener, Blue"/>
        <s v="Pressboard Hanging Data Binders for Unburst Sheets"/>
        <s v="Avery Trapezoid Extra Heavy Duty 4&quot; Binders"/>
        <s v="24-Hour Round Wall Clock"/>
        <s v="Cubify CubeX 3D Printer Triple Head Print"/>
        <s v="Eureka The Boss Plus 12-Amp Hard Box Upright Vacuum, Red"/>
        <s v="Adams Telephone Message Books, 5 1/4” x 11”"/>
        <s v="Alphabetical Labels for Top Tab Filing"/>
        <s v="Hon 5100 Series Wood Tables"/>
        <s v="Motorola Moto X"/>
        <s v="Logitech M510 Wireless Mouse"/>
        <s v="iOttie XL Car Mount"/>
        <s v="Avery 481"/>
        <s v="Self-Adhesive Ring Binder Labels"/>
        <s v="Wilson Jones Impact Binders"/>
        <s v="SanDisk Ultra 32 GB MicroSDHC Class 10 Memory Card"/>
        <s v="Carina 42&quot;Hx23 3/4&quot;W Media Storage Unit"/>
        <s v="Binney &amp; Smith inkTank Desk Highlighter, Chisel Tip, Yellow, 12/Box"/>
        <s v="Safco Chair Connectors, 6/Carton"/>
        <s v="Global Chrome Stack Chair"/>
        <s v="Hand-Finished Solid Wood Document Frame"/>
        <s v="DIXON Ticonderoga Erasable Checking Pencils"/>
        <s v="Xerox 1956"/>
        <s v="Advantus Rolling Drawer Organizers"/>
        <s v="Newell 310"/>
        <s v="First Data TMFD35 PIN Pad"/>
        <s v="Logitech G430 Surround Sound Gaming Headset with Dolby 7.1 Technology"/>
        <s v="Okidata C610n Printer"/>
        <s v="IBM Multi-Purpose Copy Paper, 8 1/2 x 11&quot;, Case"/>
        <s v="Tensor &quot;Hersey Kiss&quot; Styled Floor Lamp"/>
        <s v="C-Line Cubicle Keepers Polyproplyene Holder With Velcro Backings"/>
        <s v="Sanyo Counter Height Refrigerator with Crisper, 3.6 Cubic Foot, Stainless Steel/Black"/>
        <s v="Geemarc AmpliPOWER60"/>
        <s v="Avery 515"/>
        <s v="Advantus Map Pennant Flags and Round Head Tacks"/>
        <s v="Recycled Steel Personal File for Standard File Folders"/>
        <s v="GBC ProClick Punch Binding System"/>
        <s v="Avery Hole Reinforcements"/>
        <s v="Laser &amp; Ink Jet Business Envelopes"/>
        <s v="Logitech G700s Rechargeable Gaming Mouse"/>
        <s v="Kensington 7 Outlet MasterPiece HOMEOFFICE Power Control Center"/>
        <s v="Ibico Recycled Linen-Style Covers"/>
        <s v="Peel &amp; Seel Recycled Catalog Envelopes, Brown"/>
        <s v="Redi-Strip #10 Envelopes, 4 1/8 x 9 1/2"/>
        <s v="Bestar Classic Bookcase"/>
        <s v="Ibico Covers for Plastic or Wire Binding Elements"/>
        <s v="LG G3"/>
        <s v="Xerox 227"/>
        <s v="Deflect-o RollaMat Studded, Beveled Mat for Medium Pile Carpeting"/>
        <s v="Xerox 1975"/>
        <s v="Xerox 1966"/>
        <s v="Tuf-Vin Binders"/>
        <s v="Tennsco Lockers, Sand"/>
        <s v="Premium Transparent Presentation Covers by GBC"/>
        <s v="Avery 475"/>
        <s v="Newell 333"/>
        <s v="Model L Table or Wall-Mount Pencil Sharpener"/>
        <s v="Motorola HK250 Universal Bluetooth Headset"/>
        <s v="Avery Framed View Binder, EZD Ring (Locking), Navy, 1 1/2&quot;"/>
        <s v="Xerox 1951"/>
        <s v="Samsung HM1900 Bluetooth Headset"/>
        <s v="Global High-Back Leather Tilter, Burgundy"/>
        <s v="3D Systems Cube Printer, 2nd Generation, Magenta"/>
        <s v="Global Deluxe High-Back Office Chair in Storm"/>
        <s v="Hoover Replacement Belts For Soft Guard &amp; Commercial Ltweight Upright Vacs, 2/Pk"/>
        <s v="DAX Clear Channel Poster Frame"/>
        <s v="KI Adjustable-Height Table"/>
        <s v="NETGEAR AC1750 Dual Band Gigabit Smart WiFi Router"/>
        <s v="Enermax Aurora Lite Keyboard"/>
        <s v="Nortel Meridian M3904 Professional Digital phone"/>
        <s v="Balt Split Level Computer Training Table"/>
        <s v="Xerox 202"/>
        <s v="Eaton Premium Continuous-Feed Paper, 25% Cotton, Letter Size, White, 1000 Shts/Box"/>
        <s v="Avery Premier Heavy-Duty Binder with Round Locking Rings"/>
        <s v="Ampad Gold Fibre Wirebound Steno Books, 6&quot; x 9&quot;, Gregg Ruled"/>
        <s v="Kensington 6 Outlet Guardian Standard Surge Protector"/>
        <s v="Southworth 100% Résumé Paper, 24lb."/>
        <s v="Imation 16GB Mini TravelDrive USB 2.0 Flash Drive"/>
        <s v="Xerox 1960"/>
        <s v="Logitech ClearChat Comfort/USB Headset H390"/>
        <s v="Eldon Expressions Wood and Plastic Desk Accessories, Cherry Wood"/>
        <s v="Seth Thomas 14&quot; Putty-Colored Wall Clock"/>
        <s v="Eureka The Boss Cordless Rechargeable Stick Vac"/>
        <s v="GBC Wire Binding Combs"/>
        <s v="Zipper Ring Binder Pockets"/>
        <s v="Self-Adhesive Removable Labels"/>
        <s v="Eldon Radial Chair Mat for Low to Medium Pile Carpets"/>
        <s v="Cyber Acoustics AC-202b Speech Recognition Stereo Headset"/>
        <s v="GBC VeloBinder Manual Binding System"/>
        <s v="Avery 52"/>
        <s v="Wilson Jones Turn Tabs Binder Tool for Ring Binders"/>
        <s v="Bush Andora Bookcase, Maple/Graphite Gray Finish"/>
        <s v="Atlantic Metals Mobile 5-Shelf Bookcases, Custom Colors"/>
        <s v="Grandstream GXP1160 VoIP phone"/>
        <s v="Acco Recycled 2&quot; Capacity Laser Printer Hanging Data Binders"/>
        <s v="Xerox 1883"/>
        <s v="Economy Binders"/>
        <s v="File Shuttle II and Handi-File, Black"/>
        <s v="Avery 49"/>
        <s v="Digium D40 VoIP phone"/>
        <s v="Avery 511"/>
        <s v="Newell 345"/>
        <s v="3M Organizer Strips"/>
        <s v="Blackstonian Pencils"/>
        <s v="Imation Secure+ Hardware Encrypted USB 2.0 Flash Drive; 16GB"/>
        <s v="Dixon Ticonderoga Core-Lock Colored Pencils"/>
        <s v="Sauder Mission Library with Doors, Fruitwood Finish"/>
        <s v="Fellowes Staxonsteel Drawer Files"/>
        <s v="Wilson Jones Century Plastic Molded Ring Binders"/>
        <s v="Avery 4027 File Folder Labels for Dot Matrix Printers, 5000 Labels per Box, White"/>
        <s v="Eldon 300 Class Desk Accessories, Black"/>
        <s v="Sterilite Show Offs Storage Containers"/>
        <s v="Wirebound Message Books, 5-1/2 x 4 Forms, 2 or 4 Forms per Page"/>
        <s v="Global Task Chair, Black"/>
        <s v="O'Sullivan 2-Shelf Heavy-Duty Bookcases"/>
        <s v="Longer-Life Soft White Bulbs"/>
        <s v="Ativa D5772 2-Line 5.8GHz Digital Expandable Corded/Cordless Phone System with Answering &amp; Caller ID/Call Waiting, Black/Silver"/>
        <s v="Acme 10&quot; Easy Grip Assistive Scissors"/>
        <s v="36X48 HARDFLOOR CHAIRMAT"/>
        <s v="Conquest 14 Commercial Heavy-Duty Upright Vacuum, Collection System, Accessory Kit"/>
        <s v="Computer Printout Paper with Letter-Trim Perforations"/>
        <s v="Adams Telephone Message Book W/Dividers/Space For Phone Numbers, 5 1/4&quot;X8 1/2&quot;, 200/Messages"/>
        <s v="Space Solutions HD Industrial Steel Shelving."/>
        <s v="Xerox 1886"/>
        <s v="Xerox 217"/>
        <s v="Adjustable Depth Letter/Legal Cart"/>
        <s v="Avery Hi-Liter Smear-Safe Highlighters"/>
        <s v="Flexible Leather- Look Classic Collection Ring Binder"/>
        <s v="Decoflex Hanging Personal Folder File"/>
        <s v="Xerox 1987"/>
        <s v="SANFORD Liquid Accent Tank-Style Highlighters"/>
        <s v="1.7 Cubic Foot Compact &quot;Cube&quot; Office Refrigerators"/>
        <s v="Executive Impressions 12&quot; Wall Clock"/>
        <s v="Carina Double Wide Media Storage Towers in Natural &amp; Black"/>
        <s v="Newell 339"/>
        <s v="Astroparche Fine Business Paper"/>
        <s v="Avery 503"/>
        <s v="Xerox 1906"/>
        <s v="Hon 2090 “Pillow Soft” Series Mid Back Swivel/Tilt Chairs"/>
        <s v="SanDisk Cruzer 64 GB USB Flash Drive"/>
        <s v="SimpliFile Personal File, Black Granite, 15w x 6-15/16d x 11-1/4h"/>
        <s v="Staple magnet"/>
        <s v="Lexmark MX611dhe Monochrome Laser Printer"/>
        <s v="Eldon Fold 'N Roll Cart System"/>
        <s v="Tennsco Commercial Shelving"/>
        <s v="Acme Galleria Hot Forged Steel Scissors with Colored Handles"/>
        <s v="Logitech Desktop MK120 Mouse and keyboard Combo"/>
        <s v="Bush Advantage Collection Round Conference Table"/>
        <s v="GBC Instant Index System for Binding Systems"/>
        <s v="Tenex Contemporary Contur Chairmats for Low and Medium Pile Carpet, Computer, 39&quot; x 49&quot;"/>
        <s v="50 Colored Long Pencils"/>
        <s v="Hon 4070 Series Pagoda Armless Upholstered Stacking Chairs"/>
        <s v="SAFCO Optional Arm Kit for Workspace Cribbage Stacking Chair"/>
        <s v="Safco Contoured Stacking Chairs"/>
        <s v="Belkin Premiere Surge Master II 8-outlet surge protector"/>
        <s v="Logitech G600 MMO Gaming Mouse"/>
        <s v="Blue Parrot B250XT Professional Grade Wireless Bluetooth Headset with"/>
        <s v="O'Sullivan 3-Shelf Heavy-Duty Bookcases"/>
        <s v="Xerox 216"/>
        <s v="Apple iPhone 5S"/>
        <s v="Plastic Stacking Crates &amp; Casters"/>
        <s v="AmazonBasics 3-Button USB Wired Mouse"/>
        <s v="Plantronics CS510 - Over-the-Head monaural Wireless Headset System"/>
        <s v="Brites Rubber Bands, 1 1/2 oz. Box"/>
        <s v="Quartet Omega Colored Chalk, 12/Pack"/>
        <s v="GE DSL Phone Line Filter"/>
        <s v="Avery Printable Repositionable Plastic Tabs"/>
        <s v="Logitech K350 2.4Ghz Wireless Keyboard"/>
        <s v="Polycom VoiceStation 500 Conference phone"/>
        <s v="Cardinal Holdit Business Card Pockets"/>
        <s v="Sony Micro Vault Click 4 GB USB 2.0 Flash Drive"/>
        <s v="Global Enterprise Series Seating Low-Back Swivel/Tilt Chairs"/>
        <s v="Tenex Chairmats For Use With Carpeted Floors"/>
        <s v="Advantus 10-Drawer Portable Organizer, Chrome Metal Frame, Smoke Drawers"/>
        <s v="Eureka Recycled Copy Paper 8 1/2&quot; x 11&quot;, Ream"/>
        <s v="Poly String Tie Envelopes"/>
        <s v="Rosewill 107 Normal Keys USB Wired Standard Keyboard"/>
        <s v="DAX Copper Panel Document Frame, 5 x 7 Size"/>
        <s v="Motorla HX550 Universal Bluetooth Headset"/>
        <s v="C-Line Magnetic Cubicle Keepers, Clear Polypropylene"/>
        <s v="Maxell 4.7GB DVD-R"/>
        <s v="DataProducts Ampli Magnifier Task Lamp, Black,"/>
        <s v="Konftel 250 Conference phone - Charcoal black"/>
        <s v="Boston 1799 Powerhouse Electric Pencil Sharpener"/>
        <s v="Avoid Verbal Orders Carbonless Minifold Book"/>
        <s v="O'Sullivan Manor Hill 2-Door Library in Brianna Oak"/>
        <s v="Toshiba IPT2010-SD IP Telephone"/>
        <s v="Storex DuraTech Recycled Plastic Frosted Binders"/>
        <s v="SAFCO Mobile Desk Side File, Wire Frame"/>
        <s v="Anker Ultra-Slim Mini Bluetooth 3.0 Wireless Keyboard"/>
        <s v="Plantronics CS 50-USB - headset - Convertible, Monaural"/>
        <s v="Jabra Supreme Plus Driver Edition Headset"/>
        <s v="Bevis Rectangular Conference Tables"/>
        <s v="Holmes Odor Grabber"/>
        <s v="Maxell CD-R Discs"/>
        <s v="Global Highback Leather Tilter in Burgundy"/>
        <s v="Cisco SPA301"/>
        <s v="Binder Clips by OIC"/>
        <s v="Xerox 1995"/>
        <s v="Logitech G602 Wireless Gaming Mouse"/>
        <s v="DAX Wood Document Frame."/>
        <s v="Ibico EPK-21 Electric Binding System"/>
        <s v="Eureka The Boss Lite 10-Amp Upright Vacuum, Blue"/>
        <s v="Memorex Micro Travel Drive 8 GB"/>
        <s v="REDIFORM Incoming/Outgoing Call Register, 11&quot; X 8 1/2&quot;, 100 Messages"/>
        <s v="Balt Solid Wood Round Tables"/>
        <s v="Belkin 8 Outlet SurgeMaster II Gold Surge Protector with Phone Protection"/>
        <s v="Avery Address/Shipping Labels for Typewriters, 4&quot; x 2&quot;"/>
        <s v="Green Canvas Binder for 8-1/2&quot; x 14&quot; Sheets"/>
        <s v="Newell 323"/>
        <s v="Eldon Expressions Punched Metal &amp; Wood Desk Accessories, Black &amp; Cherry"/>
        <s v="Tennsco 16-Compartment Lockers with Coat Rack"/>
        <s v="Xerox 1942"/>
        <s v="3M Polarizing Task Lamp with Clamp Arm, Light Gray"/>
        <s v="Canon Imageclass D680 Copier / Fax"/>
        <s v="Global Armless Task Chair, Royal Blue"/>
        <s v="Fellowes Mighty 8 Compact Surge Protector"/>
        <s v="Xerox 1997"/>
        <s v="Eureka Disposable Bags for Sanitaire Vibra Groomer I Upright Vac"/>
        <s v="Acme Tagit Stainless Steel Antibacterial Scissors"/>
        <s v="ClearOne Communications CHAT 70 OC Speaker Phone"/>
        <s v="GBC Twin Loop Wire Binding Elements, 9/16&quot; Spine, Black"/>
        <s v="Riverside Palais Royal Lawyers Bookcase, Royale Cherry Finish"/>
        <s v="Shocksock Galaxy S4 Armband"/>
        <s v="GBC VeloBinder Electric Binding Machine"/>
        <s v="Binney &amp; Smith inkTank Erasable Desk Highlighter, Chisel Tip, Yellow, 12/Box"/>
        <s v="BIC Brite Liner Highlighters, Chisel Tip"/>
        <s v="Deflect-o SuperTray Unbreakable Stackable Tray, Letter, Black"/>
        <s v="GE 48&quot; Fluorescent Tube, Cool White Energy Saver, 34 Watts, 30/Box"/>
        <s v="Dot Matrix Printer Tape Reel Labels, White, 5000/Box"/>
        <s v="Micro Innovations USB RF Wireless Keyboard with Mouse"/>
        <s v="Avery 485"/>
        <s v="Master Big Foot Doorstop, Beige"/>
        <s v="Zebra Zazzle Fluorescent Highlighters"/>
        <s v="Crayola Colored Pencils"/>
        <s v="Tensor Track Tree Floor Lamp"/>
        <s v="Newell 325"/>
        <s v="BoxOffice By Design Rectangular and Half-Moon Meeting Room Tables"/>
        <s v="Aastra 6757i CT Wireless VoIP phone"/>
        <s v="Imation Swivel Flash Drive USB flash drive - 8 GB"/>
        <s v="Memorex Micro Travel Drive 32 GB"/>
        <s v="Memorex Froggy Flash Drive 8 GB"/>
        <s v="Canon PC-428 Personal Copier"/>
        <s v="Vinyl Coated Wire Paper Clips in Organizer Box, 800/Box"/>
        <s v="DAX Black Cherry Wood-Tone Poster Frame"/>
        <s v="Xerox 205"/>
        <s v="Decoflex Hanging Personal Folder File, Blue"/>
        <s v="Samsung Rugby III"/>
        <s v="Adjustable Personal File Tote"/>
        <s v="KeyTronic E03601U1 - Keyboard - Beige"/>
        <s v="Logitech Illuminated - Keyboard"/>
        <s v="Office Star - Ergonomically Designed Knee Chair"/>
        <s v="Panasonic KP-310 Heavy-Duty Electric Pencil Sharpener"/>
        <s v="Howard Miller Distant Time Traveler Alarm Clock"/>
        <s v="Sony 64GB Class 10 Micro SDHC R40 Memory Card"/>
        <s v="Sharp AL-1530CS Digital Copier"/>
        <s v="Wirebound Service Call Books, 5 1/2&quot; x 4&quot;"/>
        <s v="Xerox 1908"/>
        <s v="Novimex High-Tech Fabric Mesh Task Chair"/>
        <s v="C-Line Cubicle Keepers Polyproplyene Holder w/Velcro Back, 8-1/2x11, 25/Bx"/>
        <s v="Safco Industrial Wire Shelving System"/>
        <s v="Iris Project Case"/>
        <s v="Akro-Mils 12-Gallon Tote"/>
        <s v="Tenex Traditional Chairmats for Hard Floors, Average Lip, 36&quot; x 48&quot;"/>
        <s v="Xerox 1968"/>
        <s v="Belkin 8-Outlet Premiere SurgeMaster II Surge Protectors"/>
        <s v="Standard Line “While You Were Out” Hardbound Telephone Message Book"/>
        <s v="Logitech G105 Gaming Keyboard"/>
        <s v="Hoover WindTunnel Plus Canister Vacuum"/>
        <s v="Sauder Camden County Collection Libraries, Planked Cherry Finish"/>
        <s v="Recycled Data-Pak for Archival Bound Computer Printouts, 12-1/2 x 12-1/2 x 16"/>
        <s v="Global Deluxe Steno Chair"/>
        <s v="BIC Brite Liner Highlighters"/>
        <s v="iHome FM Clock Radio with Lightning Dock"/>
        <s v="Razer Kraken PRO Over Ear PC and Music Headset"/>
        <s v="Stacking Trays by OIC"/>
        <s v="Belkin F9S820V06 8 Outlet Surge"/>
        <s v="Sensible Storage WireTech Storage Systems"/>
        <s v="Logitech Wireless Headset h800"/>
        <s v="Hewlett Packard 310 Color Digital Copier"/>
        <s v="Color-Coded Legal Exhibit Labels"/>
        <s v="Xerox 212"/>
        <s v="Computer Printout Paper with Letter-Trim Fine Perforations"/>
        <s v="Avery File Folder Labels"/>
        <s v="Office Impressions Heavy Duty Welded Shelving &amp; Multimedia Storage Drawers"/>
        <s v="Avery 48"/>
        <s v="Avery Arch Ring Binders"/>
        <s v="GBC Recycled Regency Composition Covers"/>
        <s v="Tyvek  Top-Opening Peel &amp; Seel Envelopes, Plain White"/>
        <s v="Harbour Creations Steel Folding Chair"/>
        <s v="Home/Office Personal File Carts"/>
        <s v="Riverside Furniture Oval Coffee Table, Oval End Table, End Table with Drawer"/>
        <s v="Rogers Profile Extra Capacity Storage Tub"/>
        <s v="Razer Kraken 7.1 Surround Sound Over Ear USB Gaming Headset"/>
        <s v="12-1/2 Diameter Round Wall Clock"/>
        <s v="Chromcraft Bull-Nose Wood Round Conference Table Top, Wood Base"/>
        <s v="Standard Rollaway File with Lock"/>
        <s v="Recycled Steel Personal File for Hanging File Folders"/>
        <s v="Xerox 1914"/>
        <s v="Tennsco Industrial Shelving"/>
        <s v="Prismacolor Color Pencil Set"/>
        <s v="GBC Prepunched Paper, 19-Hole, for Binding Systems, 24-lb"/>
        <s v="Eldon Expressions Punched Metal &amp; Wood Desk Accessories, Pewter &amp; Cherry"/>
        <s v="Plantronics S12 Corded Telephone Headset System"/>
        <s v="Samsung Galaxy Note 2"/>
        <s v="Fellowes Officeware Wire Shelving"/>
        <s v="Fellowes Super Stor/Drawer Files"/>
        <s v="#10- 4 1/8&quot; x 9 1/2&quot; Recycled Envelopes"/>
        <s v="Unpadded Memo Slips"/>
        <s v="Newell 35"/>
        <s v="Novimex Fabric Task Chair"/>
        <s v="Microsoft Wireless Mobile Mouse 4000"/>
        <s v="Xerox 1930"/>
        <s v="Avery 501"/>
        <s v="Acco Data Flex Cable Posts For Top &amp; Bottom Load Binders, 6&quot; Capacity"/>
        <s v="Hon 61000 Series Interactive Training Tables"/>
        <s v="Pressboard Data Binders by Wilson Jones"/>
        <s v="TOPS 4 x 6 Fluorescent Color Memo Sheets, 500 Sheets per Pack"/>
        <s v="Durable Pressboard Binders"/>
        <s v="Hon Every-Day Chair Series Swivel Task Chairs"/>
        <s v="Wirebound Message Books, 2 7/8&quot; x 5&quot;, 3 Forms per Page"/>
        <s v="Safco Wire Cube Shelving System, For Use as 4 or 5 14&quot; Cubes, Black"/>
        <s v="Lifetime Advantage Folding Chairs, 4/Carton"/>
        <s v="Motorola L703CM"/>
        <s v="6&quot; Cubicle Wall Clock, Black"/>
        <s v="Nortel Business Series Terminal T7208 Digital phone"/>
        <s v="Safco Commercial Shelving"/>
        <s v="Recycled Interoffice Envelopes with String and Button Closure, 10 x 13"/>
        <s v="Global Executive Mid-Back Manager's Chair"/>
        <s v="Xerox 1946"/>
        <s v="Wirebound Message Books, Four 2 3/4 x 5 White Forms per Page"/>
        <s v="Maxell Pro 80 Minute CD-R, 10/Pack"/>
        <s v="BIC Liqua Brite Liner"/>
        <s v="Ibico Plastic and Wire Spiral Binding Combs"/>
        <s v="Xerox 1921"/>
        <s v="Newell 314"/>
        <s v="Harmony Air Purifier"/>
        <s v="Xerox 1884"/>
        <s v="Multicolor Computer Printout Paper"/>
        <s v="XtraLife ClearVue Slant-D Ring Binder, White, 3&quot;"/>
        <s v="Belkin F9M820V08 8 Outlet Surge"/>
        <s v="Wilson Jones 1&quot; Hanging DublLock Ring Binders"/>
        <s v="GBC Imprintable Covers"/>
        <s v="HP Office Recycled Paper (20Lb. and 87 Bright)"/>
        <s v="Newell 337"/>
        <s v="Cisco SPA525G2 IP Phone - Wireless"/>
        <s v="Nokia Lumia 521 (T-Mobile)"/>
        <s v="Euro Pro Shark Stick Mini Vacuum"/>
        <s v="Heavy-Duty E-Z-D Binders"/>
        <s v="Bevis Traditional Conference Table Top, Plinth Base"/>
        <s v="Wirebound Message Books, Two 4 1/4&quot; x 5&quot; Forms per Page"/>
        <s v="OIC Binder Clips"/>
        <s v="Xerox 1894"/>
        <s v="Stackable Trays"/>
        <s v="Acco Pressboard Covers with Storage Hooks, 14 7/8&quot; x 11&quot;, Light Blue"/>
        <s v="Tripp Lite Isotel 6 Outlet Surge Protector with Fax/Modem Protection"/>
        <s v="O'Sullivan Living Dimensions 2-Shelf Bookcases"/>
        <s v="Newell 351"/>
        <s v="Logitech B530 USB Headset - headset - Full size, Binaural"/>
        <s v="Avery 512"/>
        <s v="Sanford EarthWrite Recycled Pencils, Medium Soft, #2"/>
        <s v="Plymouth Boxed Rubber Bands by Plymouth"/>
        <s v="Eldon 200 Class Desk Accessories, Smoke"/>
        <s v="Aastra 57i VoIP phone"/>
        <s v="Panasonic Kx-TS550"/>
        <s v="Avery Non-Stick Binders"/>
        <s v="Holmes Replacement Filter for HEPA Air Cleaner, Medium Room"/>
        <s v="Imation Clip USB flash drive - 8 GB"/>
        <s v="Newell 3-Hole Punched Plastic Slotted Magazine Holders for Binders"/>
        <s v="Xerox 1970"/>
        <s v="Acco 6 Outlet Guardian Standard Surge Suppressor"/>
        <s v="Fellowes PB500 Electric Punch Plastic Comb Binding Machine with Manual Bind"/>
        <s v="Rediform S.O.S. 1-Up Phone Message Bk, 4-1/4x3-1/16 Bk, 1 Form/Pg, 40 Messages/Bk, 3/Pk"/>
        <s v="Eberhard Faber 3 1/2&quot; Golf Pencils"/>
        <s v="Wilson Jones Suede Grain Vinyl Binders"/>
        <s v="Memorex Mini Travel Drive 8 GB USB 2.0 Flash Drive"/>
        <s v="Cisco IP Phone 7961G-GE VoIP phone"/>
        <s v="Hon Comfortask Task/Swivel Chairs"/>
        <s v="Cardinal EasyOpen D-Ring Binders"/>
        <s v="DYMO CardScan Personal V9 Business Card Scanner"/>
        <s v="Case Logic 2.4GHz Wireless Keyboard"/>
        <s v="Adtran 1202752G1"/>
        <s v="Fellowes PB300 Plastic Comb Binding Machine"/>
        <s v="Tenex Antistatic Computer Chair Mats"/>
        <s v="GBC VeloBinder Strips"/>
        <s v="12 Colored Short Pencils"/>
        <s v="Memorex Mini Travel Drive 16 GB USB 2.0 Flash Drive"/>
        <s v="Global Leather &amp; Oak Executive Chair, Burgundy"/>
        <s v="Wilson Jones Ledger-Size, Piano-Hinge Binder, 2&quot;, Blue"/>
        <s v="Bretford “Just In Time” Height-Adjustable Multi-Task Work Tables"/>
        <s v="Xerox 210"/>
        <s v="Electrix Halogen Magnifier Lamp"/>
        <s v="Convenience Packs of Business Envelopes"/>
        <s v="Fellowes Bankers Box Staxonsteel Drawer File/Stacking System"/>
        <s v="Col-Erase Pencils with Erasers"/>
        <s v="Razer Tiamat Over Ear 7.1 Surround Sound PC Gaming Headset"/>
        <s v="Jackery Bar Premium Fast-charging Portable Charger"/>
        <s v="Xerox 225"/>
        <s v="Contract Clock, 14&quot;, Brown"/>
        <s v="Global Leather and Oak Executive Chair, Black"/>
        <s v="GBC DocuBind TL200 Manual Binding Machine"/>
        <s v="Nortel Meridian M5316 Digital phone"/>
        <s v="Avery Trapezoid Ring Binder, 3&quot; Capacity, Black, 1040 sheets"/>
        <s v="Desktop 3-Pocket Hot File"/>
        <s v="Executive Impressions 16-1/2&quot; Circular Wall Clock"/>
        <s v="SanDisk Ultra 64 GB MicroSDHC Class 10 Memory Card"/>
        <s v="Dixon Ticonderoga Erasable Colored Pencil Set, 12-Color"/>
        <s v="Newell 321"/>
        <s v="Avery 50"/>
        <s v="Acco Flexible ACCOHIDE Square Ring Data Binder, Dark Blue, 11 1/2&quot; X 14&quot; 7/8&quot;"/>
        <s v="Newell 348"/>
        <s v="Xerox 1927"/>
        <s v="Panasonic KP-4ABK Battery-Operated Pencil Sharpener"/>
        <s v="Global Leather Executive Chair"/>
        <s v="Sortfiler Multipurpose Personal File Organizer, Black"/>
        <s v="Boston 16801 Nautilus Battery Pencil Sharpener"/>
        <s v="Cisco Desktop Collaboration Experience DX650 IP Video Phone"/>
        <s v="Belkin 19&quot; Vented Equipment Shelf, Black"/>
        <s v="Acco Pressboard Covers with Storage Hooks, 14 7/8&quot; x 11&quot;, Executive Red"/>
        <s v="Avery 482"/>
        <s v="Belkin iPhone and iPad Lightning Cable"/>
        <s v="Acco Four Pocket Poly Ring Binder with Label Holder, Smoke, 1&quot;"/>
        <s v="Wirebound Message Books, Four 2 3/4&quot; x 5&quot; Forms per Page, 600 Sets per Book"/>
        <s v="Fellowes Twister Kit, Gray/Clear, 3/pkg"/>
        <s v="Xerox 1935"/>
        <s v="#10 Self-Seal White Envelopes"/>
        <s v="Hon Pagoda Stacking Chairs"/>
        <s v="Acco Hot Clips Clips to Go"/>
        <s v="Kensington 4 Outlet MasterPiece Compact Power Control Center"/>
        <s v="Ibico Ibimaster 300 Manual Binding System"/>
        <s v="Xerox 1953"/>
        <s v="Bevis Round Conference Table Top &amp; Single Column Base"/>
        <s v="Commercial WindTunnel Clean Air Upright Vacuum, Replacement Belts, Filtration Bags"/>
        <s v="OtterBox Defender Series Case - Samsung Galaxy S4"/>
        <s v="Xerox 192"/>
        <s v="Fellowes Premier Superior Surge Suppressor, 10-Outlet, With Phone and Remote"/>
        <s v="Acco Clips to Go Binder Clips, 24 Clips in Two Sizes"/>
        <s v="Permanent Self-Adhesive File Folder Labels for Typewriters by Universal"/>
        <s v="Deluxe Heavy-Duty Vinyl Round Ring Binder"/>
        <s v="Prestige Round Ring Binders"/>
        <s v="Belkin OmniView SE Rackmount Kit"/>
        <s v="Hoover Upright Vacuum With Dirt Cup"/>
        <s v="Executive Impressions 14&quot; Contract Wall Clock"/>
        <s v="OtterBox Commuter Series Case - iPhone 5 &amp; 5s"/>
        <s v="Acme Titanium Bonded Scissors"/>
        <s v="Angle-D Binders with Locking Rings, Label Holders"/>
        <s v="Leather Task Chair, Black"/>
        <s v="Xerox 21"/>
        <s v="GuestStacker Chair with Chrome Finish Legs"/>
        <s v="Plantronics MX500i Earset"/>
        <s v="Enermax Briskie RF Wireless Keyboard and Mouse Combo"/>
        <s v="Clear Mylar Reinforcing Strips"/>
        <s v="Xerox 1895"/>
        <s v="Dexim XPower Skin Super-Thin Power Case for iPhone 5 - Black"/>
        <s v="Hoover Commercial Lightweight Upright Vacuum"/>
        <s v="Global Geo Office Task Chair, Gray"/>
        <s v="Pastel Pink Envelopes"/>
        <s v="Stockwell Push Pins"/>
        <s v="Xerox 195"/>
        <s v="Flat Face Poster Frame"/>
        <s v="GBC Ibimaster 500 Manual ProClick Binding System"/>
        <s v="PowerGen Dual USB Car Charger"/>
        <s v="Xerox 1948"/>
        <s v="Fellowes Bankers Box Stor/Drawer Steel Plus"/>
        <s v="TOPS Carbonless Receipt Book, Four 2-3/4 x 7-1/4 Money Receipts per Page"/>
        <s v="Newell 347"/>
        <s v="Compact Automatic Electric Letter Opener"/>
        <s v="Hoover Commercial Soft Guard Upright Vacuum And Disposable Filtration Bags"/>
        <s v="DXL Angle-View Binders with Locking Rings, Black"/>
        <s v="DAX Cubicle Frames, 8-1/2 x 11"/>
        <s v="Smead Alpha-Z Color-Coded Second Alphabetical Labels and Starter Set"/>
        <s v="Iceberg OfficeWorks 42&quot; Round Tables"/>
        <s v="TOPS Voice Message Log Book, Flash Format"/>
        <s v="Angle-D Ring Binders"/>
        <s v="Boston 1730 StandUp Electric Pencil Sharpener"/>
        <s v="Dana Swing-Arm Lamps"/>
        <s v="Xerox 203"/>
        <s v="Xerox 2000"/>
        <s v="Avanti 4.4 Cu. Ft. Refrigerator"/>
        <s v="DAX Wood Document Frame"/>
        <s v="Newell 312"/>
        <s v="Hon 4700 Series Mobuis Mid-Back Task Chairs with Adjustable Arms"/>
        <s v="Boston 1645 Deluxe Heavier-Duty Electric Pencil Sharpener"/>
        <s v="Xerox 1937"/>
        <s v="Perixx PERIBOARD-512B, Ergonomic Split Keyboard"/>
        <s v="Avery Legal 4-Ring Binder"/>
        <s v="Adams Telephone Message Book w/Frequently-Called Numbers Space, 400 Messages per Book"/>
        <s v="Xerox 209"/>
        <s v="Global Stack Chair without Arms, Black"/>
        <s v="Xerox 1989"/>
        <s v="GBC Twin Loop Wire Binding Elements"/>
        <s v="Maxell 4.7GB DVD-R 5/Pack"/>
        <s v="Canvas Sectional Post Binders"/>
        <s v="Newell 343"/>
        <s v="Logitech Wireless Touch Keyboard K400"/>
        <s v="OIC Colored Binder Clips, Assorted Sizes"/>
        <s v="Global Adaptabilites Bookcase, Cherry/Storm Gray Finish"/>
        <s v="Clarity 53712"/>
        <s v="Xerox 1993"/>
        <s v="Xerox 1952"/>
        <s v="Xerox 197"/>
        <s v="Jabra SPEAK 410 Multidevice Speakerphone"/>
        <s v="Xerox 1978"/>
        <s v="Tenex V2T-RE Standard Weight Series Chair Mat, 45&quot; x 53&quot;, Lip 25&quot; x 12&quot;"/>
        <s v="Samsung Galaxy Mega 6.3"/>
        <s v="Surelock Post Binders"/>
        <s v="Fellowes Neat Ideas Storage Cubes"/>
        <s v="Panasonic KX TS3282W Corded phone"/>
        <s v="Eldon Expressions Desk Accessory, Wood Photo Frame, Mahogany"/>
        <s v="Verbatim 25 GB 6x Blu-ray Single Layer Recordable Disc, 10/Pack"/>
        <s v="Dixon Ticonderoga Maple Cedar Pencil, #2"/>
        <s v="Acme Forged Steel Scissors with Black Enamel Handles"/>
        <s v="SanDisk Ultra 16 GB MicroSDHC Class 10 Memory Card"/>
        <s v="Xerox 1899"/>
        <s v="SAFCO Commercial Wire Shelving, Black"/>
        <s v="Ativa V4110MDD Micro-Cut Shredder"/>
        <s v="RCA ViSYS 25423RE1 Corded phone"/>
        <s v="Fellowes Bankers Box Recycled Super Stor/Drawer"/>
        <s v="Newell 342"/>
        <s v="Belkin Grip Candy Sheer Case / Cover for iPhone 5 and 5S"/>
        <s v="Acme Value Line Scissors"/>
        <s v="Avery Hanging File Binders"/>
        <s v="Regeneration Desk Collection"/>
        <s v="Xerox 1994"/>
        <s v="Wilson Jones Hanging View Binder, White, 1&quot;"/>
        <s v="Binding Machine Supplies"/>
        <s v="Avery 477"/>
        <s v="KeyTronic KT400U2 - Keyboard - Black"/>
        <s v="Southworth 25% Cotton Antique Laid Paper &amp; Envelopes"/>
        <s v="Apple iPhone 5"/>
        <s v="Belkin F5C206VTEL 6 Outlet Surge"/>
        <s v="Acco Hanging Data Binders"/>
        <s v="GBC DocuBind P400 Electric Binding System"/>
        <s v="Telephone Message Books with Fax/Mobile Section, 5 1/2&quot; x 3 3/16&quot;"/>
        <s v="Memorex Mini Travel Drive 64 GB USB 2.0 Flash Drive"/>
        <s v="Howard Miller 14-1/2&quot; Diameter Chrome Round Wall Clock"/>
        <s v="GBC Plastic Binding Combs"/>
        <s v="Newell 315"/>
        <s v="Globe Weis Peel &amp; Seel First Class Envelopes"/>
        <s v="Global Value Mid-Back Manager's Chair, Gray"/>
        <s v="Plantronics Cordless Phone Headset with In-line Volume - M214C"/>
        <s v="Chromcraft Bull-Nose Wood 48&quot; x 96&quot; Rectangular Conference Tables"/>
        <s v="LF Elite 3D Dazzle Designer Hard Case Cover, Lf Stylus Pen and Wiper For Apple Iphone 5c Mini Lite"/>
        <s v="Airmail Envelopes"/>
        <s v="Tenex Personal Filing Tote With Secure Closure Lid, Black/Frost"/>
        <s v="Universal Premium White Copier/Laser Paper (20Lb. and 87 Bright)"/>
        <s v="Situations Contoured Folding Chairs, 4/Set"/>
        <s v="Global Push Button Manager's Chair, Indigo"/>
        <s v="Jensen SMPS-640 - speaker phone"/>
        <s v="Executive Impressions 14&quot;"/>
        <s v="Sauder Facets Collection Locker/File Cabinet, Sky Alder Finish"/>
        <s v="Bush Westfield Collection Bookcases, Medium Cherry Finish"/>
        <s v="GE 30522EE2"/>
        <s v="HP Designjet T520 Inkjet Large Format Printer - 24&quot; Color"/>
        <s v="Acrylic Self-Standing Desk Frames"/>
        <s v="Poly Designer Cover &amp; Back"/>
        <s v="Akro Stacking Bins"/>
        <s v="Avery 502"/>
        <s v="Office Star - Contemporary Task Swivel chair with Loop Arms, Charcoal"/>
        <s v="Eldon 200 Class Desk Accessories"/>
        <s v="Southworth Parchment Paper &amp; Envelopes"/>
        <s v="Howard Miller 13&quot; Diameter Pewter Finish Round Wall Clock"/>
        <s v="Riverleaf Stik-Withit Designer Note Cubes"/>
        <s v="Acco PRESSTEX Data Binder with Storage Hooks, Dark Blue, 14 7/8&quot; X 11&quot;"/>
        <s v="Hon Deluxe Fabric Upholstered Stacking Chairs"/>
        <s v="Avery Hi-Liter Pen Style Six-Color Fluorescent Set"/>
        <s v="Global Airflow Leather Mesh Back Chair, Black"/>
        <s v="Barricks Non-Folding Utility Table with Steel Legs, Laminate Tops"/>
        <s v="XtraLife ClearVue Slant-D Ring Binders by Cardinal"/>
        <s v="Panasonic KP-150 Electric Pencil Sharpener"/>
        <s v="Colored Push Pins"/>
        <s v="Tenex File Box, Personal Filing Tote with Lid, Black"/>
        <s v="Self-Adhesive Address Labels for Typewriters by Universal"/>
        <s v="Deflect-o DuraMat Antistatic Studded Beveled Mat for Medium Pile Carpeting"/>
        <s v="Hon Racetrack Conference Tables"/>
        <s v="GBC Plasticlear Binding Covers"/>
        <s v="Hewlett Packard 610 Color Digital Copier / Printer"/>
        <s v="Acco PRESSTEX Data Binder with Storage Hooks, Dark Blue, 9 1/2&quot; X 11&quot;"/>
        <s v="Inter-Office Recycled Envelopes, Brown Kraft, Button-String,10&quot; x 13&quot; , 100/Box"/>
        <s v="Ultra Door Pull Handle"/>
        <s v="Cisco Unified IP Phone 7945G VoIP phone"/>
        <s v="Chromcraft Rectangular Conference Tables"/>
        <s v="Acco Perma 4000 Stacking Storage Drawers"/>
        <s v="Canon imageCLASS 2200 Advanced Copier"/>
        <s v="Holmes Cool Mist Humidifier for the Whole House with 8-Gallon Output per Day, Extended Life Filter"/>
        <s v="Eldon Regeneration Recycled Desk Accessories, Black"/>
        <s v="Deluxe Rollaway Locking File with Drawer"/>
        <s v="Ibico EB-19 Dual Function Manual Binding System"/>
        <s v="Green Bar Computer Printout Paper"/>
        <s v="Sauder Camden County Collection Library"/>
        <s v="AT&amp;T 17929 Lendline Telephone"/>
        <s v="Hon Practical Foundations 30 x 60 Training Table, Light Gray/Charcoal"/>
        <s v="Hon Multipurpose Stacking Arm Chairs"/>
        <s v="Xerox 194"/>
        <s v="Plantronics Encore H101 Dual Earpieces Headset"/>
        <s v="Office Impressions End Table, 20-1/2&quot;H x 24&quot;W x 20&quot;D"/>
        <s v="Canon PC170 Desktop Personal Copier"/>
        <s v="Executive Impressions 10&quot; Spectator Wall Clock"/>
        <s v="High Speed Automatic Electric Letter Opener"/>
        <s v="Acco Banker's Clasps, 5 3/4&quot;-Long"/>
        <s v="Polycom VVX 310 VoIP phone"/>
        <s v="Verbatim 25 GB 6x Blu-ray Single Layer Recordable Disc, 1/Pack"/>
        <s v="Seth Thomas 13 1/2&quot; Wall Clock"/>
        <s v="Plantronics Voyager Pro HD - Bluetooth Headset"/>
        <s v="Newell 316"/>
        <s v="Acco Smartsocket Color-Coded Six-Outlet AC Adapter Model Surge Protectors"/>
        <s v="Computer Room Manger, 14&quot;"/>
        <s v="Logitech VX Revolution Cordless Laser Mouse for Notebooks (Black)"/>
        <s v="Cisco 8961 IP Phone Charcoal"/>
        <s v="Avery 496"/>
        <s v="Xerox 200"/>
        <s v="Avanti 1.7 Cu. Ft. Refrigerator"/>
        <s v="Xerox 1925"/>
        <s v="Acco Expandable Hanging Binders"/>
        <s v="Avery 486"/>
        <s v="Global Deluxe High-Back Manager's Chair"/>
        <s v="Xerox 1900"/>
        <s v="Avery Durable Plastic 1&quot; Binders"/>
        <s v="Newell 332"/>
        <s v="Honeywell Enviracaire Portable HEPA Air Cleaner for 16' x 20' Room"/>
        <s v="Economy #2 Pencils"/>
        <s v="Boston 16750 Black Compact Battery Pencil Sharpener"/>
        <s v="Global Adaptabilities Conference Tables"/>
        <s v="Holmes 99% HEPA Air Purifier"/>
        <s v="Xerox 1892"/>
        <s v="Xerox 22"/>
        <s v="Avery Reinforcements for Hole-Punch Pages"/>
        <s v="Okidata B401 Printer"/>
        <s v="Bevis Steel Folding Chairs"/>
        <s v="Xerox 1964"/>
        <s v="Personal Folder Holder, Ebony"/>
        <s v="Global Leather Highback Executive Chair with Pneumatic Height Adjustment, Black"/>
        <s v="Honeywell Enviracaire Portable HEPA Air Cleaner for up to 10 x 16 Room"/>
        <s v="GBC Clear Cover, 8-1/2 x 11, unpunched, 25 covers per pack"/>
        <s v="Logitech Z-906 Speaker sys - home theater - 5.1-CH"/>
        <s v="3M Polarizing Light Filter Sleeves"/>
        <s v="Global Stack Chair with Arms, Black"/>
        <s v="Hon 4060 Series Tables"/>
        <s v="Nu-Dell Float Frame 11 x 14 1/2"/>
        <s v="Logitech Trackman Marble Mouse"/>
        <s v="Snap-A-Way Black Print Carbonless Ruled Speed Letter, Triplicate"/>
        <s v="Xerox 1957"/>
        <s v="Luxo Professional Fluorescent Magnifier Lamp with Clamp-Mount Base"/>
        <s v="PureGear Roll-On Screen Protector"/>
        <s v="Eldon 100 Class Desk Accessories"/>
        <s v="Panasonic KX MC6040 Color Laser Multifunction Printer"/>
        <s v="Sauder Inglewood Library Bookcases"/>
        <s v="Master Caster Door Stop, Brown"/>
        <s v="Eldon Shelf Savers Cubes and Bins"/>
        <s v="Avaya 4621SW VoIP phone"/>
        <s v="Advantus Panel Wall Certificate Holder - 8.5x11"/>
        <s v="Avery 478"/>
        <s v="Mitel 5320 IP Phone VoIP phone"/>
        <s v="Faber Castell Col-Erase Pencils"/>
        <s v="BOSTON Ranger #55 Pencil Sharpener, Black"/>
        <s v="Howard Miller 16&quot; Diameter Gallery Wall Clock"/>
        <s v="Plastic Binding Combs"/>
        <s v="Acme Preferred Stainless Steel Scissors"/>
        <s v="Belkin 5 Outlet SurgeMaster Power Centers"/>
        <s v="Coloredge Poster Frame"/>
        <s v="Canon PC1060 Personal Laser Copier"/>
        <s v="Hewlett Packard LaserJet 3310 Copier"/>
        <s v="Letter Size File"/>
        <s v="Bush Andora Conference Table, Maple/Graphite Gray Finish"/>
        <s v="Boston Heavy-Duty Trimline Electric Pencil Sharpeners"/>
        <s v="Serrated Blade or Curved Handle Hand Letter Openers"/>
        <s v="Southworth 25% Cotton Premium Laser Paper and Envelopes"/>
        <s v="Global Enterprise Series Seating High-Back Swivel/Tilt Chairs"/>
        <s v="Xerox 1887"/>
        <s v="Tuff Stuff Recycled Round Ring Binders"/>
        <s v="Acco Economy Flexible Poly Round Ring Binder"/>
        <s v="Xerox 229"/>
        <s v="Eldon Portable Mobile Manager"/>
        <s v="BPI Conference Tables"/>
        <s v="Premier Electric Letter Opener"/>
        <s v="Okidata B400 Printer"/>
        <s v="DAX Two-Tone Rosewood/Black Document Frame, Desktop, 5 x 7"/>
        <s v="Eldon Delta Triangular Chair Mat, 52&quot; x 58&quot;, Clear"/>
        <s v="Peel &amp; Stick Add-On Corner Pockets"/>
        <s v="Carina Media Storage Towers in Natural &amp; Black"/>
        <s v="Fellowes Econo/Stor Drawers"/>
        <s v="White Computer Printout Paper by Universal"/>
        <s v="Revere Boxed Rubber Bands by Revere"/>
        <s v="Eldon 200 Class Desk Accessories, Black"/>
        <s v="Ames Color-File Green Diamond Border X-ray Mailers"/>
        <s v="Xerox 1943"/>
        <s v="Avery 508"/>
        <s v="Cameo Buff Policy Envelopes"/>
        <s v="Clearsounds A400"/>
        <s v="Xerox 1909"/>
        <s v="Xerox 1965"/>
        <s v="Perma STOR-ALL Hanging File Box, 13 1/8&quot;W x 12 1/4&quot;D x 10 1/2&quot;H"/>
        <s v="Cisco Small Business SPA 502G VoIP phone"/>
        <s v="Computer Printout Index Tabs"/>
        <s v="Avery Poly Binder Pockets"/>
        <s v="Snap-A-Way Black Print Carbonless Speed Message, No Reply Area, Duplicate"/>
        <s v="Eldon Base for stackable storage shelf, platinum"/>
        <s v="Avery White Multi-Purpose Labels"/>
        <s v="Acme Box Cutter Scissors"/>
        <s v="Boston Model 1800 Electric Pencil Sharpener, Gray"/>
        <s v="Aluminum Document Frame"/>
        <s v="Eldon Mobile Mega Data Cart  Mega Stackable  Add-On Trays"/>
        <s v="Xerox Color Copier Paper, 11&quot; x 17&quot;, Ream"/>
        <s v="C-Line Peel &amp; Stick Add-On Filing Pockets, 8-3/4 x 5-1/8, 10/Pack"/>
        <s v="Advantus Push Pins"/>
        <s v="Xerox 1885"/>
        <s v="Xerox 196"/>
        <s v="Recycled Easel Ring Binders"/>
        <s v="Newell 329"/>
        <s v="Global Comet Stacking Arm Chair"/>
        <s v="Cardinal Holdit Data Disk Pockets"/>
        <s v="Anker Astro Mini 3000mAh Ultra-Compact Portable Charger"/>
        <s v="Laminate Occasional Tables"/>
        <s v="O'Sullivan Plantations 2-Door Library in Landvery Oak"/>
        <s v="Logitech Wireless Headset H600 Over-The-Head Design"/>
        <s v="Avery 490"/>
        <s v="Cherry 142-key Programmable Keyboard"/>
        <s v="Strathmore #10 Envelopes, Ultimate White"/>
        <s v="Microsoft Natural Ergonomic Keyboard 4000"/>
        <s v="Tenex Chairmat w/ Average Lip, 45&quot; x 53&quot;"/>
        <s v="O'Sullivan 5-Shelf Heavy-Duty Bookcases"/>
        <s v="BIC Brite Liner Grip Highlighters, Assorted, 5/Pack"/>
        <s v="Samsung Galaxy S III - 16GB - pebble blue (T-Mobile)"/>
        <s v="Newell 311"/>
        <s v="Electrix 20W Halogen Replacement Bulb for Zoom-In Desk Lamp"/>
        <s v="#10 White Business Envelopes,4 1/8 x 9 1/2"/>
        <s v="Wilson SignalBoost 841262 DB PRO Amplifier Kit"/>
        <s v="Eldon Cleatmat Plus Chair Mats for High Pile Carpets"/>
        <s v="Advantus T-Pin Paper Clips"/>
        <s v="DAX Solid Wood Frames"/>
        <s v="Insertable Tab Post Binder Dividers"/>
        <s v="Executive Impressions 8-1/2&quot; Career Panel/Partition Cubicle Clock"/>
        <s v="Trimflex Flexible Post Binders"/>
        <s v="Avery Binder Labels"/>
        <s v="Xerox 230"/>
        <s v="Avery 488"/>
        <s v="Xerox Blank Computer Paper"/>
        <s v="Bose SoundLink Bluetooth Speaker"/>
        <s v="Deflect-o EconoMat Nonstudded, No Bevel Mat"/>
        <s v="Dixon Prang Watercolor Pencils, 10-Color Set with Brush"/>
        <s v="Maxell 4.7GB DVD+RW 3/Pack"/>
        <s v="Blue String-Tie &amp; Button Interoffice Envelopes, 10 x 13"/>
        <s v="Tenex Personal Project File with Scoop Front Design, Black"/>
        <s v="Advantus Motivational Note Cards"/>
        <s v="AT&amp;T CL83451 4-Handset Telephone"/>
        <s v="Avery Binding System Hidden Tab Executive Style Index Sets"/>
        <s v="Zebra GK420t Direct Thermal/Thermal Transfer Printer"/>
        <s v="High-Back Leather Manager's Chair"/>
        <s v="Embossed Ink Jet Note Cards"/>
        <s v="Plantronics Calisto P620-M USB Wireless Speakerphone System"/>
        <s v="Google Nexus 5"/>
        <s v="Jet-Pak Recycled Peel 'N' Seal Padded Mailers"/>
        <s v="Xerox 1880"/>
        <s v="GBC Standard Therm-A-Bind Covers"/>
        <s v="Brother DCP1000 Digital 3 in 1 Multifunction Machine"/>
        <s v="Avaya 5410 Digital phone"/>
        <s v="Alliance Big Bands Rubber Bands, 12/Pack"/>
        <s v="Avery Durable Slant Ring Binders With Label Holder"/>
        <s v="Panasonic KP-350BK Electric Pencil Sharpener with Auto Stop"/>
        <s v="Executive Impressions 13&quot; Clairmont Wall Clock"/>
        <s v="Xerox 1912"/>
        <s v="Newell 322"/>
        <s v="Eldon Jumbo ProFile Portable File Boxes Graphite/Black"/>
        <s v="Hon Mobius Operator's Chair"/>
        <s v="While You Were Out Pads, 50 per Pad, 4 x 5 1/4, Green Cycle"/>
        <s v="Ideal Clamps"/>
        <s v="Tops Wirebound Message Log Books"/>
        <s v="Permanent Self-Adhesive File Folder Labels for Typewriters, 1 1/8 x 3 1/2, White"/>
        <s v="Panasonic KX T7731-B Digital phone"/>
        <s v="Boston KS Multi-Size Manual Pencil Sharpener"/>
        <s v="Okidata C331dn Printer"/>
        <s v="Alliance Super-Size Bands, Assorted Sizes"/>
        <s v="Wilson Jones International Size A4 Ring Binders"/>
        <s v="Plantronics Audio 478 Stereo USB Headset"/>
        <s v="Rubber Band Ball"/>
        <s v="Global Troy Executive Leather Low-Back Tilter"/>
        <s v="Executive Impressions 14&quot; Contract Wall Clock with Quartz Movement"/>
        <s v="Mini 13-1/2 Capacity Data Binder Rack, Pearl"/>
        <s v="Atlantic Metals Mobile 3-Shelf Bookcases, Custom Colors"/>
        <s v="Samsung Galaxy S4 Mini"/>
        <s v="Verbatim 25 GB 6x Blu-ray Single Layer Recordable Disc, 3/Pack"/>
        <s v="Tyvek Interoffice Envelopes, 9 1/2&quot; x 12 1/2&quot;, 100/Box"/>
        <s v="Honeywell Enviracaire Portable Air Cleaner for up to 8 x 10 Room"/>
        <s v="Sauder Barrister Bookcases"/>
        <s v="#10 Gummed Flap White Envelopes, 100/Box"/>
        <s v="Xerox 1931"/>
        <s v="Ampad #10 Peel &amp; Seel Holiday Envelopes"/>
        <s v="Hon Metal Bookcases, Black"/>
        <s v="Smead Adjustable Mobile File Trolley with Lockable Top"/>
        <s v="Xerox 1898"/>
        <s v="Xerox 1920"/>
        <s v="SAFCO Arco Folding Chair"/>
        <s v="Logitech Mobile Speakerphone P710e - speaker phone"/>
        <s v="OIC Bulk Pack Metal Binder Clips"/>
        <s v="Ink Jet Note and Greeting Cards, 8-1/2&quot; x 5-1/2&quot; Card Size"/>
        <s v="Xerox 1954"/>
        <s v="Contico 72&quot;H Heavy-Duty Storage System"/>
        <s v="Bush Westfield Collection Bookcases, Dark Cherry Finish"/>
        <s v="Bretford CR8500 Series Meeting Room Furniture"/>
        <s v="Kensington 7 Outlet MasterPiece Power Center with Fax/Phone Line Protection"/>
        <s v="Memorex Froggy Flash Drive 4 GB"/>
        <s v="Petty Cash Envelope"/>
        <s v="Lesro Round Back Collection Coffee Table, End Table"/>
        <s v="Contemporary Wood/Metal Frame"/>
        <s v="Electrix Architect's Clamp-On Swing Arm Lamp, Black"/>
        <s v="Universal Recycled Hanging Pressboard Report Binders, Letter Size"/>
        <s v="Newell 341"/>
        <s v="Xerox 204"/>
        <s v="Imation 30456 USB Flash Drive 8GB"/>
        <s v="Logitech G500s Laser Gaming Mouse with Adjustable Weight Tuning"/>
        <s v="Xerox 193"/>
        <s v="GBC Binding covers"/>
        <s v="Storex Flexible Poly Binders with Double Pockets"/>
        <s v="Sony Micro Vault Click 8 GB USB 2.0 Flash Drive"/>
        <s v="Sanford Pocket Accent Highlighters"/>
        <s v="TOPS Money Receipt Book, Consecutively Numbered in Red,"/>
        <s v="I Need's 3d Hello Kitty Hybrid Silicone Case Cover for HTC One X 4g with 3d Hello Kitty Stylus Pen Green/pink"/>
        <s v="Ibico Standard Transparent Covers"/>
        <s v="Xerox 1911"/>
        <s v="Global Deluxe Stacking Chair, Gray"/>
        <s v="Xerox 199"/>
        <s v="Apple EarPods with Remote and Mic"/>
        <s v="Kensington 7 Outlet MasterPiece Power Center"/>
        <s v="Avery Durable Slant Ring Binders"/>
        <s v="VariCap6 Expandable Binder"/>
        <s v="Luxo Professional Magnifying Clamp-On Fluorescent Lamps"/>
        <s v="Logitech Wireless Gaming Headset G930"/>
        <s v="Avery 517"/>
        <s v="Hunt BOSTON Vista Battery-Operated Pencil Sharpener, Black"/>
        <s v="Holmes Replacement Filter for HEPA Air Cleaner, Very Large Room, HEPA Filter"/>
        <s v="ARKON Windshield Dashboard Air Vent Car Mount Holder"/>
        <s v="Acme Office Executive Series Stainless Steel Trimmers"/>
        <s v="Logitech Media Keyboard K200"/>
        <s v="DAX Value U-Channel Document Frames, Easel Back"/>
        <s v="O'Sullivan Living Dimensions 5-Shelf Bookcases"/>
        <s v="Rediform Voice Mail Log Books"/>
        <s v="Okidata MB760 Printer"/>
        <s v="Wilson Jones Hanging Recycled Pressboard Data Binders"/>
        <s v="Wilson Jones Clip &amp; Carry Folder Binder Tool for Ring Binders, Clear"/>
        <s v="3M Replacement Filter for Office Air Cleaner for 20' x 33' Room"/>
        <s v="Grip Seal Envelopes"/>
        <s v="Avery 487"/>
        <s v="Fellowes Strictly Business Drawer File, Letter/Legal Size"/>
        <s v="Brother MFC-9340CDW LED All-In-One Printer, Copier Scanner"/>
        <s v="Acco Perma 2700 Stacking Storage Drawers"/>
        <s v="Xerox 1945"/>
        <s v="JM Magazine Binder"/>
        <s v="Martin-Yale Premier Letter Opener"/>
        <s v="Bush Westfield Collection Bookcases, Dark Cherry Finish, Fully Assembled"/>
        <s v="iOttie HLCRIO102 Car Mount"/>
        <s v="Global Manager's Adjustable Task Chair, Storm"/>
        <s v="Eldon 400 Class Desk Accessories, Black Carbon"/>
        <s v="File Shuttle I and Handi-File"/>
        <s v="Square Credit Card Reader"/>
        <s v="Xerox 1882"/>
        <s v="DAX Natural Wood-Tone Poster Frame"/>
        <s v="Memorex 25GB 6X Branded Blu-Ray Recordable Disc, 30/Pack"/>
        <s v="Kensington SlimBlade Notebook Wireless Mouse with Nano Receiver "/>
        <s v="Howard Miller 11-1/2&quot; Diameter Ridgewood Wall Clock"/>
        <s v="Xerox 1933"/>
        <s v="Newell 338"/>
        <s v="Eldon Expressions Wood and Plastic Desk Accessories, Oak"/>
        <s v="Samsung Convoy 3"/>
        <s v="Sauder Facets Collection Library, Sky Alder Finish"/>
        <s v="BlackBerry Q10"/>
        <s v="Fellowes Personal Hanging Folder Files, Navy"/>
        <s v="Tyvek Side-Opening Peel &amp; Seel Expanding Envelopes"/>
        <s v="GBC DocuBind P50 Personal Binding Machine"/>
        <s v="Holmes HEPA Air Purifier"/>
        <s v="Xerox 1988"/>
        <s v="Adams Phone Message Book, Professional, 400 Message Capacity, 5 3/6” x 11”"/>
        <s v="Xerox 221"/>
        <s v="Ultra Door Push Plate"/>
        <s v="Iceberg Mobile Mega Data/Printer Cart "/>
        <s v="DAX Charcoal/Nickel-Tone Document Frame, 5 x 7"/>
        <s v="Stacking Tray, Side-Loading, Legal, Smoke"/>
        <s v="Logitech G35 7.1-Channel Surround Sound Headset"/>
        <s v="Premium Transparent Presentation Covers, No Pattern/Clear, 8 1/2&quot; x 11&quot;"/>
        <s v="Xerox 1972"/>
        <s v="Cisco 8x8 Inc. 6753i IP Business Phone System"/>
        <s v="Stur-D-Stor Shelving, Vertical 5-Shelf: 72&quot;H x 36&quot;W x 18 1/2&quot;D"/>
        <s v="Smead Alpha-Z Color-Coded Name Labels First Letter Starter Set"/>
        <s v="Xerox 1976"/>
        <s v="Great White Multi-Use Recycled Paper (20Lb. and 84 Bright)"/>
        <s v="Avery Fluorescent Highlighter Four-Color Set"/>
        <s v="Micropad Numeric Keypads"/>
        <s v="Safco Steel Mobile File Cart"/>
        <s v="Belkin F8E887 USB Wired Ergonomic Keyboard"/>
        <s v="Eldon Regeneration Recycled Desk Accessories, Smoke"/>
        <s v="Sanyo 2.5 Cubic Foot Mid-Size Office Refrigerators"/>
        <s v="Boston School Pro Electric Pencil Sharpener, 1670"/>
        <s v="Tennsco Regal Shelving Units"/>
        <s v="Imation 32GB Pocket Pro USB 3.0 Flash Drive - 32 GB - Black - 1 P ..."/>
        <s v="Jabra SPEAK 410"/>
        <s v="3M Hangers With Command Adhesive"/>
        <s v="AT&amp;T TR1909W"/>
        <s v="First Data FD10 PIN Pad"/>
        <s v="Steel Personal Filing/Posting Tote"/>
        <s v="Global Fabric Manager's Chair, Dark Gray"/>
        <s v="Ibico Laser Imprintable Binding System Covers"/>
        <s v="Boston 16765 Mini Stand Up Battery Pencil Sharpener"/>
        <s v="Hon Non-Folding Utility Tables"/>
        <s v="Fellowes 8 Outlet Superior Workstation Surge Protector"/>
        <s v="Xerox 218"/>
        <s v="Euro-Pro Shark Turbo Vacuum"/>
        <s v="Security-Tint Envelopes"/>
        <s v="Hammermill Color Copier Paper (28Lb. and 96 Bright)"/>
        <s v="TOPS &quot;Important Message&quot; Pads, Canary, 4-1/4 x 5-1/2, 50 Sheets per Pad"/>
        <s v="OIC Stacking Trays"/>
        <s v="Jawbone JAMBOX Wireless Bluetooth Speaker"/>
        <s v="Memorex Mini Travel Drive 32 GB USB 2.0 Flash Drive"/>
        <s v="Avery Heavy-Duty EZD  Binder With Locking Rings"/>
        <s v="Artistic Insta-Plaque"/>
        <s v="Companion Letter/Legal File, Black"/>
        <s v="KLD Oscar II Style Snap-on Ultra Thin Side Flip Synthetic Leather Cover Case for HTC One HTC M7"/>
        <s v="Canon Color ImageCLASS MF8580Cdw Wireless Laser All-In-One Printer, Copier, Scanner"/>
        <s v="Bionaire 99.97% HEPA Air Cleaner"/>
        <s v="Xerox 228"/>
        <s v="APC 7 Outlet Network SurgeArrest Surge Protector"/>
        <s v="Xerox 224"/>
        <s v="Tennsco 6- and 18-Compartment Lockers"/>
        <s v="Avery 509"/>
        <s v="Hon Olson Stacker Chairs"/>
        <s v="Xerox 1991"/>
        <s v="Lunatik TT5L-002 Taktik Strike Impact Protection System for iPhone 5"/>
        <s v="DAX Contemporary Wood Frame with Silver Metal Mat, Desktop, 11 x 14 Size"/>
        <s v="Round Ring Binders"/>
        <s v="Tyvek  Top-Opening Peel &amp; Seel  Envelopes, Gray"/>
        <s v="Xerox 1896"/>
        <s v="Fellowes Desktop Hanging File Manager"/>
        <s v="Fiskars Home &amp; Office Scissors"/>
        <s v="Hoover Replacement Belt for Commercial Guardsman Heavy-Duty Upright Vacuum"/>
        <s v="OtterBox Defender Series Case - iPhone 5c"/>
        <s v="Fiskars 8&quot; Scissors, 2/Pack"/>
        <s v="Eldon Simplefile Box Office"/>
        <s v="Xerox 1928"/>
        <s v="Polycom CX300 Desktop Phone USB VoIP phone"/>
        <s v="iKross Bluetooth Portable Keyboard + Cell Phone Stand Holder + Brush for Apple iPhone 5S 5C 5, 4S 4"/>
        <s v="Avery 491"/>
        <s v="Hon 2111 Invitation Series Corner Table"/>
        <s v="Deflect-o Glass Clear Studded Chair Mats"/>
        <s v="Accohide Poly Flexible Ring Binders"/>
        <s v="Lenovo 17-Key USB Numeric Keypad"/>
        <s v="Xblue XB-1670-86 X16 Small Office Telephone - Titanium"/>
        <s v="Lumber Crayons"/>
        <s v="Wilson Jones Heavy-Duty Casebound Ring Binders with Metal Hinges"/>
        <s v="Xerox 219"/>
        <s v="Xerox 207"/>
        <s v="Newell 307"/>
        <s v="O'Sullivan 2-Door Barrister Bookcase in Odessa Pine"/>
        <s v="Speck Products Candyshell Flip Case"/>
        <s v="Cisco 9971 IP Video Phone Charcoal"/>
        <s v="Newell 313"/>
        <s v="Xerox 1959"/>
        <s v="Vtech AT&amp;T CL2940 Corded Speakerphone, Black"/>
        <s v="GBC Personal VeloBind Strips"/>
        <s v="Eldon ProFile File 'N Store Portable File Tub Letter/Legal Size Black"/>
        <s v="GBC Poly Designer Binding Covers"/>
        <s v="HTC One Mini"/>
        <s v="Acme Design Line 8&quot; Stainless Steel Bent Scissors w/Champagne Handles, 3-1/8&quot; Cut"/>
        <s v="Bevis Round Bullnose 29&quot; High Table Top"/>
        <s v="O'Sullivan Living Dimensions 3-Shelf Bookcases"/>
        <s v="Eureka Hand Vacuum, Bagless"/>
        <s v="Enermax Acrylux Wireless Keyboard"/>
        <s v="Newell 317"/>
        <s v="Rubbermaid ClusterMat Chairmats, Mat Size- 66&quot; x 60&quot;, Lip 20&quot; x 11&quot; -90 Degree Angle"/>
        <s v="Sanford Prismacolor Professional Thick Lead Art Pencils, 36-Color Set"/>
        <s v="Holmes Replacement Filter for HEPA Air Cleaner, Large Room"/>
        <s v="Xerox 1897"/>
        <s v="SanDisk Cruzer 16 GB USB Flash Drive"/>
        <s v="Logitech Gaming G510s - Keyboard"/>
        <s v="GBC Linen Binding Covers"/>
        <s v="Howard Miller 12&quot; Round Wall Clock"/>
        <s v="Martin Yale Chadless Opener Electric Letter Opener"/>
        <s v="Classic Ivory Antique Telephone ZL1810"/>
        <s v="Acco D-Ring Binder w/DublLock"/>
        <s v="Safco Value Mate Series Steel Bookcases, Baked Enamel Finish on Steel, Gray"/>
        <s v="Lexmark MarkNet N8150 Wireless Print Server"/>
        <s v="Cardinal Poly Pocket Divider Pockets for Ring Binders"/>
        <s v="Sauder Forest Hills Library, Woodland Oak Finish"/>
        <s v="Seth Thomas 16&quot; Steel Case Clock"/>
        <s v="Avery Round Ring Poly Binders"/>
        <s v="Hoover Shoulder Vac Commercial Portable Vacuum"/>
        <s v="ShoreTel ShorePhone IP 230 VoIP phone"/>
        <s v="Logitech Wireless Anywhere Mouse MX for PC and Mac"/>
        <s v="Mitel MiVoice 5330e IP Phone"/>
        <s v="Ampad Evidence Wirebond Steno Books, 6&quot; x 9&quot;"/>
        <s v="Avery Heavy-Duty EZD View Binder with Locking Rings"/>
        <s v="Office Star - Mesh Screen back chair with Vinyl seat"/>
        <s v="Wausau Papers Astrobrights Colored Envelopes"/>
        <s v="Deluxe Chalkboard Eraser Cleaner"/>
        <s v="Master Caster Door Stop, Large Brown"/>
        <s v="Avery Hi-Liter Fluorescent Desk Style Markers"/>
        <s v="Wilson Jones data.warehouse D-Ring Binders with DublLock"/>
        <s v="Sony 16GB Class 10 Micro SDHC R40 Memory Card"/>
        <s v="Dixon Ticonderoga Pencils"/>
        <s v="Xerox 1981"/>
        <s v="Stiletto Hand Letter Openers"/>
        <s v="Sauder Camden County Barrister Bookcase, Planked Cherry Finish"/>
        <s v="Personal Filing Tote with Lid, Black/Gray"/>
        <s v="Boston Electric Pencil Sharpener, Model 1818, Charcoal Black"/>
        <s v="Office Star - Contemporary Swivel Chair with Padded Adjustable Arms and Flex Back"/>
        <s v="Tennsco Snap-Together Open Shelving Units, Starter Sets and Add-On Units"/>
        <s v="Maxell 4.7GB DVD-RW 3/Pack"/>
        <s v="Xerox 1949"/>
        <s v="G.E. Halogen Desk Lamp Bulbs"/>
        <s v="OtterBox Commuter Series Case - Samsung Galaxy S4"/>
        <s v="Assorted Color Push Pins"/>
        <s v="SlimView Poly Binder, 3/8&quot;"/>
        <s v="Stanley Contemporary Battery Pencil Sharpeners"/>
        <s v="BOSTON Model 1800 Electric Pencil Sharpeners, Putty/Woodgrain"/>
        <s v="Polycom SoundStation2 EX Conference phone"/>
        <s v="Message Book, Phone, Wirebound Standard Line Memo, 2 3/4&quot; X 5&quot;"/>
        <s v="Xerox 1903"/>
        <s v="Seth Thomas 14&quot; Day/Date Wall Clock"/>
        <s v="Xerox 20"/>
        <s v="AT&amp;T CL82213"/>
        <s v="Spiral Phone Message Books with Labels by Adams"/>
        <s v="Newell 331"/>
        <s v="Xerox 198"/>
        <s v="Xerox 1902"/>
        <s v="Cardinal Hold-It CD Pocket"/>
        <s v="Safco Industrial Wire Shelving"/>
        <s v="Anderson Hickey Conga Table Tops &amp; Accessories"/>
        <s v="GBC Wire Binding Strips"/>
        <s v="Samsung Galaxy Note 3"/>
        <s v="Mobile Personal File Cube"/>
        <s v="Acco Pressboard Covers with Storage Hooks, 9 1/2&quot; x 11&quot;, Executive Red"/>
        <s v="Loose Memo Sheets"/>
        <s v="Gould Plastics 9-Pocket Panel Bin, 18-3/8w x 5-1/4d x 20-1/2h, Black"/>
        <s v="Tenex Chairmats For Use with Hard Floors"/>
        <s v="Fellowes Recycled Storage Drawers"/>
        <s v="Rush Hierlooms Collection 1&quot; Thick Stackable Bookcases"/>
        <s v="Boston 1900 Electric Pencil Sharpener"/>
        <s v="Maxell 4.7GB DVD+R 5/Pack"/>
        <s v="Advantus Employee of the Month Certificate Frame, 11 x 13-1/2"/>
        <s v="Xerox 1990"/>
        <s v="Boston 1827 Commercial Additional Cutter, Drive Gear &amp; Gear Rack for 1606"/>
        <s v="Alliance Rubber Bands"/>
        <s v="Microsoft Arc Touch Mouse"/>
        <s v="Nu-Dell EZ-Mount Plastic Wall Frames"/>
        <s v="Zebra ZM400 Thermal Label Printer"/>
        <s v="WD My Passport Ultra 500GB Portable External Hard Drive"/>
        <s v="Speediset Carbonless Redi-Letter 7&quot; x 8 1/2&quot;"/>
        <s v="Round Specialty Laser Printer Labels"/>
        <s v="Dana Fluorescent Magnifying Lamp, White, 36&quot;"/>
        <s v="Panasonic KX T7736-B Digital phone"/>
        <s v="Avery 514"/>
        <s v="Luxo Adjustable Task Clamp Lamp"/>
        <s v="Logitech Keyboard K120"/>
        <s v="Eldon ClusterMat Chair Mat with Cordless Antistatic Protection"/>
        <s v="Avery 05222 Permanent Self-Adhesive File Folder Labels for Typewriters, on Rolls, White, 250/Roll"/>
        <s v="Project Tote Personal File"/>
        <s v="Panasonic KX-TG9541B DECT 6.0 Digital 2-Line Expandable Cordless Phone With Digital Answering System"/>
        <s v="Sanford Uni-Blazer View Highlighters, Chisel Tip, Yellow"/>
        <s v="Panasonic KX-TG9471B"/>
        <s v="Belkin QODE FastFit Bluetooth Keyboard"/>
        <s v="O'Sullivan Cherrywood Estates Traditional Barrister Bookcase"/>
        <s v="Belkin 8 Outlet SurgeMaster II Gold Surge Protector"/>
        <s v="OIC Binder Clips, Mini, 1/4&quot; Capacity, Black"/>
        <s v="Pizazz Global Quick File"/>
        <s v="Tripp Lite Isotel 8 Ultra 8 Outlet Metal Surge"/>
        <s v="Belkin Standard 104 key USB Keyboard"/>
        <s v="Large Capacity Hanging Post Binders"/>
        <s v="Avery 480"/>
        <s v="Avery 489"/>
        <s v="Peel-Off China Markers"/>
        <s v="Global Commerce Series Low-Back Swivel/Tilt Chairs"/>
        <s v="Tennsco Single-Tier Lockers"/>
        <s v="Sharp 1540cs Digital Laser Copier"/>
        <s v="Avery Hi-Liter Comfort Grip Fluorescent Highlighter, Yellow Ink"/>
        <s v="Global Super Steno Chair"/>
        <s v="Recycled Desk Saver Line &quot;While You Were Out&quot; Book, 5 1/2&quot; X 4&quot;"/>
        <s v="Executive Impressions Supervisor Wall Clock"/>
        <s v="Executive Impressions 14&quot; Two-Color Numerals Wall Clock"/>
        <s v="Seth Thomas 8 1/2&quot; Cubicle Clock"/>
        <s v="Newell 330"/>
        <s v="AT&amp;T 841000 Phone"/>
        <s v="Boston 19500 Mighty Mite Electric Pencil Sharpener"/>
        <s v="Avery 474"/>
        <s v="Space Solutions Industrial Galvanized Steel Shelving."/>
        <s v="Deflect-O Glasstique Clear Desk Accessories"/>
        <s v="Eldon Pizzaz Desk Accessories"/>
        <s v="Fellowes Advanced 8 Outlet Surge Suppressor with Phone/Fax Protection"/>
        <s v="Bretford CR4500 Series Slim Rectangular Table"/>
        <s v="Logitech Wireless Performance Mouse MX for PC and Mac"/>
        <s v="Master Caster Door Stop, Large Neon Orange"/>
        <s v="Xerox 1932"/>
        <s v="Avery Personal Creations Heavyweight Cards"/>
        <s v="GBC Recycled Grain Textured Covers"/>
        <s v="Anker 24W Portable Micro USB Car Charger"/>
        <s v="SanDisk Cruzer 4 GB USB Flash Drive"/>
        <s v="Eldon Expressions Desk Accessory, Wood Pencil Holder, Oak"/>
        <s v="Portable Personal File Box"/>
        <s v="Recycled Eldon Regeneration Jumbo File"/>
        <s v="Vtech CS6719"/>
        <s v="Newell 32"/>
        <s v="Floodlight Indoor Halogen Bulbs, 1 Bulb per Pack, 60 Watts"/>
        <s v="GE 2-Jack Phone Line Splitter"/>
        <s v="Atlantic Metals Mobile 4-Shelf Bookcases, Custom Colors"/>
        <s v="SAFCO PlanMaster Heigh-Adjustable Drafting Table Base, 43w x 30d x 30-37h, Black"/>
        <s v="Recycled Premium Regency Composition Covers"/>
        <s v="Peel &amp; Seel Envelopes"/>
        <s v="Sannysis Cute Owl Design Soft Skin Case Cover for Samsung Galaxy S4"/>
        <s v="Novimex Swivel Fabric Task Chair"/>
        <s v="Black Print Carbonless 8 1/2&quot; x 8 1/4&quot; Rapid Memo Book"/>
        <s v="Bevis Round Conference Room Tables and Bases"/>
        <s v="Pressboard Data Binder, Crimson, 12&quot; X 8 1/2&quot;"/>
        <s v="Sterling Rubber Bands by Alliance"/>
        <s v="Newell 320"/>
        <s v="Cisco IP Phone 7961G VoIP phone - Dark gray"/>
        <s v="BlueLounge Milo Smartphone Stand, White/Metallic"/>
        <s v="Array Parchment Paper, Assorted Colors"/>
        <s v="Motorola Droid Maxx"/>
        <s v="Sanford Colorific Scented Colored Pencils, 12/Pack"/>
        <s v="Mophie Juice Pack Helium for iPhone"/>
        <s v="Wilson Jones 14 Line Acrylic Coated Pressboard Data Binders"/>
        <s v="Memorex Micro Travel Drive 4 GB"/>
        <s v="SANFORD Major Accent Highlighters"/>
        <s v="Epson TM-T88V Direct Thermal Printer - Monochrome - Desktop"/>
        <s v="Tensor Computer Mounted Lamp"/>
        <s v="Maxell 74 Minute CD-R Spindle, 50/Pack"/>
        <s v="DAX Metal Frame, Desktop, Stepped-Edge"/>
        <s v="Avery 495"/>
        <s v="Avery Hidden Tab Dividers for Binding Systems"/>
        <s v="Acme Kleen Earth Office Shears"/>
        <s v="GBC Standard Plastic Binding Systems Combs"/>
        <s v="Message Book, Standard Line &quot;While You Were Out&quot;, 5 1/2&quot; X 4&quot;, 200 Sets/Book"/>
        <s v="Boston Home &amp; Office Model 2000 Electric Pencil Sharpeners"/>
        <s v="OIC Thumb-Tacks"/>
        <s v="Southworth Structures Collection"/>
        <s v="Canon imageCLASS MF7460 Monochrome Digital Laser Multifunction Copier"/>
        <s v="Polycom SoundPoint Pro SE-225 Corded phone"/>
        <s v="Hewlett-Packard Deskjet D4360 Printer"/>
        <s v="Avery 516"/>
        <s v="Xerox 1913"/>
        <s v="Binney &amp; Smith inkTank Erasable Pocket Highlighter, Chisel Tip, Yellow"/>
        <s v="Economy Rollaway Files"/>
        <s v="Hunt BOSTON Model 1606 High-Volume Electric Pencil Sharpener, Beige"/>
        <s v="Wireless Extenders zBoost YX545 SOHO Signal Booster"/>
        <s v="Southworth 25% Cotton Granite Paper &amp; Envelopes"/>
        <s v="Avery Flip-Chart Easel Binder, Black"/>
        <s v="Tenex B1-RE Series Chair Mats for Low Pile Carpets"/>
        <s v="Xerox 211"/>
        <s v="Staple-on labels"/>
        <s v="Sanford Liquid Accent Highlighters"/>
        <s v="Xerox 1944"/>
        <s v="Imation USB 2.0 Swivel Flash Drive USB flash drive - 4 GB - Pink"/>
        <s v="Maxell DVD-RAM Discs"/>
        <s v="Newell Chalk Holder"/>
        <s v="Office Star - Task Chair with Contemporary Loop Arms"/>
        <s v="RCA Visys Integrated PBX 8-Line Router"/>
        <s v="Newell 335"/>
        <s v="StarTech.com 10/100 VDSL2 Ethernet Extender Kit"/>
        <s v="GBC Laser Imprintable Binding System Covers, Desert Sand"/>
        <s v="AT&amp;T EL51110 DECT"/>
        <s v="Padded Folding Chairs, Black, 4/Carton"/>
        <s v="Hon Deluxe Fabric Upholstered Stacking Chairs, Squared Back"/>
        <s v="Avery Triangle Shaped Sheet Lifters, Black, 2/Pack"/>
        <s v="Acme Stainless Steel Office Snips"/>
        <s v="Riverside Furniture Stanwyck Manor Table Series"/>
        <s v="AT&amp;T 1070 Corded Phone"/>
        <s v="Dana Halogen Swing-Arm Architect Lamp"/>
        <s v="Acco Smartsocket Table Surge Protector, 6 Color-Coded Adapter Outlets"/>
        <s v="Epson WorkForce WF-2530 All-in-One Printer, Copier Scanner"/>
        <s v="Geographics Note Cards, Blank, White, 8 1/2&quot; x 11&quot;"/>
        <s v="Acco PRESSTEX Data Binder with Storage Hooks, Light Blue, 9 1/2&quot; X 11&quot;"/>
        <s v="Acco Side-Punched Conventional Columnar Pads"/>
        <s v="Xerox 232"/>
        <s v="Luxo Economy Swing Arm Lamp"/>
        <s v="Fellowes Super Stor/Drawer"/>
        <s v="Avery 506"/>
        <s v="Weyerhaeuser First Choice Laser/Copy Paper (20Lb. and 88 Bright)"/>
        <s v="Executive Impressions 13-1/2&quot; Indoor/Outdoor Wall Clock"/>
        <s v="Xerox 1967"/>
        <s v="Jawbone MINI JAMBOX Wireless Bluetooth Speaker"/>
        <s v="Global Italian Leather Office Chair"/>
        <s v="3D Systems Cube Printer, 2nd Generation, White"/>
        <s v="Ampad Poly Cover Wirebound Steno Book, 6&quot; x 9&quot; Assorted Colors, Gregg Ruled"/>
        <s v="Tripp Lite TLP810NET Broadband Surge for Modem/Fax"/>
        <s v="Canon PC940 Copier"/>
        <s v="Acme Design Stainless Steel Bent Scissors"/>
        <s v="Hewlett-Packard Deskjet F4180 All-in-One Color Ink-jet - Printer / copier / scanner"/>
        <s v="Dixon Ticonderoga Core-Lock Colored Pencils, 48-Color Set"/>
        <s v="Adams Write n' Stick Phone Message Book, 11&quot; X 5 1/4&quot;, 200 Messages"/>
        <s v="Hon Olson Stacker Stools"/>
        <s v="GE 4 Foot Flourescent Tube, 40 Watt"/>
        <s v="Xerox 1979"/>
        <s v="SanDisk Cruzer 32 GB USB Flash Drive"/>
        <s v="GBC DocuBind P100 Manual Binding Machine"/>
        <s v="Acme Hot Forged Carbon Steel Scissors with Nickel-Plated Handles, 3 7/8&quot; Cut, 8&quot;L"/>
        <s v="Xerox 1974"/>
        <s v="Bevis Boat-Shaped Conference Table"/>
        <s v="GE General Use Halogen Bulbs, 100 Watts, 1 Bulb per Pack"/>
        <s v="Woodgrain Magazine Files by Perma"/>
        <m/>
        <s v="Formula1" f="1"/>
        <s v="Formula2" f="1"/>
      </sharedItems>
    </cacheField>
    <cacheField name="Sales" numFmtId="0">
      <sharedItems containsString="0" containsBlank="1" containsNumber="1" minValue="0.55600000000000005" maxValue="17499.95"/>
    </cacheField>
    <cacheField name="Quantity" numFmtId="0">
      <sharedItems containsString="0" containsBlank="1" containsNumber="1" containsInteger="1" minValue="1" maxValue="14"/>
    </cacheField>
    <cacheField name="Profit" numFmtId="0">
      <sharedItems containsString="0" containsBlank="1" containsNumber="1" minValue="-3839.9904000000001" maxValue="8399.9760000000006"/>
    </cacheField>
    <cacheField name="Profit Margin %" numFmtId="9">
      <sharedItems containsString="0" containsBlank="1" containsNumber="1" minValue="-2.75" maxValue="0.5"/>
    </cacheField>
    <cacheField name="Year" numFmtId="0">
      <sharedItems containsString="0" containsBlank="1" containsNumber="1" containsInteger="1" minValue="2014" maxValue="2017"/>
    </cacheField>
    <cacheField name="Month Name" numFmtId="0">
      <sharedItems containsBlank="1" count="13">
        <s v="Jan"/>
        <s v="Feb"/>
        <s v="Mar"/>
        <s v="Apr"/>
        <s v="May"/>
        <s v="Jun"/>
        <s v="Jul"/>
        <s v="Aug"/>
        <s v="Sep"/>
        <s v="Oct"/>
        <s v="Nov"/>
        <s v="Dec"/>
        <m/>
      </sharedItems>
    </cacheField>
    <cacheField name="Month No" numFmtId="0">
      <sharedItems containsString="0" containsBlank="1" containsNumber="1" containsInteger="1" minValue="1" maxValue="12"/>
    </cacheField>
    <cacheField name="Avg Price Per Unit" numFmtId="0">
      <sharedItems containsString="0" containsBlank="1" containsNumber="1" minValue="0.33600000000000002" maxValue="3499.9900000000002"/>
    </cacheField>
    <cacheField name="Profit Status" numFmtId="0">
      <sharedItems containsBlank="1"/>
    </cacheField>
  </cacheFields>
  <calculatedItems count="2">
    <calculatedItem>
      <pivotArea cacheIndex="1" outline="0" fieldPosition="0">
        <references count="1">
          <reference field="4" count="1">
            <x v="1609"/>
          </reference>
        </references>
      </pivotArea>
    </calculatedItem>
    <calculatedItem>
      <pivotArea cacheIndex="1" outline="0" fieldPosition="0">
        <references count="1">
          <reference field="4" count="1">
            <x v="1610"/>
          </reference>
        </references>
      </pivotArea>
    </calculatedItem>
  </calculatedItems>
  <extLst>
    <ext xmlns:x14="http://schemas.microsoft.com/office/spreadsheetml/2009/9/main" uri="{725AE2AE-9491-48be-B2B4-4EB974FC3084}">
      <x14:pivotCacheDefinition pivotCacheId="14288056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43">
  <r>
    <s v="CA-2017-107503"/>
    <d v="2017-01-01T00:00:00"/>
    <x v="0"/>
    <x v="0"/>
    <x v="0"/>
    <n v="48.896000000000001"/>
    <n v="4"/>
    <n v="8.5568000000000008"/>
    <n v="0.17500000000000002"/>
    <n v="2017"/>
    <x v="0"/>
    <n v="1"/>
    <n v="12.224"/>
    <s v="Profit"/>
  </r>
  <r>
    <s v="CA-2017-144463"/>
    <d v="2017-01-01T00:00:00"/>
    <x v="1"/>
    <x v="0"/>
    <x v="1"/>
    <n v="474.43"/>
    <n v="11"/>
    <n v="199.26060000000001"/>
    <n v="0.42000000000000004"/>
    <n v="2017"/>
    <x v="0"/>
    <n v="1"/>
    <n v="43.13"/>
    <s v="Profit"/>
  </r>
  <r>
    <s v="CA-2017-154466"/>
    <d v="2017-01-01T00:00:00"/>
    <x v="2"/>
    <x v="1"/>
    <x v="2"/>
    <n v="3.6"/>
    <n v="2"/>
    <n v="1.728"/>
    <n v="0.48"/>
    <n v="2017"/>
    <x v="0"/>
    <n v="1"/>
    <n v="1.8"/>
    <s v="Profit"/>
  </r>
  <r>
    <s v="CA-2017-151750"/>
    <d v="2017-01-01T00:00:00"/>
    <x v="2"/>
    <x v="1"/>
    <x v="3"/>
    <n v="454.56"/>
    <n v="5"/>
    <n v="-107.958"/>
    <n v="-0.23749999999999999"/>
    <n v="2017"/>
    <x v="0"/>
    <n v="1"/>
    <n v="90.912000000000006"/>
    <s v="Loss"/>
  </r>
  <r>
    <s v="CA-2017-151750"/>
    <d v="2017-01-01T00:00:00"/>
    <x v="2"/>
    <x v="0"/>
    <x v="4"/>
    <n v="141.41999999999999"/>
    <n v="5"/>
    <n v="-187.38149999999999"/>
    <n v="-1.325"/>
    <n v="2017"/>
    <x v="0"/>
    <n v="1"/>
    <n v="28.283999999999999"/>
    <s v="Loss"/>
  </r>
  <r>
    <s v="CA-2017-151750"/>
    <d v="2017-01-01T00:00:00"/>
    <x v="2"/>
    <x v="0"/>
    <x v="5"/>
    <n v="310.74400000000003"/>
    <n v="4"/>
    <n v="-26.635200000000001"/>
    <n v="-8.5714285714285715E-2"/>
    <n v="2017"/>
    <x v="0"/>
    <n v="1"/>
    <n v="77.686000000000007"/>
    <s v="Loss"/>
  </r>
  <r>
    <s v="CA-2017-151750"/>
    <d v="2017-01-01T00:00:00"/>
    <x v="2"/>
    <x v="1"/>
    <x v="6"/>
    <n v="12.736000000000001"/>
    <n v="4"/>
    <n v="2.2288000000000001"/>
    <n v="0.17499999999999999"/>
    <n v="2017"/>
    <x v="0"/>
    <n v="1"/>
    <n v="3.1840000000000002"/>
    <s v="Profit"/>
  </r>
  <r>
    <s v="CA-2017-151750"/>
    <d v="2017-01-01T00:00:00"/>
    <x v="2"/>
    <x v="1"/>
    <x v="7"/>
    <n v="6.47"/>
    <n v="5"/>
    <n v="-9.7050000000000001"/>
    <n v="-1.5"/>
    <n v="2017"/>
    <x v="0"/>
    <n v="1"/>
    <n v="1.294"/>
    <s v="Loss"/>
  </r>
  <r>
    <s v="CA-2017-151750"/>
    <d v="2017-01-01T00:00:00"/>
    <x v="2"/>
    <x v="1"/>
    <x v="8"/>
    <n v="13.747999999999999"/>
    <n v="14"/>
    <n v="-22.684200000000001"/>
    <n v="-1.6500000000000001"/>
    <n v="2017"/>
    <x v="0"/>
    <n v="1"/>
    <n v="0.98199999999999998"/>
    <s v="Loss"/>
  </r>
  <r>
    <s v="CA-2017-151750"/>
    <d v="2017-01-01T00:00:00"/>
    <x v="2"/>
    <x v="1"/>
    <x v="9"/>
    <n v="15.224"/>
    <n v="2"/>
    <n v="-38.821199999999997"/>
    <n v="-2.5499999999999998"/>
    <n v="2017"/>
    <x v="0"/>
    <n v="1"/>
    <n v="7.6120000000000001"/>
    <s v="Loss"/>
  </r>
  <r>
    <s v="CA-2017-145877"/>
    <d v="2017-01-04T00:00:00"/>
    <x v="2"/>
    <x v="1"/>
    <x v="10"/>
    <n v="94.2"/>
    <n v="6"/>
    <n v="23.55"/>
    <n v="0.25"/>
    <n v="2017"/>
    <x v="0"/>
    <n v="1"/>
    <n v="15.700000000000001"/>
    <s v="Profit"/>
  </r>
  <r>
    <s v="CA-2017-145877"/>
    <d v="2017-01-04T00:00:00"/>
    <x v="2"/>
    <x v="1"/>
    <x v="11"/>
    <n v="28.4"/>
    <n v="5"/>
    <n v="13.348000000000001"/>
    <n v="0.47000000000000003"/>
    <n v="2017"/>
    <x v="0"/>
    <n v="1"/>
    <n v="5.68"/>
    <s v="Profit"/>
  </r>
  <r>
    <s v="CA-2017-147942"/>
    <d v="2017-01-04T00:00:00"/>
    <x v="1"/>
    <x v="1"/>
    <x v="12"/>
    <n v="5.78"/>
    <n v="2"/>
    <n v="2.7166000000000001"/>
    <n v="0.47000000000000003"/>
    <n v="2017"/>
    <x v="0"/>
    <n v="1"/>
    <n v="2.89"/>
    <s v="Profit"/>
  </r>
  <r>
    <s v="CA-2017-147942"/>
    <d v="2017-01-04T00:00:00"/>
    <x v="1"/>
    <x v="1"/>
    <x v="13"/>
    <n v="121.68"/>
    <n v="13"/>
    <n v="38.024999999999999"/>
    <n v="0.31249999999999994"/>
    <n v="2017"/>
    <x v="0"/>
    <n v="1"/>
    <n v="9.3600000000000012"/>
    <s v="Profit"/>
  </r>
  <r>
    <s v="CA-2017-149881"/>
    <d v="2017-01-04T00:00:00"/>
    <x v="1"/>
    <x v="0"/>
    <x v="14"/>
    <n v="482.66399999999999"/>
    <n v="8"/>
    <n v="85.176000000000002"/>
    <n v="0.17647058823529413"/>
    <n v="2017"/>
    <x v="0"/>
    <n v="1"/>
    <n v="60.332999999999998"/>
    <s v="Profit"/>
  </r>
  <r>
    <s v="CA-2017-149881"/>
    <d v="2017-01-04T00:00:00"/>
    <x v="1"/>
    <x v="2"/>
    <x v="15"/>
    <n v="4799.9840000000004"/>
    <n v="2"/>
    <n v="359.99880000000002"/>
    <n v="7.4999999999999997E-2"/>
    <n v="2017"/>
    <x v="0"/>
    <n v="1"/>
    <n v="2399.9920000000002"/>
    <s v="Profit"/>
  </r>
  <r>
    <s v="CA-2017-118360"/>
    <d v="2017-01-04T00:00:00"/>
    <x v="0"/>
    <x v="1"/>
    <x v="16"/>
    <n v="42.93"/>
    <n v="9"/>
    <n v="19.3185"/>
    <n v="0.45"/>
    <n v="2017"/>
    <x v="0"/>
    <n v="1"/>
    <n v="4.7699999999999996"/>
    <s v="Profit"/>
  </r>
  <r>
    <s v="CA-2017-134495"/>
    <d v="2017-01-04T00:00:00"/>
    <x v="3"/>
    <x v="2"/>
    <x v="17"/>
    <n v="23.975999999999999"/>
    <n v="3"/>
    <n v="-5.6943000000000001"/>
    <n v="-0.23750000000000002"/>
    <n v="2017"/>
    <x v="0"/>
    <n v="1"/>
    <n v="7.992"/>
    <s v="Loss"/>
  </r>
  <r>
    <s v="CA-2017-134495"/>
    <d v="2017-01-04T00:00:00"/>
    <x v="3"/>
    <x v="1"/>
    <x v="18"/>
    <n v="6.2640000000000002"/>
    <n v="3"/>
    <n v="2.0358000000000001"/>
    <n v="0.32500000000000001"/>
    <n v="2017"/>
    <x v="0"/>
    <n v="1"/>
    <n v="2.0880000000000001"/>
    <s v="Profit"/>
  </r>
  <r>
    <s v="CA-2017-134495"/>
    <d v="2017-01-04T00:00:00"/>
    <x v="3"/>
    <x v="1"/>
    <x v="19"/>
    <n v="20.808"/>
    <n v="3"/>
    <n v="1.8207"/>
    <n v="8.7499999999999994E-2"/>
    <n v="2017"/>
    <x v="0"/>
    <n v="1"/>
    <n v="6.9359999999999999"/>
    <s v="Profit"/>
  </r>
  <r>
    <s v="CA-2017-134495"/>
    <d v="2017-01-04T00:00:00"/>
    <x v="3"/>
    <x v="0"/>
    <x v="20"/>
    <n v="218.352"/>
    <n v="3"/>
    <n v="-19.105799999999999"/>
    <n v="-8.7499999999999994E-2"/>
    <n v="2017"/>
    <x v="0"/>
    <n v="1"/>
    <n v="72.784000000000006"/>
    <s v="Loss"/>
  </r>
  <r>
    <s v="CA-2017-129028"/>
    <d v="2017-01-04T00:00:00"/>
    <x v="3"/>
    <x v="0"/>
    <x v="21"/>
    <n v="127.95"/>
    <n v="3"/>
    <n v="21.7515"/>
    <n v="0.16999999999999998"/>
    <n v="2017"/>
    <x v="0"/>
    <n v="1"/>
    <n v="42.65"/>
    <s v="Profit"/>
  </r>
  <r>
    <s v="CA-2017-110212"/>
    <d v="2017-01-05T00:00:00"/>
    <x v="3"/>
    <x v="2"/>
    <x v="22"/>
    <n v="48.9"/>
    <n v="5"/>
    <n v="18.093"/>
    <n v="0.37"/>
    <n v="2017"/>
    <x v="0"/>
    <n v="1"/>
    <n v="9.7799999999999994"/>
    <s v="Profit"/>
  </r>
  <r>
    <s v="CA-2017-102204"/>
    <d v="2017-01-05T00:00:00"/>
    <x v="3"/>
    <x v="1"/>
    <x v="23"/>
    <n v="3.3279999999999998"/>
    <n v="2"/>
    <n v="0.41599999999999998"/>
    <n v="0.125"/>
    <n v="2017"/>
    <x v="0"/>
    <n v="1"/>
    <n v="1.6639999999999999"/>
    <s v="Profit"/>
  </r>
  <r>
    <s v="CA-2017-102204"/>
    <d v="2017-01-05T00:00:00"/>
    <x v="3"/>
    <x v="0"/>
    <x v="24"/>
    <n v="933.26199999999994"/>
    <n v="4"/>
    <n v="-458.14679999999998"/>
    <n v="-0.49090909090909091"/>
    <n v="2017"/>
    <x v="0"/>
    <n v="1"/>
    <n v="233.31549999999999"/>
    <s v="Loss"/>
  </r>
  <r>
    <s v="CA-2017-102204"/>
    <d v="2017-01-05T00:00:00"/>
    <x v="3"/>
    <x v="0"/>
    <x v="25"/>
    <n v="2803.92"/>
    <n v="5"/>
    <n v="0"/>
    <n v="0"/>
    <n v="2017"/>
    <x v="0"/>
    <n v="1"/>
    <n v="560.78399999999999"/>
    <s v="Loss"/>
  </r>
  <r>
    <s v="CA-2017-110198"/>
    <d v="2017-01-05T00:00:00"/>
    <x v="3"/>
    <x v="0"/>
    <x v="26"/>
    <n v="314.35199999999998"/>
    <n v="3"/>
    <n v="-15.717599999999999"/>
    <n v="-0.05"/>
    <n v="2017"/>
    <x v="0"/>
    <n v="1"/>
    <n v="104.78399999999999"/>
    <s v="Loss"/>
  </r>
  <r>
    <s v="CA-2017-110198"/>
    <d v="2017-01-05T00:00:00"/>
    <x v="3"/>
    <x v="1"/>
    <x v="27"/>
    <n v="4.6079999999999997"/>
    <n v="2"/>
    <n v="1.4976"/>
    <n v="0.32500000000000001"/>
    <n v="2017"/>
    <x v="0"/>
    <n v="1"/>
    <n v="2.3039999999999998"/>
    <s v="Profit"/>
  </r>
  <r>
    <s v="US-2017-112928"/>
    <d v="2017-01-06T00:00:00"/>
    <x v="0"/>
    <x v="1"/>
    <x v="28"/>
    <n v="17.48"/>
    <n v="5"/>
    <n v="1.3109999999999999"/>
    <n v="7.4999999999999997E-2"/>
    <n v="2017"/>
    <x v="0"/>
    <n v="1"/>
    <n v="3.496"/>
    <s v="Profit"/>
  </r>
  <r>
    <s v="CA-2017-106831"/>
    <d v="2017-01-06T00:00:00"/>
    <x v="0"/>
    <x v="1"/>
    <x v="29"/>
    <n v="3.798"/>
    <n v="2"/>
    <n v="-2.6585999999999999"/>
    <n v="-0.7"/>
    <n v="2017"/>
    <x v="0"/>
    <n v="1"/>
    <n v="1.899"/>
    <s v="Loss"/>
  </r>
  <r>
    <s v="CA-2017-106831"/>
    <d v="2017-01-06T00:00:00"/>
    <x v="0"/>
    <x v="1"/>
    <x v="30"/>
    <n v="27.744"/>
    <n v="6"/>
    <n v="10.0572"/>
    <n v="0.36249999999999999"/>
    <n v="2017"/>
    <x v="0"/>
    <n v="1"/>
    <n v="4.6239999999999997"/>
    <s v="Profit"/>
  </r>
  <r>
    <s v="CA-2017-106831"/>
    <d v="2017-01-06T00:00:00"/>
    <x v="0"/>
    <x v="2"/>
    <x v="31"/>
    <n v="158.376"/>
    <n v="4"/>
    <n v="-34.314799999999998"/>
    <n v="-0.21666666666666665"/>
    <n v="2017"/>
    <x v="0"/>
    <n v="1"/>
    <n v="39.594000000000001"/>
    <s v="Loss"/>
  </r>
  <r>
    <s v="CA-2017-146493"/>
    <d v="2017-01-06T00:00:00"/>
    <x v="2"/>
    <x v="1"/>
    <x v="32"/>
    <n v="53.9"/>
    <n v="5"/>
    <n v="25.872"/>
    <n v="0.48000000000000004"/>
    <n v="2017"/>
    <x v="0"/>
    <n v="1"/>
    <n v="10.78"/>
    <s v="Profit"/>
  </r>
  <r>
    <s v="CA-2017-157413"/>
    <d v="2017-01-06T00:00:00"/>
    <x v="0"/>
    <x v="1"/>
    <x v="33"/>
    <n v="324.74400000000003"/>
    <n v="3"/>
    <n v="-77.1267"/>
    <n v="-0.23749999999999999"/>
    <n v="2017"/>
    <x v="0"/>
    <n v="1"/>
    <n v="108.248"/>
    <s v="Loss"/>
  </r>
  <r>
    <s v="CA-2017-121559"/>
    <d v="2017-01-06T00:00:00"/>
    <x v="2"/>
    <x v="0"/>
    <x v="34"/>
    <n v="1925.88"/>
    <n v="6"/>
    <n v="539.24639999999999"/>
    <n v="0.27999999999999997"/>
    <n v="2017"/>
    <x v="0"/>
    <n v="1"/>
    <n v="320.98"/>
    <s v="Profit"/>
  </r>
  <r>
    <s v="CA-2017-121559"/>
    <d v="2017-01-06T00:00:00"/>
    <x v="2"/>
    <x v="1"/>
    <x v="35"/>
    <n v="2405.1999999999998"/>
    <n v="8"/>
    <n v="793.71600000000001"/>
    <n v="0.33"/>
    <n v="2017"/>
    <x v="0"/>
    <n v="1"/>
    <n v="300.64999999999998"/>
    <s v="Profit"/>
  </r>
  <r>
    <s v="CA-2017-121559"/>
    <d v="2017-01-06T00:00:00"/>
    <x v="2"/>
    <x v="2"/>
    <x v="36"/>
    <n v="83.97"/>
    <n v="3"/>
    <n v="15.9543"/>
    <n v="0.19"/>
    <n v="2017"/>
    <x v="0"/>
    <n v="1"/>
    <n v="27.99"/>
    <s v="Profit"/>
  </r>
  <r>
    <s v="CA-2017-121559"/>
    <d v="2017-01-06T00:00:00"/>
    <x v="2"/>
    <x v="2"/>
    <x v="37"/>
    <n v="39.89"/>
    <n v="1"/>
    <n v="14.7593"/>
    <n v="0.37"/>
    <n v="2017"/>
    <x v="0"/>
    <n v="1"/>
    <n v="39.89"/>
    <s v="Profit"/>
  </r>
  <r>
    <s v="CA-2017-121559"/>
    <d v="2017-01-06T00:00:00"/>
    <x v="2"/>
    <x v="1"/>
    <x v="38"/>
    <n v="17.38"/>
    <n v="2"/>
    <n v="8.69"/>
    <n v="0.5"/>
    <n v="2017"/>
    <x v="0"/>
    <n v="1"/>
    <n v="8.69"/>
    <s v="Profit"/>
  </r>
  <r>
    <s v="US-2017-148362"/>
    <d v="2017-01-07T00:00:00"/>
    <x v="2"/>
    <x v="1"/>
    <x v="39"/>
    <n v="443.92"/>
    <n v="4"/>
    <n v="13.317600000000001"/>
    <n v="0.03"/>
    <n v="2017"/>
    <x v="0"/>
    <n v="1"/>
    <n v="110.98"/>
    <s v="Profit"/>
  </r>
  <r>
    <s v="US-2017-148362"/>
    <d v="2017-01-07T00:00:00"/>
    <x v="2"/>
    <x v="1"/>
    <x v="40"/>
    <n v="169.99"/>
    <n v="1"/>
    <n v="78.195400000000006"/>
    <n v="0.46"/>
    <n v="2017"/>
    <x v="0"/>
    <n v="1"/>
    <n v="169.99"/>
    <s v="Profit"/>
  </r>
  <r>
    <s v="US-2017-148362"/>
    <d v="2017-01-07T00:00:00"/>
    <x v="2"/>
    <x v="1"/>
    <x v="41"/>
    <n v="25.92"/>
    <n v="4"/>
    <n v="12.441599999999999"/>
    <n v="0.47999999999999993"/>
    <n v="2017"/>
    <x v="0"/>
    <n v="1"/>
    <n v="6.48"/>
    <s v="Profit"/>
  </r>
  <r>
    <s v="CA-2017-135034"/>
    <d v="2017-01-08T00:00:00"/>
    <x v="2"/>
    <x v="2"/>
    <x v="42"/>
    <n v="95.983999999999995"/>
    <n v="2"/>
    <n v="5.9989999999999997"/>
    <n v="6.25E-2"/>
    <n v="2017"/>
    <x v="0"/>
    <n v="1"/>
    <n v="47.991999999999997"/>
    <s v="Profit"/>
  </r>
  <r>
    <s v="CA-2017-133235"/>
    <d v="2017-01-08T00:00:00"/>
    <x v="3"/>
    <x v="2"/>
    <x v="43"/>
    <n v="271.95999999999998"/>
    <n v="5"/>
    <n v="16.997499999999999"/>
    <n v="6.25E-2"/>
    <n v="2017"/>
    <x v="0"/>
    <n v="1"/>
    <n v="54.391999999999996"/>
    <s v="Profit"/>
  </r>
  <r>
    <s v="CA-2017-162691"/>
    <d v="2017-01-08T00:00:00"/>
    <x v="2"/>
    <x v="2"/>
    <x v="44"/>
    <n v="1439.982"/>
    <n v="3"/>
    <n v="-263.99669999999998"/>
    <n v="-0.18333333333333332"/>
    <n v="2017"/>
    <x v="0"/>
    <n v="1"/>
    <n v="479.99399999999997"/>
    <s v="Loss"/>
  </r>
  <r>
    <s v="CA-2017-162691"/>
    <d v="2017-01-08T00:00:00"/>
    <x v="2"/>
    <x v="1"/>
    <x v="45"/>
    <n v="36.287999999999997"/>
    <n v="7"/>
    <n v="12.700799999999999"/>
    <n v="0.35000000000000003"/>
    <n v="2017"/>
    <x v="0"/>
    <n v="1"/>
    <n v="5.1839999999999993"/>
    <s v="Profit"/>
  </r>
  <r>
    <s v="CA-2017-124576"/>
    <d v="2017-01-08T00:00:00"/>
    <x v="1"/>
    <x v="1"/>
    <x v="46"/>
    <n v="54.896000000000001"/>
    <n v="2"/>
    <n v="18.5274"/>
    <n v="0.33750000000000002"/>
    <n v="2017"/>
    <x v="0"/>
    <n v="1"/>
    <n v="27.448"/>
    <s v="Profit"/>
  </r>
  <r>
    <s v="CA-2017-168942"/>
    <d v="2017-01-08T00:00:00"/>
    <x v="1"/>
    <x v="1"/>
    <x v="47"/>
    <n v="186.54"/>
    <n v="3"/>
    <n v="50.3658"/>
    <n v="0.27"/>
    <n v="2017"/>
    <x v="0"/>
    <n v="1"/>
    <n v="62.18"/>
    <s v="Profit"/>
  </r>
  <r>
    <s v="CA-2017-131625"/>
    <d v="2017-01-09T00:00:00"/>
    <x v="0"/>
    <x v="0"/>
    <x v="48"/>
    <n v="114.9"/>
    <n v="5"/>
    <n v="39.066000000000003"/>
    <n v="0.34"/>
    <n v="2017"/>
    <x v="0"/>
    <n v="1"/>
    <n v="22.98"/>
    <s v="Profit"/>
  </r>
  <r>
    <s v="CA-2017-107909"/>
    <d v="2017-01-09T00:00:00"/>
    <x v="1"/>
    <x v="2"/>
    <x v="49"/>
    <n v="19.989999999999998"/>
    <n v="1"/>
    <n v="6.7965999999999998"/>
    <n v="0.34"/>
    <n v="2017"/>
    <x v="0"/>
    <n v="1"/>
    <n v="19.989999999999998"/>
    <s v="Profit"/>
  </r>
  <r>
    <s v="CA-2017-107909"/>
    <d v="2017-01-09T00:00:00"/>
    <x v="1"/>
    <x v="1"/>
    <x v="50"/>
    <n v="22.92"/>
    <n v="5"/>
    <n v="8.0220000000000002"/>
    <n v="0.35"/>
    <n v="2017"/>
    <x v="0"/>
    <n v="1"/>
    <n v="4.5840000000000005"/>
    <s v="Profit"/>
  </r>
  <r>
    <s v="US-2017-135230"/>
    <d v="2017-01-09T00:00:00"/>
    <x v="1"/>
    <x v="1"/>
    <x v="51"/>
    <n v="7.58"/>
    <n v="1"/>
    <n v="2.9561999999999999"/>
    <n v="0.39"/>
    <n v="2017"/>
    <x v="0"/>
    <n v="1"/>
    <n v="7.58"/>
    <s v="Profit"/>
  </r>
  <r>
    <s v="CA-2017-145653"/>
    <d v="2017-01-09T00:00:00"/>
    <x v="2"/>
    <x v="0"/>
    <x v="52"/>
    <n v="498.26"/>
    <n v="7"/>
    <n v="134.53020000000001"/>
    <n v="0.27"/>
    <n v="2017"/>
    <x v="0"/>
    <n v="1"/>
    <n v="71.179999999999993"/>
    <s v="Profit"/>
  </r>
  <r>
    <s v="CA-2017-128041"/>
    <d v="2017-01-09T00:00:00"/>
    <x v="1"/>
    <x v="1"/>
    <x v="53"/>
    <n v="314.60000000000002"/>
    <n v="4"/>
    <n v="103.818"/>
    <n v="0.32999999999999996"/>
    <n v="2017"/>
    <x v="0"/>
    <n v="1"/>
    <n v="78.650000000000006"/>
    <s v="Profit"/>
  </r>
  <r>
    <s v="CA-2017-128041"/>
    <d v="2017-01-09T00:00:00"/>
    <x v="1"/>
    <x v="0"/>
    <x v="54"/>
    <n v="283.56"/>
    <n v="4"/>
    <n v="45.369599999999998"/>
    <n v="0.16"/>
    <n v="2017"/>
    <x v="0"/>
    <n v="1"/>
    <n v="70.89"/>
    <s v="Profit"/>
  </r>
  <r>
    <s v="CA-2017-152275"/>
    <d v="2017-01-10T00:00:00"/>
    <x v="2"/>
    <x v="1"/>
    <x v="55"/>
    <n v="6.6719999999999997"/>
    <n v="6"/>
    <n v="0.50039999999999996"/>
    <n v="7.4999999999999997E-2"/>
    <n v="2017"/>
    <x v="0"/>
    <n v="1"/>
    <n v="1.1119999999999999"/>
    <s v="Profit"/>
  </r>
  <r>
    <s v="CA-2017-156951"/>
    <d v="2017-01-10T00:00:00"/>
    <x v="1"/>
    <x v="1"/>
    <x v="56"/>
    <n v="91.84"/>
    <n v="8"/>
    <n v="45.001600000000003"/>
    <n v="0.49"/>
    <n v="2017"/>
    <x v="0"/>
    <n v="1"/>
    <n v="11.48"/>
    <s v="Profit"/>
  </r>
  <r>
    <s v="CA-2017-156951"/>
    <d v="2017-01-10T00:00:00"/>
    <x v="1"/>
    <x v="1"/>
    <x v="57"/>
    <n v="81.087999999999994"/>
    <n v="7"/>
    <n v="27.3672"/>
    <n v="0.33750000000000002"/>
    <n v="2017"/>
    <x v="0"/>
    <n v="1"/>
    <n v="11.584"/>
    <s v="Profit"/>
  </r>
  <r>
    <s v="CA-2017-156951"/>
    <d v="2017-01-10T00:00:00"/>
    <x v="1"/>
    <x v="1"/>
    <x v="58"/>
    <n v="19.440000000000001"/>
    <n v="3"/>
    <n v="9.3312000000000008"/>
    <n v="0.48000000000000004"/>
    <n v="2017"/>
    <x v="0"/>
    <n v="1"/>
    <n v="6.48"/>
    <s v="Profit"/>
  </r>
  <r>
    <s v="CA-2017-156951"/>
    <d v="2017-01-10T00:00:00"/>
    <x v="1"/>
    <x v="0"/>
    <x v="59"/>
    <n v="451.15199999999999"/>
    <n v="3"/>
    <n v="0"/>
    <n v="0"/>
    <n v="2017"/>
    <x v="0"/>
    <n v="1"/>
    <n v="150.38399999999999"/>
    <s v="Loss"/>
  </r>
  <r>
    <s v="CA-2017-129378"/>
    <d v="2017-01-10T00:00:00"/>
    <x v="1"/>
    <x v="1"/>
    <x v="2"/>
    <n v="1.44"/>
    <n v="1"/>
    <n v="0.504"/>
    <n v="0.35000000000000003"/>
    <n v="2017"/>
    <x v="0"/>
    <n v="1"/>
    <n v="1.44"/>
    <s v="Profit"/>
  </r>
  <r>
    <s v="CA-2017-129378"/>
    <d v="2017-01-10T00:00:00"/>
    <x v="1"/>
    <x v="1"/>
    <x v="60"/>
    <n v="61.776000000000003"/>
    <n v="13"/>
    <n v="20.849399999999999"/>
    <n v="0.33749999999999997"/>
    <n v="2017"/>
    <x v="0"/>
    <n v="1"/>
    <n v="4.7520000000000007"/>
    <s v="Profit"/>
  </r>
  <r>
    <s v="CA-2017-129378"/>
    <d v="2017-01-10T00:00:00"/>
    <x v="1"/>
    <x v="1"/>
    <x v="61"/>
    <n v="241.96"/>
    <n v="2"/>
    <n v="60.49"/>
    <n v="0.25"/>
    <n v="2017"/>
    <x v="0"/>
    <n v="1"/>
    <n v="120.98"/>
    <s v="Profit"/>
  </r>
  <r>
    <s v="CA-2017-129378"/>
    <d v="2017-01-10T00:00:00"/>
    <x v="1"/>
    <x v="0"/>
    <x v="62"/>
    <n v="108.608"/>
    <n v="4"/>
    <n v="9.5031999999999996"/>
    <n v="8.7499999999999994E-2"/>
    <n v="2017"/>
    <x v="0"/>
    <n v="1"/>
    <n v="27.152000000000001"/>
    <s v="Profit"/>
  </r>
  <r>
    <s v="CA-2017-113418"/>
    <d v="2017-01-10T00:00:00"/>
    <x v="0"/>
    <x v="2"/>
    <x v="63"/>
    <n v="1704.89"/>
    <n v="11"/>
    <n v="767.20050000000003"/>
    <n v="0.45"/>
    <n v="2017"/>
    <x v="0"/>
    <n v="1"/>
    <n v="154.99"/>
    <s v="Profit"/>
  </r>
  <r>
    <s v="CA-2017-117807"/>
    <d v="2017-01-10T00:00:00"/>
    <x v="2"/>
    <x v="1"/>
    <x v="64"/>
    <n v="104.85"/>
    <n v="1"/>
    <n v="50.328000000000003"/>
    <n v="0.48000000000000004"/>
    <n v="2017"/>
    <x v="0"/>
    <n v="1"/>
    <n v="104.85"/>
    <s v="Profit"/>
  </r>
  <r>
    <s v="US-2017-139577"/>
    <d v="2017-01-10T00:00:00"/>
    <x v="1"/>
    <x v="2"/>
    <x v="65"/>
    <n v="104.75"/>
    <n v="5"/>
    <n v="21.997499999999999"/>
    <n v="0.21"/>
    <n v="2017"/>
    <x v="0"/>
    <n v="1"/>
    <n v="20.95"/>
    <s v="Profit"/>
  </r>
  <r>
    <s v="CA-2017-123967"/>
    <d v="2017-01-11T00:00:00"/>
    <x v="1"/>
    <x v="1"/>
    <x v="66"/>
    <n v="25.12"/>
    <n v="5"/>
    <n v="7.85"/>
    <n v="0.3125"/>
    <n v="2017"/>
    <x v="0"/>
    <n v="1"/>
    <n v="5.024"/>
    <s v="Profit"/>
  </r>
  <r>
    <s v="CA-2017-123967"/>
    <d v="2017-01-11T00:00:00"/>
    <x v="1"/>
    <x v="0"/>
    <x v="67"/>
    <n v="2665.62"/>
    <n v="9"/>
    <n v="239.9058"/>
    <n v="0.09"/>
    <n v="2017"/>
    <x v="0"/>
    <n v="1"/>
    <n v="296.18"/>
    <s v="Profit"/>
  </r>
  <r>
    <s v="CA-2017-104136"/>
    <d v="2017-01-11T00:00:00"/>
    <x v="0"/>
    <x v="1"/>
    <x v="68"/>
    <n v="189.7"/>
    <n v="10"/>
    <n v="91.055999999999997"/>
    <n v="0.48000000000000004"/>
    <n v="2017"/>
    <x v="0"/>
    <n v="1"/>
    <n v="18.97"/>
    <s v="Profit"/>
  </r>
  <r>
    <s v="CA-2017-104136"/>
    <d v="2017-01-11T00:00:00"/>
    <x v="0"/>
    <x v="1"/>
    <x v="69"/>
    <n v="40.99"/>
    <n v="1"/>
    <n v="20.085100000000001"/>
    <n v="0.49"/>
    <n v="2017"/>
    <x v="0"/>
    <n v="1"/>
    <n v="40.99"/>
    <s v="Profit"/>
  </r>
  <r>
    <s v="CA-2017-135860"/>
    <d v="2017-01-12T00:00:00"/>
    <x v="2"/>
    <x v="1"/>
    <x v="70"/>
    <n v="83.92"/>
    <n v="4"/>
    <n v="5.8743999999999996"/>
    <n v="6.9999999999999993E-2"/>
    <n v="2017"/>
    <x v="0"/>
    <n v="1"/>
    <n v="20.98"/>
    <s v="Profit"/>
  </r>
  <r>
    <s v="CA-2017-135860"/>
    <d v="2017-01-12T00:00:00"/>
    <x v="2"/>
    <x v="2"/>
    <x v="31"/>
    <n v="131.97999999999999"/>
    <n v="2"/>
    <n v="35.634599999999999"/>
    <n v="0.27"/>
    <n v="2017"/>
    <x v="0"/>
    <n v="1"/>
    <n v="65.989999999999995"/>
    <s v="Profit"/>
  </r>
  <r>
    <s v="CA-2017-135860"/>
    <d v="2017-01-12T00:00:00"/>
    <x v="2"/>
    <x v="1"/>
    <x v="71"/>
    <n v="15.92"/>
    <n v="4"/>
    <n v="7.4824000000000002"/>
    <n v="0.47000000000000003"/>
    <n v="2017"/>
    <x v="0"/>
    <n v="1"/>
    <n v="3.98"/>
    <s v="Profit"/>
  </r>
  <r>
    <s v="CA-2017-135860"/>
    <d v="2017-01-12T00:00:00"/>
    <x v="2"/>
    <x v="1"/>
    <x v="72"/>
    <n v="52.29"/>
    <n v="9"/>
    <n v="16.209900000000001"/>
    <n v="0.31000000000000005"/>
    <n v="2017"/>
    <x v="0"/>
    <n v="1"/>
    <n v="5.81"/>
    <s v="Profit"/>
  </r>
  <r>
    <s v="CA-2017-135860"/>
    <d v="2017-01-12T00:00:00"/>
    <x v="2"/>
    <x v="1"/>
    <x v="73"/>
    <n v="91.99"/>
    <n v="1"/>
    <n v="3.6796000000000002"/>
    <n v="4.0000000000000008E-2"/>
    <n v="2017"/>
    <x v="0"/>
    <n v="1"/>
    <n v="91.99"/>
    <s v="Profit"/>
  </r>
  <r>
    <s v="CA-2017-163139"/>
    <d v="2017-01-12T00:00:00"/>
    <x v="0"/>
    <x v="2"/>
    <x v="74"/>
    <n v="20.37"/>
    <n v="3"/>
    <n v="6.9257999999999997"/>
    <n v="0.33999999999999997"/>
    <n v="2017"/>
    <x v="0"/>
    <n v="1"/>
    <n v="6.79"/>
    <s v="Profit"/>
  </r>
  <r>
    <s v="CA-2017-163139"/>
    <d v="2017-01-12T00:00:00"/>
    <x v="0"/>
    <x v="1"/>
    <x v="75"/>
    <n v="221.55"/>
    <n v="3"/>
    <n v="6.6464999999999996"/>
    <n v="2.9999999999999995E-2"/>
    <n v="2017"/>
    <x v="0"/>
    <n v="1"/>
    <n v="73.850000000000009"/>
    <s v="Profit"/>
  </r>
  <r>
    <s v="CA-2017-163139"/>
    <d v="2017-01-12T00:00:00"/>
    <x v="0"/>
    <x v="1"/>
    <x v="76"/>
    <n v="17.52"/>
    <n v="5"/>
    <n v="6.1319999999999997"/>
    <n v="0.35"/>
    <n v="2017"/>
    <x v="0"/>
    <n v="1"/>
    <n v="3.504"/>
    <s v="Profit"/>
  </r>
  <r>
    <s v="CA-2017-145233"/>
    <d v="2017-01-12T00:00:00"/>
    <x v="1"/>
    <x v="2"/>
    <x v="77"/>
    <n v="470.37599999999998"/>
    <n v="3"/>
    <n v="52.917299999999997"/>
    <n v="0.1125"/>
    <n v="2017"/>
    <x v="0"/>
    <n v="1"/>
    <n v="156.792"/>
    <s v="Profit"/>
  </r>
  <r>
    <s v="CA-2017-145233"/>
    <d v="2017-01-12T00:00:00"/>
    <x v="1"/>
    <x v="2"/>
    <x v="78"/>
    <n v="105.584"/>
    <n v="2"/>
    <n v="9.2385999999999999"/>
    <n v="8.7499999999999994E-2"/>
    <n v="2017"/>
    <x v="0"/>
    <n v="1"/>
    <n v="52.792000000000002"/>
    <s v="Profit"/>
  </r>
  <r>
    <s v="CA-2017-145233"/>
    <d v="2017-01-12T00:00:00"/>
    <x v="1"/>
    <x v="1"/>
    <x v="79"/>
    <n v="31.152000000000001"/>
    <n v="3"/>
    <n v="3.5045999999999999"/>
    <n v="0.11249999999999999"/>
    <n v="2017"/>
    <x v="0"/>
    <n v="1"/>
    <n v="10.384"/>
    <s v="Profit"/>
  </r>
  <r>
    <s v="CA-2017-145233"/>
    <d v="2017-01-12T00:00:00"/>
    <x v="1"/>
    <x v="1"/>
    <x v="80"/>
    <n v="6.7830000000000004"/>
    <n v="7"/>
    <n v="-4.7481"/>
    <n v="-0.7"/>
    <n v="2017"/>
    <x v="0"/>
    <n v="1"/>
    <n v="0.96900000000000008"/>
    <s v="Loss"/>
  </r>
  <r>
    <s v="CA-2017-145233"/>
    <d v="2017-01-12T00:00:00"/>
    <x v="1"/>
    <x v="2"/>
    <x v="81"/>
    <n v="406.36799999999999"/>
    <n v="4"/>
    <n v="30.477599999999999"/>
    <n v="7.4999999999999997E-2"/>
    <n v="2017"/>
    <x v="0"/>
    <n v="1"/>
    <n v="101.592"/>
    <s v="Profit"/>
  </r>
  <r>
    <s v="CA-2017-144862"/>
    <d v="2017-01-12T00:00:00"/>
    <x v="0"/>
    <x v="1"/>
    <x v="82"/>
    <n v="104.68"/>
    <n v="5"/>
    <n v="35.329500000000003"/>
    <n v="0.33750000000000002"/>
    <n v="2017"/>
    <x v="0"/>
    <n v="1"/>
    <n v="20.936"/>
    <s v="Profit"/>
  </r>
  <r>
    <s v="CA-2017-144862"/>
    <d v="2017-01-12T00:00:00"/>
    <x v="0"/>
    <x v="2"/>
    <x v="83"/>
    <n v="62.957999999999998"/>
    <n v="7"/>
    <n v="9.4436999999999998"/>
    <n v="0.15"/>
    <n v="2017"/>
    <x v="0"/>
    <n v="1"/>
    <n v="8.9939999999999998"/>
    <s v="Profit"/>
  </r>
  <r>
    <s v="CA-2017-113355"/>
    <d v="2017-01-12T00:00:00"/>
    <x v="2"/>
    <x v="2"/>
    <x v="84"/>
    <n v="219.8"/>
    <n v="5"/>
    <n v="24.727499999999999"/>
    <n v="0.11249999999999999"/>
    <n v="2017"/>
    <x v="0"/>
    <n v="1"/>
    <n v="43.96"/>
    <s v="Profit"/>
  </r>
  <r>
    <s v="CA-2017-113355"/>
    <d v="2017-01-12T00:00:00"/>
    <x v="2"/>
    <x v="0"/>
    <x v="85"/>
    <n v="317.05799999999999"/>
    <n v="3"/>
    <n v="-18.117599999999999"/>
    <n v="-5.7142857142857141E-2"/>
    <n v="2017"/>
    <x v="0"/>
    <n v="1"/>
    <n v="105.68599999999999"/>
    <s v="Loss"/>
  </r>
  <r>
    <s v="CA-2017-118542"/>
    <d v="2017-01-12T00:00:00"/>
    <x v="1"/>
    <x v="1"/>
    <x v="86"/>
    <n v="45.36"/>
    <n v="7"/>
    <n v="21.7728"/>
    <n v="0.48"/>
    <n v="2017"/>
    <x v="0"/>
    <n v="1"/>
    <n v="6.4799999999999995"/>
    <s v="Profit"/>
  </r>
  <r>
    <s v="CA-2017-118542"/>
    <d v="2017-01-12T00:00:00"/>
    <x v="1"/>
    <x v="1"/>
    <x v="29"/>
    <n v="10.128"/>
    <n v="2"/>
    <n v="3.6714000000000002"/>
    <n v="0.36250000000000004"/>
    <n v="2017"/>
    <x v="0"/>
    <n v="1"/>
    <n v="5.0640000000000001"/>
    <s v="Profit"/>
  </r>
  <r>
    <s v="CA-2017-127313"/>
    <d v="2017-01-12T00:00:00"/>
    <x v="0"/>
    <x v="1"/>
    <x v="87"/>
    <n v="37.392000000000003"/>
    <n v="3"/>
    <n v="2.3370000000000002"/>
    <n v="6.25E-2"/>
    <n v="2017"/>
    <x v="0"/>
    <n v="1"/>
    <n v="12.464"/>
    <s v="Profit"/>
  </r>
  <r>
    <s v="CA-2017-127313"/>
    <d v="2017-01-12T00:00:00"/>
    <x v="0"/>
    <x v="0"/>
    <x v="88"/>
    <n v="79.12"/>
    <n v="5"/>
    <n v="13.846"/>
    <n v="0.17499999999999999"/>
    <n v="2017"/>
    <x v="0"/>
    <n v="1"/>
    <n v="15.824000000000002"/>
    <s v="Profit"/>
  </r>
  <r>
    <s v="CA-2017-143245"/>
    <d v="2017-01-12T00:00:00"/>
    <x v="0"/>
    <x v="1"/>
    <x v="89"/>
    <n v="19.440000000000001"/>
    <n v="3"/>
    <n v="9.3312000000000008"/>
    <n v="0.48000000000000004"/>
    <n v="2017"/>
    <x v="0"/>
    <n v="1"/>
    <n v="6.48"/>
    <s v="Profit"/>
  </r>
  <r>
    <s v="CA-2017-143245"/>
    <d v="2017-01-12T00:00:00"/>
    <x v="0"/>
    <x v="0"/>
    <x v="90"/>
    <n v="897.15"/>
    <n v="3"/>
    <n v="251.202"/>
    <n v="0.28000000000000003"/>
    <n v="2017"/>
    <x v="0"/>
    <n v="1"/>
    <n v="299.05"/>
    <s v="Profit"/>
  </r>
  <r>
    <s v="CA-2017-145660"/>
    <d v="2017-01-12T00:00:00"/>
    <x v="0"/>
    <x v="0"/>
    <x v="91"/>
    <n v="7.7119999999999997"/>
    <n v="2"/>
    <n v="1.7352000000000001"/>
    <n v="0.22500000000000001"/>
    <n v="2017"/>
    <x v="0"/>
    <n v="1"/>
    <n v="3.8559999999999999"/>
    <s v="Profit"/>
  </r>
  <r>
    <s v="CA-2017-138618"/>
    <d v="2017-01-12T00:00:00"/>
    <x v="2"/>
    <x v="1"/>
    <x v="92"/>
    <n v="10.368"/>
    <n v="2"/>
    <n v="3.6288"/>
    <n v="0.35"/>
    <n v="2017"/>
    <x v="0"/>
    <n v="1"/>
    <n v="5.1840000000000002"/>
    <s v="Profit"/>
  </r>
  <r>
    <s v="CA-2017-166926"/>
    <d v="2017-01-12T00:00:00"/>
    <x v="1"/>
    <x v="1"/>
    <x v="93"/>
    <n v="41.86"/>
    <n v="7"/>
    <n v="18.837"/>
    <n v="0.45"/>
    <n v="2017"/>
    <x v="0"/>
    <n v="1"/>
    <n v="5.9799999999999995"/>
    <s v="Profit"/>
  </r>
  <r>
    <s v="CA-2017-166926"/>
    <d v="2017-01-12T00:00:00"/>
    <x v="1"/>
    <x v="0"/>
    <x v="94"/>
    <n v="141.96"/>
    <n v="2"/>
    <n v="41.168399999999998"/>
    <n v="0.28999999999999998"/>
    <n v="2017"/>
    <x v="0"/>
    <n v="1"/>
    <n v="70.98"/>
    <s v="Profit"/>
  </r>
  <r>
    <s v="CA-2017-101805"/>
    <d v="2017-01-12T00:00:00"/>
    <x v="1"/>
    <x v="1"/>
    <x v="95"/>
    <n v="15.92"/>
    <n v="5"/>
    <n v="5.3730000000000002"/>
    <n v="0.33750000000000002"/>
    <n v="2017"/>
    <x v="0"/>
    <n v="1"/>
    <n v="3.1840000000000002"/>
    <s v="Profit"/>
  </r>
  <r>
    <s v="CA-2017-101805"/>
    <d v="2017-01-12T00:00:00"/>
    <x v="1"/>
    <x v="0"/>
    <x v="96"/>
    <n v="70.680000000000007"/>
    <n v="12"/>
    <n v="31.0992"/>
    <n v="0.43999999999999995"/>
    <n v="2017"/>
    <x v="0"/>
    <n v="1"/>
    <n v="5.8900000000000006"/>
    <s v="Profit"/>
  </r>
  <r>
    <s v="CA-2017-101805"/>
    <d v="2017-01-12T00:00:00"/>
    <x v="1"/>
    <x v="1"/>
    <x v="33"/>
    <n v="541.24"/>
    <n v="4"/>
    <n v="5.4123999999999999"/>
    <n v="0.01"/>
    <n v="2017"/>
    <x v="0"/>
    <n v="1"/>
    <n v="135.31"/>
    <s v="Profit"/>
  </r>
  <r>
    <s v="CA-2017-103968"/>
    <d v="2017-01-12T00:00:00"/>
    <x v="1"/>
    <x v="0"/>
    <x v="97"/>
    <n v="629.64"/>
    <n v="9"/>
    <n v="107.03879999999999"/>
    <n v="0.16999999999999998"/>
    <n v="2017"/>
    <x v="0"/>
    <n v="1"/>
    <n v="69.959999999999994"/>
    <s v="Profit"/>
  </r>
  <r>
    <s v="CA-2017-122539"/>
    <d v="2017-01-12T00:00:00"/>
    <x v="0"/>
    <x v="1"/>
    <x v="98"/>
    <n v="15.936"/>
    <n v="4"/>
    <n v="5.1791999999999998"/>
    <n v="0.32500000000000001"/>
    <n v="2017"/>
    <x v="0"/>
    <n v="1"/>
    <n v="3.984"/>
    <s v="Profit"/>
  </r>
  <r>
    <s v="CA-2017-122539"/>
    <d v="2017-01-12T00:00:00"/>
    <x v="0"/>
    <x v="1"/>
    <x v="99"/>
    <n v="8.0009999999999994"/>
    <n v="7"/>
    <n v="-5.6006999999999998"/>
    <n v="-0.70000000000000007"/>
    <n v="2017"/>
    <x v="0"/>
    <n v="1"/>
    <n v="1.143"/>
    <s v="Loss"/>
  </r>
  <r>
    <s v="CA-2017-122539"/>
    <d v="2017-01-12T00:00:00"/>
    <x v="0"/>
    <x v="0"/>
    <x v="100"/>
    <n v="398.97199999999998"/>
    <n v="2"/>
    <n v="-28.498000000000001"/>
    <n v="-7.1428571428571438E-2"/>
    <n v="2017"/>
    <x v="0"/>
    <n v="1"/>
    <n v="199.48599999999999"/>
    <s v="Loss"/>
  </r>
  <r>
    <s v="CA-2017-113481"/>
    <d v="2017-02-01T00:00:00"/>
    <x v="3"/>
    <x v="2"/>
    <x v="101"/>
    <n v="695.7"/>
    <n v="2"/>
    <n v="-27.827999999999999"/>
    <n v="-3.9999999999999994E-2"/>
    <n v="2017"/>
    <x v="1"/>
    <n v="2"/>
    <n v="347.85"/>
    <s v="Loss"/>
  </r>
  <r>
    <s v="CA-2017-113481"/>
    <d v="2017-02-01T00:00:00"/>
    <x v="3"/>
    <x v="1"/>
    <x v="102"/>
    <n v="15.66"/>
    <n v="5"/>
    <n v="-12.528"/>
    <n v="-0.8"/>
    <n v="2017"/>
    <x v="1"/>
    <n v="2"/>
    <n v="3.1320000000000001"/>
    <s v="Loss"/>
  </r>
  <r>
    <s v="CA-2017-113481"/>
    <d v="2017-02-01T00:00:00"/>
    <x v="3"/>
    <x v="1"/>
    <x v="103"/>
    <n v="28.853999999999999"/>
    <n v="6"/>
    <n v="-21.159600000000001"/>
    <n v="-0.73333333333333339"/>
    <n v="2017"/>
    <x v="1"/>
    <n v="2"/>
    <n v="4.8090000000000002"/>
    <s v="Loss"/>
  </r>
  <r>
    <s v="CA-2017-147207"/>
    <d v="2017-02-01T00:00:00"/>
    <x v="2"/>
    <x v="1"/>
    <x v="104"/>
    <n v="31.744"/>
    <n v="2"/>
    <n v="3.968"/>
    <n v="0.125"/>
    <n v="2017"/>
    <x v="1"/>
    <n v="2"/>
    <n v="15.872"/>
    <s v="Profit"/>
  </r>
  <r>
    <s v="CA-2017-147207"/>
    <d v="2017-02-01T00:00:00"/>
    <x v="2"/>
    <x v="1"/>
    <x v="105"/>
    <n v="5.4320000000000004"/>
    <n v="2"/>
    <n v="-13.58"/>
    <n v="-2.5"/>
    <n v="2017"/>
    <x v="1"/>
    <n v="2"/>
    <n v="2.7160000000000002"/>
    <s v="Loss"/>
  </r>
  <r>
    <s v="CA-2017-147207"/>
    <d v="2017-02-01T00:00:00"/>
    <x v="2"/>
    <x v="0"/>
    <x v="106"/>
    <n v="913.43"/>
    <n v="5"/>
    <n v="-169.637"/>
    <n v="-0.18571428571428572"/>
    <n v="2017"/>
    <x v="1"/>
    <n v="2"/>
    <n v="182.68599999999998"/>
    <s v="Loss"/>
  </r>
  <r>
    <s v="CA-2017-147207"/>
    <d v="2017-02-01T00:00:00"/>
    <x v="2"/>
    <x v="1"/>
    <x v="107"/>
    <n v="372.14400000000001"/>
    <n v="3"/>
    <n v="27.910799999999998"/>
    <n v="7.4999999999999997E-2"/>
    <n v="2017"/>
    <x v="1"/>
    <n v="2"/>
    <n v="124.048"/>
    <s v="Profit"/>
  </r>
  <r>
    <s v="CA-2017-118668"/>
    <d v="2017-02-01T00:00:00"/>
    <x v="1"/>
    <x v="2"/>
    <x v="108"/>
    <n v="16.59"/>
    <n v="1"/>
    <n v="5.8064999999999998"/>
    <n v="0.35"/>
    <n v="2017"/>
    <x v="1"/>
    <n v="2"/>
    <n v="16.59"/>
    <s v="Profit"/>
  </r>
  <r>
    <s v="US-2017-164147"/>
    <d v="2017-02-02T00:00:00"/>
    <x v="0"/>
    <x v="2"/>
    <x v="109"/>
    <n v="59.97"/>
    <n v="5"/>
    <n v="-11.994"/>
    <n v="-0.2"/>
    <n v="2017"/>
    <x v="1"/>
    <n v="2"/>
    <n v="11.994"/>
    <s v="Loss"/>
  </r>
  <r>
    <s v="US-2017-164147"/>
    <d v="2017-02-02T00:00:00"/>
    <x v="0"/>
    <x v="1"/>
    <x v="110"/>
    <n v="78.304000000000002"/>
    <n v="2"/>
    <n v="29.364000000000001"/>
    <n v="0.375"/>
    <n v="2017"/>
    <x v="1"/>
    <n v="2"/>
    <n v="39.152000000000001"/>
    <s v="Profit"/>
  </r>
  <r>
    <s v="US-2017-164147"/>
    <d v="2017-02-02T00:00:00"/>
    <x v="0"/>
    <x v="1"/>
    <x v="111"/>
    <n v="21.456"/>
    <n v="9"/>
    <n v="6.9732000000000003"/>
    <n v="0.32500000000000001"/>
    <n v="2017"/>
    <x v="1"/>
    <n v="2"/>
    <n v="2.3839999999999999"/>
    <s v="Profit"/>
  </r>
  <r>
    <s v="CA-2017-161333"/>
    <d v="2017-02-02T00:00:00"/>
    <x v="1"/>
    <x v="0"/>
    <x v="112"/>
    <n v="86.26"/>
    <n v="2"/>
    <n v="29.328399999999998"/>
    <n v="0.33999999999999997"/>
    <n v="2017"/>
    <x v="1"/>
    <n v="2"/>
    <n v="43.13"/>
    <s v="Profit"/>
  </r>
  <r>
    <s v="CA-2017-161333"/>
    <d v="2017-02-02T00:00:00"/>
    <x v="1"/>
    <x v="1"/>
    <x v="113"/>
    <n v="139.04"/>
    <n v="4"/>
    <n v="38.931199999999997"/>
    <n v="0.27999999999999997"/>
    <n v="2017"/>
    <x v="1"/>
    <n v="2"/>
    <n v="34.76"/>
    <s v="Profit"/>
  </r>
  <r>
    <s v="CA-2017-161333"/>
    <d v="2017-02-02T00:00:00"/>
    <x v="1"/>
    <x v="1"/>
    <x v="114"/>
    <n v="46.8"/>
    <n v="4"/>
    <n v="16.38"/>
    <n v="0.35"/>
    <n v="2017"/>
    <x v="1"/>
    <n v="2"/>
    <n v="11.7"/>
    <s v="Profit"/>
  </r>
  <r>
    <s v="CA-2017-128076"/>
    <d v="2017-02-02T00:00:00"/>
    <x v="1"/>
    <x v="0"/>
    <x v="115"/>
    <n v="210.58"/>
    <n v="2"/>
    <n v="12.6348"/>
    <n v="0.06"/>
    <n v="2017"/>
    <x v="1"/>
    <n v="2"/>
    <n v="105.29"/>
    <s v="Profit"/>
  </r>
  <r>
    <s v="CA-2017-128076"/>
    <d v="2017-02-02T00:00:00"/>
    <x v="1"/>
    <x v="1"/>
    <x v="116"/>
    <n v="30.96"/>
    <n v="2"/>
    <n v="10.061999999999999"/>
    <n v="0.32499999999999996"/>
    <n v="2017"/>
    <x v="1"/>
    <n v="2"/>
    <n v="15.48"/>
    <s v="Profit"/>
  </r>
  <r>
    <s v="CA-2017-128076"/>
    <d v="2017-02-02T00:00:00"/>
    <x v="1"/>
    <x v="2"/>
    <x v="117"/>
    <n v="239.98400000000001"/>
    <n v="2"/>
    <n v="38.997399999999999"/>
    <n v="0.16249999999999998"/>
    <n v="2017"/>
    <x v="1"/>
    <n v="2"/>
    <n v="119.992"/>
    <s v="Profit"/>
  </r>
  <r>
    <s v="CA-2017-146024"/>
    <d v="2017-02-03T00:00:00"/>
    <x v="2"/>
    <x v="1"/>
    <x v="118"/>
    <n v="6.976"/>
    <n v="4"/>
    <n v="-1.3952"/>
    <n v="-0.2"/>
    <n v="2017"/>
    <x v="1"/>
    <n v="2"/>
    <n v="1.744"/>
    <s v="Loss"/>
  </r>
  <r>
    <s v="CA-2017-146024"/>
    <d v="2017-02-03T00:00:00"/>
    <x v="2"/>
    <x v="1"/>
    <x v="119"/>
    <n v="12.222"/>
    <n v="7"/>
    <n v="-20.1663"/>
    <n v="-1.6500000000000001"/>
    <n v="2017"/>
    <x v="1"/>
    <n v="2"/>
    <n v="1.746"/>
    <s v="Loss"/>
  </r>
  <r>
    <s v="CA-2017-163902"/>
    <d v="2017-02-03T00:00:00"/>
    <x v="1"/>
    <x v="2"/>
    <x v="120"/>
    <n v="196.77600000000001"/>
    <n v="3"/>
    <n v="14.7582"/>
    <n v="7.4999999999999997E-2"/>
    <n v="2017"/>
    <x v="1"/>
    <n v="2"/>
    <n v="65.591999999999999"/>
    <s v="Profit"/>
  </r>
  <r>
    <s v="CA-2017-163902"/>
    <d v="2017-02-03T00:00:00"/>
    <x v="1"/>
    <x v="2"/>
    <x v="121"/>
    <n v="479.94"/>
    <n v="6"/>
    <n v="52.793399999999998"/>
    <n v="0.11"/>
    <n v="2017"/>
    <x v="1"/>
    <n v="2"/>
    <n v="79.989999999999995"/>
    <s v="Profit"/>
  </r>
  <r>
    <s v="CA-2017-104885"/>
    <d v="2017-02-03T00:00:00"/>
    <x v="0"/>
    <x v="1"/>
    <x v="122"/>
    <n v="59.52"/>
    <n v="3"/>
    <n v="15.475199999999999"/>
    <n v="0.25999999999999995"/>
    <n v="2017"/>
    <x v="1"/>
    <n v="2"/>
    <n v="19.84"/>
    <s v="Profit"/>
  </r>
  <r>
    <s v="CA-2017-104885"/>
    <d v="2017-02-03T00:00:00"/>
    <x v="0"/>
    <x v="1"/>
    <x v="11"/>
    <n v="57.96"/>
    <n v="7"/>
    <n v="27.241199999999999"/>
    <n v="0.47"/>
    <n v="2017"/>
    <x v="1"/>
    <n v="2"/>
    <n v="8.2799999999999994"/>
    <s v="Profit"/>
  </r>
  <r>
    <s v="CA-2017-104885"/>
    <d v="2017-02-03T00:00:00"/>
    <x v="0"/>
    <x v="0"/>
    <x v="123"/>
    <n v="441.96"/>
    <n v="2"/>
    <n v="101.6508"/>
    <n v="0.23"/>
    <n v="2017"/>
    <x v="1"/>
    <n v="2"/>
    <n v="220.98"/>
    <s v="Profit"/>
  </r>
  <r>
    <s v="CA-2017-104885"/>
    <d v="2017-02-03T00:00:00"/>
    <x v="0"/>
    <x v="1"/>
    <x v="124"/>
    <n v="68.040000000000006"/>
    <n v="6"/>
    <n v="33.339599999999997"/>
    <n v="0.48999999999999994"/>
    <n v="2017"/>
    <x v="1"/>
    <n v="2"/>
    <n v="11.340000000000002"/>
    <s v="Profit"/>
  </r>
  <r>
    <s v="CA-2017-152261"/>
    <d v="2017-02-03T00:00:00"/>
    <x v="0"/>
    <x v="1"/>
    <x v="125"/>
    <n v="18.527999999999999"/>
    <n v="4"/>
    <n v="-12.352"/>
    <n v="-0.66666666666666674"/>
    <n v="2017"/>
    <x v="1"/>
    <n v="2"/>
    <n v="4.6319999999999997"/>
    <s v="Loss"/>
  </r>
  <r>
    <s v="CA-2017-155712"/>
    <d v="2017-02-03T00:00:00"/>
    <x v="1"/>
    <x v="1"/>
    <x v="126"/>
    <n v="107.648"/>
    <n v="2"/>
    <n v="33.64"/>
    <n v="0.3125"/>
    <n v="2017"/>
    <x v="1"/>
    <n v="2"/>
    <n v="53.823999999999998"/>
    <s v="Profit"/>
  </r>
  <r>
    <s v="CA-2017-124114"/>
    <d v="2017-02-03T00:00:00"/>
    <x v="2"/>
    <x v="1"/>
    <x v="127"/>
    <n v="0.55600000000000005"/>
    <n v="1"/>
    <n v="-0.94520000000000004"/>
    <n v="-1.7"/>
    <n v="2017"/>
    <x v="1"/>
    <n v="2"/>
    <n v="0.55600000000000005"/>
    <s v="Loss"/>
  </r>
  <r>
    <s v="US-2017-123281"/>
    <d v="2017-02-04T00:00:00"/>
    <x v="1"/>
    <x v="0"/>
    <x v="128"/>
    <n v="25.11"/>
    <n v="3"/>
    <n v="6.5286"/>
    <n v="0.26"/>
    <n v="2017"/>
    <x v="1"/>
    <n v="2"/>
    <n v="8.3699999999999992"/>
    <s v="Profit"/>
  </r>
  <r>
    <s v="CA-2017-121419"/>
    <d v="2017-02-04T00:00:00"/>
    <x v="3"/>
    <x v="0"/>
    <x v="129"/>
    <n v="411.8"/>
    <n v="2"/>
    <n v="70.006"/>
    <n v="0.16999999999999998"/>
    <n v="2017"/>
    <x v="1"/>
    <n v="2"/>
    <n v="205.9"/>
    <s v="Profit"/>
  </r>
  <r>
    <s v="CA-2017-121419"/>
    <d v="2017-02-04T00:00:00"/>
    <x v="3"/>
    <x v="2"/>
    <x v="130"/>
    <n v="360"/>
    <n v="4"/>
    <n v="129.6"/>
    <n v="0.36"/>
    <n v="2017"/>
    <x v="1"/>
    <n v="2"/>
    <n v="90"/>
    <s v="Profit"/>
  </r>
  <r>
    <s v="CA-2017-106355"/>
    <d v="2017-02-04T00:00:00"/>
    <x v="0"/>
    <x v="1"/>
    <x v="131"/>
    <n v="11.12"/>
    <n v="4"/>
    <n v="2.8912"/>
    <n v="0.26"/>
    <n v="2017"/>
    <x v="1"/>
    <n v="2"/>
    <n v="2.78"/>
    <s v="Profit"/>
  </r>
  <r>
    <s v="CA-2017-145275"/>
    <d v="2017-02-04T00:00:00"/>
    <x v="3"/>
    <x v="1"/>
    <x v="132"/>
    <n v="14.94"/>
    <n v="3"/>
    <n v="6.8723999999999998"/>
    <n v="0.46"/>
    <n v="2017"/>
    <x v="1"/>
    <n v="2"/>
    <n v="4.9799999999999995"/>
    <s v="Profit"/>
  </r>
  <r>
    <s v="CA-2017-123134"/>
    <d v="2017-02-05T00:00:00"/>
    <x v="0"/>
    <x v="0"/>
    <x v="133"/>
    <n v="129.93"/>
    <n v="3"/>
    <n v="12.993"/>
    <n v="9.9999999999999992E-2"/>
    <n v="2017"/>
    <x v="1"/>
    <n v="2"/>
    <n v="43.31"/>
    <s v="Profit"/>
  </r>
  <r>
    <s v="US-2017-128398"/>
    <d v="2017-02-05T00:00:00"/>
    <x v="1"/>
    <x v="2"/>
    <x v="37"/>
    <n v="159.56"/>
    <n v="4"/>
    <n v="59.037199999999999"/>
    <n v="0.37"/>
    <n v="2017"/>
    <x v="1"/>
    <n v="2"/>
    <n v="39.89"/>
    <s v="Profit"/>
  </r>
  <r>
    <s v="CA-2017-147844"/>
    <d v="2017-02-05T00:00:00"/>
    <x v="1"/>
    <x v="1"/>
    <x v="134"/>
    <n v="15.7"/>
    <n v="5"/>
    <n v="7.0650000000000004"/>
    <n v="0.45000000000000007"/>
    <n v="2017"/>
    <x v="1"/>
    <n v="2"/>
    <n v="3.1399999999999997"/>
    <s v="Profit"/>
  </r>
  <r>
    <s v="CA-2017-147844"/>
    <d v="2017-02-05T00:00:00"/>
    <x v="1"/>
    <x v="1"/>
    <x v="122"/>
    <n v="59.52"/>
    <n v="3"/>
    <n v="15.475199999999999"/>
    <n v="0.25999999999999995"/>
    <n v="2017"/>
    <x v="1"/>
    <n v="2"/>
    <n v="19.84"/>
    <s v="Profit"/>
  </r>
  <r>
    <s v="CA-2017-147844"/>
    <d v="2017-02-05T00:00:00"/>
    <x v="1"/>
    <x v="1"/>
    <x v="135"/>
    <n v="34.4"/>
    <n v="5"/>
    <n v="15.824"/>
    <n v="0.46"/>
    <n v="2017"/>
    <x v="1"/>
    <n v="2"/>
    <n v="6.88"/>
    <s v="Profit"/>
  </r>
  <r>
    <s v="CA-2017-127705"/>
    <d v="2017-02-06T00:00:00"/>
    <x v="0"/>
    <x v="2"/>
    <x v="136"/>
    <n v="2.97"/>
    <n v="1"/>
    <n v="-0.64349999999999996"/>
    <n v="-0.21666666666666665"/>
    <n v="2017"/>
    <x v="1"/>
    <n v="2"/>
    <n v="2.97"/>
    <s v="Loss"/>
  </r>
  <r>
    <s v="CA-2017-127705"/>
    <d v="2017-02-06T00:00:00"/>
    <x v="0"/>
    <x v="1"/>
    <x v="137"/>
    <n v="27.44"/>
    <n v="2"/>
    <n v="2.4009999999999998"/>
    <n v="8.7499999999999994E-2"/>
    <n v="2017"/>
    <x v="1"/>
    <n v="2"/>
    <n v="13.72"/>
    <s v="Profit"/>
  </r>
  <r>
    <s v="CA-2017-140760"/>
    <d v="2017-02-06T00:00:00"/>
    <x v="1"/>
    <x v="1"/>
    <x v="138"/>
    <n v="25.344000000000001"/>
    <n v="6"/>
    <n v="7.92"/>
    <n v="0.3125"/>
    <n v="2017"/>
    <x v="1"/>
    <n v="2"/>
    <n v="4.2240000000000002"/>
    <s v="Profit"/>
  </r>
  <r>
    <s v="CA-2017-140760"/>
    <d v="2017-02-06T00:00:00"/>
    <x v="1"/>
    <x v="1"/>
    <x v="139"/>
    <n v="43.92"/>
    <n v="5"/>
    <n v="15.920999999999999"/>
    <n v="0.36249999999999999"/>
    <n v="2017"/>
    <x v="1"/>
    <n v="2"/>
    <n v="8.7840000000000007"/>
    <s v="Profit"/>
  </r>
  <r>
    <s v="CA-2017-158883"/>
    <d v="2017-02-06T00:00:00"/>
    <x v="3"/>
    <x v="1"/>
    <x v="140"/>
    <n v="25.344000000000001"/>
    <n v="4"/>
    <n v="9.1872000000000007"/>
    <n v="0.36249999999999999"/>
    <n v="2017"/>
    <x v="1"/>
    <n v="2"/>
    <n v="6.3360000000000003"/>
    <s v="Profit"/>
  </r>
  <r>
    <s v="CA-2017-143294"/>
    <d v="2017-02-06T00:00:00"/>
    <x v="2"/>
    <x v="1"/>
    <x v="141"/>
    <n v="10.688000000000001"/>
    <n v="2"/>
    <n v="3.7408000000000001"/>
    <n v="0.35"/>
    <n v="2017"/>
    <x v="1"/>
    <n v="2"/>
    <n v="5.3440000000000003"/>
    <s v="Profit"/>
  </r>
  <r>
    <s v="CA-2017-107958"/>
    <d v="2017-02-07T00:00:00"/>
    <x v="2"/>
    <x v="1"/>
    <x v="142"/>
    <n v="163.96"/>
    <n v="5"/>
    <n v="59.435499999999998"/>
    <n v="0.36249999999999999"/>
    <n v="2017"/>
    <x v="1"/>
    <n v="2"/>
    <n v="32.792000000000002"/>
    <s v="Profit"/>
  </r>
  <r>
    <s v="CA-2017-107958"/>
    <d v="2017-02-07T00:00:00"/>
    <x v="2"/>
    <x v="1"/>
    <x v="143"/>
    <n v="5.2320000000000002"/>
    <n v="4"/>
    <n v="-8.1096000000000004"/>
    <n v="-1.55"/>
    <n v="2017"/>
    <x v="1"/>
    <n v="2"/>
    <n v="1.3080000000000001"/>
    <s v="Loss"/>
  </r>
  <r>
    <s v="CA-2017-114552"/>
    <d v="2017-02-09T00:00:00"/>
    <x v="0"/>
    <x v="0"/>
    <x v="144"/>
    <n v="15.071999999999999"/>
    <n v="3"/>
    <n v="4.1448"/>
    <n v="0.27500000000000002"/>
    <n v="2017"/>
    <x v="1"/>
    <n v="2"/>
    <n v="5.024"/>
    <s v="Profit"/>
  </r>
  <r>
    <s v="CA-2017-137596"/>
    <d v="2017-02-09T00:00:00"/>
    <x v="2"/>
    <x v="2"/>
    <x v="145"/>
    <n v="1199.8"/>
    <n v="4"/>
    <n v="323.94600000000003"/>
    <n v="0.27"/>
    <n v="2017"/>
    <x v="1"/>
    <n v="2"/>
    <n v="299.95"/>
    <s v="Profit"/>
  </r>
  <r>
    <s v="CA-2017-137596"/>
    <d v="2017-02-09T00:00:00"/>
    <x v="2"/>
    <x v="2"/>
    <x v="146"/>
    <n v="1928.78"/>
    <n v="7"/>
    <n v="829.37540000000001"/>
    <n v="0.43"/>
    <n v="2017"/>
    <x v="1"/>
    <n v="2"/>
    <n v="275.54000000000002"/>
    <s v="Profit"/>
  </r>
  <r>
    <s v="CA-2017-137596"/>
    <d v="2017-02-09T00:00:00"/>
    <x v="2"/>
    <x v="1"/>
    <x v="147"/>
    <n v="352.38"/>
    <n v="2"/>
    <n v="81.047399999999996"/>
    <n v="0.22999999999999998"/>
    <n v="2017"/>
    <x v="1"/>
    <n v="2"/>
    <n v="176.19"/>
    <s v="Profit"/>
  </r>
  <r>
    <s v="CA-2017-114216"/>
    <d v="2017-02-09T00:00:00"/>
    <x v="0"/>
    <x v="1"/>
    <x v="148"/>
    <n v="12.192"/>
    <n v="3"/>
    <n v="4.1147999999999998"/>
    <n v="0.33749999999999997"/>
    <n v="2017"/>
    <x v="1"/>
    <n v="2"/>
    <n v="4.0640000000000001"/>
    <s v="Profit"/>
  </r>
  <r>
    <s v="CA-2017-110380"/>
    <d v="2017-02-09T00:00:00"/>
    <x v="1"/>
    <x v="1"/>
    <x v="149"/>
    <n v="6.57"/>
    <n v="3"/>
    <n v="1.7739"/>
    <n v="0.27"/>
    <n v="2017"/>
    <x v="1"/>
    <n v="2"/>
    <n v="2.19"/>
    <s v="Profit"/>
  </r>
  <r>
    <s v="CA-2017-157987"/>
    <d v="2017-02-09T00:00:00"/>
    <x v="0"/>
    <x v="1"/>
    <x v="150"/>
    <n v="23.1"/>
    <n v="2"/>
    <n v="6.468"/>
    <n v="0.27999999999999997"/>
    <n v="2017"/>
    <x v="1"/>
    <n v="2"/>
    <n v="11.55"/>
    <s v="Profit"/>
  </r>
  <r>
    <s v="CA-2017-157987"/>
    <d v="2017-02-09T00:00:00"/>
    <x v="0"/>
    <x v="0"/>
    <x v="151"/>
    <n v="11.54"/>
    <n v="2"/>
    <n v="3.4620000000000002"/>
    <n v="0.30000000000000004"/>
    <n v="2017"/>
    <x v="1"/>
    <n v="2"/>
    <n v="5.77"/>
    <s v="Profit"/>
  </r>
  <r>
    <s v="CA-2017-157987"/>
    <d v="2017-02-09T00:00:00"/>
    <x v="0"/>
    <x v="0"/>
    <x v="24"/>
    <n v="254.52600000000001"/>
    <n v="1"/>
    <n v="-93.3262"/>
    <n v="-0.36666666666666664"/>
    <n v="2017"/>
    <x v="1"/>
    <n v="2"/>
    <n v="254.52600000000001"/>
    <s v="Loss"/>
  </r>
  <r>
    <s v="CA-2017-157987"/>
    <d v="2017-02-09T00:00:00"/>
    <x v="0"/>
    <x v="1"/>
    <x v="79"/>
    <n v="12.98"/>
    <n v="1"/>
    <n v="3.7642000000000002"/>
    <n v="0.28999999999999998"/>
    <n v="2017"/>
    <x v="1"/>
    <n v="2"/>
    <n v="12.98"/>
    <s v="Profit"/>
  </r>
  <r>
    <s v="CA-2017-157987"/>
    <d v="2017-02-09T00:00:00"/>
    <x v="0"/>
    <x v="1"/>
    <x v="152"/>
    <n v="26.431999999999999"/>
    <n v="8"/>
    <n v="8.9207999999999998"/>
    <n v="0.33750000000000002"/>
    <n v="2017"/>
    <x v="1"/>
    <n v="2"/>
    <n v="3.3039999999999998"/>
    <s v="Profit"/>
  </r>
  <r>
    <s v="CA-2017-157987"/>
    <d v="2017-02-09T00:00:00"/>
    <x v="0"/>
    <x v="2"/>
    <x v="153"/>
    <n v="197.97"/>
    <n v="3"/>
    <n v="57.411299999999997"/>
    <n v="0.28999999999999998"/>
    <n v="2017"/>
    <x v="1"/>
    <n v="2"/>
    <n v="65.989999999999995"/>
    <s v="Profit"/>
  </r>
  <r>
    <s v="CA-2017-157987"/>
    <d v="2017-02-09T00:00:00"/>
    <x v="0"/>
    <x v="1"/>
    <x v="154"/>
    <n v="18.899999999999999"/>
    <n v="6"/>
    <n v="9.0719999999999992"/>
    <n v="0.48"/>
    <n v="2017"/>
    <x v="1"/>
    <n v="2"/>
    <n v="3.15"/>
    <s v="Profit"/>
  </r>
  <r>
    <s v="CA-2017-157987"/>
    <d v="2017-02-09T00:00:00"/>
    <x v="0"/>
    <x v="0"/>
    <x v="100"/>
    <n v="1282.4100000000001"/>
    <n v="5"/>
    <n v="213.73500000000001"/>
    <n v="0.16666666666666666"/>
    <n v="2017"/>
    <x v="1"/>
    <n v="2"/>
    <n v="256.48200000000003"/>
    <s v="Profit"/>
  </r>
  <r>
    <s v="CA-2017-157987"/>
    <d v="2017-02-09T00:00:00"/>
    <x v="0"/>
    <x v="1"/>
    <x v="155"/>
    <n v="4.92"/>
    <n v="3"/>
    <n v="2.214"/>
    <n v="0.45"/>
    <n v="2017"/>
    <x v="1"/>
    <n v="2"/>
    <n v="1.64"/>
    <s v="Profit"/>
  </r>
  <r>
    <s v="CA-2017-157987"/>
    <d v="2017-02-09T00:00:00"/>
    <x v="0"/>
    <x v="2"/>
    <x v="156"/>
    <n v="238"/>
    <n v="2"/>
    <n v="38.08"/>
    <n v="0.16"/>
    <n v="2017"/>
    <x v="1"/>
    <n v="2"/>
    <n v="119"/>
    <s v="Profit"/>
  </r>
  <r>
    <s v="CA-2017-157987"/>
    <d v="2017-02-09T00:00:00"/>
    <x v="0"/>
    <x v="2"/>
    <x v="157"/>
    <n v="167.97"/>
    <n v="3"/>
    <n v="40.312800000000003"/>
    <n v="0.24000000000000002"/>
    <n v="2017"/>
    <x v="1"/>
    <n v="2"/>
    <n v="55.99"/>
    <s v="Profit"/>
  </r>
  <r>
    <s v="CA-2017-157987"/>
    <d v="2017-02-09T00:00:00"/>
    <x v="0"/>
    <x v="1"/>
    <x v="158"/>
    <n v="17.12"/>
    <n v="4"/>
    <n v="7.7039999999999997"/>
    <n v="0.44999999999999996"/>
    <n v="2017"/>
    <x v="1"/>
    <n v="2"/>
    <n v="4.28"/>
    <s v="Profit"/>
  </r>
  <r>
    <s v="CA-2017-123001"/>
    <d v="2017-02-09T00:00:00"/>
    <x v="1"/>
    <x v="1"/>
    <x v="159"/>
    <n v="9.4"/>
    <n v="5"/>
    <n v="2.726"/>
    <n v="0.28999999999999998"/>
    <n v="2017"/>
    <x v="1"/>
    <n v="2"/>
    <n v="1.8800000000000001"/>
    <s v="Profit"/>
  </r>
  <r>
    <s v="CA-2017-123001"/>
    <d v="2017-02-09T00:00:00"/>
    <x v="1"/>
    <x v="1"/>
    <x v="160"/>
    <n v="74"/>
    <n v="5"/>
    <n v="37"/>
    <n v="0.5"/>
    <n v="2017"/>
    <x v="1"/>
    <n v="2"/>
    <n v="14.8"/>
    <s v="Profit"/>
  </r>
  <r>
    <s v="CA-2017-123001"/>
    <d v="2017-02-09T00:00:00"/>
    <x v="1"/>
    <x v="2"/>
    <x v="161"/>
    <n v="201.584"/>
    <n v="2"/>
    <n v="12.599"/>
    <n v="6.25E-2"/>
    <n v="2017"/>
    <x v="1"/>
    <n v="2"/>
    <n v="100.792"/>
    <s v="Profit"/>
  </r>
  <r>
    <s v="CA-2017-145037"/>
    <d v="2017-02-09T00:00:00"/>
    <x v="0"/>
    <x v="1"/>
    <x v="162"/>
    <n v="10.9"/>
    <n v="1"/>
    <n v="2.8340000000000001"/>
    <n v="0.26"/>
    <n v="2017"/>
    <x v="1"/>
    <n v="2"/>
    <n v="10.9"/>
    <s v="Profit"/>
  </r>
  <r>
    <s v="CA-2017-145037"/>
    <d v="2017-02-09T00:00:00"/>
    <x v="0"/>
    <x v="1"/>
    <x v="163"/>
    <n v="79.92"/>
    <n v="4"/>
    <n v="37.562399999999997"/>
    <n v="0.47"/>
    <n v="2017"/>
    <x v="1"/>
    <n v="2"/>
    <n v="19.98"/>
    <s v="Profit"/>
  </r>
  <r>
    <s v="CA-2017-145037"/>
    <d v="2017-02-09T00:00:00"/>
    <x v="0"/>
    <x v="1"/>
    <x v="164"/>
    <n v="146.82"/>
    <n v="3"/>
    <n v="73.41"/>
    <n v="0.5"/>
    <n v="2017"/>
    <x v="1"/>
    <n v="2"/>
    <n v="48.94"/>
    <s v="Profit"/>
  </r>
  <r>
    <s v="CA-2017-111220"/>
    <d v="2017-02-09T00:00:00"/>
    <x v="2"/>
    <x v="1"/>
    <x v="165"/>
    <n v="16"/>
    <n v="4"/>
    <n v="5.6"/>
    <n v="0.35"/>
    <n v="2017"/>
    <x v="1"/>
    <n v="2"/>
    <n v="4"/>
    <s v="Profit"/>
  </r>
  <r>
    <s v="CA-2017-111220"/>
    <d v="2017-02-09T00:00:00"/>
    <x v="2"/>
    <x v="1"/>
    <x v="166"/>
    <n v="5.5880000000000001"/>
    <n v="2"/>
    <n v="-15.0876"/>
    <n v="-2.7"/>
    <n v="2017"/>
    <x v="1"/>
    <n v="2"/>
    <n v="2.794"/>
    <s v="Loss"/>
  </r>
  <r>
    <s v="CA-2017-111220"/>
    <d v="2017-02-09T00:00:00"/>
    <x v="2"/>
    <x v="1"/>
    <x v="167"/>
    <n v="235.92"/>
    <n v="5"/>
    <n v="-44.234999999999999"/>
    <n v="-0.1875"/>
    <n v="2017"/>
    <x v="1"/>
    <n v="2"/>
    <n v="47.183999999999997"/>
    <s v="Loss"/>
  </r>
  <r>
    <s v="CA-2017-113075"/>
    <d v="2017-02-09T00:00:00"/>
    <x v="2"/>
    <x v="2"/>
    <x v="168"/>
    <n v="40.68"/>
    <n v="3"/>
    <n v="-7.1189999999999998"/>
    <n v="-0.17499999999999999"/>
    <n v="2017"/>
    <x v="1"/>
    <n v="2"/>
    <n v="13.56"/>
    <s v="Loss"/>
  </r>
  <r>
    <s v="US-2017-163657"/>
    <d v="2017-02-09T00:00:00"/>
    <x v="1"/>
    <x v="1"/>
    <x v="169"/>
    <n v="18.72"/>
    <n v="5"/>
    <n v="6.5519999999999996"/>
    <n v="0.35"/>
    <n v="2017"/>
    <x v="1"/>
    <n v="2"/>
    <n v="3.7439999999999998"/>
    <s v="Profit"/>
  </r>
  <r>
    <s v="US-2017-163657"/>
    <d v="2017-02-09T00:00:00"/>
    <x v="1"/>
    <x v="0"/>
    <x v="170"/>
    <n v="236.52799999999999"/>
    <n v="2"/>
    <n v="-2.9565999999999999"/>
    <n v="-1.2500000000000001E-2"/>
    <n v="2017"/>
    <x v="1"/>
    <n v="2"/>
    <n v="118.264"/>
    <s v="Loss"/>
  </r>
  <r>
    <s v="CA-2017-111388"/>
    <d v="2017-02-09T00:00:00"/>
    <x v="1"/>
    <x v="0"/>
    <x v="171"/>
    <n v="215.976"/>
    <n v="3"/>
    <n v="-2.6997"/>
    <n v="-1.2500000000000001E-2"/>
    <n v="2017"/>
    <x v="1"/>
    <n v="2"/>
    <n v="71.992000000000004"/>
    <s v="Loss"/>
  </r>
  <r>
    <s v="CA-2017-146983"/>
    <d v="2017-02-09T00:00:00"/>
    <x v="3"/>
    <x v="1"/>
    <x v="172"/>
    <n v="1577.94"/>
    <n v="3"/>
    <n v="757.41120000000001"/>
    <n v="0.48"/>
    <n v="2017"/>
    <x v="1"/>
    <n v="2"/>
    <n v="525.98"/>
    <s v="Profit"/>
  </r>
  <r>
    <s v="CA-2017-102218"/>
    <d v="2017-02-09T00:00:00"/>
    <x v="1"/>
    <x v="1"/>
    <x v="173"/>
    <n v="11.696"/>
    <n v="2"/>
    <n v="3.9474"/>
    <n v="0.33750000000000002"/>
    <n v="2017"/>
    <x v="1"/>
    <n v="2"/>
    <n v="5.8479999999999999"/>
    <s v="Profit"/>
  </r>
  <r>
    <s v="CA-2017-169327"/>
    <d v="2017-02-09T00:00:00"/>
    <x v="1"/>
    <x v="1"/>
    <x v="174"/>
    <n v="43.1"/>
    <n v="5"/>
    <n v="11.206"/>
    <n v="0.25999999999999995"/>
    <n v="2017"/>
    <x v="1"/>
    <n v="2"/>
    <n v="8.620000000000001"/>
    <s v="Profit"/>
  </r>
  <r>
    <s v="CA-2017-169327"/>
    <d v="2017-02-09T00:00:00"/>
    <x v="1"/>
    <x v="0"/>
    <x v="175"/>
    <n v="511.5"/>
    <n v="5"/>
    <n v="132.99"/>
    <n v="0.26"/>
    <n v="2017"/>
    <x v="1"/>
    <n v="2"/>
    <n v="102.3"/>
    <s v="Profit"/>
  </r>
  <r>
    <s v="CA-2017-169327"/>
    <d v="2017-02-09T00:00:00"/>
    <x v="1"/>
    <x v="1"/>
    <x v="176"/>
    <n v="147.91999999999999"/>
    <n v="5"/>
    <n v="46.225000000000001"/>
    <n v="0.31250000000000006"/>
    <n v="2017"/>
    <x v="1"/>
    <n v="2"/>
    <n v="29.583999999999996"/>
    <s v="Profit"/>
  </r>
  <r>
    <s v="CA-2017-126074"/>
    <d v="2017-02-10T00:00:00"/>
    <x v="2"/>
    <x v="1"/>
    <x v="116"/>
    <n v="58.05"/>
    <n v="3"/>
    <n v="26.702999999999999"/>
    <n v="0.46"/>
    <n v="2017"/>
    <x v="1"/>
    <n v="2"/>
    <n v="19.349999999999998"/>
    <s v="Profit"/>
  </r>
  <r>
    <s v="CA-2017-126074"/>
    <d v="2017-02-10T00:00:00"/>
    <x v="2"/>
    <x v="0"/>
    <x v="177"/>
    <n v="157.74"/>
    <n v="11"/>
    <n v="56.7864"/>
    <n v="0.36"/>
    <n v="2017"/>
    <x v="1"/>
    <n v="2"/>
    <n v="14.340000000000002"/>
    <s v="Profit"/>
  </r>
  <r>
    <s v="CA-2017-126074"/>
    <d v="2017-02-10T00:00:00"/>
    <x v="2"/>
    <x v="1"/>
    <x v="178"/>
    <n v="56.98"/>
    <n v="7"/>
    <n v="22.792000000000002"/>
    <n v="0.4"/>
    <n v="2017"/>
    <x v="1"/>
    <n v="2"/>
    <n v="8.1399999999999988"/>
    <s v="Profit"/>
  </r>
  <r>
    <s v="CA-2017-126074"/>
    <d v="2017-02-10T00:00:00"/>
    <x v="2"/>
    <x v="1"/>
    <x v="179"/>
    <n v="2.88"/>
    <n v="1"/>
    <n v="1.4112"/>
    <n v="0.49000000000000005"/>
    <n v="2017"/>
    <x v="1"/>
    <n v="2"/>
    <n v="2.88"/>
    <s v="Profit"/>
  </r>
  <r>
    <s v="CA-2017-147564"/>
    <d v="2017-02-10T00:00:00"/>
    <x v="0"/>
    <x v="1"/>
    <x v="180"/>
    <n v="49.12"/>
    <n v="4"/>
    <n v="23.086400000000001"/>
    <n v="0.47000000000000003"/>
    <n v="2017"/>
    <x v="1"/>
    <n v="2"/>
    <n v="12.28"/>
    <s v="Profit"/>
  </r>
  <r>
    <s v="CA-2017-123981"/>
    <d v="2017-02-10T00:00:00"/>
    <x v="0"/>
    <x v="2"/>
    <x v="181"/>
    <n v="65.989999999999995"/>
    <n v="1"/>
    <n v="17.157399999999999"/>
    <n v="0.26"/>
    <n v="2017"/>
    <x v="1"/>
    <n v="2"/>
    <n v="65.989999999999995"/>
    <s v="Profit"/>
  </r>
  <r>
    <s v="CA-2017-101308"/>
    <d v="2017-02-10T00:00:00"/>
    <x v="1"/>
    <x v="1"/>
    <x v="111"/>
    <n v="8.94"/>
    <n v="3"/>
    <n v="4.1124000000000001"/>
    <n v="0.46"/>
    <n v="2017"/>
    <x v="1"/>
    <n v="2"/>
    <n v="2.98"/>
    <s v="Profit"/>
  </r>
  <r>
    <s v="CA-2017-101308"/>
    <d v="2017-02-10T00:00:00"/>
    <x v="1"/>
    <x v="2"/>
    <x v="182"/>
    <n v="84.784000000000006"/>
    <n v="2"/>
    <n v="-20.136199999999999"/>
    <n v="-0.23749999999999996"/>
    <n v="2017"/>
    <x v="1"/>
    <n v="2"/>
    <n v="42.392000000000003"/>
    <s v="Loss"/>
  </r>
  <r>
    <s v="CA-2017-105914"/>
    <d v="2017-02-10T00:00:00"/>
    <x v="1"/>
    <x v="1"/>
    <x v="183"/>
    <n v="112.12"/>
    <n v="5"/>
    <n v="42.045000000000002"/>
    <n v="0.375"/>
    <n v="2017"/>
    <x v="1"/>
    <n v="2"/>
    <n v="22.423999999999999"/>
    <s v="Profit"/>
  </r>
  <r>
    <s v="CA-2017-105914"/>
    <d v="2017-02-10T00:00:00"/>
    <x v="1"/>
    <x v="1"/>
    <x v="184"/>
    <n v="1575.14"/>
    <n v="7"/>
    <n v="204.76820000000001"/>
    <n v="0.13"/>
    <n v="2017"/>
    <x v="1"/>
    <n v="2"/>
    <n v="225.02"/>
    <s v="Profit"/>
  </r>
  <r>
    <s v="US-2017-162558"/>
    <d v="2017-02-10T00:00:00"/>
    <x v="3"/>
    <x v="0"/>
    <x v="185"/>
    <n v="11.808"/>
    <n v="2"/>
    <n v="1.3284"/>
    <n v="0.1125"/>
    <n v="2017"/>
    <x v="1"/>
    <n v="2"/>
    <n v="5.9039999999999999"/>
    <s v="Profit"/>
  </r>
  <r>
    <s v="US-2017-162558"/>
    <d v="2017-02-10T00:00:00"/>
    <x v="3"/>
    <x v="0"/>
    <x v="186"/>
    <n v="9.6560000000000006"/>
    <n v="1"/>
    <n v="1.5690999999999999"/>
    <n v="0.16249999999999998"/>
    <n v="2017"/>
    <x v="1"/>
    <n v="2"/>
    <n v="9.6560000000000006"/>
    <s v="Profit"/>
  </r>
  <r>
    <s v="US-2017-162558"/>
    <d v="2017-02-10T00:00:00"/>
    <x v="3"/>
    <x v="1"/>
    <x v="187"/>
    <n v="20.736000000000001"/>
    <n v="4"/>
    <n v="7.2576000000000001"/>
    <n v="0.35"/>
    <n v="2017"/>
    <x v="1"/>
    <n v="2"/>
    <n v="5.1840000000000002"/>
    <s v="Profit"/>
  </r>
  <r>
    <s v="US-2017-162558"/>
    <d v="2017-02-10T00:00:00"/>
    <x v="3"/>
    <x v="1"/>
    <x v="188"/>
    <n v="27.36"/>
    <n v="3"/>
    <n v="-21.888000000000002"/>
    <n v="-0.8"/>
    <n v="2017"/>
    <x v="1"/>
    <n v="2"/>
    <n v="9.1199999999999992"/>
    <s v="Loss"/>
  </r>
  <r>
    <s v="US-2017-162558"/>
    <d v="2017-02-10T00:00:00"/>
    <x v="3"/>
    <x v="0"/>
    <x v="189"/>
    <n v="2314.116"/>
    <n v="7"/>
    <n v="-1002.7836"/>
    <n v="-0.43333333333333335"/>
    <n v="2017"/>
    <x v="1"/>
    <n v="2"/>
    <n v="330.58800000000002"/>
    <s v="Loss"/>
  </r>
  <r>
    <s v="US-2017-162558"/>
    <d v="2017-02-10T00:00:00"/>
    <x v="3"/>
    <x v="1"/>
    <x v="190"/>
    <n v="34.235999999999997"/>
    <n v="4"/>
    <n v="-26.247599999999998"/>
    <n v="-0.76666666666666672"/>
    <n v="2017"/>
    <x v="1"/>
    <n v="2"/>
    <n v="8.5589999999999993"/>
    <s v="Loss"/>
  </r>
  <r>
    <s v="US-2017-162558"/>
    <d v="2017-02-10T00:00:00"/>
    <x v="3"/>
    <x v="0"/>
    <x v="191"/>
    <n v="19.760000000000002"/>
    <n v="2"/>
    <n v="5.9279999999999999"/>
    <n v="0.3"/>
    <n v="2017"/>
    <x v="1"/>
    <n v="2"/>
    <n v="9.8800000000000008"/>
    <s v="Profit"/>
  </r>
  <r>
    <s v="CA-2017-116113"/>
    <d v="2017-02-10T00:00:00"/>
    <x v="3"/>
    <x v="0"/>
    <x v="192"/>
    <n v="10.16"/>
    <n v="2"/>
    <n v="3.4544000000000001"/>
    <n v="0.34"/>
    <n v="2017"/>
    <x v="1"/>
    <n v="2"/>
    <n v="5.08"/>
    <s v="Profit"/>
  </r>
  <r>
    <s v="CA-2017-141117"/>
    <d v="2017-02-10T00:00:00"/>
    <x v="1"/>
    <x v="0"/>
    <x v="193"/>
    <n v="217.76400000000001"/>
    <n v="6"/>
    <n v="-384.71640000000002"/>
    <n v="-1.7666666666666666"/>
    <n v="2017"/>
    <x v="1"/>
    <n v="2"/>
    <n v="36.294000000000004"/>
    <s v="Loss"/>
  </r>
  <r>
    <s v="CA-2017-141117"/>
    <d v="2017-02-10T00:00:00"/>
    <x v="1"/>
    <x v="1"/>
    <x v="194"/>
    <n v="39.072000000000003"/>
    <n v="6"/>
    <n v="4.3956"/>
    <n v="0.11249999999999999"/>
    <n v="2017"/>
    <x v="1"/>
    <n v="2"/>
    <n v="6.5120000000000005"/>
    <s v="Profit"/>
  </r>
  <r>
    <s v="CA-2017-141117"/>
    <d v="2017-02-10T00:00:00"/>
    <x v="1"/>
    <x v="1"/>
    <x v="32"/>
    <n v="22.638000000000002"/>
    <n v="7"/>
    <n v="-16.601199999999999"/>
    <n v="-0.73333333333333317"/>
    <n v="2017"/>
    <x v="1"/>
    <n v="2"/>
    <n v="3.2340000000000004"/>
    <s v="Loss"/>
  </r>
  <r>
    <s v="CA-2017-141117"/>
    <d v="2017-02-10T00:00:00"/>
    <x v="1"/>
    <x v="1"/>
    <x v="195"/>
    <n v="95.144000000000005"/>
    <n v="7"/>
    <n v="10.7037"/>
    <n v="0.11249999999999999"/>
    <n v="2017"/>
    <x v="1"/>
    <n v="2"/>
    <n v="13.592000000000001"/>
    <s v="Profit"/>
  </r>
  <r>
    <s v="CA-2017-137414"/>
    <d v="2017-02-10T00:00:00"/>
    <x v="1"/>
    <x v="0"/>
    <x v="196"/>
    <n v="17.46"/>
    <n v="2"/>
    <n v="5.9363999999999999"/>
    <n v="0.33999999999999997"/>
    <n v="2017"/>
    <x v="1"/>
    <n v="2"/>
    <n v="8.73"/>
    <s v="Profit"/>
  </r>
  <r>
    <s v="CA-2017-137414"/>
    <d v="2017-02-10T00:00:00"/>
    <x v="1"/>
    <x v="2"/>
    <x v="197"/>
    <n v="369.16"/>
    <n v="11"/>
    <n v="32.301499999999997"/>
    <n v="8.7499999999999981E-2"/>
    <n v="2017"/>
    <x v="1"/>
    <n v="2"/>
    <n v="33.56"/>
    <s v="Profit"/>
  </r>
  <r>
    <s v="CA-2017-152926"/>
    <d v="2017-02-10T00:00:00"/>
    <x v="2"/>
    <x v="1"/>
    <x v="9"/>
    <n v="15.224"/>
    <n v="2"/>
    <n v="-38.821199999999997"/>
    <n v="-2.5499999999999998"/>
    <n v="2017"/>
    <x v="1"/>
    <n v="2"/>
    <n v="7.6120000000000001"/>
    <s v="Loss"/>
  </r>
  <r>
    <s v="CA-2017-152926"/>
    <d v="2017-02-10T00:00:00"/>
    <x v="2"/>
    <x v="1"/>
    <x v="198"/>
    <n v="21.984000000000002"/>
    <n v="6"/>
    <n v="-56.059199999999997"/>
    <n v="-2.5499999999999998"/>
    <n v="2017"/>
    <x v="1"/>
    <n v="2"/>
    <n v="3.6640000000000001"/>
    <s v="Loss"/>
  </r>
  <r>
    <s v="CA-2017-164049"/>
    <d v="2017-02-11T00:00:00"/>
    <x v="1"/>
    <x v="1"/>
    <x v="16"/>
    <n v="23.85"/>
    <n v="5"/>
    <n v="10.7325"/>
    <n v="0.44999999999999996"/>
    <n v="2017"/>
    <x v="1"/>
    <n v="2"/>
    <n v="4.7700000000000005"/>
    <s v="Profit"/>
  </r>
  <r>
    <s v="CA-2017-116358"/>
    <d v="2017-02-11T00:00:00"/>
    <x v="2"/>
    <x v="1"/>
    <x v="111"/>
    <n v="18.239999999999998"/>
    <n v="3"/>
    <n v="9.1199999999999992"/>
    <n v="0.5"/>
    <n v="2017"/>
    <x v="1"/>
    <n v="2"/>
    <n v="6.0799999999999992"/>
    <s v="Profit"/>
  </r>
  <r>
    <s v="CA-2017-116358"/>
    <d v="2017-02-11T00:00:00"/>
    <x v="2"/>
    <x v="1"/>
    <x v="199"/>
    <n v="27.78"/>
    <n v="6"/>
    <n v="9.1674000000000007"/>
    <n v="0.33"/>
    <n v="2017"/>
    <x v="1"/>
    <n v="2"/>
    <n v="4.63"/>
    <s v="Profit"/>
  </r>
  <r>
    <s v="US-2017-163790"/>
    <d v="2017-02-11T00:00:00"/>
    <x v="1"/>
    <x v="1"/>
    <x v="200"/>
    <n v="76.58"/>
    <n v="7"/>
    <n v="38.29"/>
    <n v="0.5"/>
    <n v="2017"/>
    <x v="1"/>
    <n v="2"/>
    <n v="10.94"/>
    <s v="Profit"/>
  </r>
  <r>
    <s v="US-2017-163790"/>
    <d v="2017-02-11T00:00:00"/>
    <x v="1"/>
    <x v="1"/>
    <x v="201"/>
    <n v="8.8000000000000007"/>
    <n v="5"/>
    <n v="4.2240000000000002"/>
    <n v="0.48"/>
    <n v="2017"/>
    <x v="1"/>
    <n v="2"/>
    <n v="1.7600000000000002"/>
    <s v="Profit"/>
  </r>
  <r>
    <s v="US-2017-163790"/>
    <d v="2017-02-11T00:00:00"/>
    <x v="1"/>
    <x v="1"/>
    <x v="202"/>
    <n v="590.35199999999998"/>
    <n v="6"/>
    <n v="206.6232"/>
    <n v="0.35000000000000003"/>
    <n v="2017"/>
    <x v="1"/>
    <n v="2"/>
    <n v="98.391999999999996"/>
    <s v="Profit"/>
  </r>
  <r>
    <s v="US-2017-163790"/>
    <d v="2017-02-11T00:00:00"/>
    <x v="1"/>
    <x v="1"/>
    <x v="203"/>
    <n v="5.58"/>
    <n v="3"/>
    <n v="0.16739999999999999"/>
    <n v="0.03"/>
    <n v="2017"/>
    <x v="1"/>
    <n v="2"/>
    <n v="1.86"/>
    <s v="Profit"/>
  </r>
  <r>
    <s v="US-2017-163790"/>
    <d v="2017-02-11T00:00:00"/>
    <x v="1"/>
    <x v="0"/>
    <x v="204"/>
    <n v="25.02"/>
    <n v="3"/>
    <n v="10.5084"/>
    <n v="0.42"/>
    <n v="2017"/>
    <x v="1"/>
    <n v="2"/>
    <n v="8.34"/>
    <s v="Profit"/>
  </r>
  <r>
    <s v="US-2017-163790"/>
    <d v="2017-02-11T00:00:00"/>
    <x v="1"/>
    <x v="1"/>
    <x v="205"/>
    <n v="452.55"/>
    <n v="7"/>
    <n v="22.627500000000001"/>
    <n v="0.05"/>
    <n v="2017"/>
    <x v="1"/>
    <n v="2"/>
    <n v="64.650000000000006"/>
    <s v="Profit"/>
  </r>
  <r>
    <s v="CA-2017-143567"/>
    <d v="2017-02-11T00:00:00"/>
    <x v="3"/>
    <x v="1"/>
    <x v="206"/>
    <n v="5.32"/>
    <n v="2"/>
    <n v="2.6067999999999998"/>
    <n v="0.48999999999999994"/>
    <n v="2017"/>
    <x v="1"/>
    <n v="2"/>
    <n v="2.66"/>
    <s v="Profit"/>
  </r>
  <r>
    <s v="CA-2017-143567"/>
    <d v="2017-02-11T00:00:00"/>
    <x v="3"/>
    <x v="0"/>
    <x v="207"/>
    <n v="975.92"/>
    <n v="4"/>
    <n v="292.77600000000001"/>
    <n v="0.30000000000000004"/>
    <n v="2017"/>
    <x v="1"/>
    <n v="2"/>
    <n v="243.98"/>
    <s v="Profit"/>
  </r>
  <r>
    <s v="CA-2017-143567"/>
    <d v="2017-02-11T00:00:00"/>
    <x v="3"/>
    <x v="2"/>
    <x v="208"/>
    <n v="2249.91"/>
    <n v="9"/>
    <n v="517.47929999999997"/>
    <n v="0.23"/>
    <n v="2017"/>
    <x v="1"/>
    <n v="2"/>
    <n v="249.98999999999998"/>
    <s v="Profit"/>
  </r>
  <r>
    <s v="CA-2017-143567"/>
    <d v="2017-02-11T00:00:00"/>
    <x v="3"/>
    <x v="1"/>
    <x v="209"/>
    <n v="59.92"/>
    <n v="4"/>
    <n v="16.7776"/>
    <n v="0.27999999999999997"/>
    <n v="2017"/>
    <x v="1"/>
    <n v="2"/>
    <n v="14.98"/>
    <s v="Profit"/>
  </r>
  <r>
    <s v="CA-2017-127782"/>
    <d v="2017-02-11T00:00:00"/>
    <x v="0"/>
    <x v="0"/>
    <x v="210"/>
    <n v="3.3119999999999998"/>
    <n v="1"/>
    <n v="0.66239999999999999"/>
    <n v="0.2"/>
    <n v="2017"/>
    <x v="1"/>
    <n v="2"/>
    <n v="3.3119999999999998"/>
    <s v="Profit"/>
  </r>
  <r>
    <s v="CA-2017-127782"/>
    <d v="2017-02-11T00:00:00"/>
    <x v="0"/>
    <x v="1"/>
    <x v="211"/>
    <n v="20.135999999999999"/>
    <n v="3"/>
    <n v="1.2585"/>
    <n v="6.25E-2"/>
    <n v="2017"/>
    <x v="1"/>
    <n v="2"/>
    <n v="6.7119999999999997"/>
    <s v="Profit"/>
  </r>
  <r>
    <s v="CA-2017-127782"/>
    <d v="2017-02-11T00:00:00"/>
    <x v="0"/>
    <x v="1"/>
    <x v="212"/>
    <n v="8.8559999999999999"/>
    <n v="3"/>
    <n v="2.8782000000000001"/>
    <n v="0.32500000000000001"/>
    <n v="2017"/>
    <x v="1"/>
    <n v="2"/>
    <n v="2.952"/>
    <s v="Profit"/>
  </r>
  <r>
    <s v="CA-2017-127782"/>
    <d v="2017-02-11T00:00:00"/>
    <x v="0"/>
    <x v="2"/>
    <x v="213"/>
    <n v="859.2"/>
    <n v="4"/>
    <n v="-186.16"/>
    <n v="-0.21666666666666665"/>
    <n v="2017"/>
    <x v="1"/>
    <n v="2"/>
    <n v="214.8"/>
    <s v="Loss"/>
  </r>
  <r>
    <s v="CA-2017-168179"/>
    <d v="2017-02-11T00:00:00"/>
    <x v="1"/>
    <x v="1"/>
    <x v="214"/>
    <n v="19.440000000000001"/>
    <n v="3"/>
    <n v="9.3312000000000008"/>
    <n v="0.48000000000000004"/>
    <n v="2017"/>
    <x v="1"/>
    <n v="2"/>
    <n v="6.48"/>
    <s v="Profit"/>
  </r>
  <r>
    <s v="CA-2017-141425"/>
    <d v="2017-02-11T00:00:00"/>
    <x v="0"/>
    <x v="1"/>
    <x v="215"/>
    <n v="384.59199999999998"/>
    <n v="2"/>
    <n v="-81.725800000000007"/>
    <n v="-0.21250000000000002"/>
    <n v="2017"/>
    <x v="1"/>
    <n v="2"/>
    <n v="192.29599999999999"/>
    <s v="Loss"/>
  </r>
  <r>
    <s v="US-2017-115609"/>
    <d v="2017-02-11T00:00:00"/>
    <x v="1"/>
    <x v="1"/>
    <x v="216"/>
    <n v="168.1"/>
    <n v="5"/>
    <n v="43.706000000000003"/>
    <n v="0.26"/>
    <n v="2017"/>
    <x v="1"/>
    <n v="2"/>
    <n v="33.619999999999997"/>
    <s v="Profit"/>
  </r>
  <r>
    <s v="US-2017-145597"/>
    <d v="2017-02-11T00:00:00"/>
    <x v="2"/>
    <x v="1"/>
    <x v="217"/>
    <n v="54.335999999999999"/>
    <n v="4"/>
    <n v="5.4336000000000002"/>
    <n v="0.1"/>
    <n v="2017"/>
    <x v="1"/>
    <n v="2"/>
    <n v="13.584"/>
    <s v="Profit"/>
  </r>
  <r>
    <s v="CA-2017-167227"/>
    <d v="2017-02-11T00:00:00"/>
    <x v="2"/>
    <x v="1"/>
    <x v="211"/>
    <n v="83.9"/>
    <n v="10"/>
    <n v="20.975000000000001"/>
    <n v="0.25"/>
    <n v="2017"/>
    <x v="1"/>
    <n v="2"/>
    <n v="8.39"/>
    <s v="Profit"/>
  </r>
  <r>
    <s v="CA-2017-167227"/>
    <d v="2017-02-11T00:00:00"/>
    <x v="2"/>
    <x v="1"/>
    <x v="218"/>
    <n v="11.76"/>
    <n v="2"/>
    <n v="5.7624000000000004"/>
    <n v="0.49000000000000005"/>
    <n v="2017"/>
    <x v="1"/>
    <n v="2"/>
    <n v="5.88"/>
    <s v="Profit"/>
  </r>
  <r>
    <s v="CA-2017-120061"/>
    <d v="2017-02-11T00:00:00"/>
    <x v="0"/>
    <x v="0"/>
    <x v="219"/>
    <n v="155.37200000000001"/>
    <n v="2"/>
    <n v="-35.513599999999997"/>
    <n v="-0.22857142857142854"/>
    <n v="2017"/>
    <x v="1"/>
    <n v="2"/>
    <n v="77.686000000000007"/>
    <s v="Loss"/>
  </r>
  <r>
    <s v="CA-2017-169005"/>
    <d v="2017-02-11T00:00:00"/>
    <x v="3"/>
    <x v="1"/>
    <x v="131"/>
    <n v="5.56"/>
    <n v="2"/>
    <n v="1.4456"/>
    <n v="0.26"/>
    <n v="2017"/>
    <x v="1"/>
    <n v="2"/>
    <n v="2.78"/>
    <s v="Profit"/>
  </r>
  <r>
    <s v="CA-2017-116715"/>
    <d v="2017-02-12T00:00:00"/>
    <x v="1"/>
    <x v="1"/>
    <x v="47"/>
    <n v="559.62"/>
    <n v="9"/>
    <n v="151.09739999999999"/>
    <n v="0.26999999999999996"/>
    <n v="2017"/>
    <x v="1"/>
    <n v="2"/>
    <n v="62.18"/>
    <s v="Profit"/>
  </r>
  <r>
    <s v="CA-2017-116715"/>
    <d v="2017-02-12T00:00:00"/>
    <x v="1"/>
    <x v="1"/>
    <x v="220"/>
    <n v="109.92"/>
    <n v="2"/>
    <n v="53.860799999999998"/>
    <n v="0.49"/>
    <n v="2017"/>
    <x v="1"/>
    <n v="2"/>
    <n v="54.96"/>
    <s v="Profit"/>
  </r>
  <r>
    <s v="CA-2017-116715"/>
    <d v="2017-02-12T00:00:00"/>
    <x v="1"/>
    <x v="1"/>
    <x v="158"/>
    <n v="8.56"/>
    <n v="2"/>
    <n v="3.8519999999999999"/>
    <n v="0.44999999999999996"/>
    <n v="2017"/>
    <x v="1"/>
    <n v="2"/>
    <n v="4.28"/>
    <s v="Profit"/>
  </r>
  <r>
    <s v="US-2017-108063"/>
    <d v="2017-02-12T00:00:00"/>
    <x v="3"/>
    <x v="1"/>
    <x v="221"/>
    <n v="34.65"/>
    <n v="3"/>
    <n v="10.395"/>
    <n v="0.3"/>
    <n v="2017"/>
    <x v="1"/>
    <n v="2"/>
    <n v="11.549999999999999"/>
    <s v="Profit"/>
  </r>
  <r>
    <s v="US-2017-147221"/>
    <d v="2017-02-12T00:00:00"/>
    <x v="2"/>
    <x v="1"/>
    <x v="222"/>
    <n v="294.62"/>
    <n v="5"/>
    <n v="-766.01199999999994"/>
    <n v="-2.5999999999999996"/>
    <n v="2017"/>
    <x v="1"/>
    <n v="2"/>
    <n v="58.923999999999999"/>
    <s v="Loss"/>
  </r>
  <r>
    <s v="US-2017-147221"/>
    <d v="2017-02-12T00:00:00"/>
    <x v="2"/>
    <x v="0"/>
    <x v="223"/>
    <n v="8.7520000000000007"/>
    <n v="4"/>
    <n v="-3.7195999999999998"/>
    <n v="-0.42499999999999993"/>
    <n v="2017"/>
    <x v="1"/>
    <n v="2"/>
    <n v="2.1880000000000002"/>
    <s v="Loss"/>
  </r>
  <r>
    <s v="CA-2017-164917"/>
    <d v="2017-02-12T00:00:00"/>
    <x v="3"/>
    <x v="1"/>
    <x v="224"/>
    <n v="47.96"/>
    <n v="5"/>
    <n v="4.1965000000000003"/>
    <n v="8.7500000000000008E-2"/>
    <n v="2017"/>
    <x v="1"/>
    <n v="2"/>
    <n v="9.5920000000000005"/>
    <s v="Profit"/>
  </r>
  <r>
    <s v="CA-2017-109701"/>
    <d v="2017-02-12T00:00:00"/>
    <x v="1"/>
    <x v="1"/>
    <x v="225"/>
    <n v="9.0239999999999991"/>
    <n v="6"/>
    <n v="3.1583999999999999"/>
    <n v="0.35000000000000003"/>
    <n v="2017"/>
    <x v="1"/>
    <n v="2"/>
    <n v="1.5039999999999998"/>
    <s v="Profit"/>
  </r>
  <r>
    <s v="CA-2017-109701"/>
    <d v="2017-02-12T00:00:00"/>
    <x v="1"/>
    <x v="1"/>
    <x v="226"/>
    <n v="69.456000000000003"/>
    <n v="2"/>
    <n v="22.5732"/>
    <n v="0.32500000000000001"/>
    <n v="2017"/>
    <x v="1"/>
    <n v="2"/>
    <n v="34.728000000000002"/>
    <s v="Profit"/>
  </r>
  <r>
    <s v="CA-2017-109701"/>
    <d v="2017-02-12T00:00:00"/>
    <x v="1"/>
    <x v="1"/>
    <x v="227"/>
    <n v="10.86"/>
    <n v="2"/>
    <n v="5.3213999999999997"/>
    <n v="0.49"/>
    <n v="2017"/>
    <x v="1"/>
    <n v="2"/>
    <n v="5.43"/>
    <s v="Profit"/>
  </r>
  <r>
    <s v="CA-2017-109701"/>
    <d v="2017-02-12T00:00:00"/>
    <x v="1"/>
    <x v="1"/>
    <x v="228"/>
    <n v="79.47"/>
    <n v="3"/>
    <n v="22.2516"/>
    <n v="0.28000000000000003"/>
    <n v="2017"/>
    <x v="1"/>
    <n v="2"/>
    <n v="26.49"/>
    <s v="Profit"/>
  </r>
  <r>
    <s v="CA-2017-109701"/>
    <d v="2017-02-12T00:00:00"/>
    <x v="1"/>
    <x v="1"/>
    <x v="229"/>
    <n v="10.08"/>
    <n v="6"/>
    <n v="5.04"/>
    <n v="0.5"/>
    <n v="2017"/>
    <x v="1"/>
    <n v="2"/>
    <n v="1.68"/>
    <s v="Profit"/>
  </r>
  <r>
    <s v="CA-2017-155089"/>
    <d v="2017-02-12T00:00:00"/>
    <x v="3"/>
    <x v="1"/>
    <x v="230"/>
    <n v="45.66"/>
    <n v="5"/>
    <n v="-33.484000000000002"/>
    <n v="-0.73333333333333339"/>
    <n v="2017"/>
    <x v="1"/>
    <n v="2"/>
    <n v="9.1319999999999997"/>
    <s v="Loss"/>
  </r>
  <r>
    <s v="CA-2017-155075"/>
    <d v="2017-02-12T00:00:00"/>
    <x v="0"/>
    <x v="1"/>
    <x v="172"/>
    <n v="631.17600000000004"/>
    <n v="4"/>
    <n v="-462.86239999999998"/>
    <n v="-0.73333333333333328"/>
    <n v="2017"/>
    <x v="1"/>
    <n v="2"/>
    <n v="157.79400000000001"/>
    <s v="Loss"/>
  </r>
  <r>
    <s v="CA-2017-160885"/>
    <d v="2017-02-12T00:00:00"/>
    <x v="2"/>
    <x v="2"/>
    <x v="231"/>
    <n v="2479.96"/>
    <n v="4"/>
    <n v="743.98800000000006"/>
    <n v="0.30000000000000004"/>
    <n v="2017"/>
    <x v="1"/>
    <n v="2"/>
    <n v="619.99"/>
    <s v="Profit"/>
  </r>
  <r>
    <s v="CA-2017-102379"/>
    <d v="2017-02-12T00:00:00"/>
    <x v="1"/>
    <x v="2"/>
    <x v="232"/>
    <n v="39.991999999999997"/>
    <n v="1"/>
    <n v="-7.9984000000000002"/>
    <n v="-0.2"/>
    <n v="2017"/>
    <x v="1"/>
    <n v="2"/>
    <n v="39.991999999999997"/>
    <s v="Loss"/>
  </r>
  <r>
    <s v="CA-2017-102379"/>
    <d v="2017-02-12T00:00:00"/>
    <x v="1"/>
    <x v="0"/>
    <x v="233"/>
    <n v="1159.056"/>
    <n v="9"/>
    <n v="43.464599999999997"/>
    <n v="3.7499999999999999E-2"/>
    <n v="2017"/>
    <x v="1"/>
    <n v="2"/>
    <n v="128.78399999999999"/>
    <s v="Profit"/>
  </r>
  <r>
    <s v="CA-2017-102379"/>
    <d v="2017-02-12T00:00:00"/>
    <x v="1"/>
    <x v="1"/>
    <x v="234"/>
    <n v="179.9"/>
    <n v="5"/>
    <n v="44.975000000000001"/>
    <n v="0.25"/>
    <n v="2017"/>
    <x v="1"/>
    <n v="2"/>
    <n v="35.980000000000004"/>
    <s v="Profit"/>
  </r>
  <r>
    <s v="CA-2017-143756"/>
    <d v="2017-02-12T00:00:00"/>
    <x v="3"/>
    <x v="0"/>
    <x v="235"/>
    <n v="701.96"/>
    <n v="2"/>
    <n v="168.47040000000001"/>
    <n v="0.24"/>
    <n v="2017"/>
    <x v="1"/>
    <n v="2"/>
    <n v="350.98"/>
    <s v="Profit"/>
  </r>
  <r>
    <s v="CA-2017-104108"/>
    <d v="2017-02-12T00:00:00"/>
    <x v="2"/>
    <x v="1"/>
    <x v="236"/>
    <n v="12.16"/>
    <n v="5"/>
    <n v="2.1280000000000001"/>
    <n v="0.17500000000000002"/>
    <n v="2017"/>
    <x v="1"/>
    <n v="2"/>
    <n v="2.4319999999999999"/>
    <s v="Profit"/>
  </r>
  <r>
    <s v="CA-2017-165715"/>
    <d v="2017-02-12T00:00:00"/>
    <x v="3"/>
    <x v="1"/>
    <x v="237"/>
    <n v="32.776000000000003"/>
    <n v="1"/>
    <n v="2.4582000000000002"/>
    <n v="7.4999999999999997E-2"/>
    <n v="2017"/>
    <x v="1"/>
    <n v="2"/>
    <n v="32.776000000000003"/>
    <s v="Profit"/>
  </r>
  <r>
    <s v="US-2017-112347"/>
    <d v="2017-02-12T00:00:00"/>
    <x v="1"/>
    <x v="1"/>
    <x v="238"/>
    <n v="114.288"/>
    <n v="1"/>
    <n v="12.8574"/>
    <n v="0.1125"/>
    <n v="2017"/>
    <x v="1"/>
    <n v="2"/>
    <n v="114.288"/>
    <s v="Profit"/>
  </r>
  <r>
    <s v="US-2017-112347"/>
    <d v="2017-02-12T00:00:00"/>
    <x v="1"/>
    <x v="1"/>
    <x v="239"/>
    <n v="36.624000000000002"/>
    <n v="8"/>
    <n v="-24.416"/>
    <n v="-0.66666666666666663"/>
    <n v="2017"/>
    <x v="1"/>
    <n v="2"/>
    <n v="4.5780000000000003"/>
    <s v="Loss"/>
  </r>
  <r>
    <s v="US-2017-112347"/>
    <d v="2017-02-12T00:00:00"/>
    <x v="1"/>
    <x v="0"/>
    <x v="240"/>
    <n v="242.352"/>
    <n v="8"/>
    <n v="-363.52800000000002"/>
    <n v="-1.5"/>
    <n v="2017"/>
    <x v="1"/>
    <n v="2"/>
    <n v="30.294"/>
    <s v="Loss"/>
  </r>
  <r>
    <s v="US-2017-112347"/>
    <d v="2017-02-12T00:00:00"/>
    <x v="1"/>
    <x v="2"/>
    <x v="241"/>
    <n v="49.616"/>
    <n v="2"/>
    <n v="4.9615999999999998"/>
    <n v="9.9999999999999992E-2"/>
    <n v="2017"/>
    <x v="1"/>
    <n v="2"/>
    <n v="24.808"/>
    <s v="Profit"/>
  </r>
  <r>
    <s v="US-2017-112347"/>
    <d v="2017-02-12T00:00:00"/>
    <x v="1"/>
    <x v="0"/>
    <x v="242"/>
    <n v="508.70400000000001"/>
    <n v="6"/>
    <n v="0"/>
    <n v="0"/>
    <n v="2017"/>
    <x v="1"/>
    <n v="2"/>
    <n v="84.784000000000006"/>
    <s v="Loss"/>
  </r>
  <r>
    <s v="US-2017-112347"/>
    <d v="2017-02-12T00:00:00"/>
    <x v="1"/>
    <x v="2"/>
    <x v="243"/>
    <n v="57.36"/>
    <n v="6"/>
    <n v="-14.34"/>
    <n v="-0.25"/>
    <n v="2017"/>
    <x v="1"/>
    <n v="2"/>
    <n v="9.56"/>
    <s v="Loss"/>
  </r>
  <r>
    <s v="US-2017-112347"/>
    <d v="2017-02-12T00:00:00"/>
    <x v="1"/>
    <x v="0"/>
    <x v="244"/>
    <n v="906.68"/>
    <n v="5"/>
    <n v="68.001000000000005"/>
    <n v="7.5000000000000011E-2"/>
    <n v="2017"/>
    <x v="1"/>
    <n v="2"/>
    <n v="181.33599999999998"/>
    <s v="Profit"/>
  </r>
  <r>
    <s v="CA-2017-147767"/>
    <d v="2017-02-12T00:00:00"/>
    <x v="1"/>
    <x v="1"/>
    <x v="245"/>
    <n v="67.86"/>
    <n v="6"/>
    <n v="-45.24"/>
    <n v="-0.66666666666666674"/>
    <n v="2017"/>
    <x v="1"/>
    <n v="2"/>
    <n v="11.31"/>
    <s v="Loss"/>
  </r>
  <r>
    <s v="CA-2017-157469"/>
    <d v="2017-02-12T00:00:00"/>
    <x v="0"/>
    <x v="1"/>
    <x v="246"/>
    <n v="19.728000000000002"/>
    <n v="9"/>
    <n v="1.7262"/>
    <n v="8.7499999999999994E-2"/>
    <n v="2017"/>
    <x v="1"/>
    <n v="2"/>
    <n v="2.1920000000000002"/>
    <s v="Profit"/>
  </r>
  <r>
    <s v="CA-2017-157469"/>
    <d v="2017-02-12T00:00:00"/>
    <x v="0"/>
    <x v="2"/>
    <x v="247"/>
    <n v="151.18799999999999"/>
    <n v="2"/>
    <n v="-25.198"/>
    <n v="-0.16666666666666669"/>
    <n v="2017"/>
    <x v="1"/>
    <n v="2"/>
    <n v="75.593999999999994"/>
    <s v="Loss"/>
  </r>
  <r>
    <s v="CA-2017-167395"/>
    <d v="2017-02-12T00:00:00"/>
    <x v="0"/>
    <x v="1"/>
    <x v="248"/>
    <n v="286.86"/>
    <n v="7"/>
    <n v="80.320800000000006"/>
    <n v="0.28000000000000003"/>
    <n v="2017"/>
    <x v="1"/>
    <n v="2"/>
    <n v="40.980000000000004"/>
    <s v="Profit"/>
  </r>
  <r>
    <s v="CA-2017-167395"/>
    <d v="2017-02-12T00:00:00"/>
    <x v="0"/>
    <x v="2"/>
    <x v="77"/>
    <n v="979.95"/>
    <n v="5"/>
    <n v="284.18549999999999"/>
    <n v="0.28999999999999998"/>
    <n v="2017"/>
    <x v="1"/>
    <n v="2"/>
    <n v="195.99"/>
    <s v="Profit"/>
  </r>
  <r>
    <s v="CA-2017-167395"/>
    <d v="2017-02-12T00:00:00"/>
    <x v="0"/>
    <x v="1"/>
    <x v="118"/>
    <n v="4.3600000000000003"/>
    <n v="2"/>
    <n v="0.1744"/>
    <n v="3.9999999999999994E-2"/>
    <n v="2017"/>
    <x v="1"/>
    <n v="2"/>
    <n v="2.1800000000000002"/>
    <s v="Profit"/>
  </r>
  <r>
    <s v="US-2017-114034"/>
    <d v="2017-03-01T00:00:00"/>
    <x v="1"/>
    <x v="1"/>
    <x v="86"/>
    <n v="38.880000000000003"/>
    <n v="6"/>
    <n v="18.662400000000002"/>
    <n v="0.48000000000000004"/>
    <n v="2017"/>
    <x v="2"/>
    <n v="3"/>
    <n v="6.48"/>
    <s v="Profit"/>
  </r>
  <r>
    <s v="CA-2017-111738"/>
    <d v="2017-03-01T00:00:00"/>
    <x v="1"/>
    <x v="1"/>
    <x v="249"/>
    <n v="2022.2719999999999"/>
    <n v="8"/>
    <n v="682.51679999999999"/>
    <n v="0.33750000000000002"/>
    <n v="2017"/>
    <x v="2"/>
    <n v="3"/>
    <n v="252.78399999999999"/>
    <s v="Profit"/>
  </r>
  <r>
    <s v="CA-2017-111738"/>
    <d v="2017-03-01T00:00:00"/>
    <x v="1"/>
    <x v="1"/>
    <x v="236"/>
    <n v="9.1199999999999992"/>
    <n v="3"/>
    <n v="3.1008"/>
    <n v="0.34"/>
    <n v="2017"/>
    <x v="2"/>
    <n v="3"/>
    <n v="3.0399999999999996"/>
    <s v="Profit"/>
  </r>
  <r>
    <s v="CA-2017-167703"/>
    <d v="2017-03-02T00:00:00"/>
    <x v="0"/>
    <x v="1"/>
    <x v="250"/>
    <n v="5.2290000000000001"/>
    <n v="3"/>
    <n v="-4.1832000000000003"/>
    <n v="-0.8"/>
    <n v="2017"/>
    <x v="2"/>
    <n v="3"/>
    <n v="1.7430000000000001"/>
    <s v="Loss"/>
  </r>
  <r>
    <s v="CA-2017-167703"/>
    <d v="2017-03-02T00:00:00"/>
    <x v="0"/>
    <x v="1"/>
    <x v="251"/>
    <n v="285.55200000000002"/>
    <n v="2"/>
    <n v="35.694000000000003"/>
    <n v="0.125"/>
    <n v="2017"/>
    <x v="2"/>
    <n v="3"/>
    <n v="142.77600000000001"/>
    <s v="Profit"/>
  </r>
  <r>
    <s v="CA-2017-126354"/>
    <d v="2017-03-02T00:00:00"/>
    <x v="3"/>
    <x v="1"/>
    <x v="7"/>
    <n v="3.8820000000000001"/>
    <n v="2"/>
    <n v="-2.5880000000000001"/>
    <n v="-0.66666666666666663"/>
    <n v="2017"/>
    <x v="2"/>
    <n v="3"/>
    <n v="1.9410000000000001"/>
    <s v="Loss"/>
  </r>
  <r>
    <s v="CA-2017-126354"/>
    <d v="2017-03-02T00:00:00"/>
    <x v="3"/>
    <x v="1"/>
    <x v="252"/>
    <n v="115.29600000000001"/>
    <n v="3"/>
    <n v="40.3536"/>
    <n v="0.35"/>
    <n v="2017"/>
    <x v="2"/>
    <n v="3"/>
    <n v="38.432000000000002"/>
    <s v="Profit"/>
  </r>
  <r>
    <s v="CA-2017-127474"/>
    <d v="2017-03-02T00:00:00"/>
    <x v="2"/>
    <x v="1"/>
    <x v="253"/>
    <n v="5.1840000000000002"/>
    <n v="1"/>
    <n v="1.8144"/>
    <n v="0.35"/>
    <n v="2017"/>
    <x v="2"/>
    <n v="3"/>
    <n v="5.1840000000000002"/>
    <s v="Profit"/>
  </r>
  <r>
    <s v="CA-2017-127474"/>
    <d v="2017-03-02T00:00:00"/>
    <x v="2"/>
    <x v="1"/>
    <x v="69"/>
    <n v="65.584000000000003"/>
    <n v="2"/>
    <n v="23.7742"/>
    <n v="0.36249999999999999"/>
    <n v="2017"/>
    <x v="2"/>
    <n v="3"/>
    <n v="32.792000000000002"/>
    <s v="Profit"/>
  </r>
  <r>
    <s v="CA-2017-127474"/>
    <d v="2017-03-02T00:00:00"/>
    <x v="2"/>
    <x v="0"/>
    <x v="254"/>
    <n v="22.2"/>
    <n v="1"/>
    <n v="-26.085000000000001"/>
    <n v="-1.175"/>
    <n v="2017"/>
    <x v="2"/>
    <n v="3"/>
    <n v="22.2"/>
    <s v="Loss"/>
  </r>
  <r>
    <s v="CA-2017-127474"/>
    <d v="2017-03-02T00:00:00"/>
    <x v="2"/>
    <x v="1"/>
    <x v="255"/>
    <n v="419.4"/>
    <n v="5"/>
    <n v="146.79"/>
    <n v="0.35"/>
    <n v="2017"/>
    <x v="2"/>
    <n v="3"/>
    <n v="83.88"/>
    <s v="Profit"/>
  </r>
  <r>
    <s v="CA-2017-121804"/>
    <d v="2017-03-03T00:00:00"/>
    <x v="3"/>
    <x v="1"/>
    <x v="256"/>
    <n v="72.8"/>
    <n v="5"/>
    <n v="19.655999999999999"/>
    <n v="0.27"/>
    <n v="2017"/>
    <x v="2"/>
    <n v="3"/>
    <n v="14.559999999999999"/>
    <s v="Profit"/>
  </r>
  <r>
    <s v="CA-2017-127621"/>
    <d v="2017-03-03T00:00:00"/>
    <x v="2"/>
    <x v="1"/>
    <x v="257"/>
    <n v="26.88"/>
    <n v="8"/>
    <n v="9.7439999999999998"/>
    <n v="0.36249999999999999"/>
    <n v="2017"/>
    <x v="2"/>
    <n v="3"/>
    <n v="3.36"/>
    <s v="Profit"/>
  </r>
  <r>
    <s v="CA-2017-111815"/>
    <d v="2017-03-03T00:00:00"/>
    <x v="2"/>
    <x v="0"/>
    <x v="258"/>
    <n v="180.98"/>
    <n v="1"/>
    <n v="47.0548"/>
    <n v="0.26"/>
    <n v="2017"/>
    <x v="2"/>
    <n v="3"/>
    <n v="180.98"/>
    <s v="Profit"/>
  </r>
  <r>
    <s v="CA-2017-111815"/>
    <d v="2017-03-03T00:00:00"/>
    <x v="2"/>
    <x v="2"/>
    <x v="259"/>
    <n v="99.98"/>
    <n v="2"/>
    <n v="42.991399999999999"/>
    <n v="0.43"/>
    <n v="2017"/>
    <x v="2"/>
    <n v="3"/>
    <n v="49.99"/>
    <s v="Profit"/>
  </r>
  <r>
    <s v="CA-2017-123085"/>
    <d v="2017-03-03T00:00:00"/>
    <x v="1"/>
    <x v="2"/>
    <x v="260"/>
    <n v="1049.44"/>
    <n v="8"/>
    <n v="440.76479999999998"/>
    <n v="0.42"/>
    <n v="2017"/>
    <x v="2"/>
    <n v="3"/>
    <n v="131.18"/>
    <s v="Profit"/>
  </r>
  <r>
    <s v="CA-2017-123085"/>
    <d v="2017-03-03T00:00:00"/>
    <x v="1"/>
    <x v="0"/>
    <x v="261"/>
    <n v="170.352"/>
    <n v="3"/>
    <n v="-17.0352"/>
    <n v="-9.9999999999999992E-2"/>
    <n v="2017"/>
    <x v="2"/>
    <n v="3"/>
    <n v="56.783999999999999"/>
    <s v="Loss"/>
  </r>
  <r>
    <s v="CA-2017-117513"/>
    <d v="2017-03-03T00:00:00"/>
    <x v="1"/>
    <x v="0"/>
    <x v="262"/>
    <n v="399.67200000000003"/>
    <n v="7"/>
    <n v="-14.9877"/>
    <n v="-3.7499999999999999E-2"/>
    <n v="2017"/>
    <x v="2"/>
    <n v="3"/>
    <n v="57.096000000000004"/>
    <s v="Loss"/>
  </r>
  <r>
    <s v="CA-2017-131156"/>
    <d v="2017-03-04T00:00:00"/>
    <x v="0"/>
    <x v="0"/>
    <x v="263"/>
    <n v="25.472000000000001"/>
    <n v="4"/>
    <n v="7.6416000000000004"/>
    <n v="0.3"/>
    <n v="2017"/>
    <x v="2"/>
    <n v="3"/>
    <n v="6.3680000000000003"/>
    <s v="Profit"/>
  </r>
  <r>
    <s v="CA-2017-127264"/>
    <d v="2017-03-04T00:00:00"/>
    <x v="2"/>
    <x v="1"/>
    <x v="264"/>
    <n v="7.056"/>
    <n v="3"/>
    <n v="2.2050000000000001"/>
    <n v="0.3125"/>
    <n v="2017"/>
    <x v="2"/>
    <n v="3"/>
    <n v="2.3519999999999999"/>
    <s v="Profit"/>
  </r>
  <r>
    <s v="CA-2017-132178"/>
    <d v="2017-03-05T00:00:00"/>
    <x v="1"/>
    <x v="1"/>
    <x v="113"/>
    <n v="69.52"/>
    <n v="2"/>
    <n v="19.465599999999998"/>
    <n v="0.27999999999999997"/>
    <n v="2017"/>
    <x v="2"/>
    <n v="3"/>
    <n v="34.76"/>
    <s v="Profit"/>
  </r>
  <r>
    <s v="CA-2017-132178"/>
    <d v="2017-03-05T00:00:00"/>
    <x v="1"/>
    <x v="1"/>
    <x v="265"/>
    <n v="763.44"/>
    <n v="8"/>
    <n v="45.806399999999996"/>
    <n v="5.9999999999999991E-2"/>
    <n v="2017"/>
    <x v="2"/>
    <n v="3"/>
    <n v="95.43"/>
    <s v="Profit"/>
  </r>
  <r>
    <s v="CA-2017-163209"/>
    <d v="2017-03-05T00:00:00"/>
    <x v="1"/>
    <x v="1"/>
    <x v="253"/>
    <n v="25.92"/>
    <n v="4"/>
    <n v="12.441599999999999"/>
    <n v="0.47999999999999993"/>
    <n v="2017"/>
    <x v="2"/>
    <n v="3"/>
    <n v="6.48"/>
    <s v="Profit"/>
  </r>
  <r>
    <s v="CA-2017-163209"/>
    <d v="2017-03-05T00:00:00"/>
    <x v="1"/>
    <x v="1"/>
    <x v="266"/>
    <n v="22.96"/>
    <n v="7"/>
    <n v="6.6584000000000003"/>
    <n v="0.28999999999999998"/>
    <n v="2017"/>
    <x v="2"/>
    <n v="3"/>
    <n v="3.2800000000000002"/>
    <s v="Profit"/>
  </r>
  <r>
    <s v="CA-2017-132199"/>
    <d v="2017-03-05T00:00:00"/>
    <x v="0"/>
    <x v="0"/>
    <x v="267"/>
    <n v="32.448"/>
    <n v="2"/>
    <n v="7.3007999999999997"/>
    <n v="0.22499999999999998"/>
    <n v="2017"/>
    <x v="2"/>
    <n v="3"/>
    <n v="16.224"/>
    <s v="Profit"/>
  </r>
  <r>
    <s v="CA-2017-132199"/>
    <d v="2017-03-05T00:00:00"/>
    <x v="0"/>
    <x v="1"/>
    <x v="268"/>
    <n v="26.388000000000002"/>
    <n v="4"/>
    <n v="-17.591999999999999"/>
    <n v="-0.66666666666666663"/>
    <n v="2017"/>
    <x v="2"/>
    <n v="3"/>
    <n v="6.5970000000000004"/>
    <s v="Loss"/>
  </r>
  <r>
    <s v="CA-2017-132199"/>
    <d v="2017-03-05T00:00:00"/>
    <x v="0"/>
    <x v="0"/>
    <x v="269"/>
    <n v="373.47"/>
    <n v="5"/>
    <n v="-112.041"/>
    <n v="-0.3"/>
    <n v="2017"/>
    <x v="2"/>
    <n v="3"/>
    <n v="74.694000000000003"/>
    <s v="Loss"/>
  </r>
  <r>
    <s v="CA-2017-132199"/>
    <d v="2017-03-05T00:00:00"/>
    <x v="0"/>
    <x v="1"/>
    <x v="270"/>
    <n v="64.2"/>
    <n v="5"/>
    <n v="-44.94"/>
    <n v="-0.7"/>
    <n v="2017"/>
    <x v="2"/>
    <n v="3"/>
    <n v="12.84"/>
    <s v="Loss"/>
  </r>
  <r>
    <s v="CA-2017-132199"/>
    <d v="2017-03-05T00:00:00"/>
    <x v="0"/>
    <x v="1"/>
    <x v="165"/>
    <n v="8"/>
    <n v="2"/>
    <n v="2.8"/>
    <n v="0.35"/>
    <n v="2017"/>
    <x v="2"/>
    <n v="3"/>
    <n v="4"/>
    <s v="Profit"/>
  </r>
  <r>
    <s v="CA-2017-126382"/>
    <d v="2017-03-06T00:00:00"/>
    <x v="3"/>
    <x v="0"/>
    <x v="144"/>
    <n v="35.167999999999999"/>
    <n v="7"/>
    <n v="9.6712000000000007"/>
    <n v="0.27500000000000002"/>
    <n v="2017"/>
    <x v="2"/>
    <n v="3"/>
    <n v="5.024"/>
    <s v="Profit"/>
  </r>
  <r>
    <s v="CA-2017-150420"/>
    <d v="2017-03-06T00:00:00"/>
    <x v="1"/>
    <x v="2"/>
    <x v="271"/>
    <n v="1099.5"/>
    <n v="10"/>
    <n v="362.83499999999998"/>
    <n v="0.32999999999999996"/>
    <n v="2017"/>
    <x v="2"/>
    <n v="3"/>
    <n v="109.95"/>
    <s v="Profit"/>
  </r>
  <r>
    <s v="CA-2017-145772"/>
    <d v="2017-03-06T00:00:00"/>
    <x v="1"/>
    <x v="2"/>
    <x v="272"/>
    <n v="44.75"/>
    <n v="5"/>
    <n v="8.5024999999999995"/>
    <n v="0.19"/>
    <n v="2017"/>
    <x v="2"/>
    <n v="3"/>
    <n v="8.9499999999999993"/>
    <s v="Profit"/>
  </r>
  <r>
    <s v="CA-2017-145772"/>
    <d v="2017-03-06T00:00:00"/>
    <x v="1"/>
    <x v="1"/>
    <x v="93"/>
    <n v="11.96"/>
    <n v="2"/>
    <n v="5.3819999999999997"/>
    <n v="0.44999999999999996"/>
    <n v="2017"/>
    <x v="2"/>
    <n v="3"/>
    <n v="5.98"/>
    <s v="Profit"/>
  </r>
  <r>
    <s v="CA-2017-145772"/>
    <d v="2017-03-06T00:00:00"/>
    <x v="1"/>
    <x v="1"/>
    <x v="273"/>
    <n v="3.9119999999999999"/>
    <n v="1"/>
    <n v="1.2714000000000001"/>
    <n v="0.32500000000000001"/>
    <n v="2017"/>
    <x v="2"/>
    <n v="3"/>
    <n v="3.9119999999999999"/>
    <s v="Profit"/>
  </r>
  <r>
    <s v="CA-2017-140872"/>
    <d v="2017-03-06T00:00:00"/>
    <x v="3"/>
    <x v="1"/>
    <x v="274"/>
    <n v="4.5540000000000003"/>
    <n v="3"/>
    <n v="-3.4914000000000001"/>
    <n v="-0.76666666666666661"/>
    <n v="2017"/>
    <x v="2"/>
    <n v="3"/>
    <n v="1.518"/>
    <s v="Loss"/>
  </r>
  <r>
    <s v="CA-2017-140872"/>
    <d v="2017-03-06T00:00:00"/>
    <x v="3"/>
    <x v="1"/>
    <x v="275"/>
    <n v="5.2"/>
    <n v="2"/>
    <n v="0.58499999999999996"/>
    <n v="0.11249999999999999"/>
    <n v="2017"/>
    <x v="2"/>
    <n v="3"/>
    <n v="2.6"/>
    <s v="Profit"/>
  </r>
  <r>
    <s v="CA-2017-140872"/>
    <d v="2017-03-06T00:00:00"/>
    <x v="3"/>
    <x v="2"/>
    <x v="276"/>
    <n v="205.99199999999999"/>
    <n v="1"/>
    <n v="-2.5749"/>
    <n v="-1.2500000000000001E-2"/>
    <n v="2017"/>
    <x v="2"/>
    <n v="3"/>
    <n v="205.99199999999999"/>
    <s v="Loss"/>
  </r>
  <r>
    <s v="CA-2017-140872"/>
    <d v="2017-03-06T00:00:00"/>
    <x v="3"/>
    <x v="1"/>
    <x v="277"/>
    <n v="15.552"/>
    <n v="3"/>
    <n v="5.4432"/>
    <n v="0.35000000000000003"/>
    <n v="2017"/>
    <x v="2"/>
    <n v="3"/>
    <n v="5.1840000000000002"/>
    <s v="Profit"/>
  </r>
  <r>
    <s v="CA-2017-140872"/>
    <d v="2017-03-06T00:00:00"/>
    <x v="3"/>
    <x v="2"/>
    <x v="278"/>
    <n v="503.96"/>
    <n v="5"/>
    <n v="50.396000000000001"/>
    <n v="0.1"/>
    <n v="2017"/>
    <x v="2"/>
    <n v="3"/>
    <n v="100.792"/>
    <s v="Profit"/>
  </r>
  <r>
    <s v="CA-2017-140872"/>
    <d v="2017-03-06T00:00:00"/>
    <x v="3"/>
    <x v="1"/>
    <x v="28"/>
    <n v="24.472000000000001"/>
    <n v="7"/>
    <n v="1.8353999999999999"/>
    <n v="7.4999999999999997E-2"/>
    <n v="2017"/>
    <x v="2"/>
    <n v="3"/>
    <n v="3.496"/>
    <s v="Profit"/>
  </r>
  <r>
    <s v="CA-2017-140872"/>
    <d v="2017-03-06T00:00:00"/>
    <x v="3"/>
    <x v="0"/>
    <x v="279"/>
    <n v="241.56800000000001"/>
    <n v="2"/>
    <n v="0"/>
    <n v="0"/>
    <n v="2017"/>
    <x v="2"/>
    <n v="3"/>
    <n v="120.78400000000001"/>
    <s v="Loss"/>
  </r>
  <r>
    <s v="CA-2017-140872"/>
    <d v="2017-03-06T00:00:00"/>
    <x v="3"/>
    <x v="2"/>
    <x v="280"/>
    <n v="110.4"/>
    <n v="2"/>
    <n v="-4.1399999999999997"/>
    <n v="-3.7499999999999999E-2"/>
    <n v="2017"/>
    <x v="2"/>
    <n v="3"/>
    <n v="55.2"/>
    <s v="Loss"/>
  </r>
  <r>
    <s v="CA-2017-113908"/>
    <d v="2017-03-06T00:00:00"/>
    <x v="0"/>
    <x v="0"/>
    <x v="281"/>
    <n v="384.76799999999997"/>
    <n v="2"/>
    <n v="-115.43040000000001"/>
    <n v="-0.30000000000000004"/>
    <n v="2017"/>
    <x v="2"/>
    <n v="3"/>
    <n v="192.38399999999999"/>
    <s v="Loss"/>
  </r>
  <r>
    <s v="CA-2017-113908"/>
    <d v="2017-03-06T00:00:00"/>
    <x v="0"/>
    <x v="2"/>
    <x v="282"/>
    <n v="78.66"/>
    <n v="6"/>
    <n v="36.183599999999998"/>
    <n v="0.46"/>
    <n v="2017"/>
    <x v="2"/>
    <n v="3"/>
    <n v="13.11"/>
    <s v="Profit"/>
  </r>
  <r>
    <s v="CA-2017-113908"/>
    <d v="2017-03-06T00:00:00"/>
    <x v="0"/>
    <x v="1"/>
    <x v="283"/>
    <n v="45.36"/>
    <n v="4"/>
    <n v="22.226400000000002"/>
    <n v="0.49000000000000005"/>
    <n v="2017"/>
    <x v="2"/>
    <n v="3"/>
    <n v="11.34"/>
    <s v="Profit"/>
  </r>
  <r>
    <s v="CA-2017-145506"/>
    <d v="2017-03-06T00:00:00"/>
    <x v="1"/>
    <x v="1"/>
    <x v="284"/>
    <n v="136.26"/>
    <n v="9"/>
    <n v="5.4504000000000001"/>
    <n v="0.04"/>
    <n v="2017"/>
    <x v="2"/>
    <n v="3"/>
    <n v="15.139999999999999"/>
    <s v="Profit"/>
  </r>
  <r>
    <s v="US-2017-126179"/>
    <d v="2017-03-07T00:00:00"/>
    <x v="3"/>
    <x v="0"/>
    <x v="285"/>
    <n v="23.99"/>
    <n v="1"/>
    <n v="5.5176999999999996"/>
    <n v="0.23"/>
    <n v="2017"/>
    <x v="2"/>
    <n v="3"/>
    <n v="23.99"/>
    <s v="Profit"/>
  </r>
  <r>
    <s v="US-2017-126179"/>
    <d v="2017-03-07T00:00:00"/>
    <x v="3"/>
    <x v="2"/>
    <x v="286"/>
    <n v="287.97000000000003"/>
    <n v="3"/>
    <n v="77.751900000000006"/>
    <n v="0.27"/>
    <n v="2017"/>
    <x v="2"/>
    <n v="3"/>
    <n v="95.990000000000009"/>
    <s v="Profit"/>
  </r>
  <r>
    <s v="CA-2017-124828"/>
    <d v="2017-03-07T00:00:00"/>
    <x v="3"/>
    <x v="1"/>
    <x v="287"/>
    <n v="9.5519999999999996"/>
    <n v="3"/>
    <n v="1.5522"/>
    <n v="0.16250000000000001"/>
    <n v="2017"/>
    <x v="2"/>
    <n v="3"/>
    <n v="3.1839999999999997"/>
    <s v="Profit"/>
  </r>
  <r>
    <s v="CA-2017-111647"/>
    <d v="2017-03-07T00:00:00"/>
    <x v="2"/>
    <x v="2"/>
    <x v="288"/>
    <n v="167.96799999999999"/>
    <n v="4"/>
    <n v="62.988"/>
    <n v="0.375"/>
    <n v="2017"/>
    <x v="2"/>
    <n v="3"/>
    <n v="41.991999999999997"/>
    <s v="Profit"/>
  </r>
  <r>
    <s v="CA-2017-121503"/>
    <d v="2017-03-07T00:00:00"/>
    <x v="2"/>
    <x v="1"/>
    <x v="289"/>
    <n v="273.89600000000002"/>
    <n v="7"/>
    <n v="92.439899999999994"/>
    <n v="0.33749999999999997"/>
    <n v="2017"/>
    <x v="2"/>
    <n v="3"/>
    <n v="39.128"/>
    <s v="Profit"/>
  </r>
  <r>
    <s v="CA-2017-121503"/>
    <d v="2017-03-07T00:00:00"/>
    <x v="2"/>
    <x v="2"/>
    <x v="290"/>
    <n v="597.13199999999995"/>
    <n v="3"/>
    <n v="49.761000000000003"/>
    <n v="8.3333333333333343E-2"/>
    <n v="2017"/>
    <x v="2"/>
    <n v="3"/>
    <n v="199.04399999999998"/>
    <s v="Profit"/>
  </r>
  <r>
    <s v="CA-2017-140053"/>
    <d v="2017-03-07T00:00:00"/>
    <x v="1"/>
    <x v="0"/>
    <x v="291"/>
    <n v="545.85"/>
    <n v="9"/>
    <n v="114.6285"/>
    <n v="0.21"/>
    <n v="2017"/>
    <x v="2"/>
    <n v="3"/>
    <n v="60.650000000000006"/>
    <s v="Profit"/>
  </r>
  <r>
    <s v="US-2017-111024"/>
    <d v="2017-03-07T00:00:00"/>
    <x v="0"/>
    <x v="1"/>
    <x v="292"/>
    <n v="32.896000000000001"/>
    <n v="4"/>
    <n v="11.102399999999999"/>
    <n v="0.33749999999999997"/>
    <n v="2017"/>
    <x v="2"/>
    <n v="3"/>
    <n v="8.2240000000000002"/>
    <s v="Profit"/>
  </r>
  <r>
    <s v="US-2017-111024"/>
    <d v="2017-03-07T00:00:00"/>
    <x v="0"/>
    <x v="0"/>
    <x v="293"/>
    <n v="215.148"/>
    <n v="2"/>
    <n v="-103.98820000000001"/>
    <n v="-0.48333333333333339"/>
    <n v="2017"/>
    <x v="2"/>
    <n v="3"/>
    <n v="107.574"/>
    <s v="Loss"/>
  </r>
  <r>
    <s v="US-2017-111024"/>
    <d v="2017-03-07T00:00:00"/>
    <x v="0"/>
    <x v="1"/>
    <x v="294"/>
    <n v="30.96"/>
    <n v="6"/>
    <n v="11.223000000000001"/>
    <n v="0.36249999999999999"/>
    <n v="2017"/>
    <x v="2"/>
    <n v="3"/>
    <n v="5.16"/>
    <s v="Profit"/>
  </r>
  <r>
    <s v="CA-2017-168109"/>
    <d v="2017-03-07T00:00:00"/>
    <x v="1"/>
    <x v="2"/>
    <x v="295"/>
    <n v="59.98"/>
    <n v="2"/>
    <n v="26.391200000000001"/>
    <n v="0.44000000000000006"/>
    <n v="2017"/>
    <x v="2"/>
    <n v="3"/>
    <n v="29.99"/>
    <s v="Profit"/>
  </r>
  <r>
    <s v="CA-2017-168109"/>
    <d v="2017-03-07T00:00:00"/>
    <x v="1"/>
    <x v="2"/>
    <x v="296"/>
    <n v="2395.1999999999998"/>
    <n v="6"/>
    <n v="209.58"/>
    <n v="8.7500000000000008E-2"/>
    <n v="2017"/>
    <x v="2"/>
    <n v="3"/>
    <n v="399.2"/>
    <s v="Profit"/>
  </r>
  <r>
    <s v="CA-2017-168109"/>
    <d v="2017-03-07T00:00:00"/>
    <x v="1"/>
    <x v="2"/>
    <x v="297"/>
    <n v="1687.8"/>
    <n v="4"/>
    <n v="742.63199999999995"/>
    <n v="0.44"/>
    <n v="2017"/>
    <x v="2"/>
    <n v="3"/>
    <n v="421.95"/>
    <s v="Profit"/>
  </r>
  <r>
    <s v="CA-2017-168109"/>
    <d v="2017-03-07T00:00:00"/>
    <x v="1"/>
    <x v="2"/>
    <x v="298"/>
    <n v="7.992"/>
    <n v="1"/>
    <n v="2.6972999999999998"/>
    <n v="0.33749999999999997"/>
    <n v="2017"/>
    <x v="2"/>
    <n v="3"/>
    <n v="7.992"/>
    <s v="Profit"/>
  </r>
  <r>
    <s v="US-2017-129777"/>
    <d v="2017-03-07T00:00:00"/>
    <x v="0"/>
    <x v="2"/>
    <x v="299"/>
    <n v="258.89999999999998"/>
    <n v="10"/>
    <n v="93.203999999999994"/>
    <n v="0.36"/>
    <n v="2017"/>
    <x v="2"/>
    <n v="3"/>
    <n v="25.889999999999997"/>
    <s v="Profit"/>
  </r>
  <r>
    <s v="US-2017-129777"/>
    <d v="2017-03-07T00:00:00"/>
    <x v="0"/>
    <x v="1"/>
    <x v="300"/>
    <n v="24.56"/>
    <n v="2"/>
    <n v="11.543200000000001"/>
    <n v="0.47000000000000003"/>
    <n v="2017"/>
    <x v="2"/>
    <n v="3"/>
    <n v="12.28"/>
    <s v="Profit"/>
  </r>
  <r>
    <s v="CA-2017-169124"/>
    <d v="2017-03-07T00:00:00"/>
    <x v="1"/>
    <x v="0"/>
    <x v="1"/>
    <n v="129.38999999999999"/>
    <n v="3"/>
    <n v="54.343800000000002"/>
    <n v="0.42000000000000004"/>
    <n v="2017"/>
    <x v="2"/>
    <n v="3"/>
    <n v="43.129999999999995"/>
    <s v="Profit"/>
  </r>
  <r>
    <s v="CA-2017-139437"/>
    <d v="2017-03-07T00:00:00"/>
    <x v="1"/>
    <x v="1"/>
    <x v="301"/>
    <n v="87.92"/>
    <n v="4"/>
    <n v="0.87919999999999998"/>
    <n v="0.01"/>
    <n v="2017"/>
    <x v="2"/>
    <n v="3"/>
    <n v="21.98"/>
    <s v="Profit"/>
  </r>
  <r>
    <s v="US-2017-166233"/>
    <d v="2017-03-07T00:00:00"/>
    <x v="3"/>
    <x v="2"/>
    <x v="302"/>
    <n v="24"/>
    <n v="2"/>
    <n v="-2.7"/>
    <n v="-0.1125"/>
    <n v="2017"/>
    <x v="2"/>
    <n v="3"/>
    <n v="12"/>
    <s v="Loss"/>
  </r>
  <r>
    <s v="CA-2017-106747"/>
    <d v="2017-03-07T00:00:00"/>
    <x v="0"/>
    <x v="0"/>
    <x v="175"/>
    <n v="102.3"/>
    <n v="1"/>
    <n v="26.597999999999999"/>
    <n v="0.26"/>
    <n v="2017"/>
    <x v="2"/>
    <n v="3"/>
    <n v="102.3"/>
    <s v="Profit"/>
  </r>
  <r>
    <s v="CA-2017-165386"/>
    <d v="2017-03-08T00:00:00"/>
    <x v="2"/>
    <x v="0"/>
    <x v="303"/>
    <n v="183.37200000000001"/>
    <n v="2"/>
    <n v="-36.674399999999999"/>
    <n v="-0.19999999999999998"/>
    <n v="2017"/>
    <x v="2"/>
    <n v="3"/>
    <n v="91.686000000000007"/>
    <s v="Loss"/>
  </r>
  <r>
    <s v="CA-2017-168396"/>
    <d v="2017-03-08T00:00:00"/>
    <x v="1"/>
    <x v="1"/>
    <x v="304"/>
    <n v="51.75"/>
    <n v="5"/>
    <n v="24.84"/>
    <n v="0.48"/>
    <n v="2017"/>
    <x v="2"/>
    <n v="3"/>
    <n v="10.35"/>
    <s v="Profit"/>
  </r>
  <r>
    <s v="CA-2017-168396"/>
    <d v="2017-03-08T00:00:00"/>
    <x v="1"/>
    <x v="0"/>
    <x v="305"/>
    <n v="123.96"/>
    <n v="3"/>
    <n v="11.1564"/>
    <n v="0.09"/>
    <n v="2017"/>
    <x v="2"/>
    <n v="3"/>
    <n v="41.32"/>
    <s v="Profit"/>
  </r>
  <r>
    <s v="US-2017-143175"/>
    <d v="2017-03-08T00:00:00"/>
    <x v="1"/>
    <x v="1"/>
    <x v="306"/>
    <n v="99.87"/>
    <n v="3"/>
    <n v="23.968800000000002"/>
    <n v="0.24000000000000002"/>
    <n v="2017"/>
    <x v="2"/>
    <n v="3"/>
    <n v="33.29"/>
    <s v="Profit"/>
  </r>
  <r>
    <s v="CA-2017-140781"/>
    <d v="2017-03-08T00:00:00"/>
    <x v="2"/>
    <x v="2"/>
    <x v="108"/>
    <n v="39.816000000000003"/>
    <n v="3"/>
    <n v="7.4654999999999996"/>
    <n v="0.18749999999999997"/>
    <n v="2017"/>
    <x v="2"/>
    <n v="3"/>
    <n v="13.272"/>
    <s v="Profit"/>
  </r>
  <r>
    <s v="CA-2017-141747"/>
    <d v="2017-03-08T00:00:00"/>
    <x v="1"/>
    <x v="1"/>
    <x v="307"/>
    <n v="16.059999999999999"/>
    <n v="1"/>
    <n v="4.1756000000000002"/>
    <n v="0.26"/>
    <n v="2017"/>
    <x v="2"/>
    <n v="3"/>
    <n v="16.059999999999999"/>
    <s v="Profit"/>
  </r>
  <r>
    <s v="CA-2017-163566"/>
    <d v="2017-03-08T00:00:00"/>
    <x v="0"/>
    <x v="1"/>
    <x v="308"/>
    <n v="16.52"/>
    <n v="5"/>
    <n v="5.3689999999999998"/>
    <n v="0.32500000000000001"/>
    <n v="2017"/>
    <x v="2"/>
    <n v="3"/>
    <n v="3.3039999999999998"/>
    <s v="Profit"/>
  </r>
  <r>
    <s v="US-2017-122637"/>
    <d v="2017-03-09T00:00:00"/>
    <x v="2"/>
    <x v="1"/>
    <x v="230"/>
    <n v="42.616"/>
    <n v="7"/>
    <n v="-68.185599999999994"/>
    <n v="-1.5999999999999999"/>
    <n v="2017"/>
    <x v="2"/>
    <n v="3"/>
    <n v="6.0880000000000001"/>
    <s v="Loss"/>
  </r>
  <r>
    <s v="CA-2017-146136"/>
    <d v="2017-03-09T00:00:00"/>
    <x v="3"/>
    <x v="1"/>
    <x v="309"/>
    <n v="24.448"/>
    <n v="4"/>
    <n v="8.8623999999999992"/>
    <n v="0.36249999999999993"/>
    <n v="2017"/>
    <x v="2"/>
    <n v="3"/>
    <n v="6.1120000000000001"/>
    <s v="Profit"/>
  </r>
  <r>
    <s v="CA-2017-161823"/>
    <d v="2017-03-09T00:00:00"/>
    <x v="1"/>
    <x v="1"/>
    <x v="310"/>
    <n v="5.96"/>
    <n v="2"/>
    <n v="1.6688000000000001"/>
    <n v="0.28000000000000003"/>
    <n v="2017"/>
    <x v="2"/>
    <n v="3"/>
    <n v="2.98"/>
    <s v="Profit"/>
  </r>
  <r>
    <s v="CA-2017-123022"/>
    <d v="2017-03-09T00:00:00"/>
    <x v="1"/>
    <x v="1"/>
    <x v="311"/>
    <n v="82.56"/>
    <n v="5"/>
    <n v="28.896000000000001"/>
    <n v="0.35"/>
    <n v="2017"/>
    <x v="2"/>
    <n v="3"/>
    <n v="16.512"/>
    <s v="Profit"/>
  </r>
  <r>
    <s v="CA-2017-123022"/>
    <d v="2017-03-09T00:00:00"/>
    <x v="1"/>
    <x v="2"/>
    <x v="312"/>
    <n v="284.97000000000003"/>
    <n v="3"/>
    <n v="85.491"/>
    <n v="0.3"/>
    <n v="2017"/>
    <x v="2"/>
    <n v="3"/>
    <n v="94.990000000000009"/>
    <s v="Profit"/>
  </r>
  <r>
    <s v="CA-2017-161067"/>
    <d v="2017-03-09T00:00:00"/>
    <x v="0"/>
    <x v="1"/>
    <x v="255"/>
    <n v="419.4"/>
    <n v="4"/>
    <n v="201.31200000000001"/>
    <n v="0.48000000000000004"/>
    <n v="2017"/>
    <x v="2"/>
    <n v="3"/>
    <n v="104.85"/>
    <s v="Profit"/>
  </r>
  <r>
    <s v="CA-2017-161067"/>
    <d v="2017-03-09T00:00:00"/>
    <x v="0"/>
    <x v="0"/>
    <x v="313"/>
    <n v="90.801000000000002"/>
    <n v="1"/>
    <n v="14.124599999999999"/>
    <n v="0.15555555555555553"/>
    <n v="2017"/>
    <x v="2"/>
    <n v="3"/>
    <n v="90.801000000000002"/>
    <s v="Profit"/>
  </r>
  <r>
    <s v="CA-2017-161067"/>
    <d v="2017-03-09T00:00:00"/>
    <x v="0"/>
    <x v="0"/>
    <x v="314"/>
    <n v="181.76400000000001"/>
    <n v="2"/>
    <n v="-8.0784000000000002"/>
    <n v="-4.4444444444444446E-2"/>
    <n v="2017"/>
    <x v="2"/>
    <n v="3"/>
    <n v="90.882000000000005"/>
    <s v="Loss"/>
  </r>
  <r>
    <s v="CA-2017-161067"/>
    <d v="2017-03-09T00:00:00"/>
    <x v="0"/>
    <x v="1"/>
    <x v="315"/>
    <n v="5.56"/>
    <n v="2"/>
    <n v="2.2240000000000002"/>
    <n v="0.40000000000000008"/>
    <n v="2017"/>
    <x v="2"/>
    <n v="3"/>
    <n v="2.78"/>
    <s v="Profit"/>
  </r>
  <r>
    <s v="US-2017-153255"/>
    <d v="2017-03-09T00:00:00"/>
    <x v="1"/>
    <x v="0"/>
    <x v="316"/>
    <n v="239.666"/>
    <n v="2"/>
    <n v="14.098000000000001"/>
    <n v="5.8823529411764712E-2"/>
    <n v="2017"/>
    <x v="2"/>
    <n v="3"/>
    <n v="119.833"/>
    <s v="Profit"/>
  </r>
  <r>
    <s v="CA-2017-161557"/>
    <d v="2017-03-09T00:00:00"/>
    <x v="2"/>
    <x v="0"/>
    <x v="317"/>
    <n v="108.4"/>
    <n v="5"/>
    <n v="-105.69"/>
    <n v="-0.97499999999999998"/>
    <n v="2017"/>
    <x v="2"/>
    <n v="3"/>
    <n v="21.68"/>
    <s v="Loss"/>
  </r>
  <r>
    <s v="CA-2017-167626"/>
    <d v="2017-03-09T00:00:00"/>
    <x v="2"/>
    <x v="1"/>
    <x v="318"/>
    <n v="8.9039999999999999"/>
    <n v="3"/>
    <n v="3.339"/>
    <n v="0.375"/>
    <n v="2017"/>
    <x v="2"/>
    <n v="3"/>
    <n v="2.968"/>
    <s v="Profit"/>
  </r>
  <r>
    <s v="CA-2017-167626"/>
    <d v="2017-03-09T00:00:00"/>
    <x v="2"/>
    <x v="2"/>
    <x v="319"/>
    <n v="100.8"/>
    <n v="2"/>
    <n v="21.42"/>
    <n v="0.21250000000000002"/>
    <n v="2017"/>
    <x v="2"/>
    <n v="3"/>
    <n v="50.4"/>
    <s v="Profit"/>
  </r>
  <r>
    <s v="CA-2017-141789"/>
    <d v="2017-03-10T00:00:00"/>
    <x v="2"/>
    <x v="1"/>
    <x v="320"/>
    <n v="1793.98"/>
    <n v="2"/>
    <n v="843.17060000000004"/>
    <n v="0.47000000000000003"/>
    <n v="2017"/>
    <x v="2"/>
    <n v="3"/>
    <n v="896.99"/>
    <s v="Profit"/>
  </r>
  <r>
    <s v="CA-2017-134607"/>
    <d v="2017-03-10T00:00:00"/>
    <x v="0"/>
    <x v="1"/>
    <x v="321"/>
    <n v="22.58"/>
    <n v="2"/>
    <n v="5.8708"/>
    <n v="0.26"/>
    <n v="2017"/>
    <x v="2"/>
    <n v="3"/>
    <n v="11.29"/>
    <s v="Profit"/>
  </r>
  <r>
    <s v="CA-2017-101749"/>
    <d v="2017-03-10T00:00:00"/>
    <x v="1"/>
    <x v="0"/>
    <x v="262"/>
    <n v="171.28800000000001"/>
    <n v="3"/>
    <n v="-6.4233000000000002"/>
    <n v="-3.7499999999999999E-2"/>
    <n v="2017"/>
    <x v="2"/>
    <n v="3"/>
    <n v="57.096000000000004"/>
    <s v="Loss"/>
  </r>
  <r>
    <s v="CA-2017-149853"/>
    <d v="2017-03-10T00:00:00"/>
    <x v="3"/>
    <x v="1"/>
    <x v="322"/>
    <n v="15.552"/>
    <n v="3"/>
    <n v="5.4432"/>
    <n v="0.35000000000000003"/>
    <n v="2017"/>
    <x v="2"/>
    <n v="3"/>
    <n v="5.1840000000000002"/>
    <s v="Profit"/>
  </r>
  <r>
    <s v="CA-2017-149853"/>
    <d v="2017-03-10T00:00:00"/>
    <x v="3"/>
    <x v="1"/>
    <x v="323"/>
    <n v="17.920000000000002"/>
    <n v="5"/>
    <n v="1.1200000000000001"/>
    <n v="6.25E-2"/>
    <n v="2017"/>
    <x v="2"/>
    <n v="3"/>
    <n v="3.5840000000000005"/>
    <s v="Profit"/>
  </r>
  <r>
    <s v="CA-2017-143035"/>
    <d v="2017-03-10T00:00:00"/>
    <x v="0"/>
    <x v="0"/>
    <x v="324"/>
    <n v="83.92"/>
    <n v="4"/>
    <n v="21.819199999999999"/>
    <n v="0.25999999999999995"/>
    <n v="2017"/>
    <x v="2"/>
    <n v="3"/>
    <n v="20.98"/>
    <s v="Profit"/>
  </r>
  <r>
    <s v="CA-2017-143035"/>
    <d v="2017-03-10T00:00:00"/>
    <x v="0"/>
    <x v="1"/>
    <x v="325"/>
    <n v="6.63"/>
    <n v="3"/>
    <n v="3.1160999999999999"/>
    <n v="0.47"/>
    <n v="2017"/>
    <x v="2"/>
    <n v="3"/>
    <n v="2.21"/>
    <s v="Profit"/>
  </r>
  <r>
    <s v="CA-2017-143035"/>
    <d v="2017-03-10T00:00:00"/>
    <x v="0"/>
    <x v="2"/>
    <x v="326"/>
    <n v="371.97"/>
    <n v="3"/>
    <n v="66.954599999999999"/>
    <n v="0.18"/>
    <n v="2017"/>
    <x v="2"/>
    <n v="3"/>
    <n v="123.99000000000001"/>
    <s v="Profit"/>
  </r>
  <r>
    <s v="CA-2017-144820"/>
    <d v="2017-03-10T00:00:00"/>
    <x v="2"/>
    <x v="1"/>
    <x v="327"/>
    <n v="20.64"/>
    <n v="5"/>
    <n v="2.3220000000000001"/>
    <n v="0.1125"/>
    <n v="2017"/>
    <x v="2"/>
    <n v="3"/>
    <n v="4.1280000000000001"/>
    <s v="Profit"/>
  </r>
  <r>
    <s v="CA-2017-153339"/>
    <d v="2017-03-11T00:00:00"/>
    <x v="3"/>
    <x v="0"/>
    <x v="328"/>
    <n v="15.992000000000001"/>
    <n v="1"/>
    <n v="0.99950000000000006"/>
    <n v="6.25E-2"/>
    <n v="2017"/>
    <x v="2"/>
    <n v="3"/>
    <n v="15.992000000000001"/>
    <s v="Profit"/>
  </r>
  <r>
    <s v="CA-2017-142636"/>
    <d v="2017-03-11T00:00:00"/>
    <x v="1"/>
    <x v="1"/>
    <x v="163"/>
    <n v="139.86000000000001"/>
    <n v="7"/>
    <n v="65.734200000000001"/>
    <n v="0.47"/>
    <n v="2017"/>
    <x v="2"/>
    <n v="3"/>
    <n v="19.98"/>
    <s v="Profit"/>
  </r>
  <r>
    <s v="CA-2017-142636"/>
    <d v="2017-03-11T00:00:00"/>
    <x v="1"/>
    <x v="0"/>
    <x v="329"/>
    <n v="307.13600000000002"/>
    <n v="4"/>
    <n v="26.874400000000001"/>
    <n v="8.7499999999999994E-2"/>
    <n v="2017"/>
    <x v="2"/>
    <n v="3"/>
    <n v="76.784000000000006"/>
    <s v="Profit"/>
  </r>
  <r>
    <s v="CA-2017-126046"/>
    <d v="2017-03-11T00:00:00"/>
    <x v="3"/>
    <x v="1"/>
    <x v="308"/>
    <n v="12.39"/>
    <n v="3"/>
    <n v="5.6993999999999998"/>
    <n v="0.45999999999999996"/>
    <n v="2017"/>
    <x v="2"/>
    <n v="3"/>
    <n v="4.13"/>
    <s v="Profit"/>
  </r>
  <r>
    <s v="CA-2017-143329"/>
    <d v="2017-03-11T00:00:00"/>
    <x v="1"/>
    <x v="0"/>
    <x v="330"/>
    <n v="41.37"/>
    <n v="3"/>
    <n v="17.375399999999999"/>
    <n v="0.42"/>
    <n v="2017"/>
    <x v="2"/>
    <n v="3"/>
    <n v="13.79"/>
    <s v="Profit"/>
  </r>
  <r>
    <s v="CA-2017-121615"/>
    <d v="2017-03-11T00:00:00"/>
    <x v="2"/>
    <x v="1"/>
    <x v="331"/>
    <n v="8.56"/>
    <n v="2"/>
    <n v="3.8519999999999999"/>
    <n v="0.44999999999999996"/>
    <n v="2017"/>
    <x v="2"/>
    <n v="3"/>
    <n v="4.28"/>
    <s v="Profit"/>
  </r>
  <r>
    <s v="CA-2017-121615"/>
    <d v="2017-03-11T00:00:00"/>
    <x v="2"/>
    <x v="1"/>
    <x v="332"/>
    <n v="52.4"/>
    <n v="5"/>
    <n v="14.148"/>
    <n v="0.27"/>
    <n v="2017"/>
    <x v="2"/>
    <n v="3"/>
    <n v="10.48"/>
    <s v="Profit"/>
  </r>
  <r>
    <s v="CA-2017-121615"/>
    <d v="2017-03-11T00:00:00"/>
    <x v="2"/>
    <x v="1"/>
    <x v="333"/>
    <n v="14.94"/>
    <n v="3"/>
    <n v="6.8723999999999998"/>
    <n v="0.46"/>
    <n v="2017"/>
    <x v="2"/>
    <n v="3"/>
    <n v="4.9799999999999995"/>
    <s v="Profit"/>
  </r>
  <r>
    <s v="CA-2017-110429"/>
    <d v="2017-03-11T00:00:00"/>
    <x v="0"/>
    <x v="1"/>
    <x v="334"/>
    <n v="11.673"/>
    <n v="3"/>
    <n v="-7.782"/>
    <n v="-0.66666666666666663"/>
    <n v="2017"/>
    <x v="2"/>
    <n v="3"/>
    <n v="3.891"/>
    <s v="Loss"/>
  </r>
  <r>
    <s v="US-2017-110989"/>
    <d v="2017-03-11T00:00:00"/>
    <x v="1"/>
    <x v="2"/>
    <x v="335"/>
    <n v="43.5"/>
    <n v="3"/>
    <n v="10.875"/>
    <n v="0.25"/>
    <n v="2017"/>
    <x v="2"/>
    <n v="3"/>
    <n v="14.5"/>
    <s v="Profit"/>
  </r>
  <r>
    <s v="CA-2017-103009"/>
    <d v="2017-03-11T00:00:00"/>
    <x v="3"/>
    <x v="1"/>
    <x v="336"/>
    <n v="26.4"/>
    <n v="5"/>
    <n v="11.88"/>
    <n v="0.45000000000000007"/>
    <n v="2017"/>
    <x v="2"/>
    <n v="3"/>
    <n v="5.2799999999999994"/>
    <s v="Profit"/>
  </r>
  <r>
    <s v="CA-2017-148320"/>
    <d v="2017-03-11T00:00:00"/>
    <x v="1"/>
    <x v="1"/>
    <x v="337"/>
    <n v="35.880000000000003"/>
    <n v="6"/>
    <n v="17.581199999999999"/>
    <n v="0.48999999999999994"/>
    <n v="2017"/>
    <x v="2"/>
    <n v="3"/>
    <n v="5.98"/>
    <s v="Profit"/>
  </r>
  <r>
    <s v="CA-2017-161130"/>
    <d v="2017-03-11T00:00:00"/>
    <x v="3"/>
    <x v="2"/>
    <x v="338"/>
    <n v="361.37599999999998"/>
    <n v="2"/>
    <n v="27.103200000000001"/>
    <n v="7.5000000000000011E-2"/>
    <n v="2017"/>
    <x v="2"/>
    <n v="3"/>
    <n v="180.68799999999999"/>
    <s v="Profit"/>
  </r>
  <r>
    <s v="US-2017-101518"/>
    <d v="2017-03-11T00:00:00"/>
    <x v="0"/>
    <x v="2"/>
    <x v="339"/>
    <n v="40.776000000000003"/>
    <n v="3"/>
    <n v="0.50970000000000004"/>
    <n v="1.2500000000000001E-2"/>
    <n v="2017"/>
    <x v="2"/>
    <n v="3"/>
    <n v="13.592000000000001"/>
    <s v="Profit"/>
  </r>
  <r>
    <s v="US-2017-105998"/>
    <d v="2017-03-11T00:00:00"/>
    <x v="1"/>
    <x v="2"/>
    <x v="340"/>
    <n v="199.75"/>
    <n v="5"/>
    <n v="87.89"/>
    <n v="0.44"/>
    <n v="2017"/>
    <x v="2"/>
    <n v="3"/>
    <n v="39.950000000000003"/>
    <s v="Profit"/>
  </r>
  <r>
    <s v="US-2017-105998"/>
    <d v="2017-03-11T00:00:00"/>
    <x v="1"/>
    <x v="0"/>
    <x v="341"/>
    <n v="1673.184"/>
    <n v="12"/>
    <n v="20.9148"/>
    <n v="1.2500000000000001E-2"/>
    <n v="2017"/>
    <x v="2"/>
    <n v="3"/>
    <n v="139.43199999999999"/>
    <s v="Profit"/>
  </r>
  <r>
    <s v="CA-2017-130834"/>
    <d v="2017-03-11T00:00:00"/>
    <x v="3"/>
    <x v="1"/>
    <x v="342"/>
    <n v="16.271999999999998"/>
    <n v="3"/>
    <n v="5.2884000000000002"/>
    <n v="0.32500000000000007"/>
    <n v="2017"/>
    <x v="2"/>
    <n v="3"/>
    <n v="5.4239999999999995"/>
    <s v="Profit"/>
  </r>
  <r>
    <s v="US-2017-168802"/>
    <d v="2017-03-11T00:00:00"/>
    <x v="1"/>
    <x v="1"/>
    <x v="343"/>
    <n v="18.367999999999999"/>
    <n v="4"/>
    <n v="5.9695999999999998"/>
    <n v="0.32500000000000001"/>
    <n v="2017"/>
    <x v="2"/>
    <n v="3"/>
    <n v="4.5919999999999996"/>
    <s v="Profit"/>
  </r>
  <r>
    <s v="CA-2017-135419"/>
    <d v="2017-03-11T00:00:00"/>
    <x v="1"/>
    <x v="0"/>
    <x v="344"/>
    <n v="486.36799999999999"/>
    <n v="4"/>
    <n v="36.477600000000002"/>
    <n v="7.5000000000000011E-2"/>
    <n v="2017"/>
    <x v="2"/>
    <n v="3"/>
    <n v="121.592"/>
    <s v="Profit"/>
  </r>
  <r>
    <s v="CA-2017-100622"/>
    <d v="2017-03-11T00:00:00"/>
    <x v="3"/>
    <x v="2"/>
    <x v="345"/>
    <n v="959.98400000000004"/>
    <n v="2"/>
    <n v="311.9948"/>
    <n v="0.32500000000000001"/>
    <n v="2017"/>
    <x v="2"/>
    <n v="3"/>
    <n v="479.99200000000002"/>
    <s v="Profit"/>
  </r>
  <r>
    <s v="CA-2017-100622"/>
    <d v="2017-03-11T00:00:00"/>
    <x v="3"/>
    <x v="1"/>
    <x v="346"/>
    <n v="4.0860000000000003"/>
    <n v="2"/>
    <n v="-2.9964"/>
    <n v="-0.73333333333333328"/>
    <n v="2017"/>
    <x v="2"/>
    <n v="3"/>
    <n v="2.0430000000000001"/>
    <s v="Loss"/>
  </r>
  <r>
    <s v="CA-2017-100622"/>
    <d v="2017-03-11T00:00:00"/>
    <x v="3"/>
    <x v="1"/>
    <x v="347"/>
    <n v="55.984000000000002"/>
    <n v="2"/>
    <n v="4.1988000000000003"/>
    <n v="7.4999999999999997E-2"/>
    <n v="2017"/>
    <x v="2"/>
    <n v="3"/>
    <n v="27.992000000000001"/>
    <s v="Profit"/>
  </r>
  <r>
    <s v="CA-2017-100622"/>
    <d v="2017-03-11T00:00:00"/>
    <x v="3"/>
    <x v="1"/>
    <x v="348"/>
    <n v="10.688000000000001"/>
    <n v="2"/>
    <n v="3.7408000000000001"/>
    <n v="0.35"/>
    <n v="2017"/>
    <x v="2"/>
    <n v="3"/>
    <n v="5.3440000000000003"/>
    <s v="Profit"/>
  </r>
  <r>
    <s v="CA-2017-148691"/>
    <d v="2017-03-12T00:00:00"/>
    <x v="0"/>
    <x v="1"/>
    <x v="349"/>
    <n v="83.92"/>
    <n v="5"/>
    <n v="29.372"/>
    <n v="0.35"/>
    <n v="2017"/>
    <x v="2"/>
    <n v="3"/>
    <n v="16.783999999999999"/>
    <s v="Profit"/>
  </r>
  <r>
    <s v="CA-2017-148691"/>
    <d v="2017-03-12T00:00:00"/>
    <x v="0"/>
    <x v="1"/>
    <x v="350"/>
    <n v="14.624000000000001"/>
    <n v="2"/>
    <n v="5.1184000000000003"/>
    <n v="0.35000000000000003"/>
    <n v="2017"/>
    <x v="2"/>
    <n v="3"/>
    <n v="7.3120000000000003"/>
    <s v="Profit"/>
  </r>
  <r>
    <s v="CA-2017-148691"/>
    <d v="2017-03-12T00:00:00"/>
    <x v="0"/>
    <x v="2"/>
    <x v="351"/>
    <n v="136.99"/>
    <n v="1"/>
    <n v="36.987299999999998"/>
    <n v="0.26999999999999996"/>
    <n v="2017"/>
    <x v="2"/>
    <n v="3"/>
    <n v="136.99"/>
    <s v="Profit"/>
  </r>
  <r>
    <s v="CA-2017-148691"/>
    <d v="2017-03-12T00:00:00"/>
    <x v="0"/>
    <x v="1"/>
    <x v="352"/>
    <n v="3.15"/>
    <n v="1"/>
    <n v="1.512"/>
    <n v="0.48000000000000004"/>
    <n v="2017"/>
    <x v="2"/>
    <n v="3"/>
    <n v="3.15"/>
    <s v="Profit"/>
  </r>
  <r>
    <s v="CA-2017-136875"/>
    <d v="2017-03-12T00:00:00"/>
    <x v="1"/>
    <x v="1"/>
    <x v="353"/>
    <n v="166.44"/>
    <n v="3"/>
    <n v="79.891199999999998"/>
    <n v="0.48"/>
    <n v="2017"/>
    <x v="2"/>
    <n v="3"/>
    <n v="55.48"/>
    <s v="Profit"/>
  </r>
  <r>
    <s v="CA-2017-128699"/>
    <d v="2017-03-12T00:00:00"/>
    <x v="3"/>
    <x v="2"/>
    <x v="354"/>
    <n v="47.991999999999997"/>
    <n v="1"/>
    <n v="7.1988000000000003"/>
    <n v="0.15000000000000002"/>
    <n v="2017"/>
    <x v="2"/>
    <n v="3"/>
    <n v="47.991999999999997"/>
    <s v="Profit"/>
  </r>
  <r>
    <s v="US-2017-149510"/>
    <d v="2017-03-12T00:00:00"/>
    <x v="3"/>
    <x v="1"/>
    <x v="355"/>
    <n v="45.216000000000001"/>
    <n v="3"/>
    <n v="4.5216000000000003"/>
    <n v="0.1"/>
    <n v="2017"/>
    <x v="2"/>
    <n v="3"/>
    <n v="15.072000000000001"/>
    <s v="Profit"/>
  </r>
  <r>
    <s v="US-2017-149510"/>
    <d v="2017-03-12T00:00:00"/>
    <x v="3"/>
    <x v="1"/>
    <x v="356"/>
    <n v="28.782"/>
    <n v="6"/>
    <n v="-21.1068"/>
    <n v="-0.73333333333333328"/>
    <n v="2017"/>
    <x v="2"/>
    <n v="3"/>
    <n v="4.7969999999999997"/>
    <s v="Loss"/>
  </r>
  <r>
    <s v="US-2017-149510"/>
    <d v="2017-03-12T00:00:00"/>
    <x v="3"/>
    <x v="1"/>
    <x v="357"/>
    <n v="24.448"/>
    <n v="4"/>
    <n v="8.8623999999999992"/>
    <n v="0.36249999999999993"/>
    <n v="2017"/>
    <x v="2"/>
    <n v="3"/>
    <n v="6.1120000000000001"/>
    <s v="Profit"/>
  </r>
  <r>
    <s v="CA-2017-143126"/>
    <d v="2017-03-12T00:00:00"/>
    <x v="1"/>
    <x v="0"/>
    <x v="106"/>
    <n v="521.96"/>
    <n v="2"/>
    <n v="88.733199999999997"/>
    <n v="0.16999999999999998"/>
    <n v="2017"/>
    <x v="2"/>
    <n v="3"/>
    <n v="260.98"/>
    <s v="Profit"/>
  </r>
  <r>
    <s v="CA-2017-103415"/>
    <d v="2017-03-12T00:00:00"/>
    <x v="2"/>
    <x v="0"/>
    <x v="358"/>
    <n v="13.592000000000001"/>
    <n v="2"/>
    <n v="-14.271599999999999"/>
    <n v="-1.0499999999999998"/>
    <n v="2017"/>
    <x v="2"/>
    <n v="3"/>
    <n v="6.7960000000000003"/>
    <s v="Loss"/>
  </r>
  <r>
    <s v="CA-2017-123071"/>
    <d v="2017-03-12T00:00:00"/>
    <x v="2"/>
    <x v="1"/>
    <x v="45"/>
    <n v="10.368"/>
    <n v="2"/>
    <n v="3.6288"/>
    <n v="0.35"/>
    <n v="2017"/>
    <x v="2"/>
    <n v="3"/>
    <n v="5.1840000000000002"/>
    <s v="Profit"/>
  </r>
  <r>
    <s v="CA-2017-118017"/>
    <d v="2017-03-12T00:00:00"/>
    <x v="1"/>
    <x v="1"/>
    <x v="359"/>
    <n v="13.343999999999999"/>
    <n v="6"/>
    <n v="1.0007999999999999"/>
    <n v="7.4999999999999997E-2"/>
    <n v="2017"/>
    <x v="2"/>
    <n v="3"/>
    <n v="2.2239999999999998"/>
    <s v="Profit"/>
  </r>
  <r>
    <s v="CA-2017-118017"/>
    <d v="2017-03-12T00:00:00"/>
    <x v="1"/>
    <x v="2"/>
    <x v="360"/>
    <n v="76.751999999999995"/>
    <n v="6"/>
    <n v="10.5534"/>
    <n v="0.13750000000000001"/>
    <n v="2017"/>
    <x v="2"/>
    <n v="3"/>
    <n v="12.792"/>
    <s v="Profit"/>
  </r>
  <r>
    <s v="CA-2017-118017"/>
    <d v="2017-03-12T00:00:00"/>
    <x v="1"/>
    <x v="2"/>
    <x v="360"/>
    <n v="102.336"/>
    <n v="8"/>
    <n v="14.071199999999999"/>
    <n v="0.13749999999999998"/>
    <n v="2017"/>
    <x v="2"/>
    <n v="3"/>
    <n v="12.792"/>
    <s v="Profit"/>
  </r>
  <r>
    <s v="CA-2017-118017"/>
    <d v="2017-03-12T00:00:00"/>
    <x v="1"/>
    <x v="1"/>
    <x v="294"/>
    <n v="10.32"/>
    <n v="2"/>
    <n v="3.7410000000000001"/>
    <n v="0.36249999999999999"/>
    <n v="2017"/>
    <x v="2"/>
    <n v="3"/>
    <n v="5.16"/>
    <s v="Profit"/>
  </r>
  <r>
    <s v="CA-2017-118017"/>
    <d v="2017-03-12T00:00:00"/>
    <x v="1"/>
    <x v="1"/>
    <x v="361"/>
    <n v="47.32"/>
    <n v="7"/>
    <n v="5.915"/>
    <n v="0.125"/>
    <n v="2017"/>
    <x v="2"/>
    <n v="3"/>
    <n v="6.76"/>
    <s v="Profit"/>
  </r>
  <r>
    <s v="CA-2017-118017"/>
    <d v="2017-03-12T00:00:00"/>
    <x v="1"/>
    <x v="0"/>
    <x v="263"/>
    <n v="23.376000000000001"/>
    <n v="3"/>
    <n v="7.0128000000000004"/>
    <n v="0.3"/>
    <n v="2017"/>
    <x v="2"/>
    <n v="3"/>
    <n v="7.7920000000000007"/>
    <s v="Profit"/>
  </r>
  <r>
    <s v="CA-2017-118017"/>
    <d v="2017-03-12T00:00:00"/>
    <x v="1"/>
    <x v="0"/>
    <x v="362"/>
    <n v="16.72"/>
    <n v="5"/>
    <n v="3.3439999999999999"/>
    <n v="0.2"/>
    <n v="2017"/>
    <x v="2"/>
    <n v="3"/>
    <n v="3.3439999999999999"/>
    <s v="Profit"/>
  </r>
  <r>
    <s v="CA-2017-118017"/>
    <d v="2017-03-12T00:00:00"/>
    <x v="1"/>
    <x v="0"/>
    <x v="363"/>
    <n v="16.192"/>
    <n v="1"/>
    <n v="4.6551999999999998"/>
    <n v="0.28749999999999998"/>
    <n v="2017"/>
    <x v="2"/>
    <n v="3"/>
    <n v="16.192"/>
    <s v="Profit"/>
  </r>
  <r>
    <s v="CA-2017-169474"/>
    <d v="2017-04-02T00:00:00"/>
    <x v="0"/>
    <x v="1"/>
    <x v="364"/>
    <n v="32.67"/>
    <n v="3"/>
    <n v="8.4941999999999993"/>
    <n v="0.25999999999999995"/>
    <n v="2017"/>
    <x v="3"/>
    <n v="4"/>
    <n v="10.89"/>
    <s v="Profit"/>
  </r>
  <r>
    <s v="CA-2017-110478"/>
    <d v="2017-04-03T00:00:00"/>
    <x v="1"/>
    <x v="1"/>
    <x v="365"/>
    <n v="9.32"/>
    <n v="4"/>
    <n v="2.7027999999999999"/>
    <n v="0.28999999999999998"/>
    <n v="2017"/>
    <x v="3"/>
    <n v="4"/>
    <n v="2.33"/>
    <s v="Profit"/>
  </r>
  <r>
    <s v="CA-2017-110478"/>
    <d v="2017-04-03T00:00:00"/>
    <x v="1"/>
    <x v="1"/>
    <x v="366"/>
    <n v="15.25"/>
    <n v="1"/>
    <n v="7.0149999999999997"/>
    <n v="0.45999999999999996"/>
    <n v="2017"/>
    <x v="3"/>
    <n v="4"/>
    <n v="15.25"/>
    <s v="Profit"/>
  </r>
  <r>
    <s v="CA-2017-142174"/>
    <d v="2017-04-03T00:00:00"/>
    <x v="2"/>
    <x v="1"/>
    <x v="367"/>
    <n v="89.567999999999998"/>
    <n v="2"/>
    <n v="32.468400000000003"/>
    <n v="0.36250000000000004"/>
    <n v="2017"/>
    <x v="3"/>
    <n v="4"/>
    <n v="44.783999999999999"/>
    <s v="Profit"/>
  </r>
  <r>
    <s v="US-2017-119816"/>
    <d v="2017-04-03T00:00:00"/>
    <x v="2"/>
    <x v="0"/>
    <x v="368"/>
    <n v="103.5"/>
    <n v="5"/>
    <n v="-77.625"/>
    <n v="-0.75"/>
    <n v="2017"/>
    <x v="3"/>
    <n v="4"/>
    <n v="20.7"/>
    <s v="Loss"/>
  </r>
  <r>
    <s v="US-2017-119816"/>
    <d v="2017-04-03T00:00:00"/>
    <x v="2"/>
    <x v="1"/>
    <x v="369"/>
    <n v="2.464"/>
    <n v="1"/>
    <n v="0.86240000000000006"/>
    <n v="0.35000000000000003"/>
    <n v="2017"/>
    <x v="3"/>
    <n v="4"/>
    <n v="2.464"/>
    <s v="Profit"/>
  </r>
  <r>
    <s v="US-2017-119816"/>
    <d v="2017-04-03T00:00:00"/>
    <x v="2"/>
    <x v="1"/>
    <x v="162"/>
    <n v="8.7200000000000006"/>
    <n v="1"/>
    <n v="0.65400000000000003"/>
    <n v="7.4999999999999997E-2"/>
    <n v="2017"/>
    <x v="3"/>
    <n v="4"/>
    <n v="8.7200000000000006"/>
    <s v="Profit"/>
  </r>
  <r>
    <s v="CA-2017-157903"/>
    <d v="2017-04-04T00:00:00"/>
    <x v="2"/>
    <x v="2"/>
    <x v="370"/>
    <n v="383.84"/>
    <n v="4"/>
    <n v="47.98"/>
    <n v="0.125"/>
    <n v="2017"/>
    <x v="3"/>
    <n v="4"/>
    <n v="95.96"/>
    <s v="Profit"/>
  </r>
  <r>
    <s v="CA-2017-144848"/>
    <d v="2017-04-04T00:00:00"/>
    <x v="0"/>
    <x v="2"/>
    <x v="371"/>
    <n v="41.22"/>
    <n v="1"/>
    <n v="11.1294"/>
    <n v="0.27"/>
    <n v="2017"/>
    <x v="3"/>
    <n v="4"/>
    <n v="41.22"/>
    <s v="Profit"/>
  </r>
  <r>
    <s v="CA-2017-144848"/>
    <d v="2017-04-04T00:00:00"/>
    <x v="0"/>
    <x v="1"/>
    <x v="215"/>
    <n v="240.37"/>
    <n v="1"/>
    <n v="7.2111000000000001"/>
    <n v="0.03"/>
    <n v="2017"/>
    <x v="3"/>
    <n v="4"/>
    <n v="240.37"/>
    <s v="Profit"/>
  </r>
  <r>
    <s v="CA-2017-144848"/>
    <d v="2017-04-04T00:00:00"/>
    <x v="0"/>
    <x v="2"/>
    <x v="372"/>
    <n v="119.02"/>
    <n v="2"/>
    <n v="33.325600000000001"/>
    <n v="0.28000000000000003"/>
    <n v="2017"/>
    <x v="3"/>
    <n v="4"/>
    <n v="59.51"/>
    <s v="Profit"/>
  </r>
  <r>
    <s v="CA-2017-109211"/>
    <d v="2017-04-04T00:00:00"/>
    <x v="0"/>
    <x v="1"/>
    <x v="373"/>
    <n v="16.98"/>
    <n v="1"/>
    <n v="8.49"/>
    <n v="0.5"/>
    <n v="2017"/>
    <x v="3"/>
    <n v="4"/>
    <n v="16.98"/>
    <s v="Profit"/>
  </r>
  <r>
    <s v="CA-2017-140536"/>
    <d v="2017-04-04T00:00:00"/>
    <x v="0"/>
    <x v="1"/>
    <x v="374"/>
    <n v="7.04"/>
    <n v="4"/>
    <n v="2.0415999999999999"/>
    <n v="0.28999999999999998"/>
    <n v="2017"/>
    <x v="3"/>
    <n v="4"/>
    <n v="1.76"/>
    <s v="Profit"/>
  </r>
  <r>
    <s v="CA-2017-162978"/>
    <d v="2017-04-05T00:00:00"/>
    <x v="1"/>
    <x v="2"/>
    <x v="375"/>
    <n v="183.96"/>
    <n v="5"/>
    <n v="20.695499999999999"/>
    <n v="0.11249999999999999"/>
    <n v="2017"/>
    <x v="3"/>
    <n v="4"/>
    <n v="36.792000000000002"/>
    <s v="Profit"/>
  </r>
  <r>
    <s v="CA-2017-162978"/>
    <d v="2017-04-05T00:00:00"/>
    <x v="1"/>
    <x v="1"/>
    <x v="376"/>
    <n v="17.61"/>
    <n v="3"/>
    <n v="8.4527999999999999"/>
    <n v="0.48"/>
    <n v="2017"/>
    <x v="3"/>
    <n v="4"/>
    <n v="5.87"/>
    <s v="Profit"/>
  </r>
  <r>
    <s v="CA-2017-162978"/>
    <d v="2017-04-05T00:00:00"/>
    <x v="1"/>
    <x v="0"/>
    <x v="377"/>
    <n v="300.904"/>
    <n v="1"/>
    <n v="11.283899999999999"/>
    <n v="3.7499999999999999E-2"/>
    <n v="2017"/>
    <x v="3"/>
    <n v="4"/>
    <n v="300.904"/>
    <s v="Profit"/>
  </r>
  <r>
    <s v="CA-2017-128755"/>
    <d v="2017-04-05T00:00:00"/>
    <x v="3"/>
    <x v="1"/>
    <x v="378"/>
    <n v="9.11"/>
    <n v="1"/>
    <n v="4.0994999999999999"/>
    <n v="0.45"/>
    <n v="2017"/>
    <x v="3"/>
    <n v="4"/>
    <n v="9.11"/>
    <s v="Profit"/>
  </r>
  <r>
    <s v="CA-2017-128755"/>
    <d v="2017-04-05T00:00:00"/>
    <x v="3"/>
    <x v="1"/>
    <x v="238"/>
    <n v="571.44000000000005"/>
    <n v="4"/>
    <n v="165.7176"/>
    <n v="0.28999999999999998"/>
    <n v="2017"/>
    <x v="3"/>
    <n v="4"/>
    <n v="142.86000000000001"/>
    <s v="Profit"/>
  </r>
  <r>
    <s v="CA-2017-128755"/>
    <d v="2017-04-05T00:00:00"/>
    <x v="3"/>
    <x v="1"/>
    <x v="379"/>
    <n v="32.4"/>
    <n v="5"/>
    <n v="15.552"/>
    <n v="0.48"/>
    <n v="2017"/>
    <x v="3"/>
    <n v="4"/>
    <n v="6.4799999999999995"/>
    <s v="Profit"/>
  </r>
  <r>
    <s v="CA-2017-128755"/>
    <d v="2017-04-05T00:00:00"/>
    <x v="3"/>
    <x v="1"/>
    <x v="380"/>
    <n v="16.91"/>
    <n v="1"/>
    <n v="4.5656999999999996"/>
    <n v="0.26999999999999996"/>
    <n v="2017"/>
    <x v="3"/>
    <n v="4"/>
    <n v="16.91"/>
    <s v="Profit"/>
  </r>
  <r>
    <s v="CA-2017-168900"/>
    <d v="2017-04-05T00:00:00"/>
    <x v="0"/>
    <x v="1"/>
    <x v="381"/>
    <n v="2.3130000000000002"/>
    <n v="1"/>
    <n v="-1.9275"/>
    <n v="-0.83333333333333326"/>
    <n v="2017"/>
    <x v="3"/>
    <n v="4"/>
    <n v="2.3130000000000002"/>
    <s v="Loss"/>
  </r>
  <r>
    <s v="CA-2017-133067"/>
    <d v="2017-04-05T00:00:00"/>
    <x v="0"/>
    <x v="1"/>
    <x v="382"/>
    <n v="2.202"/>
    <n v="2"/>
    <n v="-1.5414000000000001"/>
    <n v="-0.70000000000000007"/>
    <n v="2017"/>
    <x v="3"/>
    <n v="4"/>
    <n v="1.101"/>
    <s v="Loss"/>
  </r>
  <r>
    <s v="CA-2017-133067"/>
    <d v="2017-04-05T00:00:00"/>
    <x v="0"/>
    <x v="1"/>
    <x v="102"/>
    <n v="9.3960000000000008"/>
    <n v="3"/>
    <n v="-7.5167999999999999"/>
    <n v="-0.79999999999999993"/>
    <n v="2017"/>
    <x v="3"/>
    <n v="4"/>
    <n v="3.1320000000000001"/>
    <s v="Loss"/>
  </r>
  <r>
    <s v="CA-2017-119914"/>
    <d v="2017-04-05T00:00:00"/>
    <x v="1"/>
    <x v="1"/>
    <x v="383"/>
    <n v="243.16"/>
    <n v="2"/>
    <n v="72.947999999999993"/>
    <n v="0.3"/>
    <n v="2017"/>
    <x v="3"/>
    <n v="4"/>
    <n v="121.58"/>
    <s v="Profit"/>
  </r>
  <r>
    <s v="CA-2017-158407"/>
    <d v="2017-04-06T00:00:00"/>
    <x v="3"/>
    <x v="0"/>
    <x v="328"/>
    <n v="31.984000000000002"/>
    <n v="2"/>
    <n v="1.9990000000000001"/>
    <n v="6.25E-2"/>
    <n v="2017"/>
    <x v="3"/>
    <n v="4"/>
    <n v="15.992000000000001"/>
    <s v="Profit"/>
  </r>
  <r>
    <s v="CA-2017-158407"/>
    <d v="2017-04-06T00:00:00"/>
    <x v="3"/>
    <x v="2"/>
    <x v="384"/>
    <n v="71.983999999999995"/>
    <n v="2"/>
    <n v="25.194400000000002"/>
    <n v="0.35000000000000003"/>
    <n v="2017"/>
    <x v="3"/>
    <n v="4"/>
    <n v="35.991999999999997"/>
    <s v="Profit"/>
  </r>
  <r>
    <s v="CA-2017-100426"/>
    <d v="2017-04-06T00:00:00"/>
    <x v="3"/>
    <x v="1"/>
    <x v="385"/>
    <n v="12.48"/>
    <n v="2"/>
    <n v="5.6159999999999997"/>
    <n v="0.44999999999999996"/>
    <n v="2017"/>
    <x v="3"/>
    <n v="4"/>
    <n v="6.24"/>
    <s v="Profit"/>
  </r>
  <r>
    <s v="CA-2017-158106"/>
    <d v="2017-04-06T00:00:00"/>
    <x v="2"/>
    <x v="1"/>
    <x v="386"/>
    <n v="8.64"/>
    <n v="3"/>
    <n v="2.5055999999999998"/>
    <n v="0.28999999999999998"/>
    <n v="2017"/>
    <x v="3"/>
    <n v="4"/>
    <n v="2.8800000000000003"/>
    <s v="Profit"/>
  </r>
  <r>
    <s v="CA-2017-158953"/>
    <d v="2017-04-06T00:00:00"/>
    <x v="2"/>
    <x v="1"/>
    <x v="387"/>
    <n v="6.37"/>
    <n v="7"/>
    <n v="-9.5549999999999997"/>
    <n v="-1.5"/>
    <n v="2017"/>
    <x v="3"/>
    <n v="4"/>
    <n v="0.91"/>
    <s v="Loss"/>
  </r>
  <r>
    <s v="CA-2017-133095"/>
    <d v="2017-04-06T00:00:00"/>
    <x v="3"/>
    <x v="1"/>
    <x v="125"/>
    <n v="108.08"/>
    <n v="7"/>
    <n v="54.04"/>
    <n v="0.5"/>
    <n v="2017"/>
    <x v="3"/>
    <n v="4"/>
    <n v="15.44"/>
    <s v="Profit"/>
  </r>
  <r>
    <s v="CA-2017-133095"/>
    <d v="2017-04-06T00:00:00"/>
    <x v="3"/>
    <x v="1"/>
    <x v="388"/>
    <n v="9.5399999999999991"/>
    <n v="3"/>
    <n v="4.3883999999999999"/>
    <n v="0.46"/>
    <n v="2017"/>
    <x v="3"/>
    <n v="4"/>
    <n v="3.1799999999999997"/>
    <s v="Profit"/>
  </r>
  <r>
    <s v="CA-2017-149720"/>
    <d v="2017-04-06T00:00:00"/>
    <x v="2"/>
    <x v="0"/>
    <x v="389"/>
    <n v="30.335999999999999"/>
    <n v="6"/>
    <n v="-17.443200000000001"/>
    <n v="-0.57500000000000007"/>
    <n v="2017"/>
    <x v="3"/>
    <n v="4"/>
    <n v="5.056"/>
    <s v="Loss"/>
  </r>
  <r>
    <s v="CA-2017-132738"/>
    <d v="2017-04-08T00:00:00"/>
    <x v="1"/>
    <x v="1"/>
    <x v="390"/>
    <n v="7.968"/>
    <n v="2"/>
    <n v="2.8883999999999999"/>
    <n v="0.36249999999999999"/>
    <n v="2017"/>
    <x v="3"/>
    <n v="4"/>
    <n v="3.984"/>
    <s v="Profit"/>
  </r>
  <r>
    <s v="CA-2017-132738"/>
    <d v="2017-04-08T00:00:00"/>
    <x v="1"/>
    <x v="1"/>
    <x v="139"/>
    <n v="8.7840000000000007"/>
    <n v="1"/>
    <n v="3.1842000000000001"/>
    <n v="0.36249999999999999"/>
    <n v="2017"/>
    <x v="3"/>
    <n v="4"/>
    <n v="8.7840000000000007"/>
    <s v="Profit"/>
  </r>
  <r>
    <s v="CA-2017-146367"/>
    <d v="2017-04-08T00:00:00"/>
    <x v="2"/>
    <x v="1"/>
    <x v="391"/>
    <n v="3.3180000000000001"/>
    <n v="3"/>
    <n v="-5.6406000000000001"/>
    <n v="-1.7"/>
    <n v="2017"/>
    <x v="3"/>
    <n v="4"/>
    <n v="1.1060000000000001"/>
    <s v="Loss"/>
  </r>
  <r>
    <s v="CA-2017-152485"/>
    <d v="2017-04-09T00:00:00"/>
    <x v="2"/>
    <x v="1"/>
    <x v="392"/>
    <n v="10.192"/>
    <n v="7"/>
    <n v="3.1850000000000001"/>
    <n v="0.3125"/>
    <n v="2017"/>
    <x v="3"/>
    <n v="4"/>
    <n v="1.456"/>
    <s v="Profit"/>
  </r>
  <r>
    <s v="CA-2017-152485"/>
    <d v="2017-04-09T00:00:00"/>
    <x v="2"/>
    <x v="1"/>
    <x v="393"/>
    <n v="16.783999999999999"/>
    <n v="1"/>
    <n v="-0.20979999999999999"/>
    <n v="-1.2500000000000001E-2"/>
    <n v="2017"/>
    <x v="3"/>
    <n v="4"/>
    <n v="16.783999999999999"/>
    <s v="Loss"/>
  </r>
  <r>
    <s v="CA-2017-152485"/>
    <d v="2017-04-09T00:00:00"/>
    <x v="2"/>
    <x v="1"/>
    <x v="394"/>
    <n v="13.12"/>
    <n v="5"/>
    <n v="3.7719999999999998"/>
    <n v="0.28749999999999998"/>
    <n v="2017"/>
    <x v="3"/>
    <n v="4"/>
    <n v="2.6239999999999997"/>
    <s v="Profit"/>
  </r>
  <r>
    <s v="CA-2017-120761"/>
    <d v="2017-04-09T00:00:00"/>
    <x v="0"/>
    <x v="2"/>
    <x v="395"/>
    <n v="91.96"/>
    <n v="4"/>
    <n v="39.5428"/>
    <n v="0.43000000000000005"/>
    <n v="2017"/>
    <x v="3"/>
    <n v="4"/>
    <n v="22.99"/>
    <s v="Profit"/>
  </r>
  <r>
    <s v="CA-2017-102750"/>
    <d v="2017-04-09T00:00:00"/>
    <x v="1"/>
    <x v="0"/>
    <x v="189"/>
    <n v="1322.3520000000001"/>
    <n v="3"/>
    <n v="-99.176400000000001"/>
    <n v="-7.4999999999999997E-2"/>
    <n v="2017"/>
    <x v="3"/>
    <n v="4"/>
    <n v="440.78400000000005"/>
    <s v="Loss"/>
  </r>
  <r>
    <s v="CA-2017-101182"/>
    <d v="2017-04-09T00:00:00"/>
    <x v="1"/>
    <x v="1"/>
    <x v="214"/>
    <n v="12.96"/>
    <n v="2"/>
    <n v="6.2207999999999997"/>
    <n v="0.47999999999999993"/>
    <n v="2017"/>
    <x v="3"/>
    <n v="4"/>
    <n v="6.48"/>
    <s v="Profit"/>
  </r>
  <r>
    <s v="CA-2017-101182"/>
    <d v="2017-04-09T00:00:00"/>
    <x v="1"/>
    <x v="2"/>
    <x v="396"/>
    <n v="43.176000000000002"/>
    <n v="3"/>
    <n v="15.111599999999999"/>
    <n v="0.35"/>
    <n v="2017"/>
    <x v="3"/>
    <n v="4"/>
    <n v="14.392000000000001"/>
    <s v="Profit"/>
  </r>
  <r>
    <s v="CA-2017-140326"/>
    <d v="2017-04-09T00:00:00"/>
    <x v="2"/>
    <x v="0"/>
    <x v="397"/>
    <n v="825.17399999999998"/>
    <n v="9"/>
    <n v="-117.88200000000001"/>
    <n v="-0.14285714285714288"/>
    <n v="2017"/>
    <x v="3"/>
    <n v="4"/>
    <n v="91.685999999999993"/>
    <s v="Loss"/>
  </r>
  <r>
    <s v="CA-2017-140326"/>
    <d v="2017-04-09T00:00:00"/>
    <x v="2"/>
    <x v="1"/>
    <x v="398"/>
    <n v="17.760000000000002"/>
    <n v="3"/>
    <n v="5.55"/>
    <n v="0.31249999999999994"/>
    <n v="2017"/>
    <x v="3"/>
    <n v="4"/>
    <n v="5.9200000000000008"/>
    <s v="Profit"/>
  </r>
  <r>
    <s v="CA-2017-140326"/>
    <d v="2017-04-09T00:00:00"/>
    <x v="2"/>
    <x v="1"/>
    <x v="399"/>
    <n v="6.9119999999999999"/>
    <n v="3"/>
    <n v="0.86399999999999999"/>
    <n v="0.125"/>
    <n v="2017"/>
    <x v="3"/>
    <n v="4"/>
    <n v="2.3039999999999998"/>
    <s v="Profit"/>
  </r>
  <r>
    <s v="CA-2017-109757"/>
    <d v="2017-04-09T00:00:00"/>
    <x v="0"/>
    <x v="1"/>
    <x v="400"/>
    <n v="8.2560000000000002"/>
    <n v="4"/>
    <n v="0.61919999999999997"/>
    <n v="7.4999999999999997E-2"/>
    <n v="2017"/>
    <x v="3"/>
    <n v="4"/>
    <n v="2.0640000000000001"/>
    <s v="Profit"/>
  </r>
  <r>
    <s v="CA-2017-109757"/>
    <d v="2017-04-09T00:00:00"/>
    <x v="0"/>
    <x v="1"/>
    <x v="401"/>
    <n v="25.56"/>
    <n v="5"/>
    <n v="-20.448"/>
    <n v="-0.8"/>
    <n v="2017"/>
    <x v="3"/>
    <n v="4"/>
    <n v="5.1120000000000001"/>
    <s v="Loss"/>
  </r>
  <r>
    <s v="CA-2017-109757"/>
    <d v="2017-04-09T00:00:00"/>
    <x v="0"/>
    <x v="1"/>
    <x v="402"/>
    <n v="4.3680000000000003"/>
    <n v="2"/>
    <n v="-3.0575999999999999"/>
    <n v="-0.7"/>
    <n v="2017"/>
    <x v="3"/>
    <n v="4"/>
    <n v="2.1840000000000002"/>
    <s v="Loss"/>
  </r>
  <r>
    <s v="CA-2017-109757"/>
    <d v="2017-04-09T00:00:00"/>
    <x v="0"/>
    <x v="1"/>
    <x v="403"/>
    <n v="11.52"/>
    <n v="4"/>
    <n v="3.7440000000000002"/>
    <n v="0.32500000000000001"/>
    <n v="2017"/>
    <x v="3"/>
    <n v="4"/>
    <n v="2.88"/>
    <s v="Profit"/>
  </r>
  <r>
    <s v="CA-2017-141929"/>
    <d v="2017-04-09T00:00:00"/>
    <x v="1"/>
    <x v="1"/>
    <x v="404"/>
    <n v="487.98399999999998"/>
    <n v="2"/>
    <n v="152.495"/>
    <n v="0.3125"/>
    <n v="2017"/>
    <x v="3"/>
    <n v="4"/>
    <n v="243.99199999999999"/>
    <s v="Profit"/>
  </r>
  <r>
    <s v="CA-2017-141929"/>
    <d v="2017-04-09T00:00:00"/>
    <x v="1"/>
    <x v="2"/>
    <x v="405"/>
    <n v="5.56"/>
    <n v="1"/>
    <n v="1.7375"/>
    <n v="0.31250000000000006"/>
    <n v="2017"/>
    <x v="3"/>
    <n v="4"/>
    <n v="5.56"/>
    <s v="Profit"/>
  </r>
  <r>
    <s v="CA-2017-141929"/>
    <d v="2017-04-09T00:00:00"/>
    <x v="1"/>
    <x v="1"/>
    <x v="406"/>
    <n v="217.85"/>
    <n v="5"/>
    <n v="65.355000000000004"/>
    <n v="0.30000000000000004"/>
    <n v="2017"/>
    <x v="3"/>
    <n v="4"/>
    <n v="43.57"/>
    <s v="Profit"/>
  </r>
  <r>
    <s v="CA-2017-117394"/>
    <d v="2017-04-09T00:00:00"/>
    <x v="0"/>
    <x v="2"/>
    <x v="407"/>
    <n v="19.04"/>
    <n v="4"/>
    <n v="-1.4279999999999999"/>
    <n v="-7.4999999999999997E-2"/>
    <n v="2017"/>
    <x v="3"/>
    <n v="4"/>
    <n v="4.76"/>
    <s v="Loss"/>
  </r>
  <r>
    <s v="CA-2017-117261"/>
    <d v="2017-04-09T00:00:00"/>
    <x v="1"/>
    <x v="1"/>
    <x v="408"/>
    <n v="54.32"/>
    <n v="4"/>
    <n v="0.54320000000000002"/>
    <n v="0.01"/>
    <n v="2017"/>
    <x v="3"/>
    <n v="4"/>
    <n v="13.58"/>
    <s v="Profit"/>
  </r>
  <r>
    <s v="CA-2017-116680"/>
    <d v="2017-04-09T00:00:00"/>
    <x v="1"/>
    <x v="1"/>
    <x v="127"/>
    <n v="13.343999999999999"/>
    <n v="6"/>
    <n v="4.3368000000000002"/>
    <n v="0.32500000000000001"/>
    <n v="2017"/>
    <x v="3"/>
    <n v="4"/>
    <n v="2.2239999999999998"/>
    <s v="Profit"/>
  </r>
  <r>
    <s v="CA-2017-116680"/>
    <d v="2017-04-09T00:00:00"/>
    <x v="1"/>
    <x v="0"/>
    <x v="409"/>
    <n v="1478.2719999999999"/>
    <n v="8"/>
    <n v="92.391999999999996"/>
    <n v="6.25E-2"/>
    <n v="2017"/>
    <x v="3"/>
    <n v="4"/>
    <n v="184.78399999999999"/>
    <s v="Profit"/>
  </r>
  <r>
    <s v="US-2017-166394"/>
    <d v="2017-04-09T00:00:00"/>
    <x v="0"/>
    <x v="1"/>
    <x v="111"/>
    <n v="14.82"/>
    <n v="6"/>
    <n v="6.9653999999999998"/>
    <n v="0.47"/>
    <n v="2017"/>
    <x v="3"/>
    <n v="4"/>
    <n v="2.4700000000000002"/>
    <s v="Profit"/>
  </r>
  <r>
    <s v="CA-2017-147410"/>
    <d v="2017-04-09T00:00:00"/>
    <x v="1"/>
    <x v="1"/>
    <x v="410"/>
    <n v="421.1"/>
    <n v="2"/>
    <n v="105.27500000000001"/>
    <n v="0.25"/>
    <n v="2017"/>
    <x v="3"/>
    <n v="4"/>
    <n v="210.55"/>
    <s v="Profit"/>
  </r>
  <r>
    <s v="US-2017-117450"/>
    <d v="2017-04-09T00:00:00"/>
    <x v="3"/>
    <x v="0"/>
    <x v="411"/>
    <n v="97.183999999999997"/>
    <n v="2"/>
    <n v="6.0739999999999998"/>
    <n v="6.25E-2"/>
    <n v="2017"/>
    <x v="3"/>
    <n v="4"/>
    <n v="48.591999999999999"/>
    <s v="Profit"/>
  </r>
  <r>
    <s v="US-2017-117450"/>
    <d v="2017-04-09T00:00:00"/>
    <x v="3"/>
    <x v="1"/>
    <x v="412"/>
    <n v="10.368"/>
    <n v="2"/>
    <n v="3.6288"/>
    <n v="0.35"/>
    <n v="2017"/>
    <x v="3"/>
    <n v="4"/>
    <n v="5.1840000000000002"/>
    <s v="Profit"/>
  </r>
  <r>
    <s v="CA-2017-100783"/>
    <d v="2017-04-09T00:00:00"/>
    <x v="2"/>
    <x v="1"/>
    <x v="413"/>
    <n v="30.384"/>
    <n v="1"/>
    <n v="3.798"/>
    <n v="0.125"/>
    <n v="2017"/>
    <x v="3"/>
    <n v="4"/>
    <n v="30.384"/>
    <s v="Profit"/>
  </r>
  <r>
    <s v="CA-2017-137582"/>
    <d v="2017-04-09T00:00:00"/>
    <x v="1"/>
    <x v="1"/>
    <x v="414"/>
    <n v="11.808"/>
    <n v="3"/>
    <n v="4.1327999999999996"/>
    <n v="0.35"/>
    <n v="2017"/>
    <x v="3"/>
    <n v="4"/>
    <n v="3.9359999999999999"/>
    <s v="Profit"/>
  </r>
  <r>
    <s v="US-2017-147655"/>
    <d v="2017-04-09T00:00:00"/>
    <x v="1"/>
    <x v="1"/>
    <x v="415"/>
    <n v="88.073999999999998"/>
    <n v="7"/>
    <n v="-58.716000000000001"/>
    <n v="-0.66666666666666674"/>
    <n v="2017"/>
    <x v="3"/>
    <n v="4"/>
    <n v="12.581999999999999"/>
    <s v="Loss"/>
  </r>
  <r>
    <s v="CA-2017-163818"/>
    <d v="2017-04-10T00:00:00"/>
    <x v="0"/>
    <x v="0"/>
    <x v="416"/>
    <n v="19.98"/>
    <n v="1"/>
    <n v="8.5914000000000001"/>
    <n v="0.43"/>
    <n v="2017"/>
    <x v="3"/>
    <n v="4"/>
    <n v="19.98"/>
    <s v="Profit"/>
  </r>
  <r>
    <s v="US-2017-168116"/>
    <d v="2017-04-11T00:00:00"/>
    <x v="3"/>
    <x v="2"/>
    <x v="417"/>
    <n v="7999.98"/>
    <n v="4"/>
    <n v="-3839.9904000000001"/>
    <n v="-0.48000000000000004"/>
    <n v="2017"/>
    <x v="3"/>
    <n v="4"/>
    <n v="1999.9949999999999"/>
    <s v="Loss"/>
  </r>
  <r>
    <s v="US-2017-168116"/>
    <d v="2017-04-11T00:00:00"/>
    <x v="3"/>
    <x v="1"/>
    <x v="418"/>
    <n v="167.44"/>
    <n v="2"/>
    <n v="14.651"/>
    <n v="8.7499999999999994E-2"/>
    <n v="2017"/>
    <x v="3"/>
    <n v="4"/>
    <n v="83.72"/>
    <s v="Profit"/>
  </r>
  <r>
    <s v="US-2017-156083"/>
    <d v="2017-04-11T00:00:00"/>
    <x v="3"/>
    <x v="1"/>
    <x v="419"/>
    <n v="9.6639999999999997"/>
    <n v="2"/>
    <n v="3.2616000000000001"/>
    <n v="0.33750000000000002"/>
    <n v="2017"/>
    <x v="3"/>
    <n v="4"/>
    <n v="4.8319999999999999"/>
    <s v="Profit"/>
  </r>
  <r>
    <s v="CA-2017-105144"/>
    <d v="2017-04-11T00:00:00"/>
    <x v="2"/>
    <x v="1"/>
    <x v="420"/>
    <n v="23.68"/>
    <n v="2"/>
    <n v="8.8800000000000008"/>
    <n v="0.37500000000000006"/>
    <n v="2017"/>
    <x v="3"/>
    <n v="4"/>
    <n v="11.84"/>
    <s v="Profit"/>
  </r>
  <r>
    <s v="CA-2017-147760"/>
    <d v="2017-04-11T00:00:00"/>
    <x v="3"/>
    <x v="0"/>
    <x v="421"/>
    <n v="523.76400000000001"/>
    <n v="3"/>
    <n v="-192.04679999999999"/>
    <n v="-0.36666666666666664"/>
    <n v="2017"/>
    <x v="3"/>
    <n v="4"/>
    <n v="174.58799999999999"/>
    <s v="Loss"/>
  </r>
  <r>
    <s v="CA-2017-147760"/>
    <d v="2017-04-11T00:00:00"/>
    <x v="3"/>
    <x v="2"/>
    <x v="422"/>
    <n v="1359.96"/>
    <n v="5"/>
    <n v="118.9965"/>
    <n v="8.7499999999999994E-2"/>
    <n v="2017"/>
    <x v="3"/>
    <n v="4"/>
    <n v="271.99200000000002"/>
    <s v="Profit"/>
  </r>
  <r>
    <s v="CA-2017-102610"/>
    <d v="2017-04-11T00:00:00"/>
    <x v="3"/>
    <x v="2"/>
    <x v="423"/>
    <n v="95.975999999999999"/>
    <n v="3"/>
    <n v="15.5961"/>
    <n v="0.16250000000000001"/>
    <n v="2017"/>
    <x v="3"/>
    <n v="4"/>
    <n v="31.992000000000001"/>
    <s v="Profit"/>
  </r>
  <r>
    <s v="CA-2017-102610"/>
    <d v="2017-04-11T00:00:00"/>
    <x v="3"/>
    <x v="2"/>
    <x v="424"/>
    <n v="143.928"/>
    <n v="9"/>
    <n v="-32.383800000000001"/>
    <n v="-0.22500000000000001"/>
    <n v="2017"/>
    <x v="3"/>
    <n v="4"/>
    <n v="15.991999999999999"/>
    <s v="Loss"/>
  </r>
  <r>
    <s v="CA-2017-102610"/>
    <d v="2017-04-11T00:00:00"/>
    <x v="3"/>
    <x v="1"/>
    <x v="60"/>
    <n v="3.5640000000000001"/>
    <n v="2"/>
    <n v="-2.97"/>
    <n v="-0.83333333333333337"/>
    <n v="2017"/>
    <x v="3"/>
    <n v="4"/>
    <n v="1.782"/>
    <s v="Loss"/>
  </r>
  <r>
    <s v="CA-2017-102610"/>
    <d v="2017-04-11T00:00:00"/>
    <x v="3"/>
    <x v="1"/>
    <x v="425"/>
    <n v="4.9279999999999999"/>
    <n v="2"/>
    <n v="1.7248000000000001"/>
    <n v="0.35000000000000003"/>
    <n v="2017"/>
    <x v="3"/>
    <n v="4"/>
    <n v="2.464"/>
    <s v="Profit"/>
  </r>
  <r>
    <s v="CA-2017-121160"/>
    <d v="2017-04-11T00:00:00"/>
    <x v="2"/>
    <x v="1"/>
    <x v="66"/>
    <n v="7.5359999999999996"/>
    <n v="6"/>
    <n v="-13.188000000000001"/>
    <n v="-1.7500000000000002"/>
    <n v="2017"/>
    <x v="3"/>
    <n v="4"/>
    <n v="1.256"/>
    <s v="Loss"/>
  </r>
  <r>
    <s v="CA-2017-121160"/>
    <d v="2017-04-11T00:00:00"/>
    <x v="2"/>
    <x v="1"/>
    <x v="426"/>
    <n v="1.4079999999999999"/>
    <n v="2"/>
    <n v="-2.3231999999999999"/>
    <n v="-1.6500000000000001"/>
    <n v="2017"/>
    <x v="3"/>
    <n v="4"/>
    <n v="0.70399999999999996"/>
    <s v="Loss"/>
  </r>
  <r>
    <s v="CA-2017-121160"/>
    <d v="2017-04-11T00:00:00"/>
    <x v="2"/>
    <x v="1"/>
    <x v="427"/>
    <n v="4.1440000000000001"/>
    <n v="4"/>
    <n v="-6.4231999999999996"/>
    <n v="-1.5499999999999998"/>
    <n v="2017"/>
    <x v="3"/>
    <n v="4"/>
    <n v="1.036"/>
    <s v="Loss"/>
  </r>
  <r>
    <s v="CA-2017-121160"/>
    <d v="2017-04-11T00:00:00"/>
    <x v="2"/>
    <x v="1"/>
    <x v="301"/>
    <n v="52.752000000000002"/>
    <n v="3"/>
    <n v="-12.528600000000001"/>
    <n v="-0.23750000000000002"/>
    <n v="2017"/>
    <x v="3"/>
    <n v="4"/>
    <n v="17.584"/>
    <s v="Loss"/>
  </r>
  <r>
    <s v="US-2017-122672"/>
    <d v="2017-04-11T00:00:00"/>
    <x v="0"/>
    <x v="2"/>
    <x v="428"/>
    <n v="70.72"/>
    <n v="4"/>
    <n v="-6.1879999999999997"/>
    <n v="-8.7499999999999994E-2"/>
    <n v="2017"/>
    <x v="3"/>
    <n v="4"/>
    <n v="17.68"/>
    <s v="Loss"/>
  </r>
  <r>
    <s v="US-2017-122672"/>
    <d v="2017-04-11T00:00:00"/>
    <x v="0"/>
    <x v="1"/>
    <x v="429"/>
    <n v="194.352"/>
    <n v="3"/>
    <n v="-43.729199999999999"/>
    <n v="-0.22499999999999998"/>
    <n v="2017"/>
    <x v="3"/>
    <n v="4"/>
    <n v="64.784000000000006"/>
    <s v="Loss"/>
  </r>
  <r>
    <s v="CA-2017-159135"/>
    <d v="2017-04-11T00:00:00"/>
    <x v="3"/>
    <x v="1"/>
    <x v="430"/>
    <n v="4.3"/>
    <n v="2"/>
    <n v="1.419"/>
    <n v="0.33"/>
    <n v="2017"/>
    <x v="3"/>
    <n v="4"/>
    <n v="2.15"/>
    <s v="Profit"/>
  </r>
  <r>
    <s v="CA-2017-156412"/>
    <d v="2017-04-12T00:00:00"/>
    <x v="0"/>
    <x v="1"/>
    <x v="60"/>
    <n v="5.3460000000000001"/>
    <n v="3"/>
    <n v="-4.4550000000000001"/>
    <n v="-0.83333333333333337"/>
    <n v="2017"/>
    <x v="3"/>
    <n v="4"/>
    <n v="1.782"/>
    <s v="Loss"/>
  </r>
  <r>
    <s v="CA-2017-139773"/>
    <d v="2017-04-12T00:00:00"/>
    <x v="0"/>
    <x v="0"/>
    <x v="431"/>
    <n v="188.55199999999999"/>
    <n v="7"/>
    <n v="-2.6936"/>
    <n v="-1.4285714285714287E-2"/>
    <n v="2017"/>
    <x v="3"/>
    <n v="4"/>
    <n v="26.936"/>
    <s v="Loss"/>
  </r>
  <r>
    <s v="CA-2017-117667"/>
    <d v="2017-04-12T00:00:00"/>
    <x v="0"/>
    <x v="0"/>
    <x v="432"/>
    <n v="239.96"/>
    <n v="10"/>
    <n v="-10.284000000000001"/>
    <n v="-4.2857142857142858E-2"/>
    <n v="2017"/>
    <x v="3"/>
    <n v="4"/>
    <n v="23.996000000000002"/>
    <s v="Loss"/>
  </r>
  <r>
    <s v="CA-2017-117667"/>
    <d v="2017-04-12T00:00:00"/>
    <x v="0"/>
    <x v="0"/>
    <x v="433"/>
    <n v="54.768000000000001"/>
    <n v="2"/>
    <n v="6.8460000000000001"/>
    <n v="0.125"/>
    <n v="2017"/>
    <x v="3"/>
    <n v="4"/>
    <n v="27.384"/>
    <s v="Profit"/>
  </r>
  <r>
    <s v="CA-2017-117667"/>
    <d v="2017-04-12T00:00:00"/>
    <x v="0"/>
    <x v="1"/>
    <x v="434"/>
    <n v="13.391999999999999"/>
    <n v="3"/>
    <n v="3.1806000000000001"/>
    <n v="0.23750000000000002"/>
    <n v="2017"/>
    <x v="3"/>
    <n v="4"/>
    <n v="4.4639999999999995"/>
    <s v="Profit"/>
  </r>
  <r>
    <s v="CA-2017-117667"/>
    <d v="2017-04-12T00:00:00"/>
    <x v="0"/>
    <x v="1"/>
    <x v="435"/>
    <n v="23.92"/>
    <n v="5"/>
    <n v="8.6709999999999994"/>
    <n v="0.36249999999999993"/>
    <n v="2017"/>
    <x v="3"/>
    <n v="4"/>
    <n v="4.7840000000000007"/>
    <s v="Profit"/>
  </r>
  <r>
    <s v="CA-2017-117667"/>
    <d v="2017-04-12T00:00:00"/>
    <x v="0"/>
    <x v="2"/>
    <x v="121"/>
    <n v="255.96799999999999"/>
    <n v="4"/>
    <n v="-28.796399999999998"/>
    <n v="-0.1125"/>
    <n v="2017"/>
    <x v="3"/>
    <n v="4"/>
    <n v="63.991999999999997"/>
    <s v="Loss"/>
  </r>
  <r>
    <s v="CA-2017-152660"/>
    <d v="2017-04-12T00:00:00"/>
    <x v="2"/>
    <x v="1"/>
    <x v="436"/>
    <n v="61.567999999999998"/>
    <n v="2"/>
    <n v="4.6176000000000004"/>
    <n v="7.5000000000000011E-2"/>
    <n v="2017"/>
    <x v="3"/>
    <n v="4"/>
    <n v="30.783999999999999"/>
    <s v="Profit"/>
  </r>
  <r>
    <s v="US-2017-107384"/>
    <d v="2017-04-12T00:00:00"/>
    <x v="2"/>
    <x v="1"/>
    <x v="437"/>
    <n v="8.8000000000000007"/>
    <n v="5"/>
    <n v="2.552"/>
    <n v="0.28999999999999998"/>
    <n v="2017"/>
    <x v="3"/>
    <n v="4"/>
    <n v="1.7600000000000002"/>
    <s v="Profit"/>
  </r>
  <r>
    <s v="US-2017-107384"/>
    <d v="2017-04-12T00:00:00"/>
    <x v="2"/>
    <x v="2"/>
    <x v="438"/>
    <n v="142.80000000000001"/>
    <n v="1"/>
    <n v="29.988"/>
    <n v="0.21"/>
    <n v="2017"/>
    <x v="3"/>
    <n v="4"/>
    <n v="142.80000000000001"/>
    <s v="Profit"/>
  </r>
  <r>
    <s v="US-2017-107384"/>
    <d v="2017-04-12T00:00:00"/>
    <x v="2"/>
    <x v="2"/>
    <x v="439"/>
    <n v="399.95"/>
    <n v="5"/>
    <n v="143.982"/>
    <n v="0.36"/>
    <n v="2017"/>
    <x v="3"/>
    <n v="4"/>
    <n v="79.989999999999995"/>
    <s v="Profit"/>
  </r>
  <r>
    <s v="CA-2017-109183"/>
    <d v="2017-04-12T00:00:00"/>
    <x v="3"/>
    <x v="2"/>
    <x v="440"/>
    <n v="649"/>
    <n v="2"/>
    <n v="-272.58"/>
    <n v="-0.42"/>
    <n v="2017"/>
    <x v="3"/>
    <n v="4"/>
    <n v="324.5"/>
    <s v="Loss"/>
  </r>
  <r>
    <s v="CA-2017-160031"/>
    <d v="2017-04-12T00:00:00"/>
    <x v="0"/>
    <x v="1"/>
    <x v="441"/>
    <n v="74.352000000000004"/>
    <n v="3"/>
    <n v="23.234999999999999"/>
    <n v="0.3125"/>
    <n v="2017"/>
    <x v="3"/>
    <n v="4"/>
    <n v="24.784000000000002"/>
    <s v="Profit"/>
  </r>
  <r>
    <s v="CA-2017-153227"/>
    <d v="2017-04-12T00:00:00"/>
    <x v="1"/>
    <x v="1"/>
    <x v="218"/>
    <n v="11.76"/>
    <n v="2"/>
    <n v="5.7624000000000004"/>
    <n v="0.49000000000000005"/>
    <n v="2017"/>
    <x v="3"/>
    <n v="4"/>
    <n v="5.88"/>
    <s v="Profit"/>
  </r>
  <r>
    <s v="CA-2017-118003"/>
    <d v="2017-04-12T00:00:00"/>
    <x v="0"/>
    <x v="0"/>
    <x v="442"/>
    <n v="12.99"/>
    <n v="1"/>
    <n v="1.5588"/>
    <n v="0.12"/>
    <n v="2017"/>
    <x v="3"/>
    <n v="4"/>
    <n v="12.99"/>
    <s v="Profit"/>
  </r>
  <r>
    <s v="CA-2017-118003"/>
    <d v="2017-04-12T00:00:00"/>
    <x v="0"/>
    <x v="0"/>
    <x v="411"/>
    <n v="182.22"/>
    <n v="3"/>
    <n v="45.555"/>
    <n v="0.25"/>
    <n v="2017"/>
    <x v="3"/>
    <n v="4"/>
    <n v="60.74"/>
    <s v="Profit"/>
  </r>
  <r>
    <s v="CA-2017-118003"/>
    <d v="2017-04-12T00:00:00"/>
    <x v="0"/>
    <x v="0"/>
    <x v="314"/>
    <n v="302.94"/>
    <n v="3"/>
    <n v="18.176400000000001"/>
    <n v="6.0000000000000005E-2"/>
    <n v="2017"/>
    <x v="3"/>
    <n v="4"/>
    <n v="100.98"/>
    <s v="Profit"/>
  </r>
  <r>
    <s v="CA-2017-147550"/>
    <d v="2017-04-12T00:00:00"/>
    <x v="0"/>
    <x v="0"/>
    <x v="443"/>
    <n v="11.352"/>
    <n v="3"/>
    <n v="2.6960999999999999"/>
    <n v="0.23749999999999999"/>
    <n v="2017"/>
    <x v="3"/>
    <n v="4"/>
    <n v="3.7840000000000003"/>
    <s v="Profit"/>
  </r>
  <r>
    <s v="CA-2017-131282"/>
    <d v="2017-05-02T00:00:00"/>
    <x v="2"/>
    <x v="1"/>
    <x v="404"/>
    <n v="243.99199999999999"/>
    <n v="4"/>
    <n v="-426.98599999999999"/>
    <n v="-1.75"/>
    <n v="2017"/>
    <x v="4"/>
    <n v="5"/>
    <n v="60.997999999999998"/>
    <s v="Loss"/>
  </r>
  <r>
    <s v="CA-2017-131282"/>
    <d v="2017-05-02T00:00:00"/>
    <x v="2"/>
    <x v="1"/>
    <x v="51"/>
    <n v="7.12"/>
    <n v="5"/>
    <n v="0.71199999999999997"/>
    <n v="9.9999999999999992E-2"/>
    <n v="2017"/>
    <x v="4"/>
    <n v="5"/>
    <n v="1.4239999999999999"/>
    <s v="Profit"/>
  </r>
  <r>
    <s v="CA-2017-107517"/>
    <d v="2017-05-02T00:00:00"/>
    <x v="1"/>
    <x v="1"/>
    <x v="444"/>
    <n v="1640.7"/>
    <n v="5"/>
    <n v="459.39600000000002"/>
    <n v="0.28000000000000003"/>
    <n v="2017"/>
    <x v="4"/>
    <n v="5"/>
    <n v="328.14"/>
    <s v="Profit"/>
  </r>
  <r>
    <s v="CA-2017-107517"/>
    <d v="2017-05-02T00:00:00"/>
    <x v="1"/>
    <x v="2"/>
    <x v="445"/>
    <n v="371.2"/>
    <n v="5"/>
    <n v="41.76"/>
    <n v="0.1125"/>
    <n v="2017"/>
    <x v="4"/>
    <n v="5"/>
    <n v="74.239999999999995"/>
    <s v="Profit"/>
  </r>
  <r>
    <s v="CA-2017-147753"/>
    <d v="2017-05-03T00:00:00"/>
    <x v="2"/>
    <x v="1"/>
    <x v="446"/>
    <n v="25.06"/>
    <n v="2"/>
    <n v="11.7782"/>
    <n v="0.47000000000000003"/>
    <n v="2017"/>
    <x v="4"/>
    <n v="5"/>
    <n v="12.53"/>
    <s v="Profit"/>
  </r>
  <r>
    <s v="CA-2017-168123"/>
    <d v="2017-05-03T00:00:00"/>
    <x v="2"/>
    <x v="1"/>
    <x v="447"/>
    <n v="7.9"/>
    <n v="2"/>
    <n v="2.528"/>
    <n v="0.32"/>
    <n v="2017"/>
    <x v="4"/>
    <n v="5"/>
    <n v="3.95"/>
    <s v="Profit"/>
  </r>
  <r>
    <s v="CA-2017-168123"/>
    <d v="2017-05-03T00:00:00"/>
    <x v="2"/>
    <x v="1"/>
    <x v="448"/>
    <n v="221.16"/>
    <n v="4"/>
    <n v="57.501600000000003"/>
    <n v="0.26"/>
    <n v="2017"/>
    <x v="4"/>
    <n v="5"/>
    <n v="55.29"/>
    <s v="Profit"/>
  </r>
  <r>
    <s v="CA-2017-168123"/>
    <d v="2017-05-03T00:00:00"/>
    <x v="2"/>
    <x v="1"/>
    <x v="449"/>
    <n v="127.96"/>
    <n v="2"/>
    <n v="62.700400000000002"/>
    <n v="0.49000000000000005"/>
    <n v="2017"/>
    <x v="4"/>
    <n v="5"/>
    <n v="63.98"/>
    <s v="Profit"/>
  </r>
  <r>
    <s v="CA-2017-168123"/>
    <d v="2017-05-03T00:00:00"/>
    <x v="2"/>
    <x v="1"/>
    <x v="450"/>
    <n v="18.690000000000001"/>
    <n v="3"/>
    <n v="9.1580999999999992"/>
    <n v="0.48999999999999994"/>
    <n v="2017"/>
    <x v="4"/>
    <n v="5"/>
    <n v="6.23"/>
    <s v="Profit"/>
  </r>
  <r>
    <s v="CA-2017-161046"/>
    <d v="2017-05-03T00:00:00"/>
    <x v="3"/>
    <x v="1"/>
    <x v="451"/>
    <n v="42.68"/>
    <n v="4"/>
    <n v="19.6328"/>
    <n v="0.46"/>
    <n v="2017"/>
    <x v="4"/>
    <n v="5"/>
    <n v="10.67"/>
    <s v="Profit"/>
  </r>
  <r>
    <s v="CA-2017-161046"/>
    <d v="2017-05-03T00:00:00"/>
    <x v="3"/>
    <x v="2"/>
    <x v="452"/>
    <n v="299.97000000000003"/>
    <n v="3"/>
    <n v="125.98739999999999"/>
    <n v="0.41999999999999993"/>
    <n v="2017"/>
    <x v="4"/>
    <n v="5"/>
    <n v="99.990000000000009"/>
    <s v="Profit"/>
  </r>
  <r>
    <s v="CA-2017-161046"/>
    <d v="2017-05-03T00:00:00"/>
    <x v="3"/>
    <x v="1"/>
    <x v="453"/>
    <n v="262.24"/>
    <n v="2"/>
    <n v="78.671999999999997"/>
    <n v="0.3"/>
    <n v="2017"/>
    <x v="4"/>
    <n v="5"/>
    <n v="131.12"/>
    <s v="Profit"/>
  </r>
  <r>
    <s v="CA-2017-161046"/>
    <d v="2017-05-03T00:00:00"/>
    <x v="3"/>
    <x v="1"/>
    <x v="454"/>
    <n v="234.36"/>
    <n v="6"/>
    <n v="112.4928"/>
    <n v="0.48"/>
    <n v="2017"/>
    <x v="4"/>
    <n v="5"/>
    <n v="39.06"/>
    <s v="Profit"/>
  </r>
  <r>
    <s v="US-2017-141943"/>
    <d v="2017-05-05T00:00:00"/>
    <x v="1"/>
    <x v="1"/>
    <x v="455"/>
    <n v="23.16"/>
    <n v="2"/>
    <n v="11.58"/>
    <n v="0.5"/>
    <n v="2017"/>
    <x v="4"/>
    <n v="5"/>
    <n v="11.58"/>
    <s v="Profit"/>
  </r>
  <r>
    <s v="CA-2017-105991"/>
    <d v="2017-05-05T00:00:00"/>
    <x v="1"/>
    <x v="1"/>
    <x v="456"/>
    <n v="21.24"/>
    <n v="9"/>
    <n v="7.4340000000000002"/>
    <n v="0.35000000000000003"/>
    <n v="2017"/>
    <x v="4"/>
    <n v="5"/>
    <n v="2.36"/>
    <s v="Profit"/>
  </r>
  <r>
    <s v="CA-2017-105991"/>
    <d v="2017-05-05T00:00:00"/>
    <x v="1"/>
    <x v="1"/>
    <x v="71"/>
    <n v="9.5519999999999996"/>
    <n v="8"/>
    <n v="-7.3231999999999999"/>
    <n v="-0.76666666666666672"/>
    <n v="2017"/>
    <x v="4"/>
    <n v="5"/>
    <n v="1.194"/>
    <s v="Loss"/>
  </r>
  <r>
    <s v="CA-2017-105991"/>
    <d v="2017-05-05T00:00:00"/>
    <x v="1"/>
    <x v="0"/>
    <x v="457"/>
    <n v="89.991"/>
    <n v="3"/>
    <n v="-152.9847"/>
    <n v="-1.7"/>
    <n v="2017"/>
    <x v="4"/>
    <n v="5"/>
    <n v="29.997"/>
    <s v="Loss"/>
  </r>
  <r>
    <s v="CA-2017-160724"/>
    <d v="2017-05-05T00:00:00"/>
    <x v="3"/>
    <x v="1"/>
    <x v="458"/>
    <n v="34.5"/>
    <n v="3"/>
    <n v="15.525"/>
    <n v="0.45"/>
    <n v="2017"/>
    <x v="4"/>
    <n v="5"/>
    <n v="11.5"/>
    <s v="Profit"/>
  </r>
  <r>
    <s v="CA-2017-107552"/>
    <d v="2017-05-05T00:00:00"/>
    <x v="0"/>
    <x v="1"/>
    <x v="348"/>
    <n v="6.68"/>
    <n v="1"/>
    <n v="3.2063999999999999"/>
    <n v="0.48"/>
    <n v="2017"/>
    <x v="4"/>
    <n v="5"/>
    <n v="6.68"/>
    <s v="Profit"/>
  </r>
  <r>
    <s v="CA-2017-126788"/>
    <d v="2017-05-06T00:00:00"/>
    <x v="2"/>
    <x v="2"/>
    <x v="459"/>
    <n v="470.37599999999998"/>
    <n v="3"/>
    <n v="52.917299999999997"/>
    <n v="0.1125"/>
    <n v="2017"/>
    <x v="4"/>
    <n v="5"/>
    <n v="156.792"/>
    <s v="Profit"/>
  </r>
  <r>
    <s v="CA-2017-141614"/>
    <d v="2017-05-06T00:00:00"/>
    <x v="3"/>
    <x v="1"/>
    <x v="460"/>
    <n v="20.736000000000001"/>
    <n v="4"/>
    <n v="7.2576000000000001"/>
    <n v="0.35"/>
    <n v="2017"/>
    <x v="4"/>
    <n v="5"/>
    <n v="5.1840000000000002"/>
    <s v="Profit"/>
  </r>
  <r>
    <s v="CA-2017-100223"/>
    <d v="2017-05-07T00:00:00"/>
    <x v="2"/>
    <x v="0"/>
    <x v="461"/>
    <n v="332.02800000000002"/>
    <n v="9"/>
    <n v="-348.62939999999998"/>
    <n v="-1.0499999999999998"/>
    <n v="2017"/>
    <x v="4"/>
    <n v="5"/>
    <n v="36.892000000000003"/>
    <s v="Loss"/>
  </r>
  <r>
    <s v="CA-2017-100223"/>
    <d v="2017-05-07T00:00:00"/>
    <x v="2"/>
    <x v="1"/>
    <x v="29"/>
    <n v="11.394"/>
    <n v="9"/>
    <n v="-17.660699999999999"/>
    <n v="-1.5499999999999998"/>
    <n v="2017"/>
    <x v="4"/>
    <n v="5"/>
    <n v="1.266"/>
    <s v="Loss"/>
  </r>
  <r>
    <s v="CA-2017-100223"/>
    <d v="2017-05-07T00:00:00"/>
    <x v="2"/>
    <x v="1"/>
    <x v="462"/>
    <n v="15.552"/>
    <n v="3"/>
    <n v="5.6375999999999999"/>
    <n v="0.36249999999999999"/>
    <n v="2017"/>
    <x v="4"/>
    <n v="5"/>
    <n v="5.1840000000000002"/>
    <s v="Profit"/>
  </r>
  <r>
    <s v="CA-2017-100223"/>
    <d v="2017-05-07T00:00:00"/>
    <x v="2"/>
    <x v="1"/>
    <x v="463"/>
    <n v="31.103999999999999"/>
    <n v="6"/>
    <n v="11.2752"/>
    <n v="0.36249999999999999"/>
    <n v="2017"/>
    <x v="4"/>
    <n v="5"/>
    <n v="5.1840000000000002"/>
    <s v="Profit"/>
  </r>
  <r>
    <s v="CA-2017-100223"/>
    <d v="2017-05-07T00:00:00"/>
    <x v="2"/>
    <x v="1"/>
    <x v="464"/>
    <n v="6.3159999999999998"/>
    <n v="1"/>
    <n v="-10.4214"/>
    <n v="-1.6500000000000001"/>
    <n v="2017"/>
    <x v="4"/>
    <n v="5"/>
    <n v="6.3159999999999998"/>
    <s v="Loss"/>
  </r>
  <r>
    <s v="CA-2017-104388"/>
    <d v="2017-05-07T00:00:00"/>
    <x v="2"/>
    <x v="2"/>
    <x v="109"/>
    <n v="79.959999999999994"/>
    <n v="4"/>
    <n v="22.3888"/>
    <n v="0.28000000000000003"/>
    <n v="2017"/>
    <x v="4"/>
    <n v="5"/>
    <n v="19.989999999999998"/>
    <s v="Profit"/>
  </r>
  <r>
    <s v="CA-2017-117695"/>
    <d v="2017-05-08T00:00:00"/>
    <x v="3"/>
    <x v="1"/>
    <x v="135"/>
    <n v="13.76"/>
    <n v="2"/>
    <n v="6.3296000000000001"/>
    <n v="0.46"/>
    <n v="2017"/>
    <x v="4"/>
    <n v="5"/>
    <n v="6.88"/>
    <s v="Profit"/>
  </r>
  <r>
    <s v="CA-2017-154676"/>
    <d v="2017-05-08T00:00:00"/>
    <x v="2"/>
    <x v="1"/>
    <x v="465"/>
    <n v="151.05600000000001"/>
    <n v="9"/>
    <n v="7.5528000000000004"/>
    <n v="4.9999999999999996E-2"/>
    <n v="2017"/>
    <x v="4"/>
    <n v="5"/>
    <n v="16.784000000000002"/>
    <s v="Profit"/>
  </r>
  <r>
    <s v="CA-2017-128328"/>
    <d v="2017-05-08T00:00:00"/>
    <x v="2"/>
    <x v="1"/>
    <x v="466"/>
    <n v="125.88"/>
    <n v="6"/>
    <n v="60.422400000000003"/>
    <n v="0.48000000000000004"/>
    <n v="2017"/>
    <x v="4"/>
    <n v="5"/>
    <n v="20.98"/>
    <s v="Profit"/>
  </r>
  <r>
    <s v="CA-2017-128328"/>
    <d v="2017-05-08T00:00:00"/>
    <x v="2"/>
    <x v="2"/>
    <x v="37"/>
    <n v="79.78"/>
    <n v="2"/>
    <n v="29.518599999999999"/>
    <n v="0.37"/>
    <n v="2017"/>
    <x v="4"/>
    <n v="5"/>
    <n v="39.89"/>
    <s v="Profit"/>
  </r>
  <r>
    <s v="CA-2017-128328"/>
    <d v="2017-05-08T00:00:00"/>
    <x v="2"/>
    <x v="1"/>
    <x v="467"/>
    <n v="133.19999999999999"/>
    <n v="9"/>
    <n v="66.599999999999994"/>
    <n v="0.5"/>
    <n v="2017"/>
    <x v="4"/>
    <n v="5"/>
    <n v="14.799999999999999"/>
    <s v="Profit"/>
  </r>
  <r>
    <s v="CA-2017-107293"/>
    <d v="2017-05-09T00:00:00"/>
    <x v="1"/>
    <x v="1"/>
    <x v="468"/>
    <n v="2.78"/>
    <n v="1"/>
    <n v="0.7228"/>
    <n v="0.26"/>
    <n v="2017"/>
    <x v="4"/>
    <n v="5"/>
    <n v="2.78"/>
    <s v="Profit"/>
  </r>
  <r>
    <s v="CA-2017-120705"/>
    <d v="2017-05-09T00:00:00"/>
    <x v="3"/>
    <x v="1"/>
    <x v="73"/>
    <n v="147.184"/>
    <n v="2"/>
    <n v="-29.436800000000002"/>
    <n v="-0.2"/>
    <n v="2017"/>
    <x v="4"/>
    <n v="5"/>
    <n v="73.591999999999999"/>
    <s v="Loss"/>
  </r>
  <r>
    <s v="CA-2017-102736"/>
    <d v="2017-05-09T00:00:00"/>
    <x v="3"/>
    <x v="2"/>
    <x v="36"/>
    <n v="89.567999999999998"/>
    <n v="4"/>
    <n v="-1.1195999999999999"/>
    <n v="-1.2499999999999999E-2"/>
    <n v="2017"/>
    <x v="4"/>
    <n v="5"/>
    <n v="22.391999999999999"/>
    <s v="Loss"/>
  </r>
  <r>
    <s v="CA-2017-102736"/>
    <d v="2017-05-09T00:00:00"/>
    <x v="3"/>
    <x v="1"/>
    <x v="469"/>
    <n v="71.959999999999994"/>
    <n v="5"/>
    <n v="7.1959999999999997"/>
    <n v="0.1"/>
    <n v="2017"/>
    <x v="4"/>
    <n v="5"/>
    <n v="14.391999999999999"/>
    <s v="Profit"/>
  </r>
  <r>
    <s v="CA-2017-102736"/>
    <d v="2017-05-09T00:00:00"/>
    <x v="3"/>
    <x v="1"/>
    <x v="214"/>
    <n v="15.552"/>
    <n v="3"/>
    <n v="5.4432"/>
    <n v="0.35000000000000003"/>
    <n v="2017"/>
    <x v="4"/>
    <n v="5"/>
    <n v="5.1840000000000002"/>
    <s v="Profit"/>
  </r>
  <r>
    <s v="US-2017-103247"/>
    <d v="2017-05-10T00:00:00"/>
    <x v="0"/>
    <x v="2"/>
    <x v="470"/>
    <n v="160.93"/>
    <n v="7"/>
    <n v="3.2185999999999999"/>
    <n v="1.9999999999999997E-2"/>
    <n v="2017"/>
    <x v="4"/>
    <n v="5"/>
    <n v="22.990000000000002"/>
    <s v="Profit"/>
  </r>
  <r>
    <s v="US-2017-103247"/>
    <d v="2017-05-10T00:00:00"/>
    <x v="0"/>
    <x v="1"/>
    <x v="464"/>
    <n v="75.792000000000002"/>
    <n v="3"/>
    <n v="25.579799999999999"/>
    <n v="0.33749999999999997"/>
    <n v="2017"/>
    <x v="4"/>
    <n v="5"/>
    <n v="25.263999999999999"/>
    <s v="Profit"/>
  </r>
  <r>
    <s v="CA-2017-167661"/>
    <d v="2017-05-10T00:00:00"/>
    <x v="1"/>
    <x v="1"/>
    <x v="471"/>
    <n v="39.92"/>
    <n v="5"/>
    <n v="13.473000000000001"/>
    <n v="0.33750000000000002"/>
    <n v="2017"/>
    <x v="4"/>
    <n v="5"/>
    <n v="7.984"/>
    <s v="Profit"/>
  </r>
  <r>
    <s v="CA-2017-167661"/>
    <d v="2017-05-10T00:00:00"/>
    <x v="1"/>
    <x v="1"/>
    <x v="472"/>
    <n v="61.96"/>
    <n v="2"/>
    <n v="27.882000000000001"/>
    <n v="0.45"/>
    <n v="2017"/>
    <x v="4"/>
    <n v="5"/>
    <n v="30.98"/>
    <s v="Profit"/>
  </r>
  <r>
    <s v="CA-2017-167661"/>
    <d v="2017-05-10T00:00:00"/>
    <x v="1"/>
    <x v="1"/>
    <x v="450"/>
    <n v="19.936"/>
    <n v="4"/>
    <n v="7.2267999999999999"/>
    <n v="0.36249999999999999"/>
    <n v="2017"/>
    <x v="4"/>
    <n v="5"/>
    <n v="4.984"/>
    <s v="Profit"/>
  </r>
  <r>
    <s v="CA-2017-143112"/>
    <d v="2017-05-10T00:00:00"/>
    <x v="0"/>
    <x v="2"/>
    <x v="473"/>
    <n v="87.8"/>
    <n v="4"/>
    <n v="43.9"/>
    <n v="0.5"/>
    <n v="2017"/>
    <x v="4"/>
    <n v="5"/>
    <n v="21.95"/>
    <s v="Profit"/>
  </r>
  <r>
    <s v="CA-2017-143112"/>
    <d v="2017-05-10T00:00:00"/>
    <x v="0"/>
    <x v="0"/>
    <x v="474"/>
    <n v="221.38200000000001"/>
    <n v="2"/>
    <n v="2.4598"/>
    <n v="1.1111111111111112E-2"/>
    <n v="2017"/>
    <x v="4"/>
    <n v="5"/>
    <n v="110.691"/>
    <s v="Profit"/>
  </r>
  <r>
    <s v="CA-2017-143112"/>
    <d v="2017-05-10T00:00:00"/>
    <x v="0"/>
    <x v="2"/>
    <x v="475"/>
    <n v="5199.96"/>
    <n v="4"/>
    <n v="1351.9896000000001"/>
    <n v="0.26"/>
    <n v="2017"/>
    <x v="4"/>
    <n v="5"/>
    <n v="1299.99"/>
    <s v="Profit"/>
  </r>
  <r>
    <s v="CA-2017-157672"/>
    <d v="2017-05-10T00:00:00"/>
    <x v="1"/>
    <x v="2"/>
    <x v="37"/>
    <n v="63.823999999999998"/>
    <n v="2"/>
    <n v="13.5626"/>
    <n v="0.21249999999999999"/>
    <n v="2017"/>
    <x v="4"/>
    <n v="5"/>
    <n v="31.911999999999999"/>
    <s v="Profit"/>
  </r>
  <r>
    <s v="CA-2017-131807"/>
    <d v="2017-05-10T00:00:00"/>
    <x v="1"/>
    <x v="0"/>
    <x v="476"/>
    <n v="435.16800000000001"/>
    <n v="4"/>
    <n v="-59.835599999999999"/>
    <n v="-0.13749999999999998"/>
    <n v="2017"/>
    <x v="4"/>
    <n v="5"/>
    <n v="108.792"/>
    <s v="Loss"/>
  </r>
  <r>
    <s v="CA-2017-131807"/>
    <d v="2017-05-10T00:00:00"/>
    <x v="1"/>
    <x v="1"/>
    <x v="111"/>
    <n v="14.9"/>
    <n v="5"/>
    <n v="6.8540000000000001"/>
    <n v="0.46"/>
    <n v="2017"/>
    <x v="4"/>
    <n v="5"/>
    <n v="2.98"/>
    <s v="Profit"/>
  </r>
  <r>
    <s v="CA-2017-131807"/>
    <d v="2017-05-10T00:00:00"/>
    <x v="1"/>
    <x v="1"/>
    <x v="477"/>
    <n v="15.8"/>
    <n v="4"/>
    <n v="4.1079999999999997"/>
    <n v="0.25999999999999995"/>
    <n v="2017"/>
    <x v="4"/>
    <n v="5"/>
    <n v="3.95"/>
    <s v="Profit"/>
  </r>
  <r>
    <s v="CA-2017-131807"/>
    <d v="2017-05-10T00:00:00"/>
    <x v="1"/>
    <x v="0"/>
    <x v="478"/>
    <n v="72.900000000000006"/>
    <n v="5"/>
    <n v="26.972999999999999"/>
    <n v="0.36999999999999994"/>
    <n v="2017"/>
    <x v="4"/>
    <n v="5"/>
    <n v="14.580000000000002"/>
    <s v="Profit"/>
  </r>
  <r>
    <s v="CA-2017-131807"/>
    <d v="2017-05-10T00:00:00"/>
    <x v="1"/>
    <x v="0"/>
    <x v="479"/>
    <n v="206.352"/>
    <n v="3"/>
    <n v="5.1588000000000003"/>
    <n v="2.5000000000000001E-2"/>
    <n v="2017"/>
    <x v="4"/>
    <n v="5"/>
    <n v="68.784000000000006"/>
    <s v="Profit"/>
  </r>
  <r>
    <s v="CA-2017-131807"/>
    <d v="2017-05-10T00:00:00"/>
    <x v="1"/>
    <x v="2"/>
    <x v="298"/>
    <n v="7.992"/>
    <n v="1"/>
    <n v="2.6972999999999998"/>
    <n v="0.33749999999999997"/>
    <n v="2017"/>
    <x v="4"/>
    <n v="5"/>
    <n v="7.992"/>
    <s v="Profit"/>
  </r>
  <r>
    <s v="US-2017-107272"/>
    <d v="2017-05-11T00:00:00"/>
    <x v="1"/>
    <x v="1"/>
    <x v="71"/>
    <n v="2.3879999999999999"/>
    <n v="2"/>
    <n v="-1.8308"/>
    <n v="-0.76666666666666672"/>
    <n v="2017"/>
    <x v="4"/>
    <n v="5"/>
    <n v="1.194"/>
    <s v="Loss"/>
  </r>
  <r>
    <s v="US-2017-107272"/>
    <d v="2017-05-11T00:00:00"/>
    <x v="1"/>
    <x v="1"/>
    <x v="406"/>
    <n v="243.99199999999999"/>
    <n v="7"/>
    <n v="30.498999999999999"/>
    <n v="0.125"/>
    <n v="2017"/>
    <x v="4"/>
    <n v="5"/>
    <n v="34.856000000000002"/>
    <s v="Profit"/>
  </r>
  <r>
    <s v="US-2017-111745"/>
    <d v="2017-05-11T00:00:00"/>
    <x v="1"/>
    <x v="2"/>
    <x v="480"/>
    <n v="159.99"/>
    <n v="1"/>
    <n v="54.396599999999999"/>
    <n v="0.33999999999999997"/>
    <n v="2017"/>
    <x v="4"/>
    <n v="5"/>
    <n v="159.99"/>
    <s v="Profit"/>
  </r>
  <r>
    <s v="CA-2017-116225"/>
    <d v="2017-05-11T00:00:00"/>
    <x v="0"/>
    <x v="2"/>
    <x v="481"/>
    <n v="390.75"/>
    <n v="5"/>
    <n v="171.93"/>
    <n v="0.44"/>
    <n v="2017"/>
    <x v="4"/>
    <n v="5"/>
    <n v="78.150000000000006"/>
    <s v="Profit"/>
  </r>
  <r>
    <s v="CA-2017-154732"/>
    <d v="2017-05-11T00:00:00"/>
    <x v="2"/>
    <x v="1"/>
    <x v="103"/>
    <n v="16.03"/>
    <n v="5"/>
    <n v="-25.648"/>
    <n v="-1.5999999999999999"/>
    <n v="2017"/>
    <x v="4"/>
    <n v="5"/>
    <n v="3.2060000000000004"/>
    <s v="Loss"/>
  </r>
  <r>
    <s v="CA-2017-114258"/>
    <d v="2017-05-11T00:00:00"/>
    <x v="2"/>
    <x v="2"/>
    <x v="482"/>
    <n v="492.76799999999997"/>
    <n v="4"/>
    <n v="55.436399999999999"/>
    <n v="0.1125"/>
    <n v="2017"/>
    <x v="4"/>
    <n v="5"/>
    <n v="123.19199999999999"/>
    <s v="Profit"/>
  </r>
  <r>
    <s v="CA-2017-157196"/>
    <d v="2017-05-11T00:00:00"/>
    <x v="1"/>
    <x v="1"/>
    <x v="187"/>
    <n v="12.96"/>
    <n v="2"/>
    <n v="6.2207999999999997"/>
    <n v="0.47999999999999993"/>
    <n v="2017"/>
    <x v="4"/>
    <n v="5"/>
    <n v="6.48"/>
    <s v="Profit"/>
  </r>
  <r>
    <s v="CA-2017-102925"/>
    <d v="2017-05-11T00:00:00"/>
    <x v="0"/>
    <x v="1"/>
    <x v="46"/>
    <n v="164.68799999999999"/>
    <n v="6"/>
    <n v="55.5822"/>
    <n v="0.33750000000000002"/>
    <n v="2017"/>
    <x v="4"/>
    <n v="5"/>
    <n v="27.447999999999997"/>
    <s v="Profit"/>
  </r>
  <r>
    <s v="CA-2017-102925"/>
    <d v="2017-05-11T00:00:00"/>
    <x v="0"/>
    <x v="0"/>
    <x v="483"/>
    <n v="166.5"/>
    <n v="2"/>
    <n v="-66.599999999999994"/>
    <n v="-0.39999999999999997"/>
    <n v="2017"/>
    <x v="4"/>
    <n v="5"/>
    <n v="83.25"/>
    <s v="Loss"/>
  </r>
  <r>
    <s v="CA-2017-102925"/>
    <d v="2017-05-11T00:00:00"/>
    <x v="0"/>
    <x v="1"/>
    <x v="484"/>
    <n v="12.96"/>
    <n v="2"/>
    <n v="6.2207999999999997"/>
    <n v="0.47999999999999993"/>
    <n v="2017"/>
    <x v="4"/>
    <n v="5"/>
    <n v="6.48"/>
    <s v="Profit"/>
  </r>
  <r>
    <s v="CA-2017-102925"/>
    <d v="2017-05-11T00:00:00"/>
    <x v="0"/>
    <x v="1"/>
    <x v="485"/>
    <n v="110.96"/>
    <n v="2"/>
    <n v="53.260800000000003"/>
    <n v="0.48000000000000004"/>
    <n v="2017"/>
    <x v="4"/>
    <n v="5"/>
    <n v="55.48"/>
    <s v="Profit"/>
  </r>
  <r>
    <s v="CA-2017-102925"/>
    <d v="2017-05-11T00:00:00"/>
    <x v="0"/>
    <x v="2"/>
    <x v="232"/>
    <n v="99.98"/>
    <n v="2"/>
    <n v="3.9992000000000001"/>
    <n v="0.04"/>
    <n v="2017"/>
    <x v="4"/>
    <n v="5"/>
    <n v="49.99"/>
    <s v="Profit"/>
  </r>
  <r>
    <s v="CA-2017-102925"/>
    <d v="2017-05-11T00:00:00"/>
    <x v="0"/>
    <x v="1"/>
    <x v="486"/>
    <n v="11.423999999999999"/>
    <n v="1"/>
    <n v="3.7128000000000001"/>
    <n v="0.32500000000000001"/>
    <n v="2017"/>
    <x v="4"/>
    <n v="5"/>
    <n v="11.423999999999999"/>
    <s v="Profit"/>
  </r>
  <r>
    <s v="CA-2017-102925"/>
    <d v="2017-05-11T00:00:00"/>
    <x v="0"/>
    <x v="0"/>
    <x v="52"/>
    <n v="128.124"/>
    <n v="2"/>
    <n v="24.2012"/>
    <n v="0.18888888888888888"/>
    <n v="2017"/>
    <x v="4"/>
    <n v="5"/>
    <n v="64.061999999999998"/>
    <s v="Profit"/>
  </r>
  <r>
    <s v="CA-2017-102925"/>
    <d v="2017-05-11T00:00:00"/>
    <x v="0"/>
    <x v="0"/>
    <x v="267"/>
    <n v="101.4"/>
    <n v="5"/>
    <n v="38.531999999999996"/>
    <n v="0.37999999999999995"/>
    <n v="2017"/>
    <x v="4"/>
    <n v="5"/>
    <n v="20.28"/>
    <s v="Profit"/>
  </r>
  <r>
    <s v="CA-2017-118213"/>
    <d v="2017-05-11T00:00:00"/>
    <x v="2"/>
    <x v="1"/>
    <x v="487"/>
    <n v="4.41"/>
    <n v="1"/>
    <n v="2.0286"/>
    <n v="0.45999999999999996"/>
    <n v="2017"/>
    <x v="4"/>
    <n v="5"/>
    <n v="4.41"/>
    <s v="Profit"/>
  </r>
  <r>
    <s v="CA-2017-118213"/>
    <d v="2017-05-11T00:00:00"/>
    <x v="2"/>
    <x v="1"/>
    <x v="124"/>
    <n v="167.94"/>
    <n v="3"/>
    <n v="82.290599999999998"/>
    <n v="0.49"/>
    <n v="2017"/>
    <x v="4"/>
    <n v="5"/>
    <n v="55.98"/>
    <s v="Profit"/>
  </r>
  <r>
    <s v="CA-2017-118213"/>
    <d v="2017-05-11T00:00:00"/>
    <x v="2"/>
    <x v="1"/>
    <x v="342"/>
    <n v="67.8"/>
    <n v="10"/>
    <n v="31.187999999999999"/>
    <n v="0.46"/>
    <n v="2017"/>
    <x v="4"/>
    <n v="5"/>
    <n v="6.7799999999999994"/>
    <s v="Profit"/>
  </r>
  <r>
    <s v="CA-2017-130351"/>
    <d v="2017-05-12T00:00:00"/>
    <x v="2"/>
    <x v="1"/>
    <x v="488"/>
    <n v="61.44"/>
    <n v="3"/>
    <n v="16.588799999999999"/>
    <n v="0.27"/>
    <n v="2017"/>
    <x v="4"/>
    <n v="5"/>
    <n v="20.48"/>
    <s v="Profit"/>
  </r>
  <r>
    <s v="CA-2017-130351"/>
    <d v="2017-05-12T00:00:00"/>
    <x v="2"/>
    <x v="1"/>
    <x v="489"/>
    <n v="38.9"/>
    <n v="5"/>
    <n v="17.504999999999999"/>
    <n v="0.45"/>
    <n v="2017"/>
    <x v="4"/>
    <n v="5"/>
    <n v="7.7799999999999994"/>
    <s v="Profit"/>
  </r>
  <r>
    <s v="CA-2017-130351"/>
    <d v="2017-05-12T00:00:00"/>
    <x v="2"/>
    <x v="2"/>
    <x v="490"/>
    <n v="99.39"/>
    <n v="3"/>
    <n v="40.749899999999997"/>
    <n v="0.41"/>
    <n v="2017"/>
    <x v="4"/>
    <n v="5"/>
    <n v="33.130000000000003"/>
    <s v="Profit"/>
  </r>
  <r>
    <s v="CA-2017-126865"/>
    <d v="2017-05-12T00:00:00"/>
    <x v="1"/>
    <x v="1"/>
    <x v="491"/>
    <n v="92.94"/>
    <n v="3"/>
    <n v="41.823"/>
    <n v="0.45"/>
    <n v="2017"/>
    <x v="4"/>
    <n v="5"/>
    <n v="30.98"/>
    <s v="Profit"/>
  </r>
  <r>
    <s v="CA-2017-104066"/>
    <d v="2017-05-12T00:00:00"/>
    <x v="0"/>
    <x v="2"/>
    <x v="492"/>
    <n v="205.03"/>
    <n v="7"/>
    <n v="67.659899999999993"/>
    <n v="0.32999999999999996"/>
    <n v="2017"/>
    <x v="4"/>
    <n v="5"/>
    <n v="29.29"/>
    <s v="Profit"/>
  </r>
  <r>
    <s v="CA-2017-105235"/>
    <d v="2017-05-12T00:00:00"/>
    <x v="0"/>
    <x v="0"/>
    <x v="493"/>
    <n v="20.94"/>
    <n v="3"/>
    <n v="6.0726000000000004"/>
    <n v="0.28999999999999998"/>
    <n v="2017"/>
    <x v="4"/>
    <n v="5"/>
    <n v="6.98"/>
    <s v="Profit"/>
  </r>
  <r>
    <s v="CA-2017-105235"/>
    <d v="2017-05-12T00:00:00"/>
    <x v="0"/>
    <x v="0"/>
    <x v="494"/>
    <n v="58.68"/>
    <n v="2"/>
    <n v="18.190799999999999"/>
    <n v="0.31"/>
    <n v="2017"/>
    <x v="4"/>
    <n v="5"/>
    <n v="29.34"/>
    <s v="Profit"/>
  </r>
  <r>
    <s v="CA-2017-105235"/>
    <d v="2017-05-12T00:00:00"/>
    <x v="0"/>
    <x v="1"/>
    <x v="495"/>
    <n v="254.9"/>
    <n v="5"/>
    <n v="68.822999999999993"/>
    <n v="0.26999999999999996"/>
    <n v="2017"/>
    <x v="4"/>
    <n v="5"/>
    <n v="50.980000000000004"/>
    <s v="Profit"/>
  </r>
  <r>
    <s v="CA-2017-131212"/>
    <d v="2017-05-12T00:00:00"/>
    <x v="1"/>
    <x v="1"/>
    <x v="496"/>
    <n v="24.815999999999999"/>
    <n v="3"/>
    <n v="8.3754000000000008"/>
    <n v="0.33750000000000002"/>
    <n v="2017"/>
    <x v="4"/>
    <n v="5"/>
    <n v="8.2720000000000002"/>
    <s v="Profit"/>
  </r>
  <r>
    <s v="CA-2017-131212"/>
    <d v="2017-05-12T00:00:00"/>
    <x v="1"/>
    <x v="1"/>
    <x v="497"/>
    <n v="14.976000000000001"/>
    <n v="6"/>
    <n v="5.4287999999999998"/>
    <n v="0.36249999999999999"/>
    <n v="2017"/>
    <x v="4"/>
    <n v="5"/>
    <n v="2.496"/>
    <s v="Profit"/>
  </r>
  <r>
    <s v="US-2017-126053"/>
    <d v="2017-05-12T00:00:00"/>
    <x v="0"/>
    <x v="0"/>
    <x v="324"/>
    <n v="41.96"/>
    <n v="2"/>
    <n v="10.909599999999999"/>
    <n v="0.25999999999999995"/>
    <n v="2017"/>
    <x v="4"/>
    <n v="5"/>
    <n v="20.98"/>
    <s v="Profit"/>
  </r>
  <r>
    <s v="US-2017-126053"/>
    <d v="2017-05-12T00:00:00"/>
    <x v="0"/>
    <x v="1"/>
    <x v="498"/>
    <n v="9.4499999999999993"/>
    <n v="3"/>
    <n v="4.5359999999999996"/>
    <n v="0.48"/>
    <n v="2017"/>
    <x v="4"/>
    <n v="5"/>
    <n v="3.15"/>
    <s v="Profit"/>
  </r>
  <r>
    <s v="CA-2017-156958"/>
    <d v="2017-05-12T00:00:00"/>
    <x v="1"/>
    <x v="1"/>
    <x v="349"/>
    <n v="83.92"/>
    <n v="5"/>
    <n v="29.372"/>
    <n v="0.35"/>
    <n v="2017"/>
    <x v="4"/>
    <n v="5"/>
    <n v="16.783999999999999"/>
    <s v="Profit"/>
  </r>
  <r>
    <s v="CA-2017-156958"/>
    <d v="2017-05-12T00:00:00"/>
    <x v="1"/>
    <x v="0"/>
    <x v="499"/>
    <n v="199.9"/>
    <n v="5"/>
    <n v="39.979999999999997"/>
    <n v="0.19999999999999998"/>
    <n v="2017"/>
    <x v="4"/>
    <n v="5"/>
    <n v="39.980000000000004"/>
    <s v="Profit"/>
  </r>
  <r>
    <s v="CA-2017-156958"/>
    <d v="2017-05-12T00:00:00"/>
    <x v="1"/>
    <x v="2"/>
    <x v="500"/>
    <n v="31.175999999999998"/>
    <n v="3"/>
    <n v="-7.0145999999999997"/>
    <n v="-0.22500000000000001"/>
    <n v="2017"/>
    <x v="4"/>
    <n v="5"/>
    <n v="10.391999999999999"/>
    <s v="Loss"/>
  </r>
  <r>
    <s v="CA-2017-156958"/>
    <d v="2017-05-12T00:00:00"/>
    <x v="1"/>
    <x v="1"/>
    <x v="501"/>
    <n v="172.75200000000001"/>
    <n v="6"/>
    <n v="60.463200000000001"/>
    <n v="0.35"/>
    <n v="2017"/>
    <x v="4"/>
    <n v="5"/>
    <n v="28.792000000000002"/>
    <s v="Profit"/>
  </r>
  <r>
    <s v="CA-2017-156958"/>
    <d v="2017-05-12T00:00:00"/>
    <x v="1"/>
    <x v="1"/>
    <x v="250"/>
    <n v="9.2959999999999994"/>
    <n v="2"/>
    <n v="3.0211999999999999"/>
    <n v="0.32500000000000001"/>
    <n v="2017"/>
    <x v="4"/>
    <n v="5"/>
    <n v="4.6479999999999997"/>
    <s v="Profit"/>
  </r>
  <r>
    <s v="CA-2017-117128"/>
    <d v="2017-05-12T00:00:00"/>
    <x v="0"/>
    <x v="1"/>
    <x v="403"/>
    <n v="21.6"/>
    <n v="6"/>
    <n v="9.9359999999999999"/>
    <n v="0.45999999999999996"/>
    <n v="2017"/>
    <x v="4"/>
    <n v="5"/>
    <n v="3.6"/>
    <s v="Profit"/>
  </r>
  <r>
    <s v="CA-2017-117128"/>
    <d v="2017-05-12T00:00:00"/>
    <x v="0"/>
    <x v="1"/>
    <x v="502"/>
    <n v="11.07"/>
    <n v="3"/>
    <n v="5.2028999999999996"/>
    <n v="0.47"/>
    <n v="2017"/>
    <x v="4"/>
    <n v="5"/>
    <n v="3.69"/>
    <s v="Profit"/>
  </r>
  <r>
    <s v="CA-2017-150931"/>
    <d v="2017-06-01T00:00:00"/>
    <x v="3"/>
    <x v="1"/>
    <x v="503"/>
    <n v="33.74"/>
    <n v="7"/>
    <n v="15.5204"/>
    <n v="0.45999999999999996"/>
    <n v="2017"/>
    <x v="5"/>
    <n v="6"/>
    <n v="4.82"/>
    <s v="Profit"/>
  </r>
  <r>
    <s v="CA-2017-122994"/>
    <d v="2017-06-02T00:00:00"/>
    <x v="3"/>
    <x v="0"/>
    <x v="504"/>
    <n v="359.97"/>
    <n v="3"/>
    <n v="79.193399999999997"/>
    <n v="0.21999999999999997"/>
    <n v="2017"/>
    <x v="5"/>
    <n v="6"/>
    <n v="119.99000000000001"/>
    <s v="Profit"/>
  </r>
  <r>
    <s v="CA-2017-115105"/>
    <d v="2017-06-02T00:00:00"/>
    <x v="0"/>
    <x v="0"/>
    <x v="505"/>
    <n v="240.78399999999999"/>
    <n v="1"/>
    <n v="30.097999999999999"/>
    <n v="0.125"/>
    <n v="2017"/>
    <x v="5"/>
    <n v="6"/>
    <n v="240.78399999999999"/>
    <s v="Profit"/>
  </r>
  <r>
    <s v="US-2017-101840"/>
    <d v="2017-06-02T00:00:00"/>
    <x v="0"/>
    <x v="2"/>
    <x v="506"/>
    <n v="227.46"/>
    <n v="6"/>
    <n v="65.963399999999993"/>
    <n v="0.28999999999999998"/>
    <n v="2017"/>
    <x v="5"/>
    <n v="6"/>
    <n v="37.910000000000004"/>
    <s v="Profit"/>
  </r>
  <r>
    <s v="US-2017-101840"/>
    <d v="2017-06-02T00:00:00"/>
    <x v="0"/>
    <x v="1"/>
    <x v="507"/>
    <n v="46.24"/>
    <n v="4"/>
    <n v="15.606"/>
    <n v="0.33749999999999997"/>
    <n v="2017"/>
    <x v="5"/>
    <n v="6"/>
    <n v="11.56"/>
    <s v="Profit"/>
  </r>
  <r>
    <s v="CA-2017-154102"/>
    <d v="2017-06-02T00:00:00"/>
    <x v="1"/>
    <x v="1"/>
    <x v="93"/>
    <n v="29.9"/>
    <n v="5"/>
    <n v="13.455"/>
    <n v="0.45"/>
    <n v="2017"/>
    <x v="5"/>
    <n v="6"/>
    <n v="5.9799999999999995"/>
    <s v="Profit"/>
  </r>
  <r>
    <s v="CA-2017-168193"/>
    <d v="2017-06-03T00:00:00"/>
    <x v="0"/>
    <x v="1"/>
    <x v="508"/>
    <n v="26.38"/>
    <n v="1"/>
    <n v="12.1348"/>
    <n v="0.46"/>
    <n v="2017"/>
    <x v="5"/>
    <n v="6"/>
    <n v="26.38"/>
    <s v="Profit"/>
  </r>
  <r>
    <s v="CA-2017-168193"/>
    <d v="2017-06-03T00:00:00"/>
    <x v="0"/>
    <x v="0"/>
    <x v="285"/>
    <n v="71.97"/>
    <n v="3"/>
    <n v="16.553100000000001"/>
    <n v="0.23"/>
    <n v="2017"/>
    <x v="5"/>
    <n v="6"/>
    <n v="23.99"/>
    <s v="Profit"/>
  </r>
  <r>
    <s v="US-2017-119039"/>
    <d v="2017-06-03T00:00:00"/>
    <x v="1"/>
    <x v="1"/>
    <x v="509"/>
    <n v="14.976000000000001"/>
    <n v="9"/>
    <n v="5.4287999999999998"/>
    <n v="0.36249999999999999"/>
    <n v="2017"/>
    <x v="5"/>
    <n v="6"/>
    <n v="1.6640000000000001"/>
    <s v="Profit"/>
  </r>
  <r>
    <s v="CA-2017-125101"/>
    <d v="2017-06-03T00:00:00"/>
    <x v="1"/>
    <x v="1"/>
    <x v="510"/>
    <n v="67.78"/>
    <n v="2"/>
    <n v="16.945"/>
    <n v="0.25"/>
    <n v="2017"/>
    <x v="5"/>
    <n v="6"/>
    <n v="33.89"/>
    <s v="Profit"/>
  </r>
  <r>
    <s v="CA-2017-167640"/>
    <d v="2017-06-03T00:00:00"/>
    <x v="1"/>
    <x v="1"/>
    <x v="6"/>
    <n v="23.88"/>
    <n v="6"/>
    <n v="8.1191999999999993"/>
    <n v="0.33999999999999997"/>
    <n v="2017"/>
    <x v="5"/>
    <n v="6"/>
    <n v="3.98"/>
    <s v="Profit"/>
  </r>
  <r>
    <s v="CA-2017-167640"/>
    <d v="2017-06-03T00:00:00"/>
    <x v="1"/>
    <x v="1"/>
    <x v="511"/>
    <n v="11.52"/>
    <n v="4"/>
    <n v="5.6448"/>
    <n v="0.49000000000000005"/>
    <n v="2017"/>
    <x v="5"/>
    <n v="6"/>
    <n v="2.88"/>
    <s v="Profit"/>
  </r>
  <r>
    <s v="CA-2017-167640"/>
    <d v="2017-06-03T00:00:00"/>
    <x v="1"/>
    <x v="1"/>
    <x v="69"/>
    <n v="286.93"/>
    <n v="7"/>
    <n v="140.59569999999999"/>
    <n v="0.49"/>
    <n v="2017"/>
    <x v="5"/>
    <n v="6"/>
    <n v="40.99"/>
    <s v="Profit"/>
  </r>
  <r>
    <s v="CA-2017-167640"/>
    <d v="2017-06-03T00:00:00"/>
    <x v="1"/>
    <x v="2"/>
    <x v="512"/>
    <n v="206.38399999999999"/>
    <n v="2"/>
    <n v="23.2182"/>
    <n v="0.1125"/>
    <n v="2017"/>
    <x v="5"/>
    <n v="6"/>
    <n v="103.19199999999999"/>
    <s v="Profit"/>
  </r>
  <r>
    <s v="CA-2017-148642"/>
    <d v="2017-06-03T00:00:00"/>
    <x v="2"/>
    <x v="1"/>
    <x v="513"/>
    <n v="4.9279999999999999"/>
    <n v="2"/>
    <n v="1.7248000000000001"/>
    <n v="0.35000000000000003"/>
    <n v="2017"/>
    <x v="5"/>
    <n v="6"/>
    <n v="2.464"/>
    <s v="Profit"/>
  </r>
  <r>
    <s v="CA-2017-148642"/>
    <d v="2017-06-03T00:00:00"/>
    <x v="2"/>
    <x v="1"/>
    <x v="514"/>
    <n v="63.488"/>
    <n v="4"/>
    <n v="4.7615999999999996"/>
    <n v="7.4999999999999997E-2"/>
    <n v="2017"/>
    <x v="5"/>
    <n v="6"/>
    <n v="15.872"/>
    <s v="Profit"/>
  </r>
  <r>
    <s v="CA-2017-107265"/>
    <d v="2017-06-04T00:00:00"/>
    <x v="2"/>
    <x v="1"/>
    <x v="124"/>
    <n v="106.32"/>
    <n v="3"/>
    <n v="49.970399999999998"/>
    <n v="0.47000000000000003"/>
    <n v="2017"/>
    <x v="5"/>
    <n v="6"/>
    <n v="35.44"/>
    <s v="Profit"/>
  </r>
  <r>
    <s v="CA-2017-161592"/>
    <d v="2017-06-04T00:00:00"/>
    <x v="3"/>
    <x v="1"/>
    <x v="515"/>
    <n v="8.1"/>
    <n v="5"/>
    <n v="-5.94"/>
    <n v="-0.73333333333333339"/>
    <n v="2017"/>
    <x v="5"/>
    <n v="6"/>
    <n v="1.6199999999999999"/>
    <s v="Loss"/>
  </r>
  <r>
    <s v="CA-2017-140242"/>
    <d v="2017-06-05T00:00:00"/>
    <x v="2"/>
    <x v="1"/>
    <x v="516"/>
    <n v="6.4080000000000004"/>
    <n v="3"/>
    <n v="0.64080000000000004"/>
    <n v="0.1"/>
    <n v="2017"/>
    <x v="5"/>
    <n v="6"/>
    <n v="2.1360000000000001"/>
    <s v="Profit"/>
  </r>
  <r>
    <s v="CA-2017-140242"/>
    <d v="2017-06-05T00:00:00"/>
    <x v="2"/>
    <x v="2"/>
    <x v="517"/>
    <n v="408.74400000000003"/>
    <n v="7"/>
    <n v="76.639499999999998"/>
    <n v="0.18749999999999997"/>
    <n v="2017"/>
    <x v="5"/>
    <n v="6"/>
    <n v="58.392000000000003"/>
    <s v="Profit"/>
  </r>
  <r>
    <s v="CA-2017-167668"/>
    <d v="2017-06-05T00:00:00"/>
    <x v="0"/>
    <x v="1"/>
    <x v="160"/>
    <n v="59.2"/>
    <n v="4"/>
    <n v="29.6"/>
    <n v="0.5"/>
    <n v="2017"/>
    <x v="5"/>
    <n v="6"/>
    <n v="14.8"/>
    <s v="Profit"/>
  </r>
  <r>
    <s v="CA-2017-156769"/>
    <d v="2017-06-05T00:00:00"/>
    <x v="3"/>
    <x v="1"/>
    <x v="518"/>
    <n v="54.66"/>
    <n v="6"/>
    <n v="18.037800000000001"/>
    <n v="0.33"/>
    <n v="2017"/>
    <x v="5"/>
    <n v="6"/>
    <n v="9.11"/>
    <s v="Profit"/>
  </r>
  <r>
    <s v="US-2017-133200"/>
    <d v="2017-06-05T00:00:00"/>
    <x v="2"/>
    <x v="1"/>
    <x v="391"/>
    <n v="11.06"/>
    <n v="10"/>
    <n v="-18.802"/>
    <n v="-1.7"/>
    <n v="2017"/>
    <x v="5"/>
    <n v="6"/>
    <n v="1.1060000000000001"/>
    <s v="Loss"/>
  </r>
  <r>
    <s v="US-2017-133200"/>
    <d v="2017-06-05T00:00:00"/>
    <x v="2"/>
    <x v="0"/>
    <x v="519"/>
    <n v="623.46479999999997"/>
    <n v="7"/>
    <n v="-119.1918"/>
    <n v="-0.19117647058823531"/>
    <n v="2017"/>
    <x v="5"/>
    <n v="6"/>
    <n v="89.066400000000002"/>
    <s v="Loss"/>
  </r>
  <r>
    <s v="US-2017-133200"/>
    <d v="2017-06-05T00:00:00"/>
    <x v="2"/>
    <x v="1"/>
    <x v="520"/>
    <n v="772.68"/>
    <n v="5"/>
    <n v="-57.951000000000001"/>
    <n v="-7.5000000000000011E-2"/>
    <n v="2017"/>
    <x v="5"/>
    <n v="6"/>
    <n v="154.536"/>
    <s v="Loss"/>
  </r>
  <r>
    <s v="CA-2017-144498"/>
    <d v="2017-06-05T00:00:00"/>
    <x v="3"/>
    <x v="1"/>
    <x v="521"/>
    <n v="68.540999999999997"/>
    <n v="11"/>
    <n v="-52.548099999999998"/>
    <n v="-0.76666666666666672"/>
    <n v="2017"/>
    <x v="5"/>
    <n v="6"/>
    <n v="6.2309999999999999"/>
    <s v="Loss"/>
  </r>
  <r>
    <s v="CA-2017-144498"/>
    <d v="2017-06-05T00:00:00"/>
    <x v="3"/>
    <x v="2"/>
    <x v="77"/>
    <n v="627.16800000000001"/>
    <n v="4"/>
    <n v="70.556399999999996"/>
    <n v="0.11249999999999999"/>
    <n v="2017"/>
    <x v="5"/>
    <n v="6"/>
    <n v="156.792"/>
    <s v="Profit"/>
  </r>
  <r>
    <s v="CA-2017-144498"/>
    <d v="2017-06-05T00:00:00"/>
    <x v="3"/>
    <x v="1"/>
    <x v="522"/>
    <n v="122.12"/>
    <n v="5"/>
    <n v="39.689"/>
    <n v="0.32500000000000001"/>
    <n v="2017"/>
    <x v="5"/>
    <n v="6"/>
    <n v="24.423999999999999"/>
    <s v="Profit"/>
  </r>
  <r>
    <s v="CA-2017-133487"/>
    <d v="2017-06-05T00:00:00"/>
    <x v="1"/>
    <x v="1"/>
    <x v="495"/>
    <n v="152.94"/>
    <n v="3"/>
    <n v="41.293799999999997"/>
    <n v="0.26999999999999996"/>
    <n v="2017"/>
    <x v="5"/>
    <n v="6"/>
    <n v="50.98"/>
    <s v="Profit"/>
  </r>
  <r>
    <s v="CA-2017-145779"/>
    <d v="2017-06-05T00:00:00"/>
    <x v="1"/>
    <x v="1"/>
    <x v="508"/>
    <n v="84.415999999999997"/>
    <n v="4"/>
    <n v="27.435199999999998"/>
    <n v="0.32500000000000001"/>
    <n v="2017"/>
    <x v="5"/>
    <n v="6"/>
    <n v="21.103999999999999"/>
    <s v="Profit"/>
  </r>
  <r>
    <s v="US-2017-162124"/>
    <d v="2017-06-05T00:00:00"/>
    <x v="2"/>
    <x v="2"/>
    <x v="354"/>
    <n v="191.96799999999999"/>
    <n v="4"/>
    <n v="28.795200000000001"/>
    <n v="0.15000000000000002"/>
    <n v="2017"/>
    <x v="5"/>
    <n v="6"/>
    <n v="47.991999999999997"/>
    <s v="Profit"/>
  </r>
  <r>
    <s v="US-2017-131849"/>
    <d v="2017-06-06T00:00:00"/>
    <x v="1"/>
    <x v="0"/>
    <x v="523"/>
    <n v="4.95"/>
    <n v="1"/>
    <n v="2.1779999999999999"/>
    <n v="0.43999999999999995"/>
    <n v="2017"/>
    <x v="5"/>
    <n v="6"/>
    <n v="4.95"/>
    <s v="Profit"/>
  </r>
  <r>
    <s v="US-2017-131849"/>
    <d v="2017-06-06T00:00:00"/>
    <x v="1"/>
    <x v="1"/>
    <x v="524"/>
    <n v="26.4"/>
    <n v="5"/>
    <n v="0"/>
    <n v="0"/>
    <n v="2017"/>
    <x v="5"/>
    <n v="6"/>
    <n v="5.2799999999999994"/>
    <s v="Loss"/>
  </r>
  <r>
    <s v="US-2017-124303"/>
    <d v="2017-06-07T00:00:00"/>
    <x v="0"/>
    <x v="1"/>
    <x v="8"/>
    <n v="2.9460000000000002"/>
    <n v="2"/>
    <n v="-2.2585999999999999"/>
    <n v="-0.76666666666666661"/>
    <n v="2017"/>
    <x v="5"/>
    <n v="6"/>
    <n v="1.4730000000000001"/>
    <s v="Loss"/>
  </r>
  <r>
    <s v="US-2017-124303"/>
    <d v="2017-06-07T00:00:00"/>
    <x v="0"/>
    <x v="1"/>
    <x v="525"/>
    <n v="16.056000000000001"/>
    <n v="3"/>
    <n v="5.8202999999999996"/>
    <n v="0.36249999999999993"/>
    <n v="2017"/>
    <x v="5"/>
    <n v="6"/>
    <n v="5.3520000000000003"/>
    <s v="Profit"/>
  </r>
  <r>
    <s v="US-2017-152492"/>
    <d v="2017-06-07T00:00:00"/>
    <x v="3"/>
    <x v="0"/>
    <x v="90"/>
    <n v="239.24"/>
    <n v="1"/>
    <n v="23.923999999999999"/>
    <n v="9.9999999999999992E-2"/>
    <n v="2017"/>
    <x v="5"/>
    <n v="6"/>
    <n v="239.24"/>
    <s v="Profit"/>
  </r>
  <r>
    <s v="US-2017-101784"/>
    <d v="2017-06-07T00:00:00"/>
    <x v="1"/>
    <x v="0"/>
    <x v="526"/>
    <n v="122.136"/>
    <n v="3"/>
    <n v="-13.7403"/>
    <n v="-0.1125"/>
    <n v="2017"/>
    <x v="5"/>
    <n v="6"/>
    <n v="40.711999999999996"/>
    <s v="Loss"/>
  </r>
  <r>
    <s v="CA-2017-161200"/>
    <d v="2017-06-08T00:00:00"/>
    <x v="3"/>
    <x v="0"/>
    <x v="527"/>
    <n v="145.74"/>
    <n v="3"/>
    <n v="23.3184"/>
    <n v="0.16"/>
    <n v="2017"/>
    <x v="5"/>
    <n v="6"/>
    <n v="48.580000000000005"/>
    <s v="Profit"/>
  </r>
  <r>
    <s v="CA-2017-161200"/>
    <d v="2017-06-08T00:00:00"/>
    <x v="3"/>
    <x v="0"/>
    <x v="528"/>
    <n v="15.4"/>
    <n v="5"/>
    <n v="7.3920000000000003"/>
    <n v="0.48000000000000004"/>
    <n v="2017"/>
    <x v="5"/>
    <n v="6"/>
    <n v="3.08"/>
    <s v="Profit"/>
  </r>
  <r>
    <s v="CA-2017-136609"/>
    <d v="2017-06-08T00:00:00"/>
    <x v="2"/>
    <x v="1"/>
    <x v="252"/>
    <n v="115.29600000000001"/>
    <n v="3"/>
    <n v="40.3536"/>
    <n v="0.35"/>
    <n v="2017"/>
    <x v="5"/>
    <n v="6"/>
    <n v="38.432000000000002"/>
    <s v="Profit"/>
  </r>
  <r>
    <s v="CA-2017-151981"/>
    <d v="2017-06-08T00:00:00"/>
    <x v="0"/>
    <x v="2"/>
    <x v="529"/>
    <n v="824.95"/>
    <n v="5"/>
    <n v="247.48500000000001"/>
    <n v="0.3"/>
    <n v="2017"/>
    <x v="5"/>
    <n v="6"/>
    <n v="164.99"/>
    <s v="Profit"/>
  </r>
  <r>
    <s v="CA-2017-151981"/>
    <d v="2017-06-08T00:00:00"/>
    <x v="0"/>
    <x v="1"/>
    <x v="425"/>
    <n v="24.64"/>
    <n v="8"/>
    <n v="11.827199999999999"/>
    <n v="0.48"/>
    <n v="2017"/>
    <x v="5"/>
    <n v="6"/>
    <n v="3.08"/>
    <s v="Profit"/>
  </r>
  <r>
    <s v="CA-2017-151981"/>
    <d v="2017-06-08T00:00:00"/>
    <x v="0"/>
    <x v="1"/>
    <x v="413"/>
    <n v="227.88"/>
    <n v="6"/>
    <n v="68.364000000000004"/>
    <n v="0.30000000000000004"/>
    <n v="2017"/>
    <x v="5"/>
    <n v="6"/>
    <n v="37.979999999999997"/>
    <s v="Profit"/>
  </r>
  <r>
    <s v="CA-2017-168172"/>
    <d v="2017-06-08T00:00:00"/>
    <x v="0"/>
    <x v="1"/>
    <x v="530"/>
    <n v="70.12"/>
    <n v="4"/>
    <n v="21.036000000000001"/>
    <n v="0.3"/>
    <n v="2017"/>
    <x v="5"/>
    <n v="6"/>
    <n v="17.53"/>
    <s v="Profit"/>
  </r>
  <r>
    <s v="US-2017-148054"/>
    <d v="2017-06-10T00:00:00"/>
    <x v="1"/>
    <x v="0"/>
    <x v="531"/>
    <n v="41.96"/>
    <n v="2"/>
    <n v="2.9371999999999998"/>
    <n v="6.9999999999999993E-2"/>
    <n v="2017"/>
    <x v="5"/>
    <n v="6"/>
    <n v="20.98"/>
    <s v="Profit"/>
  </r>
  <r>
    <s v="US-2017-148054"/>
    <d v="2017-06-10T00:00:00"/>
    <x v="1"/>
    <x v="1"/>
    <x v="532"/>
    <n v="227.84"/>
    <n v="4"/>
    <n v="66.073599999999999"/>
    <n v="0.28999999999999998"/>
    <n v="2017"/>
    <x v="5"/>
    <n v="6"/>
    <n v="56.96"/>
    <s v="Profit"/>
  </r>
  <r>
    <s v="US-2017-148054"/>
    <d v="2017-06-10T00:00:00"/>
    <x v="1"/>
    <x v="1"/>
    <x v="533"/>
    <n v="37.94"/>
    <n v="2"/>
    <n v="18.211200000000002"/>
    <n v="0.48000000000000009"/>
    <n v="2017"/>
    <x v="5"/>
    <n v="6"/>
    <n v="18.97"/>
    <s v="Profit"/>
  </r>
  <r>
    <s v="US-2017-136868"/>
    <d v="2017-06-10T00:00:00"/>
    <x v="0"/>
    <x v="2"/>
    <x v="439"/>
    <n v="319.95999999999998"/>
    <n v="4"/>
    <n v="115.18559999999999"/>
    <n v="0.36"/>
    <n v="2017"/>
    <x v="5"/>
    <n v="6"/>
    <n v="79.989999999999995"/>
    <s v="Profit"/>
  </r>
  <r>
    <s v="US-2017-136868"/>
    <d v="2017-06-10T00:00:00"/>
    <x v="0"/>
    <x v="1"/>
    <x v="534"/>
    <n v="17.04"/>
    <n v="3"/>
    <n v="7.6680000000000001"/>
    <n v="0.45"/>
    <n v="2017"/>
    <x v="5"/>
    <n v="6"/>
    <n v="5.68"/>
    <s v="Profit"/>
  </r>
  <r>
    <s v="US-2017-136868"/>
    <d v="2017-06-10T00:00:00"/>
    <x v="0"/>
    <x v="1"/>
    <x v="535"/>
    <n v="344.91"/>
    <n v="3"/>
    <n v="10.347300000000001"/>
    <n v="0.03"/>
    <n v="2017"/>
    <x v="5"/>
    <n v="6"/>
    <n v="114.97000000000001"/>
    <s v="Profit"/>
  </r>
  <r>
    <s v="CA-2017-109099"/>
    <d v="2017-06-10T00:00:00"/>
    <x v="0"/>
    <x v="1"/>
    <x v="69"/>
    <n v="40.99"/>
    <n v="1"/>
    <n v="20.085100000000001"/>
    <n v="0.49"/>
    <n v="2017"/>
    <x v="5"/>
    <n v="6"/>
    <n v="40.99"/>
    <s v="Profit"/>
  </r>
  <r>
    <s v="CA-2017-118577"/>
    <d v="2017-06-10T00:00:00"/>
    <x v="0"/>
    <x v="1"/>
    <x v="536"/>
    <n v="143.69999999999999"/>
    <n v="3"/>
    <n v="68.975999999999999"/>
    <n v="0.48000000000000004"/>
    <n v="2017"/>
    <x v="5"/>
    <n v="6"/>
    <n v="47.9"/>
    <s v="Profit"/>
  </r>
  <r>
    <s v="CA-2017-118577"/>
    <d v="2017-06-10T00:00:00"/>
    <x v="0"/>
    <x v="1"/>
    <x v="537"/>
    <n v="6.48"/>
    <n v="1"/>
    <n v="3.1103999999999998"/>
    <n v="0.47999999999999993"/>
    <n v="2017"/>
    <x v="5"/>
    <n v="6"/>
    <n v="6.48"/>
    <s v="Profit"/>
  </r>
  <r>
    <s v="CA-2017-146269"/>
    <d v="2017-06-10T00:00:00"/>
    <x v="2"/>
    <x v="1"/>
    <x v="538"/>
    <n v="290.33600000000001"/>
    <n v="2"/>
    <n v="32.662799999999997"/>
    <n v="0.11249999999999999"/>
    <n v="2017"/>
    <x v="5"/>
    <n v="6"/>
    <n v="145.16800000000001"/>
    <s v="Profit"/>
  </r>
  <r>
    <s v="CA-2017-146269"/>
    <d v="2017-06-10T00:00:00"/>
    <x v="2"/>
    <x v="1"/>
    <x v="51"/>
    <n v="19.152000000000001"/>
    <n v="2"/>
    <n v="1.1970000000000001"/>
    <n v="6.25E-2"/>
    <n v="2017"/>
    <x v="5"/>
    <n v="6"/>
    <n v="9.5760000000000005"/>
    <s v="Profit"/>
  </r>
  <r>
    <s v="CA-2017-137421"/>
    <d v="2017-06-10T00:00:00"/>
    <x v="1"/>
    <x v="1"/>
    <x v="539"/>
    <n v="9.3439999999999994"/>
    <n v="2"/>
    <n v="1.8688"/>
    <n v="0.2"/>
    <n v="2017"/>
    <x v="5"/>
    <n v="6"/>
    <n v="4.6719999999999997"/>
    <s v="Profit"/>
  </r>
  <r>
    <s v="US-2017-109484"/>
    <d v="2017-06-11T00:00:00"/>
    <x v="1"/>
    <x v="1"/>
    <x v="540"/>
    <n v="5.6820000000000004"/>
    <n v="1"/>
    <n v="-3.7879999999999998"/>
    <n v="-0.66666666666666663"/>
    <n v="2017"/>
    <x v="5"/>
    <n v="6"/>
    <n v="5.6820000000000004"/>
    <s v="Loss"/>
  </r>
  <r>
    <s v="CA-2017-107720"/>
    <d v="2017-06-11T00:00:00"/>
    <x v="0"/>
    <x v="1"/>
    <x v="541"/>
    <n v="46.26"/>
    <n v="3"/>
    <n v="12.0276"/>
    <n v="0.26"/>
    <n v="2017"/>
    <x v="5"/>
    <n v="6"/>
    <n v="15.42"/>
    <s v="Profit"/>
  </r>
  <r>
    <s v="CA-2017-154816"/>
    <d v="2017-06-11T00:00:00"/>
    <x v="3"/>
    <x v="1"/>
    <x v="542"/>
    <n v="5.78"/>
    <n v="1"/>
    <n v="2.8321999999999998"/>
    <n v="0.48999999999999994"/>
    <n v="2017"/>
    <x v="5"/>
    <n v="6"/>
    <n v="5.78"/>
    <s v="Profit"/>
  </r>
  <r>
    <s v="CA-2017-100013"/>
    <d v="2017-06-11T00:00:00"/>
    <x v="1"/>
    <x v="1"/>
    <x v="309"/>
    <n v="15.28"/>
    <n v="2"/>
    <n v="7.4871999999999996"/>
    <n v="0.49"/>
    <n v="2017"/>
    <x v="5"/>
    <n v="6"/>
    <n v="7.64"/>
    <s v="Profit"/>
  </r>
  <r>
    <s v="CA-2017-100013"/>
    <d v="2017-06-11T00:00:00"/>
    <x v="1"/>
    <x v="0"/>
    <x v="196"/>
    <n v="8.73"/>
    <n v="1"/>
    <n v="2.9681999999999999"/>
    <n v="0.33999999999999997"/>
    <n v="2017"/>
    <x v="5"/>
    <n v="6"/>
    <n v="8.73"/>
    <s v="Profit"/>
  </r>
  <r>
    <s v="CA-2017-100013"/>
    <d v="2017-06-11T00:00:00"/>
    <x v="1"/>
    <x v="1"/>
    <x v="543"/>
    <n v="5.68"/>
    <n v="2"/>
    <n v="1.7607999999999999"/>
    <n v="0.31"/>
    <n v="2017"/>
    <x v="5"/>
    <n v="6"/>
    <n v="2.84"/>
    <s v="Profit"/>
  </r>
  <r>
    <s v="CA-2017-167941"/>
    <d v="2017-06-11T00:00:00"/>
    <x v="3"/>
    <x v="1"/>
    <x v="544"/>
    <n v="499.584"/>
    <n v="3"/>
    <n v="43.7136"/>
    <n v="8.7499999999999994E-2"/>
    <n v="2017"/>
    <x v="5"/>
    <n v="6"/>
    <n v="166.52799999999999"/>
    <s v="Profit"/>
  </r>
  <r>
    <s v="CA-2017-167941"/>
    <d v="2017-06-11T00:00:00"/>
    <x v="3"/>
    <x v="1"/>
    <x v="214"/>
    <n v="31.103999999999999"/>
    <n v="6"/>
    <n v="10.8864"/>
    <n v="0.35000000000000003"/>
    <n v="2017"/>
    <x v="5"/>
    <n v="6"/>
    <n v="5.1840000000000002"/>
    <s v="Profit"/>
  </r>
  <r>
    <s v="CA-2017-167941"/>
    <d v="2017-06-11T00:00:00"/>
    <x v="3"/>
    <x v="1"/>
    <x v="391"/>
    <n v="13.272"/>
    <n v="8"/>
    <n v="-10.617599999999999"/>
    <n v="-0.79999999999999993"/>
    <n v="2017"/>
    <x v="5"/>
    <n v="6"/>
    <n v="1.659"/>
    <s v="Loss"/>
  </r>
  <r>
    <s v="CA-2017-167941"/>
    <d v="2017-06-11T00:00:00"/>
    <x v="3"/>
    <x v="0"/>
    <x v="545"/>
    <n v="28.271999999999998"/>
    <n v="2"/>
    <n v="6.3612000000000002"/>
    <n v="0.22500000000000001"/>
    <n v="2017"/>
    <x v="5"/>
    <n v="6"/>
    <n v="14.135999999999999"/>
    <s v="Profit"/>
  </r>
  <r>
    <s v="CA-2017-167941"/>
    <d v="2017-06-11T00:00:00"/>
    <x v="3"/>
    <x v="1"/>
    <x v="546"/>
    <n v="259.13600000000002"/>
    <n v="4"/>
    <n v="-51.827199999999998"/>
    <n v="-0.19999999999999998"/>
    <n v="2017"/>
    <x v="5"/>
    <n v="6"/>
    <n v="64.784000000000006"/>
    <s v="Loss"/>
  </r>
  <r>
    <s v="CA-2017-125290"/>
    <d v="2017-06-11T00:00:00"/>
    <x v="2"/>
    <x v="1"/>
    <x v="547"/>
    <n v="13.9"/>
    <n v="5"/>
    <n v="3.6139999999999999"/>
    <n v="0.26"/>
    <n v="2017"/>
    <x v="5"/>
    <n v="6"/>
    <n v="2.7800000000000002"/>
    <s v="Profit"/>
  </r>
  <r>
    <s v="CA-2017-125290"/>
    <d v="2017-06-11T00:00:00"/>
    <x v="2"/>
    <x v="1"/>
    <x v="124"/>
    <n v="26.38"/>
    <n v="1"/>
    <n v="12.1348"/>
    <n v="0.46"/>
    <n v="2017"/>
    <x v="5"/>
    <n v="6"/>
    <n v="26.38"/>
    <s v="Profit"/>
  </r>
  <r>
    <s v="CA-2017-154109"/>
    <d v="2017-06-11T00:00:00"/>
    <x v="0"/>
    <x v="0"/>
    <x v="20"/>
    <n v="127.372"/>
    <n v="2"/>
    <n v="-30.933199999999999"/>
    <n v="-0.24285714285714285"/>
    <n v="2017"/>
    <x v="5"/>
    <n v="6"/>
    <n v="63.686"/>
    <s v="Loss"/>
  </r>
  <r>
    <s v="CA-2017-154109"/>
    <d v="2017-06-11T00:00:00"/>
    <x v="0"/>
    <x v="1"/>
    <x v="163"/>
    <n v="47.951999999999998"/>
    <n v="3"/>
    <n v="16.183800000000002"/>
    <n v="0.33750000000000002"/>
    <n v="2017"/>
    <x v="5"/>
    <n v="6"/>
    <n v="15.984"/>
    <s v="Profit"/>
  </r>
  <r>
    <s v="US-2017-153948"/>
    <d v="2017-06-11T00:00:00"/>
    <x v="1"/>
    <x v="1"/>
    <x v="163"/>
    <n v="59.94"/>
    <n v="3"/>
    <n v="28.171800000000001"/>
    <n v="0.47000000000000003"/>
    <n v="2017"/>
    <x v="5"/>
    <n v="6"/>
    <n v="19.98"/>
    <s v="Profit"/>
  </r>
  <r>
    <s v="US-2017-153948"/>
    <d v="2017-06-11T00:00:00"/>
    <x v="1"/>
    <x v="1"/>
    <x v="124"/>
    <n v="45.36"/>
    <n v="4"/>
    <n v="22.226400000000002"/>
    <n v="0.49000000000000005"/>
    <n v="2017"/>
    <x v="5"/>
    <n v="6"/>
    <n v="11.34"/>
    <s v="Profit"/>
  </r>
  <r>
    <s v="US-2017-153948"/>
    <d v="2017-06-11T00:00:00"/>
    <x v="1"/>
    <x v="1"/>
    <x v="548"/>
    <n v="26.4"/>
    <n v="5"/>
    <n v="12.672000000000001"/>
    <n v="0.48000000000000004"/>
    <n v="2017"/>
    <x v="5"/>
    <n v="6"/>
    <n v="5.2799999999999994"/>
    <s v="Profit"/>
  </r>
  <r>
    <s v="US-2017-153948"/>
    <d v="2017-06-11T00:00:00"/>
    <x v="1"/>
    <x v="1"/>
    <x v="549"/>
    <n v="41.4"/>
    <n v="4"/>
    <n v="19.872"/>
    <n v="0.48000000000000004"/>
    <n v="2017"/>
    <x v="5"/>
    <n v="6"/>
    <n v="10.35"/>
    <s v="Profit"/>
  </r>
  <r>
    <s v="US-2017-153948"/>
    <d v="2017-06-11T00:00:00"/>
    <x v="1"/>
    <x v="2"/>
    <x v="168"/>
    <n v="16.95"/>
    <n v="1"/>
    <n v="1.0169999999999999"/>
    <n v="0.06"/>
    <n v="2017"/>
    <x v="5"/>
    <n v="6"/>
    <n v="16.95"/>
    <s v="Profit"/>
  </r>
  <r>
    <s v="CA-2017-144596"/>
    <d v="2017-06-11T00:00:00"/>
    <x v="0"/>
    <x v="1"/>
    <x v="550"/>
    <n v="318.95999999999998"/>
    <n v="9"/>
    <n v="149.91120000000001"/>
    <n v="0.47000000000000003"/>
    <n v="2017"/>
    <x v="5"/>
    <n v="6"/>
    <n v="35.44"/>
    <s v="Profit"/>
  </r>
  <r>
    <s v="CA-2017-107174"/>
    <d v="2017-06-11T00:00:00"/>
    <x v="1"/>
    <x v="0"/>
    <x v="421"/>
    <n v="2036.86"/>
    <n v="7"/>
    <n v="366.63479999999998"/>
    <n v="0.18"/>
    <n v="2017"/>
    <x v="5"/>
    <n v="6"/>
    <n v="290.97999999999996"/>
    <s v="Profit"/>
  </r>
  <r>
    <s v="CA-2017-107174"/>
    <d v="2017-06-11T00:00:00"/>
    <x v="1"/>
    <x v="0"/>
    <x v="551"/>
    <n v="449.56799999999998"/>
    <n v="2"/>
    <n v="-73.0548"/>
    <n v="-0.16250000000000001"/>
    <n v="2017"/>
    <x v="5"/>
    <n v="6"/>
    <n v="224.78399999999999"/>
    <s v="Loss"/>
  </r>
  <r>
    <s v="CA-2017-107174"/>
    <d v="2017-06-11T00:00:00"/>
    <x v="1"/>
    <x v="2"/>
    <x v="552"/>
    <n v="108.96"/>
    <n v="3"/>
    <n v="32.688000000000002"/>
    <n v="0.30000000000000004"/>
    <n v="2017"/>
    <x v="5"/>
    <n v="6"/>
    <n v="36.32"/>
    <s v="Profit"/>
  </r>
  <r>
    <s v="US-2017-119319"/>
    <d v="2017-06-11T00:00:00"/>
    <x v="2"/>
    <x v="0"/>
    <x v="0"/>
    <n v="30.56"/>
    <n v="5"/>
    <n v="-19.864000000000001"/>
    <n v="-0.65"/>
    <n v="2017"/>
    <x v="5"/>
    <n v="6"/>
    <n v="6.1120000000000001"/>
    <s v="Loss"/>
  </r>
  <r>
    <s v="CA-2017-106691"/>
    <d v="2017-06-11T00:00:00"/>
    <x v="2"/>
    <x v="1"/>
    <x v="497"/>
    <n v="1.248"/>
    <n v="2"/>
    <n v="-1.9343999999999999"/>
    <n v="-1.5499999999999998"/>
    <n v="2017"/>
    <x v="5"/>
    <n v="6"/>
    <n v="0.624"/>
    <s v="Loss"/>
  </r>
  <r>
    <s v="CA-2017-150504"/>
    <d v="2017-06-11T00:00:00"/>
    <x v="2"/>
    <x v="1"/>
    <x v="553"/>
    <n v="18.16"/>
    <n v="2"/>
    <n v="1.8160000000000001"/>
    <n v="0.1"/>
    <n v="2017"/>
    <x v="5"/>
    <n v="6"/>
    <n v="9.08"/>
    <s v="Profit"/>
  </r>
  <r>
    <s v="US-2017-149006"/>
    <d v="2017-06-12T00:00:00"/>
    <x v="1"/>
    <x v="1"/>
    <x v="554"/>
    <n v="10.68"/>
    <n v="1"/>
    <n v="2.8835999999999999"/>
    <n v="0.27"/>
    <n v="2017"/>
    <x v="5"/>
    <n v="6"/>
    <n v="10.68"/>
    <s v="Profit"/>
  </r>
  <r>
    <s v="CA-2017-159366"/>
    <d v="2017-07-01T00:00:00"/>
    <x v="2"/>
    <x v="2"/>
    <x v="555"/>
    <n v="3059.982"/>
    <n v="2"/>
    <n v="679.99599999999998"/>
    <n v="0.22222222222222221"/>
    <n v="2017"/>
    <x v="6"/>
    <n v="7"/>
    <n v="1529.991"/>
    <s v="Profit"/>
  </r>
  <r>
    <s v="US-2017-168690"/>
    <d v="2017-07-01T00:00:00"/>
    <x v="3"/>
    <x v="1"/>
    <x v="497"/>
    <n v="2.8079999999999998"/>
    <n v="3"/>
    <n v="-1.9656"/>
    <n v="-0.70000000000000007"/>
    <n v="2017"/>
    <x v="6"/>
    <n v="7"/>
    <n v="0.93599999999999994"/>
    <s v="Loss"/>
  </r>
  <r>
    <s v="US-2017-123862"/>
    <d v="2017-07-01T00:00:00"/>
    <x v="1"/>
    <x v="1"/>
    <x v="556"/>
    <n v="153.78"/>
    <n v="11"/>
    <n v="44.596200000000003"/>
    <n v="0.29000000000000004"/>
    <n v="2017"/>
    <x v="6"/>
    <n v="7"/>
    <n v="13.98"/>
    <s v="Profit"/>
  </r>
  <r>
    <s v="US-2017-123862"/>
    <d v="2017-07-01T00:00:00"/>
    <x v="1"/>
    <x v="1"/>
    <x v="557"/>
    <n v="61.02"/>
    <n v="3"/>
    <n v="0.61019999999999996"/>
    <n v="9.9999999999999985E-3"/>
    <n v="2017"/>
    <x v="6"/>
    <n v="7"/>
    <n v="20.34"/>
    <s v="Profit"/>
  </r>
  <r>
    <s v="US-2017-123862"/>
    <d v="2017-07-01T00:00:00"/>
    <x v="1"/>
    <x v="1"/>
    <x v="558"/>
    <n v="110.11"/>
    <n v="7"/>
    <n v="31.931899999999999"/>
    <n v="0.28999999999999998"/>
    <n v="2017"/>
    <x v="6"/>
    <n v="7"/>
    <n v="15.73"/>
    <s v="Profit"/>
  </r>
  <r>
    <s v="US-2017-123862"/>
    <d v="2017-07-01T00:00:00"/>
    <x v="1"/>
    <x v="1"/>
    <x v="111"/>
    <n v="7.89"/>
    <n v="1"/>
    <n v="3.5505"/>
    <n v="0.45"/>
    <n v="2017"/>
    <x v="6"/>
    <n v="7"/>
    <n v="7.89"/>
    <s v="Profit"/>
  </r>
  <r>
    <s v="CA-2017-136672"/>
    <d v="2017-07-03T00:00:00"/>
    <x v="0"/>
    <x v="2"/>
    <x v="559"/>
    <n v="49.08"/>
    <n v="3"/>
    <n v="4.9080000000000004"/>
    <n v="0.1"/>
    <n v="2017"/>
    <x v="6"/>
    <n v="7"/>
    <n v="16.36"/>
    <s v="Profit"/>
  </r>
  <r>
    <s v="CA-2017-110884"/>
    <d v="2017-07-03T00:00:00"/>
    <x v="0"/>
    <x v="1"/>
    <x v="515"/>
    <n v="25.92"/>
    <n v="6"/>
    <n v="9.0719999999999992"/>
    <n v="0.34999999999999992"/>
    <n v="2017"/>
    <x v="6"/>
    <n v="7"/>
    <n v="4.32"/>
    <s v="Profit"/>
  </r>
  <r>
    <s v="CA-2017-110884"/>
    <d v="2017-07-03T00:00:00"/>
    <x v="0"/>
    <x v="1"/>
    <x v="522"/>
    <n v="91.59"/>
    <n v="3"/>
    <n v="42.131399999999999"/>
    <n v="0.45999999999999996"/>
    <n v="2017"/>
    <x v="6"/>
    <n v="7"/>
    <n v="30.53"/>
    <s v="Profit"/>
  </r>
  <r>
    <s v="US-2017-100930"/>
    <d v="2017-07-04T00:00:00"/>
    <x v="3"/>
    <x v="0"/>
    <x v="560"/>
    <n v="233.86"/>
    <n v="2"/>
    <n v="-102.048"/>
    <n v="-0.43636363636363634"/>
    <n v="2017"/>
    <x v="6"/>
    <n v="7"/>
    <n v="116.93"/>
    <s v="Loss"/>
  </r>
  <r>
    <s v="US-2017-100930"/>
    <d v="2017-07-04T00:00:00"/>
    <x v="3"/>
    <x v="0"/>
    <x v="377"/>
    <n v="620.61450000000002"/>
    <n v="3"/>
    <n v="-248.2458"/>
    <n v="-0.39999999999999997"/>
    <n v="2017"/>
    <x v="6"/>
    <n v="7"/>
    <n v="206.8715"/>
    <s v="Loss"/>
  </r>
  <r>
    <s v="US-2017-100930"/>
    <d v="2017-07-04T00:00:00"/>
    <x v="3"/>
    <x v="1"/>
    <x v="561"/>
    <n v="5.3280000000000003"/>
    <n v="2"/>
    <n v="-3.552"/>
    <n v="-0.66666666666666663"/>
    <n v="2017"/>
    <x v="6"/>
    <n v="7"/>
    <n v="2.6640000000000001"/>
    <s v="Loss"/>
  </r>
  <r>
    <s v="US-2017-100930"/>
    <d v="2017-07-04T00:00:00"/>
    <x v="3"/>
    <x v="0"/>
    <x v="562"/>
    <n v="258.072"/>
    <n v="3"/>
    <n v="0"/>
    <n v="0"/>
    <n v="2017"/>
    <x v="6"/>
    <n v="7"/>
    <n v="86.024000000000001"/>
    <s v="Loss"/>
  </r>
  <r>
    <s v="US-2017-100930"/>
    <d v="2017-07-04T00:00:00"/>
    <x v="3"/>
    <x v="2"/>
    <x v="276"/>
    <n v="617.976"/>
    <n v="3"/>
    <n v="-7.7247000000000003"/>
    <n v="-1.2500000000000001E-2"/>
    <n v="2017"/>
    <x v="6"/>
    <n v="7"/>
    <n v="205.99199999999999"/>
    <s v="Loss"/>
  </r>
  <r>
    <s v="CA-2017-165904"/>
    <d v="2017-07-04T00:00:00"/>
    <x v="3"/>
    <x v="1"/>
    <x v="563"/>
    <n v="16.256"/>
    <n v="2"/>
    <n v="1.2192000000000001"/>
    <n v="7.4999999999999997E-2"/>
    <n v="2017"/>
    <x v="6"/>
    <n v="7"/>
    <n v="8.1280000000000001"/>
    <s v="Profit"/>
  </r>
  <r>
    <s v="CA-2017-165904"/>
    <d v="2017-07-04T00:00:00"/>
    <x v="3"/>
    <x v="2"/>
    <x v="351"/>
    <n v="219.184"/>
    <n v="2"/>
    <n v="19.178599999999999"/>
    <n v="8.7499999999999994E-2"/>
    <n v="2017"/>
    <x v="6"/>
    <n v="7"/>
    <n v="109.592"/>
    <s v="Profit"/>
  </r>
  <r>
    <s v="CA-2017-141733"/>
    <d v="2017-07-05T00:00:00"/>
    <x v="2"/>
    <x v="0"/>
    <x v="564"/>
    <n v="1458.65"/>
    <n v="5"/>
    <n v="423.00850000000003"/>
    <n v="0.28999999999999998"/>
    <n v="2017"/>
    <x v="6"/>
    <n v="7"/>
    <n v="291.73"/>
    <s v="Profit"/>
  </r>
  <r>
    <s v="CA-2017-141733"/>
    <d v="2017-07-05T00:00:00"/>
    <x v="2"/>
    <x v="0"/>
    <x v="565"/>
    <n v="26.64"/>
    <n v="1"/>
    <n v="7.4592000000000001"/>
    <n v="0.27999999999999997"/>
    <n v="2017"/>
    <x v="6"/>
    <n v="7"/>
    <n v="26.64"/>
    <s v="Profit"/>
  </r>
  <r>
    <s v="CA-2017-141733"/>
    <d v="2017-07-05T00:00:00"/>
    <x v="2"/>
    <x v="0"/>
    <x v="566"/>
    <n v="476.8"/>
    <n v="2"/>
    <n v="119.2"/>
    <n v="0.25"/>
    <n v="2017"/>
    <x v="6"/>
    <n v="7"/>
    <n v="238.4"/>
    <s v="Profit"/>
  </r>
  <r>
    <s v="CA-2017-141733"/>
    <d v="2017-07-05T00:00:00"/>
    <x v="2"/>
    <x v="1"/>
    <x v="567"/>
    <n v="87.444000000000003"/>
    <n v="2"/>
    <n v="18.4604"/>
    <n v="0.21111111111111111"/>
    <n v="2017"/>
    <x v="6"/>
    <n v="7"/>
    <n v="43.722000000000001"/>
    <s v="Profit"/>
  </r>
  <r>
    <s v="CA-2017-159688"/>
    <d v="2017-07-05T00:00:00"/>
    <x v="1"/>
    <x v="2"/>
    <x v="568"/>
    <n v="79.989999999999995"/>
    <n v="1"/>
    <n v="28.796399999999998"/>
    <n v="0.36"/>
    <n v="2017"/>
    <x v="6"/>
    <n v="7"/>
    <n v="79.989999999999995"/>
    <s v="Profit"/>
  </r>
  <r>
    <s v="CA-2017-102820"/>
    <d v="2017-07-05T00:00:00"/>
    <x v="1"/>
    <x v="2"/>
    <x v="569"/>
    <n v="419.94400000000002"/>
    <n v="7"/>
    <n v="52.493000000000002"/>
    <n v="0.125"/>
    <n v="2017"/>
    <x v="6"/>
    <n v="7"/>
    <n v="59.992000000000004"/>
    <s v="Profit"/>
  </r>
  <r>
    <s v="CA-2017-105053"/>
    <d v="2017-07-07T00:00:00"/>
    <x v="0"/>
    <x v="1"/>
    <x v="402"/>
    <n v="17.472000000000001"/>
    <n v="3"/>
    <n v="6.3335999999999997"/>
    <n v="0.36249999999999993"/>
    <n v="2017"/>
    <x v="6"/>
    <n v="7"/>
    <n v="5.8240000000000007"/>
    <s v="Profit"/>
  </r>
  <r>
    <s v="CA-2017-155152"/>
    <d v="2017-07-07T00:00:00"/>
    <x v="0"/>
    <x v="2"/>
    <x v="319"/>
    <n v="252"/>
    <n v="4"/>
    <n v="93.24"/>
    <n v="0.37"/>
    <n v="2017"/>
    <x v="6"/>
    <n v="7"/>
    <n v="63"/>
    <s v="Profit"/>
  </r>
  <r>
    <s v="US-2017-169551"/>
    <d v="2017-07-07T00:00:00"/>
    <x v="0"/>
    <x v="0"/>
    <x v="570"/>
    <n v="87.21"/>
    <n v="3"/>
    <n v="-45.349200000000003"/>
    <n v="-0.52000000000000013"/>
    <n v="2017"/>
    <x v="6"/>
    <n v="7"/>
    <n v="29.069999999999997"/>
    <s v="Loss"/>
  </r>
  <r>
    <s v="US-2017-169551"/>
    <d v="2017-07-07T00:00:00"/>
    <x v="0"/>
    <x v="1"/>
    <x v="571"/>
    <n v="15.552"/>
    <n v="3"/>
    <n v="5.4432"/>
    <n v="0.35000000000000003"/>
    <n v="2017"/>
    <x v="6"/>
    <n v="7"/>
    <n v="5.1840000000000002"/>
    <s v="Profit"/>
  </r>
  <r>
    <s v="US-2017-169551"/>
    <d v="2017-07-07T00:00:00"/>
    <x v="0"/>
    <x v="2"/>
    <x v="572"/>
    <n v="683.98800000000006"/>
    <n v="2"/>
    <n v="-113.998"/>
    <n v="-0.16666666666666666"/>
    <n v="2017"/>
    <x v="6"/>
    <n v="7"/>
    <n v="341.99400000000003"/>
    <s v="Loss"/>
  </r>
  <r>
    <s v="US-2017-169551"/>
    <d v="2017-07-07T00:00:00"/>
    <x v="0"/>
    <x v="1"/>
    <x v="573"/>
    <n v="13.391999999999999"/>
    <n v="3"/>
    <n v="1.0044"/>
    <n v="7.4999999999999997E-2"/>
    <n v="2017"/>
    <x v="6"/>
    <n v="7"/>
    <n v="4.4639999999999995"/>
    <s v="Profit"/>
  </r>
  <r>
    <s v="US-2017-169551"/>
    <d v="2017-07-07T00:00:00"/>
    <x v="0"/>
    <x v="2"/>
    <x v="574"/>
    <n v="16.776"/>
    <n v="3"/>
    <n v="4.8231000000000002"/>
    <n v="0.28750000000000003"/>
    <n v="2017"/>
    <x v="6"/>
    <n v="7"/>
    <n v="5.5919999999999996"/>
    <s v="Profit"/>
  </r>
  <r>
    <s v="US-2017-169551"/>
    <d v="2017-07-07T00:00:00"/>
    <x v="0"/>
    <x v="2"/>
    <x v="575"/>
    <n v="527.91999999999996"/>
    <n v="2"/>
    <n v="85.787000000000006"/>
    <n v="0.16250000000000003"/>
    <n v="2017"/>
    <x v="6"/>
    <n v="7"/>
    <n v="263.95999999999998"/>
    <s v="Profit"/>
  </r>
  <r>
    <s v="CA-2017-106824"/>
    <d v="2017-07-07T00:00:00"/>
    <x v="1"/>
    <x v="1"/>
    <x v="576"/>
    <n v="5.94"/>
    <n v="3"/>
    <n v="0.1188"/>
    <n v="0.02"/>
    <n v="2017"/>
    <x v="6"/>
    <n v="7"/>
    <n v="1.9800000000000002"/>
    <s v="Profit"/>
  </r>
  <r>
    <s v="CA-2017-163321"/>
    <d v="2017-07-08T00:00:00"/>
    <x v="3"/>
    <x v="2"/>
    <x v="452"/>
    <n v="79.992000000000004"/>
    <n v="1"/>
    <n v="21.997800000000002"/>
    <n v="0.27500000000000002"/>
    <n v="2017"/>
    <x v="6"/>
    <n v="7"/>
    <n v="79.992000000000004"/>
    <s v="Profit"/>
  </r>
  <r>
    <s v="CA-2017-117023"/>
    <d v="2017-07-08T00:00:00"/>
    <x v="0"/>
    <x v="1"/>
    <x v="577"/>
    <n v="11.68"/>
    <n v="2"/>
    <n v="5.4896000000000003"/>
    <n v="0.47000000000000003"/>
    <n v="2017"/>
    <x v="6"/>
    <n v="7"/>
    <n v="5.84"/>
    <s v="Profit"/>
  </r>
  <r>
    <s v="CA-2017-117023"/>
    <d v="2017-07-08T00:00:00"/>
    <x v="0"/>
    <x v="1"/>
    <x v="51"/>
    <n v="104.8"/>
    <n v="10"/>
    <n v="26.2"/>
    <n v="0.25"/>
    <n v="2017"/>
    <x v="6"/>
    <n v="7"/>
    <n v="10.48"/>
    <s v="Profit"/>
  </r>
  <r>
    <s v="US-2017-155999"/>
    <d v="2017-07-08T00:00:00"/>
    <x v="1"/>
    <x v="2"/>
    <x v="578"/>
    <n v="159.96"/>
    <n v="5"/>
    <n v="17.9955"/>
    <n v="0.11249999999999999"/>
    <n v="2017"/>
    <x v="6"/>
    <n v="7"/>
    <n v="31.992000000000001"/>
    <s v="Profit"/>
  </r>
  <r>
    <s v="US-2017-155999"/>
    <d v="2017-07-08T00:00:00"/>
    <x v="1"/>
    <x v="1"/>
    <x v="579"/>
    <n v="13.76"/>
    <n v="2"/>
    <n v="4.6440000000000001"/>
    <n v="0.33750000000000002"/>
    <n v="2017"/>
    <x v="6"/>
    <n v="7"/>
    <n v="6.88"/>
    <s v="Profit"/>
  </r>
  <r>
    <s v="CA-2017-158344"/>
    <d v="2017-07-08T00:00:00"/>
    <x v="2"/>
    <x v="2"/>
    <x v="360"/>
    <n v="63.96"/>
    <n v="4"/>
    <n v="19.8276"/>
    <n v="0.31"/>
    <n v="2017"/>
    <x v="6"/>
    <n v="7"/>
    <n v="15.99"/>
    <s v="Profit"/>
  </r>
  <r>
    <s v="CA-2017-115175"/>
    <d v="2017-07-08T00:00:00"/>
    <x v="1"/>
    <x v="1"/>
    <x v="289"/>
    <n v="244.55"/>
    <n v="5"/>
    <n v="114.9385"/>
    <n v="0.47"/>
    <n v="2017"/>
    <x v="6"/>
    <n v="7"/>
    <n v="48.910000000000004"/>
    <s v="Profit"/>
  </r>
  <r>
    <s v="CA-2017-110821"/>
    <d v="2017-07-08T00:00:00"/>
    <x v="2"/>
    <x v="2"/>
    <x v="580"/>
    <n v="119.44799999999999"/>
    <n v="3"/>
    <n v="-13.437900000000001"/>
    <n v="-0.11250000000000002"/>
    <n v="2017"/>
    <x v="6"/>
    <n v="7"/>
    <n v="39.815999999999995"/>
    <s v="Loss"/>
  </r>
  <r>
    <s v="CA-2017-110821"/>
    <d v="2017-07-08T00:00:00"/>
    <x v="2"/>
    <x v="1"/>
    <x v="75"/>
    <n v="118.16"/>
    <n v="2"/>
    <n v="-25.109000000000002"/>
    <n v="-0.21250000000000002"/>
    <n v="2017"/>
    <x v="6"/>
    <n v="7"/>
    <n v="59.08"/>
    <s v="Loss"/>
  </r>
  <r>
    <s v="CA-2017-156776"/>
    <d v="2017-07-08T00:00:00"/>
    <x v="1"/>
    <x v="2"/>
    <x v="581"/>
    <n v="707.88"/>
    <n v="3"/>
    <n v="44.2425"/>
    <n v="6.25E-2"/>
    <n v="2017"/>
    <x v="6"/>
    <n v="7"/>
    <n v="235.96"/>
    <s v="Profit"/>
  </r>
  <r>
    <s v="CA-2017-156776"/>
    <d v="2017-07-08T00:00:00"/>
    <x v="1"/>
    <x v="1"/>
    <x v="582"/>
    <n v="11.952"/>
    <n v="3"/>
    <n v="4.1832000000000003"/>
    <n v="0.35000000000000003"/>
    <n v="2017"/>
    <x v="6"/>
    <n v="7"/>
    <n v="3.984"/>
    <s v="Profit"/>
  </r>
  <r>
    <s v="CA-2017-156776"/>
    <d v="2017-07-08T00:00:00"/>
    <x v="1"/>
    <x v="1"/>
    <x v="334"/>
    <n v="31.128"/>
    <n v="3"/>
    <n v="11.673"/>
    <n v="0.375"/>
    <n v="2017"/>
    <x v="6"/>
    <n v="7"/>
    <n v="10.375999999999999"/>
    <s v="Profit"/>
  </r>
  <r>
    <s v="CA-2017-156776"/>
    <d v="2017-07-08T00:00:00"/>
    <x v="1"/>
    <x v="2"/>
    <x v="583"/>
    <n v="55.76"/>
    <n v="4"/>
    <n v="7.8064"/>
    <n v="0.14000000000000001"/>
    <n v="2017"/>
    <x v="6"/>
    <n v="7"/>
    <n v="13.94"/>
    <s v="Profit"/>
  </r>
  <r>
    <s v="CA-2017-156776"/>
    <d v="2017-07-08T00:00:00"/>
    <x v="1"/>
    <x v="1"/>
    <x v="300"/>
    <n v="24.56"/>
    <n v="2"/>
    <n v="11.543200000000001"/>
    <n v="0.47000000000000003"/>
    <n v="2017"/>
    <x v="6"/>
    <n v="7"/>
    <n v="12.28"/>
    <s v="Profit"/>
  </r>
  <r>
    <s v="CA-2017-156776"/>
    <d v="2017-07-08T00:00:00"/>
    <x v="1"/>
    <x v="0"/>
    <x v="368"/>
    <n v="51.75"/>
    <n v="1"/>
    <n v="15.525"/>
    <n v="0.3"/>
    <n v="2017"/>
    <x v="6"/>
    <n v="7"/>
    <n v="51.75"/>
    <s v="Profit"/>
  </r>
  <r>
    <s v="CA-2017-156776"/>
    <d v="2017-07-08T00:00:00"/>
    <x v="1"/>
    <x v="0"/>
    <x v="584"/>
    <n v="207.184"/>
    <n v="1"/>
    <n v="25.898"/>
    <n v="0.125"/>
    <n v="2017"/>
    <x v="6"/>
    <n v="7"/>
    <n v="207.184"/>
    <s v="Profit"/>
  </r>
  <r>
    <s v="CA-2017-156776"/>
    <d v="2017-07-08T00:00:00"/>
    <x v="1"/>
    <x v="1"/>
    <x v="222"/>
    <n v="1473.1"/>
    <n v="5"/>
    <n v="412.46800000000002"/>
    <n v="0.28000000000000003"/>
    <n v="2017"/>
    <x v="6"/>
    <n v="7"/>
    <n v="294.62"/>
    <s v="Profit"/>
  </r>
  <r>
    <s v="US-2017-129441"/>
    <d v="2017-07-09T00:00:00"/>
    <x v="1"/>
    <x v="0"/>
    <x v="585"/>
    <n v="47.94"/>
    <n v="3"/>
    <n v="2.3969999999999998"/>
    <n v="4.9999999999999996E-2"/>
    <n v="2017"/>
    <x v="6"/>
    <n v="7"/>
    <n v="15.979999999999999"/>
    <s v="Profit"/>
  </r>
  <r>
    <s v="CA-2017-124401"/>
    <d v="2017-07-09T00:00:00"/>
    <x v="1"/>
    <x v="1"/>
    <x v="10"/>
    <n v="37.68"/>
    <n v="3"/>
    <n v="2.355"/>
    <n v="6.25E-2"/>
    <n v="2017"/>
    <x v="6"/>
    <n v="7"/>
    <n v="12.56"/>
    <s v="Profit"/>
  </r>
  <r>
    <s v="CA-2017-124401"/>
    <d v="2017-07-09T00:00:00"/>
    <x v="1"/>
    <x v="2"/>
    <x v="259"/>
    <n v="279.94400000000002"/>
    <n v="7"/>
    <n v="80.483900000000006"/>
    <n v="0.28749999999999998"/>
    <n v="2017"/>
    <x v="6"/>
    <n v="7"/>
    <n v="39.992000000000004"/>
    <s v="Profit"/>
  </r>
  <r>
    <s v="CA-2017-148929"/>
    <d v="2017-07-09T00:00:00"/>
    <x v="0"/>
    <x v="1"/>
    <x v="586"/>
    <n v="478.08"/>
    <n v="8"/>
    <n v="133.86240000000001"/>
    <n v="0.28000000000000003"/>
    <n v="2017"/>
    <x v="6"/>
    <n v="7"/>
    <n v="59.76"/>
    <s v="Profit"/>
  </r>
  <r>
    <s v="CA-2017-100335"/>
    <d v="2017-07-09T00:00:00"/>
    <x v="2"/>
    <x v="1"/>
    <x v="124"/>
    <n v="73.007999999999996"/>
    <n v="9"/>
    <n v="26.465399999999999"/>
    <n v="0.36249999999999999"/>
    <n v="2017"/>
    <x v="6"/>
    <n v="7"/>
    <n v="8.1120000000000001"/>
    <s v="Profit"/>
  </r>
  <r>
    <s v="CA-2017-103877"/>
    <d v="2017-07-09T00:00:00"/>
    <x v="2"/>
    <x v="1"/>
    <x v="172"/>
    <n v="1577.94"/>
    <n v="3"/>
    <n v="757.41120000000001"/>
    <n v="0.48"/>
    <n v="2017"/>
    <x v="6"/>
    <n v="7"/>
    <n v="525.98"/>
    <s v="Profit"/>
  </r>
  <r>
    <s v="CA-2017-163692"/>
    <d v="2017-07-09T00:00:00"/>
    <x v="1"/>
    <x v="1"/>
    <x v="119"/>
    <n v="7.8570000000000002"/>
    <n v="3"/>
    <n v="-6.0236999999999998"/>
    <n v="-0.76666666666666661"/>
    <n v="2017"/>
    <x v="6"/>
    <n v="7"/>
    <n v="2.6190000000000002"/>
    <s v="Loss"/>
  </r>
  <r>
    <s v="CA-2017-100160"/>
    <d v="2017-07-09T00:00:00"/>
    <x v="0"/>
    <x v="1"/>
    <x v="173"/>
    <n v="29.24"/>
    <n v="5"/>
    <n v="9.8684999999999992"/>
    <n v="0.33749999999999997"/>
    <n v="2017"/>
    <x v="6"/>
    <n v="7"/>
    <n v="5.8479999999999999"/>
    <s v="Profit"/>
  </r>
  <r>
    <s v="CA-2017-100160"/>
    <d v="2017-07-09T00:00:00"/>
    <x v="0"/>
    <x v="1"/>
    <x v="587"/>
    <n v="15.552"/>
    <n v="3"/>
    <n v="5.4432"/>
    <n v="0.35000000000000003"/>
    <n v="2017"/>
    <x v="6"/>
    <n v="7"/>
    <n v="5.1840000000000002"/>
    <s v="Profit"/>
  </r>
  <r>
    <s v="CA-2017-100160"/>
    <d v="2017-07-09T00:00:00"/>
    <x v="0"/>
    <x v="1"/>
    <x v="588"/>
    <n v="4.8959999999999999"/>
    <n v="3"/>
    <n v="1.6524000000000001"/>
    <n v="0.33750000000000002"/>
    <n v="2017"/>
    <x v="6"/>
    <n v="7"/>
    <n v="1.6319999999999999"/>
    <s v="Profit"/>
  </r>
  <r>
    <s v="US-2017-104094"/>
    <d v="2017-07-09T00:00:00"/>
    <x v="2"/>
    <x v="2"/>
    <x v="589"/>
    <n v="13.48"/>
    <n v="1"/>
    <n v="1.8872"/>
    <n v="0.13999999999999999"/>
    <n v="2017"/>
    <x v="6"/>
    <n v="7"/>
    <n v="13.48"/>
    <s v="Profit"/>
  </r>
  <r>
    <s v="CA-2017-151008"/>
    <d v="2017-07-09T00:00:00"/>
    <x v="1"/>
    <x v="0"/>
    <x v="590"/>
    <n v="25.16"/>
    <n v="2"/>
    <n v="10.5672"/>
    <n v="0.42"/>
    <n v="2017"/>
    <x v="6"/>
    <n v="7"/>
    <n v="12.58"/>
    <s v="Profit"/>
  </r>
  <r>
    <s v="CA-2017-151008"/>
    <d v="2017-07-09T00:00:00"/>
    <x v="1"/>
    <x v="2"/>
    <x v="591"/>
    <n v="126.56"/>
    <n v="4"/>
    <n v="47.46"/>
    <n v="0.375"/>
    <n v="2017"/>
    <x v="6"/>
    <n v="7"/>
    <n v="31.64"/>
    <s v="Profit"/>
  </r>
  <r>
    <s v="CA-2017-107244"/>
    <d v="2017-07-09T00:00:00"/>
    <x v="1"/>
    <x v="0"/>
    <x v="592"/>
    <n v="19.760000000000002"/>
    <n v="4"/>
    <n v="8.2992000000000008"/>
    <n v="0.42"/>
    <n v="2017"/>
    <x v="6"/>
    <n v="7"/>
    <n v="4.9400000000000004"/>
    <s v="Profit"/>
  </r>
  <r>
    <s v="CA-2017-128783"/>
    <d v="2017-07-09T00:00:00"/>
    <x v="2"/>
    <x v="2"/>
    <x v="593"/>
    <n v="113.52"/>
    <n v="4"/>
    <n v="46.543199999999999"/>
    <n v="0.41000000000000003"/>
    <n v="2017"/>
    <x v="6"/>
    <n v="7"/>
    <n v="28.38"/>
    <s v="Profit"/>
  </r>
  <r>
    <s v="CA-2017-128783"/>
    <d v="2017-07-09T00:00:00"/>
    <x v="2"/>
    <x v="0"/>
    <x v="594"/>
    <n v="135.30000000000001"/>
    <n v="5"/>
    <n v="37.884"/>
    <n v="0.27999999999999997"/>
    <n v="2017"/>
    <x v="6"/>
    <n v="7"/>
    <n v="27.060000000000002"/>
    <s v="Profit"/>
  </r>
  <r>
    <s v="US-2017-150070"/>
    <d v="2017-07-09T00:00:00"/>
    <x v="1"/>
    <x v="0"/>
    <x v="314"/>
    <n v="161.56800000000001"/>
    <n v="2"/>
    <n v="-28.2744"/>
    <n v="-0.17499999999999999"/>
    <n v="2017"/>
    <x v="6"/>
    <n v="7"/>
    <n v="80.784000000000006"/>
    <s v="Loss"/>
  </r>
  <r>
    <s v="CA-2017-128769"/>
    <d v="2017-07-09T00:00:00"/>
    <x v="3"/>
    <x v="1"/>
    <x v="495"/>
    <n v="81.567999999999998"/>
    <n v="2"/>
    <n v="7.1372"/>
    <n v="8.7500000000000008E-2"/>
    <n v="2017"/>
    <x v="6"/>
    <n v="7"/>
    <n v="40.783999999999999"/>
    <s v="Profit"/>
  </r>
  <r>
    <s v="US-2017-130687"/>
    <d v="2017-07-09T00:00:00"/>
    <x v="1"/>
    <x v="0"/>
    <x v="363"/>
    <n v="80.959999999999994"/>
    <n v="4"/>
    <n v="34.812800000000003"/>
    <n v="0.43000000000000005"/>
    <n v="2017"/>
    <x v="6"/>
    <n v="7"/>
    <n v="20.239999999999998"/>
    <s v="Profit"/>
  </r>
  <r>
    <s v="US-2017-130687"/>
    <d v="2017-07-09T00:00:00"/>
    <x v="1"/>
    <x v="2"/>
    <x v="595"/>
    <n v="455.71199999999999"/>
    <n v="2"/>
    <n v="34.178400000000003"/>
    <n v="7.5000000000000011E-2"/>
    <n v="2017"/>
    <x v="6"/>
    <n v="7"/>
    <n v="227.85599999999999"/>
    <s v="Profit"/>
  </r>
  <r>
    <s v="US-2017-130687"/>
    <d v="2017-07-09T00:00:00"/>
    <x v="1"/>
    <x v="1"/>
    <x v="596"/>
    <n v="25.98"/>
    <n v="1"/>
    <n v="7.2744"/>
    <n v="0.27999999999999997"/>
    <n v="2017"/>
    <x v="6"/>
    <n v="7"/>
    <n v="25.98"/>
    <s v="Profit"/>
  </r>
  <r>
    <s v="US-2017-169488"/>
    <d v="2017-07-09T00:00:00"/>
    <x v="0"/>
    <x v="1"/>
    <x v="597"/>
    <n v="16.899999999999999"/>
    <n v="5"/>
    <n v="7.774"/>
    <n v="0.46"/>
    <n v="2017"/>
    <x v="6"/>
    <n v="7"/>
    <n v="3.38"/>
    <s v="Profit"/>
  </r>
  <r>
    <s v="US-2017-169488"/>
    <d v="2017-07-09T00:00:00"/>
    <x v="0"/>
    <x v="1"/>
    <x v="163"/>
    <n v="39.96"/>
    <n v="2"/>
    <n v="18.781199999999998"/>
    <n v="0.47"/>
    <n v="2017"/>
    <x v="6"/>
    <n v="7"/>
    <n v="19.98"/>
    <s v="Profit"/>
  </r>
  <r>
    <s v="CA-2017-104003"/>
    <d v="2017-07-10T00:00:00"/>
    <x v="1"/>
    <x v="0"/>
    <x v="598"/>
    <n v="307.666"/>
    <n v="2"/>
    <n v="-14.478400000000001"/>
    <n v="-4.7058823529411764E-2"/>
    <n v="2017"/>
    <x v="6"/>
    <n v="7"/>
    <n v="153.833"/>
    <s v="Loss"/>
  </r>
  <r>
    <s v="CA-2017-108574"/>
    <d v="2017-07-10T00:00:00"/>
    <x v="1"/>
    <x v="2"/>
    <x v="326"/>
    <n v="1115.9100000000001"/>
    <n v="9"/>
    <n v="200.8638"/>
    <n v="0.18"/>
    <n v="2017"/>
    <x v="6"/>
    <n v="7"/>
    <n v="123.99000000000001"/>
    <s v="Profit"/>
  </r>
  <r>
    <s v="CA-2017-108574"/>
    <d v="2017-07-10T00:00:00"/>
    <x v="1"/>
    <x v="2"/>
    <x v="470"/>
    <n v="128.744"/>
    <n v="7"/>
    <n v="-28.967400000000001"/>
    <n v="-0.22500000000000001"/>
    <n v="2017"/>
    <x v="6"/>
    <n v="7"/>
    <n v="18.391999999999999"/>
    <s v="Loss"/>
  </r>
  <r>
    <s v="CA-2017-108574"/>
    <d v="2017-07-10T00:00:00"/>
    <x v="1"/>
    <x v="2"/>
    <x v="298"/>
    <n v="79.92"/>
    <n v="10"/>
    <n v="26.972999999999999"/>
    <n v="0.33749999999999997"/>
    <n v="2017"/>
    <x v="6"/>
    <n v="7"/>
    <n v="7.992"/>
    <s v="Profit"/>
  </r>
  <r>
    <s v="CA-2017-148404"/>
    <d v="2017-07-10T00:00:00"/>
    <x v="3"/>
    <x v="1"/>
    <x v="538"/>
    <n v="580.67200000000003"/>
    <n v="4"/>
    <n v="65.325599999999994"/>
    <n v="0.11249999999999999"/>
    <n v="2017"/>
    <x v="6"/>
    <n v="7"/>
    <n v="145.16800000000001"/>
    <s v="Profit"/>
  </r>
  <r>
    <s v="CA-2017-148404"/>
    <d v="2017-07-10T00:00:00"/>
    <x v="3"/>
    <x v="1"/>
    <x v="111"/>
    <n v="18.936"/>
    <n v="3"/>
    <n v="5.9175000000000004"/>
    <n v="0.3125"/>
    <n v="2017"/>
    <x v="6"/>
    <n v="7"/>
    <n v="6.3120000000000003"/>
    <s v="Profit"/>
  </r>
  <r>
    <s v="CA-2017-148404"/>
    <d v="2017-07-10T00:00:00"/>
    <x v="3"/>
    <x v="2"/>
    <x v="599"/>
    <n v="222.38399999999999"/>
    <n v="2"/>
    <n v="16.678799999999999"/>
    <n v="7.4999999999999997E-2"/>
    <n v="2017"/>
    <x v="6"/>
    <n v="7"/>
    <n v="111.19199999999999"/>
    <s v="Profit"/>
  </r>
  <r>
    <s v="CA-2017-148404"/>
    <d v="2017-07-10T00:00:00"/>
    <x v="3"/>
    <x v="1"/>
    <x v="183"/>
    <n v="50.454000000000001"/>
    <n v="6"/>
    <n v="-33.636000000000003"/>
    <n v="-0.66666666666666674"/>
    <n v="2017"/>
    <x v="6"/>
    <n v="7"/>
    <n v="8.4090000000000007"/>
    <s v="Loss"/>
  </r>
  <r>
    <s v="CA-2017-148404"/>
    <d v="2017-07-10T00:00:00"/>
    <x v="3"/>
    <x v="0"/>
    <x v="479"/>
    <n v="154.76400000000001"/>
    <n v="3"/>
    <n v="-36.111600000000003"/>
    <n v="-0.23333333333333334"/>
    <n v="2017"/>
    <x v="6"/>
    <n v="7"/>
    <n v="51.588000000000001"/>
    <s v="Loss"/>
  </r>
  <r>
    <s v="CA-2017-128426"/>
    <d v="2017-07-10T00:00:00"/>
    <x v="2"/>
    <x v="1"/>
    <x v="600"/>
    <n v="4.24"/>
    <n v="5"/>
    <n v="-6.36"/>
    <n v="-1.5"/>
    <n v="2017"/>
    <x v="6"/>
    <n v="7"/>
    <n v="0.84800000000000009"/>
    <s v="Loss"/>
  </r>
  <r>
    <s v="CA-2017-152709"/>
    <d v="2017-07-10T00:00:00"/>
    <x v="2"/>
    <x v="1"/>
    <x v="601"/>
    <n v="85.52"/>
    <n v="2"/>
    <n v="22.235199999999999"/>
    <n v="0.26"/>
    <n v="2017"/>
    <x v="6"/>
    <n v="7"/>
    <n v="42.76"/>
    <s v="Profit"/>
  </r>
  <r>
    <s v="CA-2017-122504"/>
    <d v="2017-07-11T00:00:00"/>
    <x v="1"/>
    <x v="2"/>
    <x v="602"/>
    <n v="59.97"/>
    <n v="3"/>
    <n v="13.793100000000001"/>
    <n v="0.23"/>
    <n v="2017"/>
    <x v="6"/>
    <n v="7"/>
    <n v="19.989999999999998"/>
    <s v="Profit"/>
  </r>
  <r>
    <s v="CA-2017-122504"/>
    <d v="2017-07-11T00:00:00"/>
    <x v="1"/>
    <x v="2"/>
    <x v="603"/>
    <n v="761.54399999999998"/>
    <n v="7"/>
    <n v="66.635099999999994"/>
    <n v="8.7499999999999994E-2"/>
    <n v="2017"/>
    <x v="6"/>
    <n v="7"/>
    <n v="108.792"/>
    <s v="Profit"/>
  </r>
  <r>
    <s v="CA-2017-149888"/>
    <d v="2017-07-11T00:00:00"/>
    <x v="0"/>
    <x v="2"/>
    <x v="604"/>
    <n v="359.97"/>
    <n v="5"/>
    <n v="-71.994"/>
    <n v="-0.19999999999999998"/>
    <n v="2017"/>
    <x v="6"/>
    <n v="7"/>
    <n v="71.994"/>
    <s v="Loss"/>
  </r>
  <r>
    <s v="CA-2017-149888"/>
    <d v="2017-07-11T00:00:00"/>
    <x v="0"/>
    <x v="0"/>
    <x v="605"/>
    <n v="350.35199999999998"/>
    <n v="4"/>
    <n v="-140.14080000000001"/>
    <n v="-0.40000000000000008"/>
    <n v="2017"/>
    <x v="6"/>
    <n v="7"/>
    <n v="87.587999999999994"/>
    <s v="Loss"/>
  </r>
  <r>
    <s v="CA-2017-152737"/>
    <d v="2017-07-11T00:00:00"/>
    <x v="1"/>
    <x v="1"/>
    <x v="346"/>
    <n v="21.792000000000002"/>
    <n v="4"/>
    <n v="7.6272000000000002"/>
    <n v="0.35"/>
    <n v="2017"/>
    <x v="6"/>
    <n v="7"/>
    <n v="5.4480000000000004"/>
    <s v="Profit"/>
  </r>
  <r>
    <s v="CA-2017-152737"/>
    <d v="2017-07-11T00:00:00"/>
    <x v="1"/>
    <x v="2"/>
    <x v="271"/>
    <n v="439.8"/>
    <n v="4"/>
    <n v="145.13399999999999"/>
    <n v="0.32999999999999996"/>
    <n v="2017"/>
    <x v="6"/>
    <n v="7"/>
    <n v="109.95"/>
    <s v="Profit"/>
  </r>
  <r>
    <s v="CA-2017-132346"/>
    <d v="2017-07-11T00:00:00"/>
    <x v="0"/>
    <x v="1"/>
    <x v="606"/>
    <n v="100.94"/>
    <n v="7"/>
    <n v="33.310200000000002"/>
    <n v="0.33"/>
    <n v="2017"/>
    <x v="6"/>
    <n v="7"/>
    <n v="14.42"/>
    <s v="Profit"/>
  </r>
  <r>
    <s v="CA-2017-113572"/>
    <d v="2017-07-11T00:00:00"/>
    <x v="0"/>
    <x v="2"/>
    <x v="607"/>
    <n v="7.88"/>
    <n v="4"/>
    <n v="2.5215999999999998"/>
    <n v="0.32"/>
    <n v="2017"/>
    <x v="6"/>
    <n v="7"/>
    <n v="1.97"/>
    <s v="Profit"/>
  </r>
  <r>
    <s v="CA-2017-113460"/>
    <d v="2017-07-11T00:00:00"/>
    <x v="0"/>
    <x v="0"/>
    <x v="608"/>
    <n v="272.97000000000003"/>
    <n v="3"/>
    <n v="43.675199999999997"/>
    <n v="0.15999999999999998"/>
    <n v="2017"/>
    <x v="6"/>
    <n v="7"/>
    <n v="90.990000000000009"/>
    <s v="Profit"/>
  </r>
  <r>
    <s v="CA-2017-163188"/>
    <d v="2017-07-11T00:00:00"/>
    <x v="2"/>
    <x v="1"/>
    <x v="600"/>
    <n v="38.159999999999997"/>
    <n v="9"/>
    <n v="19.079999999999998"/>
    <n v="0.5"/>
    <n v="2017"/>
    <x v="6"/>
    <n v="7"/>
    <n v="4.2399999999999993"/>
    <s v="Profit"/>
  </r>
  <r>
    <s v="CA-2017-137099"/>
    <d v="2017-07-12T00:00:00"/>
    <x v="1"/>
    <x v="2"/>
    <x v="609"/>
    <n v="374.37599999999998"/>
    <n v="3"/>
    <n v="46.796999999999997"/>
    <n v="0.125"/>
    <n v="2017"/>
    <x v="6"/>
    <n v="7"/>
    <n v="124.79199999999999"/>
    <s v="Profit"/>
  </r>
  <r>
    <s v="CA-2017-134285"/>
    <d v="2017-07-12T00:00:00"/>
    <x v="2"/>
    <x v="1"/>
    <x v="610"/>
    <n v="3.552"/>
    <n v="3"/>
    <n v="1.2432000000000001"/>
    <n v="0.35000000000000003"/>
    <n v="2017"/>
    <x v="6"/>
    <n v="7"/>
    <n v="1.1839999999999999"/>
    <s v="Profit"/>
  </r>
  <r>
    <s v="CA-2017-134285"/>
    <d v="2017-07-12T00:00:00"/>
    <x v="2"/>
    <x v="1"/>
    <x v="611"/>
    <n v="15.552"/>
    <n v="3"/>
    <n v="5.4432"/>
    <n v="0.35000000000000003"/>
    <n v="2017"/>
    <x v="6"/>
    <n v="7"/>
    <n v="5.1840000000000002"/>
    <s v="Profit"/>
  </r>
  <r>
    <s v="CA-2017-157980"/>
    <d v="2017-07-12T00:00:00"/>
    <x v="0"/>
    <x v="2"/>
    <x v="612"/>
    <n v="127.98399999999999"/>
    <n v="2"/>
    <n v="25.596800000000002"/>
    <n v="0.2"/>
    <n v="2017"/>
    <x v="6"/>
    <n v="7"/>
    <n v="63.991999999999997"/>
    <s v="Profit"/>
  </r>
  <r>
    <s v="US-2017-136189"/>
    <d v="2017-07-12T00:00:00"/>
    <x v="3"/>
    <x v="0"/>
    <x v="613"/>
    <n v="82.38"/>
    <n v="6"/>
    <n v="25.537800000000001"/>
    <n v="0.31000000000000005"/>
    <n v="2017"/>
    <x v="6"/>
    <n v="7"/>
    <n v="13.729999999999999"/>
    <s v="Profit"/>
  </r>
  <r>
    <s v="US-2017-122714"/>
    <d v="2017-07-12T00:00:00"/>
    <x v="2"/>
    <x v="1"/>
    <x v="614"/>
    <n v="1889.99"/>
    <n v="5"/>
    <n v="-2929.4845"/>
    <n v="-1.55"/>
    <n v="2017"/>
    <x v="6"/>
    <n v="7"/>
    <n v="377.99799999999999"/>
    <s v="Loss"/>
  </r>
  <r>
    <s v="CA-2017-135587"/>
    <d v="2017-07-12T00:00:00"/>
    <x v="3"/>
    <x v="1"/>
    <x v="615"/>
    <n v="320.64"/>
    <n v="4"/>
    <n v="89.779200000000003"/>
    <n v="0.28000000000000003"/>
    <n v="2017"/>
    <x v="6"/>
    <n v="7"/>
    <n v="80.16"/>
    <s v="Profit"/>
  </r>
  <r>
    <s v="CA-2017-135587"/>
    <d v="2017-07-12T00:00:00"/>
    <x v="3"/>
    <x v="2"/>
    <x v="616"/>
    <n v="52"/>
    <n v="4"/>
    <n v="23.4"/>
    <n v="0.44999999999999996"/>
    <n v="2017"/>
    <x v="6"/>
    <n v="7"/>
    <n v="13"/>
    <s v="Profit"/>
  </r>
  <r>
    <s v="CA-2017-142328"/>
    <d v="2017-07-12T00:00:00"/>
    <x v="1"/>
    <x v="1"/>
    <x v="617"/>
    <n v="50.04"/>
    <n v="6"/>
    <n v="25.02"/>
    <n v="0.5"/>
    <n v="2017"/>
    <x v="6"/>
    <n v="7"/>
    <n v="8.34"/>
    <s v="Profit"/>
  </r>
  <r>
    <s v="CA-2017-115154"/>
    <d v="2017-08-01T00:00:00"/>
    <x v="1"/>
    <x v="0"/>
    <x v="618"/>
    <n v="892.98"/>
    <n v="2"/>
    <n v="80.368200000000002"/>
    <n v="0.09"/>
    <n v="2017"/>
    <x v="7"/>
    <n v="8"/>
    <n v="446.49"/>
    <s v="Profit"/>
  </r>
  <r>
    <s v="CA-2017-155698"/>
    <d v="2017-08-03T00:00:00"/>
    <x v="3"/>
    <x v="1"/>
    <x v="619"/>
    <n v="647.84"/>
    <n v="8"/>
    <n v="168.4384"/>
    <n v="0.26"/>
    <n v="2017"/>
    <x v="7"/>
    <n v="8"/>
    <n v="80.98"/>
    <s v="Profit"/>
  </r>
  <r>
    <s v="CA-2017-155698"/>
    <d v="2017-08-03T00:00:00"/>
    <x v="3"/>
    <x v="1"/>
    <x v="620"/>
    <n v="20.7"/>
    <n v="2"/>
    <n v="9.9359999999999999"/>
    <n v="0.48000000000000004"/>
    <n v="2017"/>
    <x v="7"/>
    <n v="8"/>
    <n v="10.35"/>
    <s v="Profit"/>
  </r>
  <r>
    <s v="CA-2017-104080"/>
    <d v="2017-08-03T00:00:00"/>
    <x v="1"/>
    <x v="1"/>
    <x v="621"/>
    <n v="171.2"/>
    <n v="5"/>
    <n v="64.2"/>
    <n v="0.37500000000000006"/>
    <n v="2017"/>
    <x v="7"/>
    <n v="8"/>
    <n v="34.239999999999995"/>
    <s v="Profit"/>
  </r>
  <r>
    <s v="CA-2017-104080"/>
    <d v="2017-08-03T00:00:00"/>
    <x v="1"/>
    <x v="1"/>
    <x v="622"/>
    <n v="3.36"/>
    <n v="2"/>
    <n v="0.87360000000000004"/>
    <n v="0.26"/>
    <n v="2017"/>
    <x v="7"/>
    <n v="8"/>
    <n v="1.68"/>
    <s v="Profit"/>
  </r>
  <r>
    <s v="CA-2017-157854"/>
    <d v="2017-08-04T00:00:00"/>
    <x v="3"/>
    <x v="0"/>
    <x v="623"/>
    <n v="56.28"/>
    <n v="6"/>
    <n v="15.7584"/>
    <n v="0.27999999999999997"/>
    <n v="2017"/>
    <x v="7"/>
    <n v="8"/>
    <n v="9.3800000000000008"/>
    <s v="Profit"/>
  </r>
  <r>
    <s v="CA-2017-157854"/>
    <d v="2017-08-04T00:00:00"/>
    <x v="3"/>
    <x v="1"/>
    <x v="320"/>
    <n v="2690.97"/>
    <n v="3"/>
    <n v="1264.7559000000001"/>
    <n v="0.47000000000000008"/>
    <n v="2017"/>
    <x v="7"/>
    <n v="8"/>
    <n v="896.9899999999999"/>
    <s v="Profit"/>
  </r>
  <r>
    <s v="CA-2017-112333"/>
    <d v="2017-08-04T00:00:00"/>
    <x v="0"/>
    <x v="1"/>
    <x v="624"/>
    <n v="2591.56"/>
    <n v="4"/>
    <n v="621.97439999999995"/>
    <n v="0.24"/>
    <n v="2017"/>
    <x v="7"/>
    <n v="8"/>
    <n v="647.89"/>
    <s v="Profit"/>
  </r>
  <r>
    <s v="CA-2017-112333"/>
    <d v="2017-08-04T00:00:00"/>
    <x v="0"/>
    <x v="1"/>
    <x v="211"/>
    <n v="41.95"/>
    <n v="5"/>
    <n v="10.487500000000001"/>
    <n v="0.25"/>
    <n v="2017"/>
    <x v="7"/>
    <n v="8"/>
    <n v="8.39"/>
    <s v="Profit"/>
  </r>
  <r>
    <s v="CA-2017-150987"/>
    <d v="2017-08-04T00:00:00"/>
    <x v="1"/>
    <x v="1"/>
    <x v="289"/>
    <n v="244.55"/>
    <n v="5"/>
    <n v="114.9385"/>
    <n v="0.47"/>
    <n v="2017"/>
    <x v="7"/>
    <n v="8"/>
    <n v="48.910000000000004"/>
    <s v="Profit"/>
  </r>
  <r>
    <s v="CA-2017-150987"/>
    <d v="2017-08-04T00:00:00"/>
    <x v="1"/>
    <x v="1"/>
    <x v="625"/>
    <n v="195.76"/>
    <n v="4"/>
    <n v="97.88"/>
    <n v="0.5"/>
    <n v="2017"/>
    <x v="7"/>
    <n v="8"/>
    <n v="48.94"/>
    <s v="Profit"/>
  </r>
  <r>
    <s v="US-2017-136721"/>
    <d v="2017-08-04T00:00:00"/>
    <x v="2"/>
    <x v="0"/>
    <x v="626"/>
    <n v="273.95999999999998"/>
    <n v="2"/>
    <n v="71.229600000000005"/>
    <n v="0.26000000000000006"/>
    <n v="2017"/>
    <x v="7"/>
    <n v="8"/>
    <n v="136.97999999999999"/>
    <s v="Profit"/>
  </r>
  <r>
    <s v="US-2017-136721"/>
    <d v="2017-08-04T00:00:00"/>
    <x v="2"/>
    <x v="0"/>
    <x v="175"/>
    <n v="306.89999999999998"/>
    <n v="3"/>
    <n v="79.793999999999997"/>
    <n v="0.26"/>
    <n v="2017"/>
    <x v="7"/>
    <n v="8"/>
    <n v="102.3"/>
    <s v="Profit"/>
  </r>
  <r>
    <s v="CA-2017-149181"/>
    <d v="2017-08-05T00:00:00"/>
    <x v="0"/>
    <x v="0"/>
    <x v="432"/>
    <n v="47.991999999999997"/>
    <n v="2"/>
    <n v="-2.0568"/>
    <n v="-4.2857142857142858E-2"/>
    <n v="2017"/>
    <x v="7"/>
    <n v="8"/>
    <n v="23.995999999999999"/>
    <s v="Loss"/>
  </r>
  <r>
    <s v="CA-2017-133865"/>
    <d v="2017-08-05T00:00:00"/>
    <x v="1"/>
    <x v="2"/>
    <x v="627"/>
    <n v="3359.9520000000002"/>
    <n v="6"/>
    <n v="1049.9849999999999"/>
    <n v="0.31249999999999994"/>
    <n v="2017"/>
    <x v="7"/>
    <n v="8"/>
    <n v="559.99200000000008"/>
    <s v="Profit"/>
  </r>
  <r>
    <s v="CA-2017-156895"/>
    <d v="2017-08-05T00:00:00"/>
    <x v="0"/>
    <x v="0"/>
    <x v="628"/>
    <n v="128.05799999999999"/>
    <n v="3"/>
    <n v="-23.7822"/>
    <n v="-0.18571428571428572"/>
    <n v="2017"/>
    <x v="7"/>
    <n v="8"/>
    <n v="42.686"/>
    <s v="Loss"/>
  </r>
  <r>
    <s v="US-2017-104451"/>
    <d v="2017-08-05T00:00:00"/>
    <x v="1"/>
    <x v="1"/>
    <x v="629"/>
    <n v="81.08"/>
    <n v="4"/>
    <n v="22.702400000000001"/>
    <n v="0.28000000000000003"/>
    <n v="2017"/>
    <x v="7"/>
    <n v="8"/>
    <n v="20.27"/>
    <s v="Profit"/>
  </r>
  <r>
    <s v="CA-2017-107797"/>
    <d v="2017-08-05T00:00:00"/>
    <x v="2"/>
    <x v="1"/>
    <x v="630"/>
    <n v="41.472000000000001"/>
    <n v="8"/>
    <n v="14.5152"/>
    <n v="0.35"/>
    <n v="2017"/>
    <x v="7"/>
    <n v="8"/>
    <n v="5.1840000000000002"/>
    <s v="Profit"/>
  </r>
  <r>
    <s v="US-2017-155299"/>
    <d v="2017-08-06T00:00:00"/>
    <x v="2"/>
    <x v="1"/>
    <x v="631"/>
    <n v="1.6240000000000001"/>
    <n v="2"/>
    <n v="-4.4660000000000002"/>
    <n v="-2.75"/>
    <n v="2017"/>
    <x v="7"/>
    <n v="8"/>
    <n v="0.81200000000000006"/>
    <s v="Loss"/>
  </r>
  <r>
    <s v="CA-2017-132682"/>
    <d v="2017-08-06T00:00:00"/>
    <x v="2"/>
    <x v="1"/>
    <x v="632"/>
    <n v="23.76"/>
    <n v="3"/>
    <n v="2.0790000000000002"/>
    <n v="8.7500000000000008E-2"/>
    <n v="2017"/>
    <x v="7"/>
    <n v="8"/>
    <n v="7.9200000000000008"/>
    <s v="Profit"/>
  </r>
  <r>
    <s v="CA-2017-132682"/>
    <d v="2017-08-06T00:00:00"/>
    <x v="2"/>
    <x v="1"/>
    <x v="124"/>
    <n v="85.055999999999997"/>
    <n v="3"/>
    <n v="28.706399999999999"/>
    <n v="0.33749999999999997"/>
    <n v="2017"/>
    <x v="7"/>
    <n v="8"/>
    <n v="28.352"/>
    <s v="Profit"/>
  </r>
  <r>
    <s v="CA-2017-132682"/>
    <d v="2017-08-06T00:00:00"/>
    <x v="2"/>
    <x v="2"/>
    <x v="633"/>
    <n v="381.57600000000002"/>
    <n v="3"/>
    <n v="28.618200000000002"/>
    <n v="7.4999999999999997E-2"/>
    <n v="2017"/>
    <x v="7"/>
    <n v="8"/>
    <n v="127.19200000000001"/>
    <s v="Profit"/>
  </r>
  <r>
    <s v="CA-2017-117436"/>
    <d v="2017-08-06T00:00:00"/>
    <x v="0"/>
    <x v="1"/>
    <x v="427"/>
    <n v="10.36"/>
    <n v="2"/>
    <n v="5.0763999999999996"/>
    <n v="0.49"/>
    <n v="2017"/>
    <x v="7"/>
    <n v="8"/>
    <n v="5.18"/>
    <s v="Profit"/>
  </r>
  <r>
    <s v="US-2017-106579"/>
    <d v="2017-08-06T00:00:00"/>
    <x v="2"/>
    <x v="1"/>
    <x v="634"/>
    <n v="12.176"/>
    <n v="4"/>
    <n v="-18.872800000000002"/>
    <n v="-1.55"/>
    <n v="2017"/>
    <x v="7"/>
    <n v="8"/>
    <n v="3.044"/>
    <s v="Loss"/>
  </r>
  <r>
    <s v="US-2017-109316"/>
    <d v="2017-08-06T00:00:00"/>
    <x v="1"/>
    <x v="0"/>
    <x v="635"/>
    <n v="1497.6659999999999"/>
    <n v="2"/>
    <n v="140.95679999999999"/>
    <n v="9.4117647058823528E-2"/>
    <n v="2017"/>
    <x v="7"/>
    <n v="8"/>
    <n v="748.83299999999997"/>
    <s v="Profit"/>
  </r>
  <r>
    <s v="US-2017-109316"/>
    <d v="2017-08-06T00:00:00"/>
    <x v="1"/>
    <x v="2"/>
    <x v="636"/>
    <n v="17.52"/>
    <n v="2"/>
    <n v="-3.504"/>
    <n v="-0.2"/>
    <n v="2017"/>
    <x v="7"/>
    <n v="8"/>
    <n v="8.76"/>
    <s v="Loss"/>
  </r>
  <r>
    <s v="US-2017-107979"/>
    <d v="2017-08-06T00:00:00"/>
    <x v="1"/>
    <x v="2"/>
    <x v="360"/>
    <n v="89.543999999999997"/>
    <n v="7"/>
    <n v="12.3123"/>
    <n v="0.13750000000000001"/>
    <n v="2017"/>
    <x v="7"/>
    <n v="8"/>
    <n v="12.792"/>
    <s v="Profit"/>
  </r>
  <r>
    <s v="US-2017-107979"/>
    <d v="2017-08-06T00:00:00"/>
    <x v="1"/>
    <x v="1"/>
    <x v="301"/>
    <n v="35.167999999999999"/>
    <n v="2"/>
    <n v="-8.3523999999999994"/>
    <n v="-0.23749999999999999"/>
    <n v="2017"/>
    <x v="7"/>
    <n v="8"/>
    <n v="17.584"/>
    <s v="Loss"/>
  </r>
  <r>
    <s v="US-2017-107979"/>
    <d v="2017-08-06T00:00:00"/>
    <x v="1"/>
    <x v="1"/>
    <x v="637"/>
    <n v="72.587999999999994"/>
    <n v="2"/>
    <n v="-48.392000000000003"/>
    <n v="-0.66666666666666674"/>
    <n v="2017"/>
    <x v="7"/>
    <n v="8"/>
    <n v="36.293999999999997"/>
    <s v="Loss"/>
  </r>
  <r>
    <s v="CA-2017-134306"/>
    <d v="2017-08-07T00:00:00"/>
    <x v="0"/>
    <x v="1"/>
    <x v="638"/>
    <n v="7.56"/>
    <n v="3"/>
    <n v="3.0996000000000001"/>
    <n v="0.41000000000000003"/>
    <n v="2017"/>
    <x v="7"/>
    <n v="8"/>
    <n v="2.52"/>
    <s v="Profit"/>
  </r>
  <r>
    <s v="CA-2017-134306"/>
    <d v="2017-08-07T00:00:00"/>
    <x v="0"/>
    <x v="1"/>
    <x v="124"/>
    <n v="24.56"/>
    <n v="2"/>
    <n v="11.543200000000001"/>
    <n v="0.47000000000000003"/>
    <n v="2017"/>
    <x v="7"/>
    <n v="8"/>
    <n v="12.28"/>
    <s v="Profit"/>
  </r>
  <r>
    <s v="CA-2017-134306"/>
    <d v="2017-08-07T00:00:00"/>
    <x v="0"/>
    <x v="1"/>
    <x v="639"/>
    <n v="12.96"/>
    <n v="2"/>
    <n v="4.1471999999999998"/>
    <n v="0.31999999999999995"/>
    <n v="2017"/>
    <x v="7"/>
    <n v="8"/>
    <n v="6.48"/>
    <s v="Profit"/>
  </r>
  <r>
    <s v="CA-2017-133249"/>
    <d v="2017-08-07T00:00:00"/>
    <x v="1"/>
    <x v="0"/>
    <x v="640"/>
    <n v="145.9"/>
    <n v="5"/>
    <n v="62.737000000000002"/>
    <n v="0.43"/>
    <n v="2017"/>
    <x v="7"/>
    <n v="8"/>
    <n v="29.18"/>
    <s v="Profit"/>
  </r>
  <r>
    <s v="CA-2017-108560"/>
    <d v="2017-08-07T00:00:00"/>
    <x v="1"/>
    <x v="0"/>
    <x v="641"/>
    <n v="198.46"/>
    <n v="2"/>
    <n v="99.23"/>
    <n v="0.5"/>
    <n v="2017"/>
    <x v="7"/>
    <n v="8"/>
    <n v="99.23"/>
    <s v="Profit"/>
  </r>
  <r>
    <s v="CA-2017-108560"/>
    <d v="2017-08-07T00:00:00"/>
    <x v="1"/>
    <x v="1"/>
    <x v="642"/>
    <n v="786.48"/>
    <n v="8"/>
    <n v="385.37520000000001"/>
    <n v="0.49"/>
    <n v="2017"/>
    <x v="7"/>
    <n v="8"/>
    <n v="98.31"/>
    <s v="Profit"/>
  </r>
  <r>
    <s v="CA-2017-108560"/>
    <d v="2017-08-07T00:00:00"/>
    <x v="1"/>
    <x v="1"/>
    <x v="57"/>
    <n v="23.167999999999999"/>
    <n v="2"/>
    <n v="7.8192000000000004"/>
    <n v="0.33750000000000002"/>
    <n v="2017"/>
    <x v="7"/>
    <n v="8"/>
    <n v="11.584"/>
    <s v="Profit"/>
  </r>
  <r>
    <s v="CA-2017-108560"/>
    <d v="2017-08-07T00:00:00"/>
    <x v="1"/>
    <x v="2"/>
    <x v="643"/>
    <n v="50"/>
    <n v="2"/>
    <n v="10.5"/>
    <n v="0.21"/>
    <n v="2017"/>
    <x v="7"/>
    <n v="8"/>
    <n v="25"/>
    <s v="Profit"/>
  </r>
  <r>
    <s v="CA-2017-150189"/>
    <d v="2017-08-07T00:00:00"/>
    <x v="1"/>
    <x v="1"/>
    <x v="644"/>
    <n v="75.180000000000007"/>
    <n v="6"/>
    <n v="35.334600000000002"/>
    <n v="0.47"/>
    <n v="2017"/>
    <x v="7"/>
    <n v="8"/>
    <n v="12.530000000000001"/>
    <s v="Profit"/>
  </r>
  <r>
    <s v="CA-2017-138464"/>
    <d v="2017-08-07T00:00:00"/>
    <x v="1"/>
    <x v="0"/>
    <x v="645"/>
    <n v="15.84"/>
    <n v="3"/>
    <n v="4.9104000000000001"/>
    <n v="0.31"/>
    <n v="2017"/>
    <x v="7"/>
    <n v="8"/>
    <n v="5.28"/>
    <s v="Profit"/>
  </r>
  <r>
    <s v="CA-2017-138464"/>
    <d v="2017-08-07T00:00:00"/>
    <x v="1"/>
    <x v="1"/>
    <x v="501"/>
    <n v="86.376000000000005"/>
    <n v="3"/>
    <n v="30.2316"/>
    <n v="0.35"/>
    <n v="2017"/>
    <x v="7"/>
    <n v="8"/>
    <n v="28.792000000000002"/>
    <s v="Profit"/>
  </r>
  <r>
    <s v="CA-2017-138464"/>
    <d v="2017-08-07T00:00:00"/>
    <x v="1"/>
    <x v="1"/>
    <x v="646"/>
    <n v="18.239999999999998"/>
    <n v="3"/>
    <n v="6.2016"/>
    <n v="0.34"/>
    <n v="2017"/>
    <x v="7"/>
    <n v="8"/>
    <n v="6.0799999999999992"/>
    <s v="Profit"/>
  </r>
  <r>
    <s v="CA-2017-138464"/>
    <d v="2017-08-07T00:00:00"/>
    <x v="1"/>
    <x v="1"/>
    <x v="647"/>
    <n v="13.12"/>
    <n v="4"/>
    <n v="4.3296000000000001"/>
    <n v="0.33"/>
    <n v="2017"/>
    <x v="7"/>
    <n v="8"/>
    <n v="3.28"/>
    <s v="Profit"/>
  </r>
  <r>
    <s v="CA-2017-140480"/>
    <d v="2017-08-07T00:00:00"/>
    <x v="0"/>
    <x v="0"/>
    <x v="531"/>
    <n v="83.92"/>
    <n v="4"/>
    <n v="5.8743999999999996"/>
    <n v="6.9999999999999993E-2"/>
    <n v="2017"/>
    <x v="7"/>
    <n v="8"/>
    <n v="20.98"/>
    <s v="Profit"/>
  </r>
  <r>
    <s v="CA-2017-140480"/>
    <d v="2017-08-07T00:00:00"/>
    <x v="0"/>
    <x v="2"/>
    <x v="593"/>
    <n v="141.9"/>
    <n v="5"/>
    <n v="58.179000000000002"/>
    <n v="0.41"/>
    <n v="2017"/>
    <x v="7"/>
    <n v="8"/>
    <n v="28.380000000000003"/>
    <s v="Profit"/>
  </r>
  <r>
    <s v="CA-2017-140480"/>
    <d v="2017-08-07T00:00:00"/>
    <x v="0"/>
    <x v="0"/>
    <x v="648"/>
    <n v="39.979999999999997"/>
    <n v="2"/>
    <n v="9.1953999999999994"/>
    <n v="0.23"/>
    <n v="2017"/>
    <x v="7"/>
    <n v="8"/>
    <n v="19.989999999999998"/>
    <s v="Profit"/>
  </r>
  <r>
    <s v="CA-2017-140480"/>
    <d v="2017-08-07T00:00:00"/>
    <x v="0"/>
    <x v="1"/>
    <x v="649"/>
    <n v="28.91"/>
    <n v="7"/>
    <n v="8.673"/>
    <n v="0.3"/>
    <n v="2017"/>
    <x v="7"/>
    <n v="8"/>
    <n v="4.13"/>
    <s v="Profit"/>
  </r>
  <r>
    <s v="CA-2017-140480"/>
    <d v="2017-08-07T00:00:00"/>
    <x v="0"/>
    <x v="1"/>
    <x v="347"/>
    <n v="174.95"/>
    <n v="5"/>
    <n v="45.487000000000002"/>
    <n v="0.26"/>
    <n v="2017"/>
    <x v="7"/>
    <n v="8"/>
    <n v="34.989999999999995"/>
    <s v="Profit"/>
  </r>
  <r>
    <s v="CA-2017-111759"/>
    <d v="2017-08-07T00:00:00"/>
    <x v="1"/>
    <x v="1"/>
    <x v="124"/>
    <n v="52.76"/>
    <n v="2"/>
    <n v="24.269600000000001"/>
    <n v="0.46"/>
    <n v="2017"/>
    <x v="7"/>
    <n v="8"/>
    <n v="26.38"/>
    <s v="Profit"/>
  </r>
  <r>
    <s v="US-2017-124968"/>
    <d v="2017-08-09T00:00:00"/>
    <x v="2"/>
    <x v="0"/>
    <x v="650"/>
    <n v="765.625"/>
    <n v="7"/>
    <n v="-566.5625"/>
    <n v="-0.74"/>
    <n v="2017"/>
    <x v="7"/>
    <n v="8"/>
    <n v="109.375"/>
    <s v="Loss"/>
  </r>
  <r>
    <s v="CA-2017-149895"/>
    <d v="2017-08-09T00:00:00"/>
    <x v="0"/>
    <x v="2"/>
    <x v="651"/>
    <n v="258.52800000000002"/>
    <n v="2"/>
    <n v="-47.396799999999999"/>
    <n v="-0.18333333333333332"/>
    <n v="2017"/>
    <x v="7"/>
    <n v="8"/>
    <n v="129.26400000000001"/>
    <s v="Loss"/>
  </r>
  <r>
    <s v="CA-2017-158036"/>
    <d v="2017-08-09T00:00:00"/>
    <x v="0"/>
    <x v="2"/>
    <x v="652"/>
    <n v="9.0960000000000001"/>
    <n v="1"/>
    <n v="1.7055"/>
    <n v="0.1875"/>
    <n v="2017"/>
    <x v="7"/>
    <n v="8"/>
    <n v="9.0960000000000001"/>
    <s v="Profit"/>
  </r>
  <r>
    <s v="CA-2017-152856"/>
    <d v="2017-08-09T00:00:00"/>
    <x v="0"/>
    <x v="2"/>
    <x v="653"/>
    <n v="116.83199999999999"/>
    <n v="4"/>
    <n v="33.589199999999998"/>
    <n v="0.28749999999999998"/>
    <n v="2017"/>
    <x v="7"/>
    <n v="8"/>
    <n v="29.207999999999998"/>
    <s v="Profit"/>
  </r>
  <r>
    <s v="CA-2017-126396"/>
    <d v="2017-08-09T00:00:00"/>
    <x v="2"/>
    <x v="2"/>
    <x v="654"/>
    <n v="85.2"/>
    <n v="6"/>
    <n v="20.234999999999999"/>
    <n v="0.23749999999999999"/>
    <n v="2017"/>
    <x v="7"/>
    <n v="8"/>
    <n v="14.200000000000001"/>
    <s v="Profit"/>
  </r>
  <r>
    <s v="US-2017-124779"/>
    <d v="2017-08-09T00:00:00"/>
    <x v="2"/>
    <x v="1"/>
    <x v="230"/>
    <n v="42.616"/>
    <n v="7"/>
    <n v="-68.185599999999994"/>
    <n v="-1.5999999999999999"/>
    <n v="2017"/>
    <x v="7"/>
    <n v="8"/>
    <n v="6.0880000000000001"/>
    <s v="Loss"/>
  </r>
  <r>
    <s v="US-2017-124779"/>
    <d v="2017-08-09T00:00:00"/>
    <x v="2"/>
    <x v="2"/>
    <x v="655"/>
    <n v="319.98399999999998"/>
    <n v="2"/>
    <n v="107.99460000000001"/>
    <n v="0.33750000000000002"/>
    <n v="2017"/>
    <x v="7"/>
    <n v="8"/>
    <n v="159.99199999999999"/>
    <s v="Profit"/>
  </r>
  <r>
    <s v="US-2017-124779"/>
    <d v="2017-08-09T00:00:00"/>
    <x v="2"/>
    <x v="1"/>
    <x v="656"/>
    <n v="45.92"/>
    <n v="5"/>
    <n v="15.497999999999999"/>
    <n v="0.33749999999999997"/>
    <n v="2017"/>
    <x v="7"/>
    <n v="8"/>
    <n v="9.1840000000000011"/>
    <s v="Profit"/>
  </r>
  <r>
    <s v="US-2017-124779"/>
    <d v="2017-08-09T00:00:00"/>
    <x v="2"/>
    <x v="0"/>
    <x v="657"/>
    <n v="21.184000000000001"/>
    <n v="2"/>
    <n v="-11.651199999999999"/>
    <n v="-0.54999999999999993"/>
    <n v="2017"/>
    <x v="7"/>
    <n v="8"/>
    <n v="10.592000000000001"/>
    <s v="Loss"/>
  </r>
  <r>
    <s v="US-2017-124779"/>
    <d v="2017-08-09T00:00:00"/>
    <x v="2"/>
    <x v="1"/>
    <x v="658"/>
    <n v="20.736000000000001"/>
    <n v="4"/>
    <n v="7.2576000000000001"/>
    <n v="0.35"/>
    <n v="2017"/>
    <x v="7"/>
    <n v="8"/>
    <n v="5.1840000000000002"/>
    <s v="Profit"/>
  </r>
  <r>
    <s v="US-2017-124779"/>
    <d v="2017-08-09T00:00:00"/>
    <x v="2"/>
    <x v="0"/>
    <x v="628"/>
    <n v="213.43"/>
    <n v="5"/>
    <n v="-39.637"/>
    <n v="-0.18571428571428572"/>
    <n v="2017"/>
    <x v="7"/>
    <n v="8"/>
    <n v="42.686"/>
    <s v="Loss"/>
  </r>
  <r>
    <s v="CA-2017-144456"/>
    <d v="2017-08-09T00:00:00"/>
    <x v="3"/>
    <x v="1"/>
    <x v="659"/>
    <n v="61.68"/>
    <n v="5"/>
    <n v="5.3970000000000002"/>
    <n v="8.7500000000000008E-2"/>
    <n v="2017"/>
    <x v="7"/>
    <n v="8"/>
    <n v="12.336"/>
    <s v="Profit"/>
  </r>
  <r>
    <s v="CA-2017-144456"/>
    <d v="2017-08-09T00:00:00"/>
    <x v="3"/>
    <x v="2"/>
    <x v="660"/>
    <n v="158.376"/>
    <n v="3"/>
    <n v="13.857900000000001"/>
    <n v="8.7500000000000008E-2"/>
    <n v="2017"/>
    <x v="7"/>
    <n v="8"/>
    <n v="52.792000000000002"/>
    <s v="Profit"/>
  </r>
  <r>
    <s v="CA-2017-132437"/>
    <d v="2017-08-09T00:00:00"/>
    <x v="0"/>
    <x v="1"/>
    <x v="661"/>
    <n v="65.12"/>
    <n v="4"/>
    <n v="16.9312"/>
    <n v="0.26"/>
    <n v="2017"/>
    <x v="7"/>
    <n v="8"/>
    <n v="16.28"/>
    <s v="Profit"/>
  </r>
  <r>
    <s v="CA-2017-105487"/>
    <d v="2017-08-10T00:00:00"/>
    <x v="1"/>
    <x v="2"/>
    <x v="512"/>
    <n v="103.19199999999999"/>
    <n v="1"/>
    <n v="11.6091"/>
    <n v="0.1125"/>
    <n v="2017"/>
    <x v="7"/>
    <n v="8"/>
    <n v="103.19199999999999"/>
    <s v="Profit"/>
  </r>
  <r>
    <s v="CA-2017-105487"/>
    <d v="2017-08-10T00:00:00"/>
    <x v="1"/>
    <x v="2"/>
    <x v="662"/>
    <n v="36"/>
    <n v="2"/>
    <n v="6.48"/>
    <n v="0.18000000000000002"/>
    <n v="2017"/>
    <x v="7"/>
    <n v="8"/>
    <n v="18"/>
    <s v="Profit"/>
  </r>
  <r>
    <s v="CA-2017-105487"/>
    <d v="2017-08-10T00:00:00"/>
    <x v="1"/>
    <x v="2"/>
    <x v="663"/>
    <n v="239.96"/>
    <n v="4"/>
    <n v="115.1808"/>
    <n v="0.48"/>
    <n v="2017"/>
    <x v="7"/>
    <n v="8"/>
    <n v="59.99"/>
    <s v="Profit"/>
  </r>
  <r>
    <s v="CA-2017-105487"/>
    <d v="2017-08-10T00:00:00"/>
    <x v="1"/>
    <x v="1"/>
    <x v="557"/>
    <n v="40.68"/>
    <n v="2"/>
    <n v="0.40679999999999999"/>
    <n v="0.01"/>
    <n v="2017"/>
    <x v="7"/>
    <n v="8"/>
    <n v="20.34"/>
    <s v="Profit"/>
  </r>
  <r>
    <s v="CA-2017-151596"/>
    <d v="2017-08-10T00:00:00"/>
    <x v="0"/>
    <x v="1"/>
    <x v="601"/>
    <n v="42.76"/>
    <n v="1"/>
    <n v="11.117599999999999"/>
    <n v="0.26"/>
    <n v="2017"/>
    <x v="7"/>
    <n v="8"/>
    <n v="42.76"/>
    <s v="Profit"/>
  </r>
  <r>
    <s v="US-2017-168613"/>
    <d v="2017-08-10T00:00:00"/>
    <x v="0"/>
    <x v="0"/>
    <x v="664"/>
    <n v="145.76400000000001"/>
    <n v="2"/>
    <n v="3.2391999999999999"/>
    <n v="2.222222222222222E-2"/>
    <n v="2017"/>
    <x v="7"/>
    <n v="8"/>
    <n v="72.882000000000005"/>
    <s v="Profit"/>
  </r>
  <r>
    <s v="CA-2017-143658"/>
    <d v="2017-08-11T00:00:00"/>
    <x v="0"/>
    <x v="1"/>
    <x v="665"/>
    <n v="109.9"/>
    <n v="5"/>
    <n v="32.97"/>
    <n v="0.3"/>
    <n v="2017"/>
    <x v="7"/>
    <n v="8"/>
    <n v="21.98"/>
    <s v="Profit"/>
  </r>
  <r>
    <s v="CA-2017-155621"/>
    <d v="2017-08-11T00:00:00"/>
    <x v="0"/>
    <x v="0"/>
    <x v="666"/>
    <n v="274.2"/>
    <n v="10"/>
    <n v="112.422"/>
    <n v="0.41000000000000003"/>
    <n v="2017"/>
    <x v="7"/>
    <n v="8"/>
    <n v="27.419999999999998"/>
    <s v="Profit"/>
  </r>
  <r>
    <s v="CA-2017-117457"/>
    <d v="2017-08-12T00:00:00"/>
    <x v="1"/>
    <x v="2"/>
    <x v="667"/>
    <n v="179.95"/>
    <n v="5"/>
    <n v="37.789499999999997"/>
    <n v="0.21"/>
    <n v="2017"/>
    <x v="7"/>
    <n v="8"/>
    <n v="35.989999999999995"/>
    <s v="Profit"/>
  </r>
  <r>
    <s v="CA-2017-117457"/>
    <d v="2017-08-12T00:00:00"/>
    <x v="1"/>
    <x v="2"/>
    <x v="668"/>
    <n v="1199.9760000000001"/>
    <n v="3"/>
    <n v="434.99130000000002"/>
    <n v="0.36249999999999999"/>
    <n v="2017"/>
    <x v="7"/>
    <n v="8"/>
    <n v="399.99200000000002"/>
    <s v="Profit"/>
  </r>
  <r>
    <s v="CA-2017-117457"/>
    <d v="2017-08-12T00:00:00"/>
    <x v="1"/>
    <x v="1"/>
    <x v="227"/>
    <n v="27.15"/>
    <n v="5"/>
    <n v="13.3035"/>
    <n v="0.49"/>
    <n v="2017"/>
    <x v="7"/>
    <n v="8"/>
    <n v="5.43"/>
    <s v="Profit"/>
  </r>
  <r>
    <s v="CA-2017-117457"/>
    <d v="2017-08-12T00:00:00"/>
    <x v="1"/>
    <x v="0"/>
    <x v="293"/>
    <n v="1004.024"/>
    <n v="7"/>
    <n v="-112.95269999999999"/>
    <n v="-0.11249999999999999"/>
    <n v="2017"/>
    <x v="7"/>
    <n v="8"/>
    <n v="143.43199999999999"/>
    <s v="Loss"/>
  </r>
  <r>
    <s v="CA-2017-117457"/>
    <d v="2017-08-12T00:00:00"/>
    <x v="1"/>
    <x v="1"/>
    <x v="669"/>
    <n v="9.68"/>
    <n v="1"/>
    <n v="4.6463999999999999"/>
    <n v="0.48"/>
    <n v="2017"/>
    <x v="7"/>
    <n v="8"/>
    <n v="9.68"/>
    <s v="Profit"/>
  </r>
  <r>
    <s v="CA-2017-117457"/>
    <d v="2017-08-12T00:00:00"/>
    <x v="1"/>
    <x v="1"/>
    <x v="498"/>
    <n v="28.35"/>
    <n v="9"/>
    <n v="13.608000000000001"/>
    <n v="0.48"/>
    <n v="2017"/>
    <x v="7"/>
    <n v="8"/>
    <n v="3.1500000000000004"/>
    <s v="Profit"/>
  </r>
  <r>
    <s v="CA-2017-117457"/>
    <d v="2017-08-12T00:00:00"/>
    <x v="1"/>
    <x v="1"/>
    <x v="670"/>
    <n v="55.98"/>
    <n v="1"/>
    <n v="27.430199999999999"/>
    <n v="0.49"/>
    <n v="2017"/>
    <x v="7"/>
    <n v="8"/>
    <n v="55.98"/>
    <s v="Profit"/>
  </r>
  <r>
    <s v="CA-2017-117457"/>
    <d v="2017-08-12T00:00:00"/>
    <x v="1"/>
    <x v="0"/>
    <x v="193"/>
    <n v="1336.829"/>
    <n v="13"/>
    <n v="31.454799999999999"/>
    <n v="2.3529411764705882E-2"/>
    <n v="2017"/>
    <x v="7"/>
    <n v="8"/>
    <n v="102.833"/>
    <s v="Profit"/>
  </r>
  <r>
    <s v="CA-2017-117457"/>
    <d v="2017-08-12T00:00:00"/>
    <x v="1"/>
    <x v="0"/>
    <x v="671"/>
    <n v="113.568"/>
    <n v="2"/>
    <n v="-18.454799999999999"/>
    <n v="-0.16250000000000001"/>
    <n v="2017"/>
    <x v="7"/>
    <n v="8"/>
    <n v="56.783999999999999"/>
    <s v="Loss"/>
  </r>
  <r>
    <s v="CA-2017-145226"/>
    <d v="2017-08-12T00:00:00"/>
    <x v="0"/>
    <x v="0"/>
    <x v="672"/>
    <n v="109.48"/>
    <n v="2"/>
    <n v="33.938800000000001"/>
    <n v="0.31"/>
    <n v="2017"/>
    <x v="7"/>
    <n v="8"/>
    <n v="54.74"/>
    <s v="Profit"/>
  </r>
  <r>
    <s v="CA-2017-145226"/>
    <d v="2017-08-12T00:00:00"/>
    <x v="0"/>
    <x v="1"/>
    <x v="673"/>
    <n v="272.94"/>
    <n v="3"/>
    <n v="0"/>
    <n v="0"/>
    <n v="2017"/>
    <x v="7"/>
    <n v="8"/>
    <n v="90.98"/>
    <s v="Loss"/>
  </r>
  <r>
    <s v="CA-2017-145226"/>
    <d v="2017-08-12T00:00:00"/>
    <x v="0"/>
    <x v="1"/>
    <x v="187"/>
    <n v="19.440000000000001"/>
    <n v="3"/>
    <n v="9.3312000000000008"/>
    <n v="0.48000000000000004"/>
    <n v="2017"/>
    <x v="7"/>
    <n v="8"/>
    <n v="6.48"/>
    <s v="Profit"/>
  </r>
  <r>
    <s v="CA-2017-145226"/>
    <d v="2017-08-12T00:00:00"/>
    <x v="0"/>
    <x v="1"/>
    <x v="674"/>
    <n v="31.92"/>
    <n v="4"/>
    <n v="8.2992000000000008"/>
    <n v="0.26"/>
    <n v="2017"/>
    <x v="7"/>
    <n v="8"/>
    <n v="7.98"/>
    <s v="Profit"/>
  </r>
  <r>
    <s v="CA-2017-148264"/>
    <d v="2017-08-12T00:00:00"/>
    <x v="1"/>
    <x v="1"/>
    <x v="675"/>
    <n v="29.79"/>
    <n v="3"/>
    <n v="8.6390999999999991"/>
    <n v="0.28999999999999998"/>
    <n v="2017"/>
    <x v="7"/>
    <n v="8"/>
    <n v="9.93"/>
    <s v="Profit"/>
  </r>
  <r>
    <s v="CA-2017-148264"/>
    <d v="2017-08-12T00:00:00"/>
    <x v="1"/>
    <x v="0"/>
    <x v="676"/>
    <n v="128.9"/>
    <n v="2"/>
    <n v="15.468"/>
    <n v="0.12"/>
    <n v="2017"/>
    <x v="7"/>
    <n v="8"/>
    <n v="64.45"/>
    <s v="Profit"/>
  </r>
  <r>
    <s v="CA-2017-148264"/>
    <d v="2017-08-12T00:00:00"/>
    <x v="1"/>
    <x v="1"/>
    <x v="677"/>
    <n v="60.12"/>
    <n v="9"/>
    <n v="28.857600000000001"/>
    <n v="0.48000000000000004"/>
    <n v="2017"/>
    <x v="7"/>
    <n v="8"/>
    <n v="6.68"/>
    <s v="Profit"/>
  </r>
  <r>
    <s v="CA-2017-117926"/>
    <d v="2017-08-12T00:00:00"/>
    <x v="1"/>
    <x v="1"/>
    <x v="678"/>
    <n v="69.48"/>
    <n v="1"/>
    <n v="20.844000000000001"/>
    <n v="0.3"/>
    <n v="2017"/>
    <x v="7"/>
    <n v="8"/>
    <n v="69.48"/>
    <s v="Profit"/>
  </r>
  <r>
    <s v="CA-2017-108854"/>
    <d v="2017-08-12T00:00:00"/>
    <x v="1"/>
    <x v="1"/>
    <x v="679"/>
    <n v="87.92"/>
    <n v="4"/>
    <n v="40.443199999999997"/>
    <n v="0.45999999999999996"/>
    <n v="2017"/>
    <x v="7"/>
    <n v="8"/>
    <n v="21.98"/>
    <s v="Profit"/>
  </r>
  <r>
    <s v="CA-2017-108854"/>
    <d v="2017-08-12T00:00:00"/>
    <x v="1"/>
    <x v="1"/>
    <x v="183"/>
    <n v="22.423999999999999"/>
    <n v="1"/>
    <n v="8.4090000000000007"/>
    <n v="0.37500000000000006"/>
    <n v="2017"/>
    <x v="7"/>
    <n v="8"/>
    <n v="22.423999999999999"/>
    <s v="Profit"/>
  </r>
  <r>
    <s v="CA-2017-108854"/>
    <d v="2017-08-12T00:00:00"/>
    <x v="1"/>
    <x v="1"/>
    <x v="245"/>
    <n v="90.48"/>
    <n v="3"/>
    <n v="33.93"/>
    <n v="0.375"/>
    <n v="2017"/>
    <x v="7"/>
    <n v="8"/>
    <n v="30.16"/>
    <s v="Profit"/>
  </r>
  <r>
    <s v="CA-2017-108854"/>
    <d v="2017-08-12T00:00:00"/>
    <x v="1"/>
    <x v="1"/>
    <x v="601"/>
    <n v="42.76"/>
    <n v="1"/>
    <n v="11.117599999999999"/>
    <n v="0.26"/>
    <n v="2017"/>
    <x v="7"/>
    <n v="8"/>
    <n v="42.76"/>
    <s v="Profit"/>
  </r>
  <r>
    <s v="CA-2017-117324"/>
    <d v="2017-08-12T00:00:00"/>
    <x v="2"/>
    <x v="2"/>
    <x v="680"/>
    <n v="178.11"/>
    <n v="3"/>
    <n v="32.059800000000003"/>
    <n v="0.18"/>
    <n v="2017"/>
    <x v="7"/>
    <n v="8"/>
    <n v="59.370000000000005"/>
    <s v="Profit"/>
  </r>
  <r>
    <s v="CA-2017-117324"/>
    <d v="2017-08-12T00:00:00"/>
    <x v="2"/>
    <x v="1"/>
    <x v="681"/>
    <n v="1089.75"/>
    <n v="3"/>
    <n v="305.13"/>
    <n v="0.27999999999999997"/>
    <n v="2017"/>
    <x v="7"/>
    <n v="8"/>
    <n v="363.25"/>
    <s v="Profit"/>
  </r>
  <r>
    <s v="CA-2017-117324"/>
    <d v="2017-08-12T00:00:00"/>
    <x v="2"/>
    <x v="1"/>
    <x v="522"/>
    <n v="61.06"/>
    <n v="2"/>
    <n v="28.087599999999998"/>
    <n v="0.45999999999999996"/>
    <n v="2017"/>
    <x v="7"/>
    <n v="8"/>
    <n v="30.53"/>
    <s v="Profit"/>
  </r>
  <r>
    <s v="CA-2017-117324"/>
    <d v="2017-08-12T00:00:00"/>
    <x v="2"/>
    <x v="0"/>
    <x v="682"/>
    <n v="459.92"/>
    <n v="4"/>
    <n v="41.392800000000001"/>
    <n v="0.09"/>
    <n v="2017"/>
    <x v="7"/>
    <n v="8"/>
    <n v="114.98"/>
    <s v="Profit"/>
  </r>
  <r>
    <s v="CA-2017-117324"/>
    <d v="2017-08-12T00:00:00"/>
    <x v="2"/>
    <x v="1"/>
    <x v="135"/>
    <n v="27.52"/>
    <n v="4"/>
    <n v="12.6592"/>
    <n v="0.46"/>
    <n v="2017"/>
    <x v="7"/>
    <n v="8"/>
    <n v="6.88"/>
    <s v="Profit"/>
  </r>
  <r>
    <s v="CA-2017-152436"/>
    <d v="2017-08-12T00:00:00"/>
    <x v="0"/>
    <x v="1"/>
    <x v="683"/>
    <n v="592.74"/>
    <n v="6"/>
    <n v="160.03980000000001"/>
    <n v="0.27"/>
    <n v="2017"/>
    <x v="7"/>
    <n v="8"/>
    <n v="98.79"/>
    <s v="Profit"/>
  </r>
  <r>
    <s v="US-2017-167570"/>
    <d v="2017-08-12T00:00:00"/>
    <x v="0"/>
    <x v="0"/>
    <x v="684"/>
    <n v="215.54400000000001"/>
    <n v="4"/>
    <n v="-58.504800000000003"/>
    <n v="-0.27142857142857141"/>
    <n v="2017"/>
    <x v="7"/>
    <n v="8"/>
    <n v="53.886000000000003"/>
    <s v="Loss"/>
  </r>
  <r>
    <s v="US-2017-131961"/>
    <d v="2017-08-12T00:00:00"/>
    <x v="0"/>
    <x v="1"/>
    <x v="685"/>
    <n v="13.247999999999999"/>
    <n v="4"/>
    <n v="3.6432000000000002"/>
    <n v="0.27500000000000002"/>
    <n v="2017"/>
    <x v="7"/>
    <n v="8"/>
    <n v="3.3119999999999998"/>
    <s v="Profit"/>
  </r>
  <r>
    <s v="US-2017-131961"/>
    <d v="2017-08-12T00:00:00"/>
    <x v="0"/>
    <x v="2"/>
    <x v="686"/>
    <n v="83.988"/>
    <n v="2"/>
    <n v="-20.997"/>
    <n v="-0.25"/>
    <n v="2017"/>
    <x v="7"/>
    <n v="8"/>
    <n v="41.994"/>
    <s v="Loss"/>
  </r>
  <r>
    <s v="CA-2017-154760"/>
    <d v="2017-09-01T00:00:00"/>
    <x v="0"/>
    <x v="1"/>
    <x v="404"/>
    <n v="274.49099999999999"/>
    <n v="3"/>
    <n v="-228.74250000000001"/>
    <n v="-0.83333333333333337"/>
    <n v="2017"/>
    <x v="8"/>
    <n v="9"/>
    <n v="91.497"/>
    <s v="Loss"/>
  </r>
  <r>
    <s v="CA-2017-118773"/>
    <d v="2017-09-02T00:00:00"/>
    <x v="2"/>
    <x v="1"/>
    <x v="249"/>
    <n v="252.78399999999999"/>
    <n v="4"/>
    <n v="-417.09359999999998"/>
    <n v="-1.65"/>
    <n v="2017"/>
    <x v="8"/>
    <n v="9"/>
    <n v="63.195999999999998"/>
    <s v="Loss"/>
  </r>
  <r>
    <s v="CA-2017-118773"/>
    <d v="2017-09-02T00:00:00"/>
    <x v="2"/>
    <x v="2"/>
    <x v="687"/>
    <n v="127.98399999999999"/>
    <n v="2"/>
    <n v="15.997999999999999"/>
    <n v="0.125"/>
    <n v="2017"/>
    <x v="8"/>
    <n v="9"/>
    <n v="63.991999999999997"/>
    <s v="Profit"/>
  </r>
  <r>
    <s v="CA-2017-118773"/>
    <d v="2017-09-02T00:00:00"/>
    <x v="2"/>
    <x v="0"/>
    <x v="688"/>
    <n v="3.984"/>
    <n v="2"/>
    <n v="-2.6892"/>
    <n v="-0.67500000000000004"/>
    <n v="2017"/>
    <x v="8"/>
    <n v="9"/>
    <n v="1.992"/>
    <s v="Loss"/>
  </r>
  <r>
    <s v="CA-2017-118773"/>
    <d v="2017-09-02T00:00:00"/>
    <x v="2"/>
    <x v="1"/>
    <x v="689"/>
    <n v="12.992000000000001"/>
    <n v="2"/>
    <n v="-32.479999999999997"/>
    <n v="-2.4999999999999996"/>
    <n v="2017"/>
    <x v="8"/>
    <n v="9"/>
    <n v="6.4960000000000004"/>
    <s v="Loss"/>
  </r>
  <r>
    <s v="CA-2017-150602"/>
    <d v="2017-09-02T00:00:00"/>
    <x v="1"/>
    <x v="0"/>
    <x v="645"/>
    <n v="21.12"/>
    <n v="4"/>
    <n v="6.5472000000000001"/>
    <n v="0.31"/>
    <n v="2017"/>
    <x v="8"/>
    <n v="9"/>
    <n v="5.28"/>
    <s v="Profit"/>
  </r>
  <r>
    <s v="CA-2017-145807"/>
    <d v="2017-09-02T00:00:00"/>
    <x v="1"/>
    <x v="1"/>
    <x v="690"/>
    <n v="354.9"/>
    <n v="5"/>
    <n v="17.745000000000001"/>
    <n v="0.05"/>
    <n v="2017"/>
    <x v="8"/>
    <n v="9"/>
    <n v="70.97999999999999"/>
    <s v="Profit"/>
  </r>
  <r>
    <s v="CA-2017-102834"/>
    <d v="2017-09-03T00:00:00"/>
    <x v="1"/>
    <x v="2"/>
    <x v="691"/>
    <n v="199.98"/>
    <n v="2"/>
    <n v="69.992999999999995"/>
    <n v="0.35"/>
    <n v="2017"/>
    <x v="8"/>
    <n v="9"/>
    <n v="99.99"/>
    <s v="Profit"/>
  </r>
  <r>
    <s v="CA-2017-147354"/>
    <d v="2017-09-03T00:00:00"/>
    <x v="1"/>
    <x v="2"/>
    <x v="692"/>
    <n v="479.98399999999998"/>
    <n v="2"/>
    <n v="59.997999999999998"/>
    <n v="0.125"/>
    <n v="2017"/>
    <x v="8"/>
    <n v="9"/>
    <n v="239.99199999999999"/>
    <s v="Profit"/>
  </r>
  <r>
    <s v="CA-2017-147354"/>
    <d v="2017-09-03T00:00:00"/>
    <x v="1"/>
    <x v="1"/>
    <x v="381"/>
    <n v="30.84"/>
    <n v="5"/>
    <n v="9.6374999999999993"/>
    <n v="0.3125"/>
    <n v="2017"/>
    <x v="8"/>
    <n v="9"/>
    <n v="6.1680000000000001"/>
    <s v="Profit"/>
  </r>
  <r>
    <s v="CA-2017-135279"/>
    <d v="2017-09-04T00:00:00"/>
    <x v="0"/>
    <x v="1"/>
    <x v="693"/>
    <n v="9.82"/>
    <n v="2"/>
    <n v="4.8117999999999999"/>
    <n v="0.49"/>
    <n v="2017"/>
    <x v="8"/>
    <n v="9"/>
    <n v="4.91"/>
    <s v="Profit"/>
  </r>
  <r>
    <s v="CA-2017-135279"/>
    <d v="2017-09-04T00:00:00"/>
    <x v="0"/>
    <x v="1"/>
    <x v="224"/>
    <n v="35.97"/>
    <n v="3"/>
    <n v="9.7119"/>
    <n v="0.27"/>
    <n v="2017"/>
    <x v="8"/>
    <n v="9"/>
    <n v="11.99"/>
    <s v="Profit"/>
  </r>
  <r>
    <s v="CA-2017-135279"/>
    <d v="2017-09-04T00:00:00"/>
    <x v="0"/>
    <x v="1"/>
    <x v="694"/>
    <n v="12.96"/>
    <n v="2"/>
    <n v="6.2207999999999997"/>
    <n v="0.47999999999999993"/>
    <n v="2017"/>
    <x v="8"/>
    <n v="9"/>
    <n v="6.48"/>
    <s v="Profit"/>
  </r>
  <r>
    <s v="CA-2017-135279"/>
    <d v="2017-09-04T00:00:00"/>
    <x v="0"/>
    <x v="1"/>
    <x v="695"/>
    <n v="191.6"/>
    <n v="4"/>
    <n v="91.968000000000004"/>
    <n v="0.48000000000000004"/>
    <n v="2017"/>
    <x v="8"/>
    <n v="9"/>
    <n v="47.9"/>
    <s v="Profit"/>
  </r>
  <r>
    <s v="CA-2017-135279"/>
    <d v="2017-09-04T00:00:00"/>
    <x v="0"/>
    <x v="1"/>
    <x v="696"/>
    <n v="8.64"/>
    <n v="3"/>
    <n v="4.2336"/>
    <n v="0.49"/>
    <n v="2017"/>
    <x v="8"/>
    <n v="9"/>
    <n v="2.8800000000000003"/>
    <s v="Profit"/>
  </r>
  <r>
    <s v="CA-2017-135279"/>
    <d v="2017-09-04T00:00:00"/>
    <x v="0"/>
    <x v="1"/>
    <x v="697"/>
    <n v="501.81"/>
    <n v="3"/>
    <n v="0"/>
    <n v="0"/>
    <n v="2017"/>
    <x v="8"/>
    <n v="9"/>
    <n v="167.27"/>
    <s v="Loss"/>
  </r>
  <r>
    <s v="CA-2017-122154"/>
    <d v="2017-09-04T00:00:00"/>
    <x v="3"/>
    <x v="1"/>
    <x v="698"/>
    <n v="15.12"/>
    <n v="3"/>
    <n v="4.9139999999999997"/>
    <n v="0.32500000000000001"/>
    <n v="2017"/>
    <x v="8"/>
    <n v="9"/>
    <n v="5.04"/>
    <s v="Profit"/>
  </r>
  <r>
    <s v="CA-2017-122154"/>
    <d v="2017-09-04T00:00:00"/>
    <x v="3"/>
    <x v="1"/>
    <x v="699"/>
    <n v="17.43"/>
    <n v="1"/>
    <n v="-13.363"/>
    <n v="-0.76666666666666661"/>
    <n v="2017"/>
    <x v="8"/>
    <n v="9"/>
    <n v="17.43"/>
    <s v="Loss"/>
  </r>
  <r>
    <s v="CA-2017-122154"/>
    <d v="2017-09-04T00:00:00"/>
    <x v="3"/>
    <x v="1"/>
    <x v="64"/>
    <n v="251.64"/>
    <n v="3"/>
    <n v="88.073999999999998"/>
    <n v="0.35000000000000003"/>
    <n v="2017"/>
    <x v="8"/>
    <n v="9"/>
    <n v="83.88"/>
    <s v="Profit"/>
  </r>
  <r>
    <s v="CA-2017-112900"/>
    <d v="2017-09-04T00:00:00"/>
    <x v="2"/>
    <x v="1"/>
    <x v="700"/>
    <n v="478.24"/>
    <n v="8"/>
    <n v="219.99039999999999"/>
    <n v="0.45999999999999996"/>
    <n v="2017"/>
    <x v="8"/>
    <n v="9"/>
    <n v="59.78"/>
    <s v="Profit"/>
  </r>
  <r>
    <s v="CA-2017-169404"/>
    <d v="2017-09-04T00:00:00"/>
    <x v="0"/>
    <x v="1"/>
    <x v="464"/>
    <n v="37.896000000000001"/>
    <n v="4"/>
    <n v="-29.053599999999999"/>
    <n v="-0.76666666666666661"/>
    <n v="2017"/>
    <x v="8"/>
    <n v="9"/>
    <n v="9.4740000000000002"/>
    <s v="Loss"/>
  </r>
  <r>
    <s v="CA-2017-169404"/>
    <d v="2017-09-04T00:00:00"/>
    <x v="0"/>
    <x v="1"/>
    <x v="69"/>
    <n v="65.584000000000003"/>
    <n v="2"/>
    <n v="23.7742"/>
    <n v="0.36249999999999999"/>
    <n v="2017"/>
    <x v="8"/>
    <n v="9"/>
    <n v="32.792000000000002"/>
    <s v="Profit"/>
  </r>
  <r>
    <s v="CA-2017-134810"/>
    <d v="2017-09-05T00:00:00"/>
    <x v="3"/>
    <x v="1"/>
    <x v="701"/>
    <n v="65.231999999999999"/>
    <n v="3"/>
    <n v="22.015799999999999"/>
    <n v="0.33749999999999997"/>
    <n v="2017"/>
    <x v="8"/>
    <n v="9"/>
    <n v="21.744"/>
    <s v="Profit"/>
  </r>
  <r>
    <s v="CA-2017-134810"/>
    <d v="2017-09-05T00:00:00"/>
    <x v="3"/>
    <x v="0"/>
    <x v="702"/>
    <n v="207"/>
    <n v="3"/>
    <n v="25.875"/>
    <n v="0.125"/>
    <n v="2017"/>
    <x v="8"/>
    <n v="9"/>
    <n v="69"/>
    <s v="Profit"/>
  </r>
  <r>
    <s v="CA-2017-118199"/>
    <d v="2017-09-05T00:00:00"/>
    <x v="1"/>
    <x v="1"/>
    <x v="176"/>
    <n v="147.91999999999999"/>
    <n v="5"/>
    <n v="46.225000000000001"/>
    <n v="0.31250000000000006"/>
    <n v="2017"/>
    <x v="8"/>
    <n v="9"/>
    <n v="29.583999999999996"/>
    <s v="Profit"/>
  </r>
  <r>
    <s v="CA-2017-118199"/>
    <d v="2017-09-05T00:00:00"/>
    <x v="1"/>
    <x v="1"/>
    <x v="703"/>
    <n v="104.28"/>
    <n v="3"/>
    <n v="26.07"/>
    <n v="0.25"/>
    <n v="2017"/>
    <x v="8"/>
    <n v="9"/>
    <n v="34.76"/>
    <s v="Profit"/>
  </r>
  <r>
    <s v="CA-2017-118199"/>
    <d v="2017-09-05T00:00:00"/>
    <x v="1"/>
    <x v="0"/>
    <x v="704"/>
    <n v="286.85000000000002"/>
    <n v="1"/>
    <n v="63.106999999999999"/>
    <n v="0.21999999999999997"/>
    <n v="2017"/>
    <x v="8"/>
    <n v="9"/>
    <n v="286.85000000000002"/>
    <s v="Profit"/>
  </r>
  <r>
    <s v="CA-2017-118199"/>
    <d v="2017-09-05T00:00:00"/>
    <x v="1"/>
    <x v="1"/>
    <x v="705"/>
    <n v="66.959999999999994"/>
    <n v="4"/>
    <n v="2.6783999999999999"/>
    <n v="0.04"/>
    <n v="2017"/>
    <x v="8"/>
    <n v="9"/>
    <n v="16.739999999999998"/>
    <s v="Profit"/>
  </r>
  <r>
    <s v="CA-2017-118199"/>
    <d v="2017-09-05T00:00:00"/>
    <x v="1"/>
    <x v="2"/>
    <x v="706"/>
    <n v="199.98"/>
    <n v="2"/>
    <n v="87.991200000000006"/>
    <n v="0.44000000000000006"/>
    <n v="2017"/>
    <x v="8"/>
    <n v="9"/>
    <n v="99.99"/>
    <s v="Profit"/>
  </r>
  <r>
    <s v="US-2017-106663"/>
    <d v="2017-09-06T00:00:00"/>
    <x v="2"/>
    <x v="0"/>
    <x v="707"/>
    <n v="23.975999999999999"/>
    <n v="3"/>
    <n v="-14.3856"/>
    <n v="-0.6"/>
    <n v="2017"/>
    <x v="8"/>
    <n v="9"/>
    <n v="7.992"/>
    <s v="Loss"/>
  </r>
  <r>
    <s v="US-2017-106663"/>
    <d v="2017-09-06T00:00:00"/>
    <x v="2"/>
    <x v="0"/>
    <x v="708"/>
    <n v="108.925"/>
    <n v="1"/>
    <n v="-71.890500000000003"/>
    <n v="-0.66"/>
    <n v="2017"/>
    <x v="8"/>
    <n v="9"/>
    <n v="108.925"/>
    <s v="Loss"/>
  </r>
  <r>
    <s v="US-2017-106663"/>
    <d v="2017-09-06T00:00:00"/>
    <x v="2"/>
    <x v="1"/>
    <x v="534"/>
    <n v="36.351999999999997"/>
    <n v="8"/>
    <n v="11.36"/>
    <n v="0.3125"/>
    <n v="2017"/>
    <x v="8"/>
    <n v="9"/>
    <n v="4.5439999999999996"/>
    <s v="Profit"/>
  </r>
  <r>
    <s v="CA-2017-100951"/>
    <d v="2017-09-06T00:00:00"/>
    <x v="2"/>
    <x v="1"/>
    <x v="709"/>
    <n v="720.76"/>
    <n v="5"/>
    <n v="54.057000000000002"/>
    <n v="7.4999999999999997E-2"/>
    <n v="2017"/>
    <x v="8"/>
    <n v="9"/>
    <n v="144.15199999999999"/>
    <s v="Profit"/>
  </r>
  <r>
    <s v="US-2017-146822"/>
    <d v="2017-09-06T00:00:00"/>
    <x v="3"/>
    <x v="1"/>
    <x v="124"/>
    <n v="49.12"/>
    <n v="4"/>
    <n v="23.086400000000001"/>
    <n v="0.47000000000000003"/>
    <n v="2017"/>
    <x v="8"/>
    <n v="9"/>
    <n v="12.28"/>
    <s v="Profit"/>
  </r>
  <r>
    <s v="US-2017-100209"/>
    <d v="2017-09-07T00:00:00"/>
    <x v="1"/>
    <x v="1"/>
    <x v="2"/>
    <n v="1.08"/>
    <n v="2"/>
    <n v="-0.79200000000000004"/>
    <n v="-0.73333333333333328"/>
    <n v="2017"/>
    <x v="8"/>
    <n v="9"/>
    <n v="0.54"/>
    <s v="Loss"/>
  </r>
  <r>
    <s v="CA-2017-115651"/>
    <d v="2017-09-07T00:00:00"/>
    <x v="2"/>
    <x v="1"/>
    <x v="325"/>
    <n v="8.84"/>
    <n v="5"/>
    <n v="2.9834999999999998"/>
    <n v="0.33749999999999997"/>
    <n v="2017"/>
    <x v="8"/>
    <n v="9"/>
    <n v="1.768"/>
    <s v="Profit"/>
  </r>
  <r>
    <s v="CA-2017-115651"/>
    <d v="2017-09-07T00:00:00"/>
    <x v="2"/>
    <x v="1"/>
    <x v="689"/>
    <n v="58.463999999999999"/>
    <n v="9"/>
    <n v="-146.16"/>
    <n v="-2.5"/>
    <n v="2017"/>
    <x v="8"/>
    <n v="9"/>
    <n v="6.4959999999999996"/>
    <s v="Loss"/>
  </r>
  <r>
    <s v="CA-2017-132122"/>
    <d v="2017-09-07T00:00:00"/>
    <x v="2"/>
    <x v="1"/>
    <x v="710"/>
    <n v="228.92"/>
    <n v="5"/>
    <n v="14.307499999999999"/>
    <n v="6.25E-2"/>
    <n v="2017"/>
    <x v="8"/>
    <n v="9"/>
    <n v="45.783999999999999"/>
    <s v="Profit"/>
  </r>
  <r>
    <s v="CA-2017-145128"/>
    <d v="2017-09-07T00:00:00"/>
    <x v="2"/>
    <x v="0"/>
    <x v="115"/>
    <n v="526.45000000000005"/>
    <n v="5"/>
    <n v="31.587"/>
    <n v="0.06"/>
    <n v="2017"/>
    <x v="8"/>
    <n v="9"/>
    <n v="105.29"/>
    <s v="Profit"/>
  </r>
  <r>
    <s v="CA-2017-121083"/>
    <d v="2017-09-07T00:00:00"/>
    <x v="0"/>
    <x v="1"/>
    <x v="711"/>
    <n v="274.8"/>
    <n v="5"/>
    <n v="134.65199999999999"/>
    <n v="0.48999999999999994"/>
    <n v="2017"/>
    <x v="8"/>
    <n v="9"/>
    <n v="54.96"/>
    <s v="Profit"/>
  </r>
  <r>
    <s v="CA-2017-121083"/>
    <d v="2017-09-07T00:00:00"/>
    <x v="0"/>
    <x v="1"/>
    <x v="712"/>
    <n v="195.64"/>
    <n v="4"/>
    <n v="3.9127999999999998"/>
    <n v="0.02"/>
    <n v="2017"/>
    <x v="8"/>
    <n v="9"/>
    <n v="48.91"/>
    <s v="Profit"/>
  </r>
  <r>
    <s v="CA-2017-121083"/>
    <d v="2017-09-07T00:00:00"/>
    <x v="0"/>
    <x v="2"/>
    <x v="512"/>
    <n v="257.98"/>
    <n v="2"/>
    <n v="74.8142"/>
    <n v="0.28999999999999998"/>
    <n v="2017"/>
    <x v="8"/>
    <n v="9"/>
    <n v="128.99"/>
    <s v="Profit"/>
  </r>
  <r>
    <s v="CA-2017-121083"/>
    <d v="2017-09-07T00:00:00"/>
    <x v="0"/>
    <x v="1"/>
    <x v="713"/>
    <n v="119.04"/>
    <n v="6"/>
    <n v="48.806399999999996"/>
    <n v="0.41"/>
    <n v="2017"/>
    <x v="8"/>
    <n v="9"/>
    <n v="19.84"/>
    <s v="Profit"/>
  </r>
  <r>
    <s v="US-2017-118087"/>
    <d v="2017-09-09T00:00:00"/>
    <x v="0"/>
    <x v="0"/>
    <x v="314"/>
    <n v="141.37200000000001"/>
    <n v="2"/>
    <n v="-48.470399999999998"/>
    <n v="-0.3428571428571428"/>
    <n v="2017"/>
    <x v="8"/>
    <n v="9"/>
    <n v="70.686000000000007"/>
    <s v="Loss"/>
  </r>
  <r>
    <s v="US-2017-118087"/>
    <d v="2017-09-09T00:00:00"/>
    <x v="0"/>
    <x v="1"/>
    <x v="274"/>
    <n v="3.036"/>
    <n v="2"/>
    <n v="-2.3275999999999999"/>
    <n v="-0.76666666666666661"/>
    <n v="2017"/>
    <x v="8"/>
    <n v="9"/>
    <n v="1.518"/>
    <s v="Loss"/>
  </r>
  <r>
    <s v="US-2017-118087"/>
    <d v="2017-09-09T00:00:00"/>
    <x v="0"/>
    <x v="1"/>
    <x v="714"/>
    <n v="4.5030000000000001"/>
    <n v="1"/>
    <n v="-3.6023999999999998"/>
    <n v="-0.79999999999999993"/>
    <n v="2017"/>
    <x v="8"/>
    <n v="9"/>
    <n v="4.5030000000000001"/>
    <s v="Loss"/>
  </r>
  <r>
    <s v="US-2017-118087"/>
    <d v="2017-09-09T00:00:00"/>
    <x v="0"/>
    <x v="1"/>
    <x v="577"/>
    <n v="4.6719999999999997"/>
    <n v="1"/>
    <n v="1.5768"/>
    <n v="0.33750000000000002"/>
    <n v="2017"/>
    <x v="8"/>
    <n v="9"/>
    <n v="4.6719999999999997"/>
    <s v="Profit"/>
  </r>
  <r>
    <s v="US-2017-118087"/>
    <d v="2017-09-09T00:00:00"/>
    <x v="0"/>
    <x v="2"/>
    <x v="340"/>
    <n v="95.88"/>
    <n v="3"/>
    <n v="28.763999999999999"/>
    <n v="0.3"/>
    <n v="2017"/>
    <x v="8"/>
    <n v="9"/>
    <n v="31.959999999999997"/>
    <s v="Profit"/>
  </r>
  <r>
    <s v="US-2017-118087"/>
    <d v="2017-09-09T00:00:00"/>
    <x v="0"/>
    <x v="0"/>
    <x v="715"/>
    <n v="17.024000000000001"/>
    <n v="2"/>
    <n v="1.7023999999999999"/>
    <n v="9.9999999999999992E-2"/>
    <n v="2017"/>
    <x v="8"/>
    <n v="9"/>
    <n v="8.5120000000000005"/>
    <s v="Profit"/>
  </r>
  <r>
    <s v="US-2017-118087"/>
    <d v="2017-09-09T00:00:00"/>
    <x v="0"/>
    <x v="2"/>
    <x v="716"/>
    <n v="258.69600000000003"/>
    <n v="3"/>
    <n v="64.674000000000007"/>
    <n v="0.25"/>
    <n v="2017"/>
    <x v="8"/>
    <n v="9"/>
    <n v="86.232000000000014"/>
    <s v="Profit"/>
  </r>
  <r>
    <s v="US-2017-118087"/>
    <d v="2017-09-09T00:00:00"/>
    <x v="0"/>
    <x v="2"/>
    <x v="717"/>
    <n v="1931.9580000000001"/>
    <n v="7"/>
    <n v="-386.39159999999998"/>
    <n v="-0.19999999999999998"/>
    <n v="2017"/>
    <x v="8"/>
    <n v="9"/>
    <n v="275.99400000000003"/>
    <s v="Loss"/>
  </r>
  <r>
    <s v="CA-2017-147361"/>
    <d v="2017-09-09T00:00:00"/>
    <x v="3"/>
    <x v="1"/>
    <x v="718"/>
    <n v="628.80999999999995"/>
    <n v="7"/>
    <n v="12.5762"/>
    <n v="0.02"/>
    <n v="2017"/>
    <x v="8"/>
    <n v="9"/>
    <n v="89.83"/>
    <s v="Profit"/>
  </r>
  <r>
    <s v="CA-2017-147361"/>
    <d v="2017-09-09T00:00:00"/>
    <x v="3"/>
    <x v="1"/>
    <x v="321"/>
    <n v="56.45"/>
    <n v="5"/>
    <n v="14.677"/>
    <n v="0.25999999999999995"/>
    <n v="2017"/>
    <x v="8"/>
    <n v="9"/>
    <n v="11.290000000000001"/>
    <s v="Profit"/>
  </r>
  <r>
    <s v="CA-2017-147228"/>
    <d v="2017-09-09T00:00:00"/>
    <x v="3"/>
    <x v="1"/>
    <x v="118"/>
    <n v="8.8320000000000007"/>
    <n v="3"/>
    <n v="-1.9872000000000001"/>
    <n v="-0.22499999999999998"/>
    <n v="2017"/>
    <x v="8"/>
    <n v="9"/>
    <n v="2.9440000000000004"/>
    <s v="Loss"/>
  </r>
  <r>
    <s v="CA-2017-147228"/>
    <d v="2017-09-09T00:00:00"/>
    <x v="3"/>
    <x v="1"/>
    <x v="353"/>
    <n v="177.536"/>
    <n v="4"/>
    <n v="62.137599999999999"/>
    <n v="0.35"/>
    <n v="2017"/>
    <x v="8"/>
    <n v="9"/>
    <n v="44.384"/>
    <s v="Profit"/>
  </r>
  <r>
    <s v="CA-2017-147228"/>
    <d v="2017-09-09T00:00:00"/>
    <x v="3"/>
    <x v="1"/>
    <x v="719"/>
    <n v="258.48"/>
    <n v="2"/>
    <n v="-3.2309999999999999"/>
    <n v="-1.2499999999999999E-2"/>
    <n v="2017"/>
    <x v="8"/>
    <n v="9"/>
    <n v="129.24"/>
    <s v="Loss"/>
  </r>
  <r>
    <s v="CA-2017-147228"/>
    <d v="2017-09-09T00:00:00"/>
    <x v="3"/>
    <x v="0"/>
    <x v="96"/>
    <n v="14.135999999999999"/>
    <n v="3"/>
    <n v="4.2408000000000001"/>
    <n v="0.30000000000000004"/>
    <n v="2017"/>
    <x v="8"/>
    <n v="9"/>
    <n v="4.7119999999999997"/>
    <s v="Profit"/>
  </r>
  <r>
    <s v="US-2017-159562"/>
    <d v="2017-09-09T00:00:00"/>
    <x v="2"/>
    <x v="1"/>
    <x v="720"/>
    <n v="17.48"/>
    <n v="2"/>
    <n v="8.2156000000000002"/>
    <n v="0.47000000000000003"/>
    <n v="2017"/>
    <x v="8"/>
    <n v="9"/>
    <n v="8.74"/>
    <s v="Profit"/>
  </r>
  <r>
    <s v="CA-2017-155929"/>
    <d v="2017-09-09T00:00:00"/>
    <x v="1"/>
    <x v="1"/>
    <x v="721"/>
    <n v="6.3680000000000003"/>
    <n v="2"/>
    <n v="2.3879999999999999"/>
    <n v="0.37499999999999994"/>
    <n v="2017"/>
    <x v="8"/>
    <n v="9"/>
    <n v="3.1840000000000002"/>
    <s v="Profit"/>
  </r>
  <r>
    <s v="CA-2017-137498"/>
    <d v="2017-09-09T00:00:00"/>
    <x v="1"/>
    <x v="1"/>
    <x v="722"/>
    <n v="6.56"/>
    <n v="2"/>
    <n v="1.9024000000000001"/>
    <n v="0.29000000000000004"/>
    <n v="2017"/>
    <x v="8"/>
    <n v="9"/>
    <n v="3.28"/>
    <s v="Profit"/>
  </r>
  <r>
    <s v="CA-2017-137498"/>
    <d v="2017-09-09T00:00:00"/>
    <x v="1"/>
    <x v="0"/>
    <x v="723"/>
    <n v="243.92"/>
    <n v="5"/>
    <n v="-15.244999999999999"/>
    <n v="-6.25E-2"/>
    <n v="2017"/>
    <x v="8"/>
    <n v="9"/>
    <n v="48.783999999999999"/>
    <s v="Loss"/>
  </r>
  <r>
    <s v="CA-2017-137498"/>
    <d v="2017-09-09T00:00:00"/>
    <x v="1"/>
    <x v="1"/>
    <x v="548"/>
    <n v="47.52"/>
    <n v="9"/>
    <n v="22.8096"/>
    <n v="0.48"/>
    <n v="2017"/>
    <x v="8"/>
    <n v="9"/>
    <n v="5.28"/>
    <s v="Profit"/>
  </r>
  <r>
    <s v="CA-2017-100825"/>
    <d v="2017-09-09T00:00:00"/>
    <x v="1"/>
    <x v="1"/>
    <x v="306"/>
    <n v="99.87"/>
    <n v="3"/>
    <n v="23.968800000000002"/>
    <n v="0.24000000000000002"/>
    <n v="2017"/>
    <x v="8"/>
    <n v="9"/>
    <n v="33.29"/>
    <s v="Profit"/>
  </r>
  <r>
    <s v="CA-2017-139444"/>
    <d v="2017-09-09T00:00:00"/>
    <x v="2"/>
    <x v="1"/>
    <x v="513"/>
    <n v="9.8559999999999999"/>
    <n v="4"/>
    <n v="3.4496000000000002"/>
    <n v="0.35000000000000003"/>
    <n v="2017"/>
    <x v="8"/>
    <n v="9"/>
    <n v="2.464"/>
    <s v="Profit"/>
  </r>
  <r>
    <s v="CA-2017-169439"/>
    <d v="2017-09-09T00:00:00"/>
    <x v="0"/>
    <x v="1"/>
    <x v="639"/>
    <n v="25.92"/>
    <n v="5"/>
    <n v="3.8879999999999999"/>
    <n v="0.15"/>
    <n v="2017"/>
    <x v="8"/>
    <n v="9"/>
    <n v="5.1840000000000002"/>
    <s v="Profit"/>
  </r>
  <r>
    <s v="CA-2017-169439"/>
    <d v="2017-09-09T00:00:00"/>
    <x v="0"/>
    <x v="0"/>
    <x v="305"/>
    <n v="66.111999999999995"/>
    <n v="2"/>
    <n v="-9.0904000000000007"/>
    <n v="-0.13750000000000001"/>
    <n v="2017"/>
    <x v="8"/>
    <n v="9"/>
    <n v="33.055999999999997"/>
    <s v="Loss"/>
  </r>
  <r>
    <s v="US-2017-146213"/>
    <d v="2017-09-09T00:00:00"/>
    <x v="1"/>
    <x v="2"/>
    <x v="724"/>
    <n v="159.96"/>
    <n v="4"/>
    <n v="51.187199999999997"/>
    <n v="0.31999999999999995"/>
    <n v="2017"/>
    <x v="8"/>
    <n v="9"/>
    <n v="39.99"/>
    <s v="Profit"/>
  </r>
  <r>
    <s v="CA-2017-168403"/>
    <d v="2017-09-09T00:00:00"/>
    <x v="1"/>
    <x v="1"/>
    <x v="725"/>
    <n v="31.103999999999999"/>
    <n v="6"/>
    <n v="11.2752"/>
    <n v="0.36249999999999999"/>
    <n v="2017"/>
    <x v="8"/>
    <n v="9"/>
    <n v="5.1840000000000002"/>
    <s v="Profit"/>
  </r>
  <r>
    <s v="CA-2017-168403"/>
    <d v="2017-09-09T00:00:00"/>
    <x v="1"/>
    <x v="1"/>
    <x v="166"/>
    <n v="11.176"/>
    <n v="1"/>
    <n v="0.83819999999999995"/>
    <n v="7.4999999999999997E-2"/>
    <n v="2017"/>
    <x v="8"/>
    <n v="9"/>
    <n v="11.176"/>
    <s v="Profit"/>
  </r>
  <r>
    <s v="CA-2017-152198"/>
    <d v="2017-09-09T00:00:00"/>
    <x v="0"/>
    <x v="1"/>
    <x v="726"/>
    <n v="17.712"/>
    <n v="6"/>
    <n v="5.9778000000000002"/>
    <n v="0.33750000000000002"/>
    <n v="2017"/>
    <x v="8"/>
    <n v="9"/>
    <n v="2.952"/>
    <s v="Profit"/>
  </r>
  <r>
    <s v="CA-2017-152198"/>
    <d v="2017-09-09T00:00:00"/>
    <x v="0"/>
    <x v="1"/>
    <x v="515"/>
    <n v="4.8600000000000003"/>
    <n v="3"/>
    <n v="-3.5640000000000001"/>
    <n v="-0.73333333333333328"/>
    <n v="2017"/>
    <x v="8"/>
    <n v="9"/>
    <n v="1.62"/>
    <s v="Loss"/>
  </r>
  <r>
    <s v="CA-2017-152198"/>
    <d v="2017-09-09T00:00:00"/>
    <x v="0"/>
    <x v="1"/>
    <x v="727"/>
    <n v="6.258"/>
    <n v="2"/>
    <n v="-5.2149999999999999"/>
    <n v="-0.83333333333333326"/>
    <n v="2017"/>
    <x v="8"/>
    <n v="9"/>
    <n v="3.129"/>
    <s v="Loss"/>
  </r>
  <r>
    <s v="CA-2017-162635"/>
    <d v="2017-09-10T00:00:00"/>
    <x v="3"/>
    <x v="1"/>
    <x v="597"/>
    <n v="10.816000000000001"/>
    <n v="4"/>
    <n v="3.5152000000000001"/>
    <n v="0.32500000000000001"/>
    <n v="2017"/>
    <x v="8"/>
    <n v="9"/>
    <n v="2.7040000000000002"/>
    <s v="Profit"/>
  </r>
  <r>
    <s v="US-2017-117247"/>
    <d v="2017-09-10T00:00:00"/>
    <x v="2"/>
    <x v="0"/>
    <x v="106"/>
    <n v="652.45000000000005"/>
    <n v="5"/>
    <n v="-430.61700000000002"/>
    <n v="-0.66"/>
    <n v="2017"/>
    <x v="8"/>
    <n v="9"/>
    <n v="130.49"/>
    <s v="Loss"/>
  </r>
  <r>
    <s v="US-2017-117247"/>
    <d v="2017-09-10T00:00:00"/>
    <x v="2"/>
    <x v="0"/>
    <x v="728"/>
    <n v="66.644999999999996"/>
    <n v="3"/>
    <n v="-42.652799999999999"/>
    <n v="-0.64"/>
    <n v="2017"/>
    <x v="8"/>
    <n v="9"/>
    <n v="22.215"/>
    <s v="Loss"/>
  </r>
  <r>
    <s v="CA-2017-132430"/>
    <d v="2017-09-10T00:00:00"/>
    <x v="0"/>
    <x v="0"/>
    <x v="177"/>
    <n v="45.887999999999998"/>
    <n v="4"/>
    <n v="9.1776"/>
    <n v="0.2"/>
    <n v="2017"/>
    <x v="8"/>
    <n v="9"/>
    <n v="11.472"/>
    <s v="Profit"/>
  </r>
  <r>
    <s v="CA-2017-141873"/>
    <d v="2017-09-10T00:00:00"/>
    <x v="0"/>
    <x v="1"/>
    <x v="729"/>
    <n v="12.816000000000001"/>
    <n v="3"/>
    <n v="4.3254000000000001"/>
    <n v="0.33749999999999997"/>
    <n v="2017"/>
    <x v="8"/>
    <n v="9"/>
    <n v="4.2720000000000002"/>
    <s v="Profit"/>
  </r>
  <r>
    <s v="CA-2017-141873"/>
    <d v="2017-09-10T00:00:00"/>
    <x v="0"/>
    <x v="0"/>
    <x v="303"/>
    <n v="314.35199999999998"/>
    <n v="3"/>
    <n v="-15.717599999999999"/>
    <n v="-0.05"/>
    <n v="2017"/>
    <x v="8"/>
    <n v="9"/>
    <n v="104.78399999999999"/>
    <s v="Loss"/>
  </r>
  <r>
    <s v="CA-2017-141873"/>
    <d v="2017-09-10T00:00:00"/>
    <x v="0"/>
    <x v="1"/>
    <x v="730"/>
    <n v="18.98"/>
    <n v="2"/>
    <n v="8.9206000000000003"/>
    <n v="0.47000000000000003"/>
    <n v="2017"/>
    <x v="8"/>
    <n v="9"/>
    <n v="9.49"/>
    <s v="Profit"/>
  </r>
  <r>
    <s v="CA-2017-141873"/>
    <d v="2017-09-10T00:00:00"/>
    <x v="0"/>
    <x v="1"/>
    <x v="731"/>
    <n v="18.239999999999998"/>
    <n v="6"/>
    <n v="6.1559999999999997"/>
    <n v="0.33750000000000002"/>
    <n v="2017"/>
    <x v="8"/>
    <n v="9"/>
    <n v="3.0399999999999996"/>
    <s v="Profit"/>
  </r>
  <r>
    <s v="CA-2017-163125"/>
    <d v="2017-09-10T00:00:00"/>
    <x v="2"/>
    <x v="1"/>
    <x v="224"/>
    <n v="67.144000000000005"/>
    <n v="7"/>
    <n v="5.8750999999999998"/>
    <n v="8.7499999999999994E-2"/>
    <n v="2017"/>
    <x v="8"/>
    <n v="9"/>
    <n v="9.5920000000000005"/>
    <s v="Profit"/>
  </r>
  <r>
    <s v="CA-2017-163125"/>
    <d v="2017-09-10T00:00:00"/>
    <x v="2"/>
    <x v="0"/>
    <x v="732"/>
    <n v="254.05799999999999"/>
    <n v="3"/>
    <n v="-32.6646"/>
    <n v="-0.12857142857142859"/>
    <n v="2017"/>
    <x v="8"/>
    <n v="9"/>
    <n v="84.685999999999993"/>
    <s v="Loss"/>
  </r>
  <r>
    <s v="US-2017-115595"/>
    <d v="2017-09-10T00:00:00"/>
    <x v="1"/>
    <x v="1"/>
    <x v="733"/>
    <n v="35.200000000000003"/>
    <n v="5"/>
    <n v="16.544"/>
    <n v="0.47"/>
    <n v="2017"/>
    <x v="8"/>
    <n v="9"/>
    <n v="7.0400000000000009"/>
    <s v="Profit"/>
  </r>
  <r>
    <s v="CA-2017-161018"/>
    <d v="2017-09-11T00:00:00"/>
    <x v="0"/>
    <x v="0"/>
    <x v="330"/>
    <n v="96.53"/>
    <n v="7"/>
    <n v="40.5426"/>
    <n v="0.42"/>
    <n v="2017"/>
    <x v="8"/>
    <n v="9"/>
    <n v="13.790000000000001"/>
    <s v="Profit"/>
  </r>
  <r>
    <s v="CA-2017-158246"/>
    <d v="2017-09-11T00:00:00"/>
    <x v="1"/>
    <x v="0"/>
    <x v="171"/>
    <n v="215.976"/>
    <n v="3"/>
    <n v="-2.6997"/>
    <n v="-1.2500000000000001E-2"/>
    <n v="2017"/>
    <x v="8"/>
    <n v="9"/>
    <n v="71.992000000000004"/>
    <s v="Loss"/>
  </r>
  <r>
    <s v="CA-2017-159597"/>
    <d v="2017-09-11T00:00:00"/>
    <x v="1"/>
    <x v="1"/>
    <x v="734"/>
    <n v="63.56"/>
    <n v="2"/>
    <n v="3.1779999999999999"/>
    <n v="4.9999999999999996E-2"/>
    <n v="2017"/>
    <x v="8"/>
    <n v="9"/>
    <n v="31.78"/>
    <s v="Profit"/>
  </r>
  <r>
    <s v="CA-2017-159597"/>
    <d v="2017-09-11T00:00:00"/>
    <x v="1"/>
    <x v="2"/>
    <x v="706"/>
    <n v="99.99"/>
    <n v="1"/>
    <n v="43.995600000000003"/>
    <n v="0.44000000000000006"/>
    <n v="2017"/>
    <x v="8"/>
    <n v="9"/>
    <n v="99.99"/>
    <s v="Profit"/>
  </r>
  <r>
    <s v="CA-2017-152912"/>
    <d v="2017-09-11T00:00:00"/>
    <x v="0"/>
    <x v="1"/>
    <x v="503"/>
    <n v="9.64"/>
    <n v="2"/>
    <n v="4.4344000000000001"/>
    <n v="0.45999999999999996"/>
    <n v="2017"/>
    <x v="8"/>
    <n v="9"/>
    <n v="4.82"/>
    <s v="Profit"/>
  </r>
  <r>
    <s v="CA-2017-152912"/>
    <d v="2017-09-11T00:00:00"/>
    <x v="0"/>
    <x v="2"/>
    <x v="146"/>
    <n v="826.62"/>
    <n v="3"/>
    <n v="355.44659999999999"/>
    <n v="0.43"/>
    <n v="2017"/>
    <x v="8"/>
    <n v="9"/>
    <n v="275.54000000000002"/>
    <s v="Profit"/>
  </r>
  <r>
    <s v="CA-2017-152912"/>
    <d v="2017-09-11T00:00:00"/>
    <x v="0"/>
    <x v="1"/>
    <x v="538"/>
    <n v="1633.14"/>
    <n v="9"/>
    <n v="473.61059999999998"/>
    <n v="0.28999999999999998"/>
    <n v="2017"/>
    <x v="8"/>
    <n v="9"/>
    <n v="181.46"/>
    <s v="Profit"/>
  </r>
  <r>
    <s v="CA-2017-152912"/>
    <d v="2017-09-11T00:00:00"/>
    <x v="0"/>
    <x v="1"/>
    <x v="538"/>
    <n v="544.38"/>
    <n v="3"/>
    <n v="157.87020000000001"/>
    <n v="0.29000000000000004"/>
    <n v="2017"/>
    <x v="8"/>
    <n v="9"/>
    <n v="181.46"/>
    <s v="Profit"/>
  </r>
  <r>
    <s v="US-2017-141852"/>
    <d v="2017-09-11T00:00:00"/>
    <x v="1"/>
    <x v="0"/>
    <x v="96"/>
    <n v="47.12"/>
    <n v="8"/>
    <n v="20.732800000000001"/>
    <n v="0.44000000000000006"/>
    <n v="2017"/>
    <x v="8"/>
    <n v="9"/>
    <n v="5.89"/>
    <s v="Profit"/>
  </r>
  <r>
    <s v="CA-2017-119494"/>
    <d v="2017-09-11T00:00:00"/>
    <x v="1"/>
    <x v="0"/>
    <x v="735"/>
    <n v="523.39200000000005"/>
    <n v="3"/>
    <n v="52.339199999999998"/>
    <n v="9.9999999999999992E-2"/>
    <n v="2017"/>
    <x v="8"/>
    <n v="9"/>
    <n v="174.46400000000003"/>
    <s v="Profit"/>
  </r>
  <r>
    <s v="CA-2017-159667"/>
    <d v="2017-09-11T00:00:00"/>
    <x v="3"/>
    <x v="2"/>
    <x v="612"/>
    <n v="191.976"/>
    <n v="3"/>
    <n v="38.395200000000003"/>
    <n v="0.2"/>
    <n v="2017"/>
    <x v="8"/>
    <n v="9"/>
    <n v="63.991999999999997"/>
    <s v="Profit"/>
  </r>
  <r>
    <s v="CA-2017-159667"/>
    <d v="2017-09-11T00:00:00"/>
    <x v="3"/>
    <x v="2"/>
    <x v="736"/>
    <n v="499.16800000000001"/>
    <n v="4"/>
    <n v="31.198"/>
    <n v="6.25E-2"/>
    <n v="2017"/>
    <x v="8"/>
    <n v="9"/>
    <n v="124.792"/>
    <s v="Profit"/>
  </r>
  <r>
    <s v="US-2017-118038"/>
    <d v="2017-09-12T00:00:00"/>
    <x v="2"/>
    <x v="1"/>
    <x v="509"/>
    <n v="1.248"/>
    <n v="3"/>
    <n v="-1.9343999999999999"/>
    <n v="-1.5499999999999998"/>
    <n v="2017"/>
    <x v="8"/>
    <n v="9"/>
    <n v="0.41599999999999998"/>
    <s v="Loss"/>
  </r>
  <r>
    <s v="US-2017-118038"/>
    <d v="2017-09-12T00:00:00"/>
    <x v="2"/>
    <x v="0"/>
    <x v="737"/>
    <n v="9.7080000000000002"/>
    <n v="3"/>
    <n v="-5.8247999999999998"/>
    <n v="-0.6"/>
    <n v="2017"/>
    <x v="8"/>
    <n v="9"/>
    <n v="3.2360000000000002"/>
    <s v="Loss"/>
  </r>
  <r>
    <s v="US-2017-118038"/>
    <d v="2017-09-12T00:00:00"/>
    <x v="2"/>
    <x v="1"/>
    <x v="553"/>
    <n v="27.24"/>
    <n v="3"/>
    <n v="2.7240000000000002"/>
    <n v="0.10000000000000002"/>
    <n v="2017"/>
    <x v="8"/>
    <n v="9"/>
    <n v="9.08"/>
    <s v="Profit"/>
  </r>
  <r>
    <s v="CA-2017-108329"/>
    <d v="2017-09-12T00:00:00"/>
    <x v="1"/>
    <x v="2"/>
    <x v="738"/>
    <n v="444.76799999999997"/>
    <n v="4"/>
    <n v="44.476799999999997"/>
    <n v="0.1"/>
    <n v="2017"/>
    <x v="8"/>
    <n v="9"/>
    <n v="111.19199999999999"/>
    <s v="Profit"/>
  </r>
  <r>
    <s v="US-2017-145366"/>
    <d v="2017-09-12T00:00:00"/>
    <x v="0"/>
    <x v="1"/>
    <x v="739"/>
    <n v="37.207999999999998"/>
    <n v="1"/>
    <n v="-7.4416000000000002"/>
    <n v="-0.2"/>
    <n v="2017"/>
    <x v="8"/>
    <n v="9"/>
    <n v="37.207999999999998"/>
    <s v="Loss"/>
  </r>
  <r>
    <s v="US-2017-145366"/>
    <d v="2017-09-12T00:00:00"/>
    <x v="0"/>
    <x v="1"/>
    <x v="740"/>
    <n v="57.576000000000001"/>
    <n v="3"/>
    <n v="21.591000000000001"/>
    <n v="0.375"/>
    <n v="2017"/>
    <x v="8"/>
    <n v="9"/>
    <n v="19.192"/>
    <s v="Profit"/>
  </r>
  <r>
    <s v="CA-2017-139199"/>
    <d v="2017-09-12T00:00:00"/>
    <x v="2"/>
    <x v="0"/>
    <x v="741"/>
    <n v="872.94"/>
    <n v="3"/>
    <n v="226.96440000000001"/>
    <n v="0.26"/>
    <n v="2017"/>
    <x v="8"/>
    <n v="9"/>
    <n v="290.98"/>
    <s v="Profit"/>
  </r>
  <r>
    <s v="CA-2017-139199"/>
    <d v="2017-09-12T00:00:00"/>
    <x v="2"/>
    <x v="1"/>
    <x v="521"/>
    <n v="41.54"/>
    <n v="2"/>
    <n v="19.523800000000001"/>
    <n v="0.47000000000000003"/>
    <n v="2017"/>
    <x v="8"/>
    <n v="9"/>
    <n v="20.77"/>
    <s v="Profit"/>
  </r>
  <r>
    <s v="CA-2017-139199"/>
    <d v="2017-09-12T00:00:00"/>
    <x v="2"/>
    <x v="1"/>
    <x v="742"/>
    <n v="12.96"/>
    <n v="2"/>
    <n v="6.2207999999999997"/>
    <n v="0.47999999999999993"/>
    <n v="2017"/>
    <x v="8"/>
    <n v="9"/>
    <n v="6.48"/>
    <s v="Profit"/>
  </r>
  <r>
    <s v="CA-2017-129833"/>
    <d v="2017-09-12T00:00:00"/>
    <x v="2"/>
    <x v="1"/>
    <x v="743"/>
    <n v="33.450000000000003"/>
    <n v="5"/>
    <n v="15.387"/>
    <n v="0.45999999999999996"/>
    <n v="2017"/>
    <x v="8"/>
    <n v="9"/>
    <n v="6.69"/>
    <s v="Profit"/>
  </r>
  <r>
    <s v="CA-2017-129833"/>
    <d v="2017-09-12T00:00:00"/>
    <x v="2"/>
    <x v="1"/>
    <x v="509"/>
    <n v="10.4"/>
    <n v="5"/>
    <n v="5.0960000000000001"/>
    <n v="0.49"/>
    <n v="2017"/>
    <x v="8"/>
    <n v="9"/>
    <n v="2.08"/>
    <s v="Profit"/>
  </r>
  <r>
    <s v="CA-2017-148012"/>
    <d v="2017-09-12T00:00:00"/>
    <x v="0"/>
    <x v="1"/>
    <x v="647"/>
    <n v="2.6240000000000001"/>
    <n v="1"/>
    <n v="0.4264"/>
    <n v="0.16250000000000001"/>
    <n v="2017"/>
    <x v="8"/>
    <n v="9"/>
    <n v="2.6240000000000001"/>
    <s v="Profit"/>
  </r>
  <r>
    <s v="CA-2017-109960"/>
    <d v="2017-09-12T00:00:00"/>
    <x v="2"/>
    <x v="2"/>
    <x v="744"/>
    <n v="104.88"/>
    <n v="6"/>
    <n v="41.951999999999998"/>
    <n v="0.4"/>
    <n v="2017"/>
    <x v="8"/>
    <n v="9"/>
    <n v="17.48"/>
    <s v="Profit"/>
  </r>
  <r>
    <s v="CA-2017-109960"/>
    <d v="2017-09-12T00:00:00"/>
    <x v="2"/>
    <x v="1"/>
    <x v="745"/>
    <n v="34.700000000000003"/>
    <n v="5"/>
    <n v="12.492000000000001"/>
    <n v="0.36"/>
    <n v="2017"/>
    <x v="8"/>
    <n v="9"/>
    <n v="6.94"/>
    <s v="Profit"/>
  </r>
  <r>
    <s v="CA-2017-109960"/>
    <d v="2017-09-12T00:00:00"/>
    <x v="2"/>
    <x v="1"/>
    <x v="746"/>
    <n v="33.72"/>
    <n v="4"/>
    <n v="15.511200000000001"/>
    <n v="0.46"/>
    <n v="2017"/>
    <x v="8"/>
    <n v="9"/>
    <n v="8.43"/>
    <s v="Profit"/>
  </r>
  <r>
    <s v="CA-2017-109960"/>
    <d v="2017-09-12T00:00:00"/>
    <x v="2"/>
    <x v="1"/>
    <x v="124"/>
    <n v="14.94"/>
    <n v="3"/>
    <n v="7.0217999999999998"/>
    <n v="0.47000000000000003"/>
    <n v="2017"/>
    <x v="8"/>
    <n v="9"/>
    <n v="4.9799999999999995"/>
    <s v="Profit"/>
  </r>
  <r>
    <s v="CA-2017-109715"/>
    <d v="2017-09-12T00:00:00"/>
    <x v="2"/>
    <x v="1"/>
    <x v="747"/>
    <n v="15.984"/>
    <n v="2"/>
    <n v="4.9950000000000001"/>
    <n v="0.3125"/>
    <n v="2017"/>
    <x v="8"/>
    <n v="9"/>
    <n v="7.992"/>
    <s v="Profit"/>
  </r>
  <r>
    <s v="CA-2017-102407"/>
    <d v="2017-09-12T00:00:00"/>
    <x v="1"/>
    <x v="1"/>
    <x v="748"/>
    <n v="11.16"/>
    <n v="2"/>
    <n v="2.79"/>
    <n v="0.25"/>
    <n v="2017"/>
    <x v="8"/>
    <n v="9"/>
    <n v="5.58"/>
    <s v="Profit"/>
  </r>
  <r>
    <s v="CA-2017-102407"/>
    <d v="2017-09-12T00:00:00"/>
    <x v="1"/>
    <x v="0"/>
    <x v="269"/>
    <n v="896.32799999999997"/>
    <n v="9"/>
    <n v="22.408200000000001"/>
    <n v="2.5000000000000001E-2"/>
    <n v="2017"/>
    <x v="8"/>
    <n v="9"/>
    <n v="99.591999999999999"/>
    <s v="Profit"/>
  </r>
  <r>
    <s v="CA-2017-102407"/>
    <d v="2017-09-12T00:00:00"/>
    <x v="1"/>
    <x v="1"/>
    <x v="749"/>
    <n v="189"/>
    <n v="1"/>
    <n v="68.040000000000006"/>
    <n v="0.36000000000000004"/>
    <n v="2017"/>
    <x v="8"/>
    <n v="9"/>
    <n v="189"/>
    <s v="Profit"/>
  </r>
  <r>
    <s v="US-2017-103814"/>
    <d v="2017-09-12T00:00:00"/>
    <x v="2"/>
    <x v="1"/>
    <x v="750"/>
    <n v="143.85599999999999"/>
    <n v="9"/>
    <n v="48.551400000000001"/>
    <n v="0.33750000000000002"/>
    <n v="2017"/>
    <x v="8"/>
    <n v="9"/>
    <n v="15.984"/>
    <s v="Profit"/>
  </r>
  <r>
    <s v="CA-2017-139402"/>
    <d v="2017-09-12T00:00:00"/>
    <x v="1"/>
    <x v="1"/>
    <x v="751"/>
    <n v="419.4"/>
    <n v="5"/>
    <n v="146.79"/>
    <n v="0.35"/>
    <n v="2017"/>
    <x v="8"/>
    <n v="9"/>
    <n v="83.88"/>
    <s v="Profit"/>
  </r>
  <r>
    <s v="CA-2017-139402"/>
    <d v="2017-09-12T00:00:00"/>
    <x v="1"/>
    <x v="1"/>
    <x v="507"/>
    <n v="13.005000000000001"/>
    <n v="3"/>
    <n v="-9.9704999999999995"/>
    <n v="-0.76666666666666661"/>
    <n v="2017"/>
    <x v="8"/>
    <n v="9"/>
    <n v="4.335"/>
    <s v="Loss"/>
  </r>
  <r>
    <s v="CA-2017-141201"/>
    <d v="2017-09-12T00:00:00"/>
    <x v="1"/>
    <x v="0"/>
    <x v="570"/>
    <n v="148.25700000000001"/>
    <n v="3"/>
    <n v="15.697800000000001"/>
    <n v="0.10588235294117647"/>
    <n v="2017"/>
    <x v="8"/>
    <n v="9"/>
    <n v="49.419000000000004"/>
    <s v="Profit"/>
  </r>
  <r>
    <s v="US-2017-167920"/>
    <d v="2017-09-12T00:00:00"/>
    <x v="3"/>
    <x v="1"/>
    <x v="752"/>
    <n v="29.36"/>
    <n v="2"/>
    <n v="13.505599999999999"/>
    <n v="0.45999999999999996"/>
    <n v="2017"/>
    <x v="8"/>
    <n v="9"/>
    <n v="14.68"/>
    <s v="Profit"/>
  </r>
  <r>
    <s v="US-2017-167920"/>
    <d v="2017-09-12T00:00:00"/>
    <x v="3"/>
    <x v="1"/>
    <x v="753"/>
    <n v="214.9"/>
    <n v="5"/>
    <n v="62.320999999999998"/>
    <n v="0.28999999999999998"/>
    <n v="2017"/>
    <x v="8"/>
    <n v="9"/>
    <n v="42.980000000000004"/>
    <s v="Profit"/>
  </r>
  <r>
    <s v="US-2017-167920"/>
    <d v="2017-09-12T00:00:00"/>
    <x v="3"/>
    <x v="1"/>
    <x v="71"/>
    <n v="15.92"/>
    <n v="4"/>
    <n v="7.4824000000000002"/>
    <n v="0.47000000000000003"/>
    <n v="2017"/>
    <x v="8"/>
    <n v="9"/>
    <n v="3.98"/>
    <s v="Profit"/>
  </r>
  <r>
    <s v="US-2017-167920"/>
    <d v="2017-09-12T00:00:00"/>
    <x v="3"/>
    <x v="2"/>
    <x v="492"/>
    <n v="146.44999999999999"/>
    <n v="5"/>
    <n v="48.328499999999998"/>
    <n v="0.33"/>
    <n v="2017"/>
    <x v="8"/>
    <n v="9"/>
    <n v="29.29"/>
    <s v="Profit"/>
  </r>
  <r>
    <s v="US-2017-167920"/>
    <d v="2017-09-12T00:00:00"/>
    <x v="3"/>
    <x v="1"/>
    <x v="284"/>
    <n v="15.14"/>
    <n v="1"/>
    <n v="0.60560000000000003"/>
    <n v="0.04"/>
    <n v="2017"/>
    <x v="8"/>
    <n v="9"/>
    <n v="15.14"/>
    <s v="Profit"/>
  </r>
  <r>
    <s v="US-2017-167920"/>
    <d v="2017-09-12T00:00:00"/>
    <x v="3"/>
    <x v="1"/>
    <x v="27"/>
    <n v="5.76"/>
    <n v="2"/>
    <n v="2.6496"/>
    <n v="0.46"/>
    <n v="2017"/>
    <x v="8"/>
    <n v="9"/>
    <n v="2.88"/>
    <s v="Profit"/>
  </r>
  <r>
    <s v="US-2017-167920"/>
    <d v="2017-09-12T00:00:00"/>
    <x v="3"/>
    <x v="2"/>
    <x v="627"/>
    <n v="1399.98"/>
    <n v="2"/>
    <n v="629.99099999999999"/>
    <n v="0.45"/>
    <n v="2017"/>
    <x v="8"/>
    <n v="9"/>
    <n v="699.99"/>
    <s v="Profit"/>
  </r>
  <r>
    <s v="US-2017-132927"/>
    <d v="2017-09-12T00:00:00"/>
    <x v="0"/>
    <x v="1"/>
    <x v="754"/>
    <n v="11.087999999999999"/>
    <n v="7"/>
    <n v="-8.1311999999999998"/>
    <n v="-0.73333333333333339"/>
    <n v="2017"/>
    <x v="8"/>
    <n v="9"/>
    <n v="1.5839999999999999"/>
    <s v="Loss"/>
  </r>
  <r>
    <s v="CA-2017-102659"/>
    <d v="2017-09-12T00:00:00"/>
    <x v="2"/>
    <x v="1"/>
    <x v="755"/>
    <n v="54.9"/>
    <n v="5"/>
    <n v="26.901"/>
    <n v="0.49"/>
    <n v="2017"/>
    <x v="8"/>
    <n v="9"/>
    <n v="10.98"/>
    <s v="Profit"/>
  </r>
  <r>
    <s v="CA-2017-124086"/>
    <d v="2017-10-02T00:00:00"/>
    <x v="1"/>
    <x v="0"/>
    <x v="504"/>
    <n v="203.983"/>
    <n v="2"/>
    <n v="16.7986"/>
    <n v="8.2352941176470587E-2"/>
    <n v="2017"/>
    <x v="9"/>
    <n v="10"/>
    <n v="101.9915"/>
    <s v="Profit"/>
  </r>
  <r>
    <s v="CA-2017-123659"/>
    <d v="2017-10-02T00:00:00"/>
    <x v="0"/>
    <x v="1"/>
    <x v="756"/>
    <n v="23.12"/>
    <n v="4"/>
    <n v="11.328799999999999"/>
    <n v="0.48999999999999994"/>
    <n v="2017"/>
    <x v="9"/>
    <n v="10"/>
    <n v="5.78"/>
    <s v="Profit"/>
  </r>
  <r>
    <s v="CA-2017-144638"/>
    <d v="2017-10-03T00:00:00"/>
    <x v="0"/>
    <x v="1"/>
    <x v="757"/>
    <n v="5.2480000000000002"/>
    <n v="2"/>
    <n v="0.59040000000000004"/>
    <n v="0.1125"/>
    <n v="2017"/>
    <x v="9"/>
    <n v="10"/>
    <n v="2.6240000000000001"/>
    <s v="Profit"/>
  </r>
  <r>
    <s v="CA-2017-144638"/>
    <d v="2017-10-03T00:00:00"/>
    <x v="0"/>
    <x v="2"/>
    <x v="758"/>
    <n v="35.909999999999997"/>
    <n v="3"/>
    <n v="-8.3789999999999996"/>
    <n v="-0.23333333333333334"/>
    <n v="2017"/>
    <x v="9"/>
    <n v="10"/>
    <n v="11.969999999999999"/>
    <s v="Loss"/>
  </r>
  <r>
    <s v="CA-2017-144638"/>
    <d v="2017-10-03T00:00:00"/>
    <x v="0"/>
    <x v="0"/>
    <x v="128"/>
    <n v="6.6959999999999997"/>
    <n v="1"/>
    <n v="0.50219999999999998"/>
    <n v="7.4999999999999997E-2"/>
    <n v="2017"/>
    <x v="9"/>
    <n v="10"/>
    <n v="6.6959999999999997"/>
    <s v="Profit"/>
  </r>
  <r>
    <s v="CA-2017-144638"/>
    <d v="2017-10-03T00:00:00"/>
    <x v="0"/>
    <x v="0"/>
    <x v="666"/>
    <n v="43.872"/>
    <n v="2"/>
    <n v="11.516400000000001"/>
    <n v="0.26250000000000001"/>
    <n v="2017"/>
    <x v="9"/>
    <n v="10"/>
    <n v="21.936"/>
    <s v="Profit"/>
  </r>
  <r>
    <s v="CA-2017-130967"/>
    <d v="2017-10-03T00:00:00"/>
    <x v="0"/>
    <x v="2"/>
    <x v="759"/>
    <n v="53.981999999999999"/>
    <n v="3"/>
    <n v="-10.7964"/>
    <n v="-0.2"/>
    <n v="2017"/>
    <x v="9"/>
    <n v="10"/>
    <n v="17.994"/>
    <s v="Loss"/>
  </r>
  <r>
    <s v="CA-2017-155824"/>
    <d v="2017-10-03T00:00:00"/>
    <x v="3"/>
    <x v="1"/>
    <x v="760"/>
    <n v="48.783999999999999"/>
    <n v="1"/>
    <n v="3.6587999999999998"/>
    <n v="7.4999999999999997E-2"/>
    <n v="2017"/>
    <x v="9"/>
    <n v="10"/>
    <n v="48.783999999999999"/>
    <s v="Profit"/>
  </r>
  <r>
    <s v="CA-2017-155824"/>
    <d v="2017-10-03T00:00:00"/>
    <x v="3"/>
    <x v="1"/>
    <x v="761"/>
    <n v="13.092000000000001"/>
    <n v="4"/>
    <n v="-10.0372"/>
    <n v="-0.76666666666666661"/>
    <n v="2017"/>
    <x v="9"/>
    <n v="10"/>
    <n v="3.2730000000000001"/>
    <s v="Loss"/>
  </r>
  <r>
    <s v="CA-2017-140494"/>
    <d v="2017-10-03T00:00:00"/>
    <x v="1"/>
    <x v="2"/>
    <x v="36"/>
    <n v="111.96"/>
    <n v="4"/>
    <n v="21.272400000000001"/>
    <n v="0.19000000000000003"/>
    <n v="2017"/>
    <x v="9"/>
    <n v="10"/>
    <n v="27.99"/>
    <s v="Profit"/>
  </r>
  <r>
    <s v="CA-2017-132290"/>
    <d v="2017-10-03T00:00:00"/>
    <x v="2"/>
    <x v="0"/>
    <x v="762"/>
    <n v="933.40800000000002"/>
    <n v="4"/>
    <n v="-173.34719999999999"/>
    <n v="-0.18571428571428569"/>
    <n v="2017"/>
    <x v="9"/>
    <n v="10"/>
    <n v="233.352"/>
    <s v="Loss"/>
  </r>
  <r>
    <s v="CA-2017-161984"/>
    <d v="2017-10-04T00:00:00"/>
    <x v="0"/>
    <x v="1"/>
    <x v="763"/>
    <n v="7.61"/>
    <n v="1"/>
    <n v="3.5767000000000002"/>
    <n v="0.47000000000000003"/>
    <n v="2017"/>
    <x v="9"/>
    <n v="10"/>
    <n v="7.61"/>
    <s v="Profit"/>
  </r>
  <r>
    <s v="CA-2017-161984"/>
    <d v="2017-10-04T00:00:00"/>
    <x v="0"/>
    <x v="1"/>
    <x v="764"/>
    <n v="7.16"/>
    <n v="2"/>
    <n v="3.58"/>
    <n v="0.5"/>
    <n v="2017"/>
    <x v="9"/>
    <n v="10"/>
    <n v="3.58"/>
    <s v="Profit"/>
  </r>
  <r>
    <s v="CA-2017-125115"/>
    <d v="2017-10-04T00:00:00"/>
    <x v="2"/>
    <x v="1"/>
    <x v="765"/>
    <n v="10.368"/>
    <n v="2"/>
    <n v="3.6288"/>
    <n v="0.35"/>
    <n v="2017"/>
    <x v="9"/>
    <n v="10"/>
    <n v="5.1840000000000002"/>
    <s v="Profit"/>
  </r>
  <r>
    <s v="CA-2017-125115"/>
    <d v="2017-10-04T00:00:00"/>
    <x v="2"/>
    <x v="2"/>
    <x v="37"/>
    <n v="95.736000000000004"/>
    <n v="3"/>
    <n v="20.343900000000001"/>
    <n v="0.21249999999999999"/>
    <n v="2017"/>
    <x v="9"/>
    <n v="10"/>
    <n v="31.912000000000003"/>
    <s v="Profit"/>
  </r>
  <r>
    <s v="CA-2017-115070"/>
    <d v="2017-10-04T00:00:00"/>
    <x v="3"/>
    <x v="0"/>
    <x v="766"/>
    <n v="12.32"/>
    <n v="5"/>
    <n v="1.8480000000000001"/>
    <n v="0.15"/>
    <n v="2017"/>
    <x v="9"/>
    <n v="10"/>
    <n v="2.464"/>
    <s v="Profit"/>
  </r>
  <r>
    <s v="CA-2017-115070"/>
    <d v="2017-10-04T00:00:00"/>
    <x v="3"/>
    <x v="1"/>
    <x v="767"/>
    <n v="4.4189999999999996"/>
    <n v="3"/>
    <n v="-3.0933000000000002"/>
    <n v="-0.70000000000000007"/>
    <n v="2017"/>
    <x v="9"/>
    <n v="10"/>
    <n v="1.4729999999999999"/>
    <s v="Loss"/>
  </r>
  <r>
    <s v="CA-2017-150623"/>
    <d v="2017-10-04T00:00:00"/>
    <x v="0"/>
    <x v="2"/>
    <x v="452"/>
    <n v="99.99"/>
    <n v="1"/>
    <n v="41.995800000000003"/>
    <n v="0.42000000000000004"/>
    <n v="2017"/>
    <x v="9"/>
    <n v="10"/>
    <n v="99.99"/>
    <s v="Profit"/>
  </r>
  <r>
    <s v="CA-2017-150623"/>
    <d v="2017-10-04T00:00:00"/>
    <x v="0"/>
    <x v="1"/>
    <x v="710"/>
    <n v="286.14999999999998"/>
    <n v="5"/>
    <n v="71.537499999999994"/>
    <n v="0.25"/>
    <n v="2017"/>
    <x v="9"/>
    <n v="10"/>
    <n v="57.23"/>
    <s v="Profit"/>
  </r>
  <r>
    <s v="CA-2017-135069"/>
    <d v="2017-10-04T00:00:00"/>
    <x v="0"/>
    <x v="1"/>
    <x v="768"/>
    <n v="195.10400000000001"/>
    <n v="4"/>
    <n v="21.949200000000001"/>
    <n v="0.1125"/>
    <n v="2017"/>
    <x v="9"/>
    <n v="10"/>
    <n v="48.776000000000003"/>
    <s v="Profit"/>
  </r>
  <r>
    <s v="CA-2017-135069"/>
    <d v="2017-10-04T00:00:00"/>
    <x v="0"/>
    <x v="0"/>
    <x v="0"/>
    <n v="36.671999999999997"/>
    <n v="3"/>
    <n v="6.4176000000000002"/>
    <n v="0.17500000000000002"/>
    <n v="2017"/>
    <x v="9"/>
    <n v="10"/>
    <n v="12.223999999999998"/>
    <s v="Profit"/>
  </r>
  <r>
    <s v="CA-2017-140963"/>
    <d v="2017-10-06T00:00:00"/>
    <x v="1"/>
    <x v="1"/>
    <x v="420"/>
    <n v="29.6"/>
    <n v="2"/>
    <n v="14.8"/>
    <n v="0.5"/>
    <n v="2017"/>
    <x v="9"/>
    <n v="10"/>
    <n v="14.8"/>
    <s v="Profit"/>
  </r>
  <r>
    <s v="CA-2017-140963"/>
    <d v="2017-10-06T00:00:00"/>
    <x v="1"/>
    <x v="0"/>
    <x v="769"/>
    <n v="514.16499999999996"/>
    <n v="5"/>
    <n v="-30.245000000000001"/>
    <n v="-5.8823529411764712E-2"/>
    <n v="2017"/>
    <x v="9"/>
    <n v="10"/>
    <n v="102.833"/>
    <s v="Loss"/>
  </r>
  <r>
    <s v="CA-2017-140963"/>
    <d v="2017-10-06T00:00:00"/>
    <x v="1"/>
    <x v="2"/>
    <x v="686"/>
    <n v="279.95999999999998"/>
    <n v="5"/>
    <n v="17.497499999999999"/>
    <n v="6.25E-2"/>
    <n v="2017"/>
    <x v="9"/>
    <n v="10"/>
    <n v="55.991999999999997"/>
    <s v="Profit"/>
  </r>
  <r>
    <s v="CA-2017-106103"/>
    <d v="2017-10-06T00:00:00"/>
    <x v="2"/>
    <x v="2"/>
    <x v="490"/>
    <n v="132.52000000000001"/>
    <n v="4"/>
    <n v="54.333199999999998"/>
    <n v="0.41"/>
    <n v="2017"/>
    <x v="9"/>
    <n v="10"/>
    <n v="33.130000000000003"/>
    <s v="Profit"/>
  </r>
  <r>
    <s v="CA-2017-143343"/>
    <d v="2017-10-06T00:00:00"/>
    <x v="1"/>
    <x v="1"/>
    <x v="770"/>
    <n v="16.399999999999999"/>
    <n v="5"/>
    <n v="4.7560000000000002"/>
    <n v="0.29000000000000004"/>
    <n v="2017"/>
    <x v="9"/>
    <n v="10"/>
    <n v="3.28"/>
    <s v="Profit"/>
  </r>
  <r>
    <s v="US-2017-131583"/>
    <d v="2017-10-06T00:00:00"/>
    <x v="0"/>
    <x v="1"/>
    <x v="617"/>
    <n v="40.031999999999996"/>
    <n v="6"/>
    <n v="15.012"/>
    <n v="0.37500000000000006"/>
    <n v="2017"/>
    <x v="9"/>
    <n v="10"/>
    <n v="6.6719999999999997"/>
    <s v="Profit"/>
  </r>
  <r>
    <s v="CA-2017-107167"/>
    <d v="2017-10-06T00:00:00"/>
    <x v="3"/>
    <x v="1"/>
    <x v="410"/>
    <n v="1347.52"/>
    <n v="8"/>
    <n v="84.22"/>
    <n v="6.25E-2"/>
    <n v="2017"/>
    <x v="9"/>
    <n v="10"/>
    <n v="168.44"/>
    <s v="Profit"/>
  </r>
  <r>
    <s v="CA-2017-167080"/>
    <d v="2017-10-06T00:00:00"/>
    <x v="0"/>
    <x v="1"/>
    <x v="229"/>
    <n v="8.4"/>
    <n v="5"/>
    <n v="4.2"/>
    <n v="0.5"/>
    <n v="2017"/>
    <x v="9"/>
    <n v="10"/>
    <n v="1.6800000000000002"/>
    <s v="Profit"/>
  </r>
  <r>
    <s v="CA-2017-158071"/>
    <d v="2017-10-06T00:00:00"/>
    <x v="1"/>
    <x v="2"/>
    <x v="771"/>
    <n v="88.775999999999996"/>
    <n v="3"/>
    <n v="7.7679"/>
    <n v="8.7500000000000008E-2"/>
    <n v="2017"/>
    <x v="9"/>
    <n v="10"/>
    <n v="29.591999999999999"/>
    <s v="Profit"/>
  </r>
  <r>
    <s v="CA-2017-158071"/>
    <d v="2017-10-06T00:00:00"/>
    <x v="1"/>
    <x v="1"/>
    <x v="772"/>
    <n v="11.56"/>
    <n v="4"/>
    <n v="5.4332000000000003"/>
    <n v="0.47000000000000003"/>
    <n v="2017"/>
    <x v="9"/>
    <n v="10"/>
    <n v="2.89"/>
    <s v="Profit"/>
  </r>
  <r>
    <s v="CA-2017-158071"/>
    <d v="2017-10-06T00:00:00"/>
    <x v="1"/>
    <x v="1"/>
    <x v="87"/>
    <n v="15.58"/>
    <n v="1"/>
    <n v="3.895"/>
    <n v="0.25"/>
    <n v="2017"/>
    <x v="9"/>
    <n v="10"/>
    <n v="15.58"/>
    <s v="Profit"/>
  </r>
  <r>
    <s v="CA-2017-137001"/>
    <d v="2017-10-06T00:00:00"/>
    <x v="1"/>
    <x v="1"/>
    <x v="773"/>
    <n v="14.7"/>
    <n v="7"/>
    <n v="4.1159999999999997"/>
    <n v="0.27999999999999997"/>
    <n v="2017"/>
    <x v="9"/>
    <n v="10"/>
    <n v="2.1"/>
    <s v="Profit"/>
  </r>
  <r>
    <s v="CA-2017-112172"/>
    <d v="2017-10-06T00:00:00"/>
    <x v="0"/>
    <x v="1"/>
    <x v="774"/>
    <n v="14.13"/>
    <n v="3"/>
    <n v="0.70650000000000002"/>
    <n v="4.9999999999999996E-2"/>
    <n v="2017"/>
    <x v="9"/>
    <n v="10"/>
    <n v="4.71"/>
    <s v="Profit"/>
  </r>
  <r>
    <s v="CA-2017-128629"/>
    <d v="2017-10-07T00:00:00"/>
    <x v="3"/>
    <x v="0"/>
    <x v="775"/>
    <n v="18.84"/>
    <n v="3"/>
    <n v="7.9127999999999998"/>
    <n v="0.42"/>
    <n v="2017"/>
    <x v="9"/>
    <n v="10"/>
    <n v="6.28"/>
    <s v="Profit"/>
  </r>
  <r>
    <s v="CA-2017-127460"/>
    <d v="2017-10-07T00:00:00"/>
    <x v="2"/>
    <x v="1"/>
    <x v="47"/>
    <n v="298.464"/>
    <n v="6"/>
    <n v="26.115600000000001"/>
    <n v="8.7500000000000008E-2"/>
    <n v="2017"/>
    <x v="9"/>
    <n v="10"/>
    <n v="49.744"/>
    <s v="Profit"/>
  </r>
  <r>
    <s v="CA-2017-169012"/>
    <d v="2017-10-07T00:00:00"/>
    <x v="3"/>
    <x v="1"/>
    <x v="166"/>
    <n v="41.91"/>
    <n v="3"/>
    <n v="10.896599999999999"/>
    <n v="0.26"/>
    <n v="2017"/>
    <x v="9"/>
    <n v="10"/>
    <n v="13.969999999999999"/>
    <s v="Profit"/>
  </r>
  <r>
    <s v="CA-2017-143063"/>
    <d v="2017-10-08T00:00:00"/>
    <x v="2"/>
    <x v="1"/>
    <x v="11"/>
    <n v="70.08"/>
    <n v="6"/>
    <n v="35.04"/>
    <n v="0.5"/>
    <n v="2017"/>
    <x v="9"/>
    <n v="10"/>
    <n v="11.68"/>
    <s v="Profit"/>
  </r>
  <r>
    <s v="CA-2017-143063"/>
    <d v="2017-10-08T00:00:00"/>
    <x v="2"/>
    <x v="0"/>
    <x v="291"/>
    <n v="121.3"/>
    <n v="2"/>
    <n v="25.472999999999999"/>
    <n v="0.21"/>
    <n v="2017"/>
    <x v="9"/>
    <n v="10"/>
    <n v="60.65"/>
    <s v="Profit"/>
  </r>
  <r>
    <s v="CA-2017-143063"/>
    <d v="2017-10-08T00:00:00"/>
    <x v="2"/>
    <x v="2"/>
    <x v="776"/>
    <n v="1454.49"/>
    <n v="9"/>
    <n v="378.16739999999999"/>
    <n v="0.26"/>
    <n v="2017"/>
    <x v="9"/>
    <n v="10"/>
    <n v="161.61000000000001"/>
    <s v="Profit"/>
  </r>
  <r>
    <s v="CA-2017-145443"/>
    <d v="2017-10-08T00:00:00"/>
    <x v="2"/>
    <x v="1"/>
    <x v="550"/>
    <n v="177.2"/>
    <n v="5"/>
    <n v="83.284000000000006"/>
    <n v="0.47000000000000008"/>
    <n v="2017"/>
    <x v="9"/>
    <n v="10"/>
    <n v="35.44"/>
    <s v="Profit"/>
  </r>
  <r>
    <s v="CA-2017-120999"/>
    <d v="2017-10-09T00:00:00"/>
    <x v="2"/>
    <x v="2"/>
    <x v="777"/>
    <n v="147.16800000000001"/>
    <n v="4"/>
    <n v="16.5564"/>
    <n v="0.11249999999999999"/>
    <n v="2017"/>
    <x v="9"/>
    <n v="10"/>
    <n v="36.792000000000002"/>
    <s v="Profit"/>
  </r>
  <r>
    <s v="CA-2017-128370"/>
    <d v="2017-10-09T00:00:00"/>
    <x v="1"/>
    <x v="0"/>
    <x v="85"/>
    <n v="362.35199999999998"/>
    <n v="3"/>
    <n v="27.176400000000001"/>
    <n v="7.5000000000000011E-2"/>
    <n v="2017"/>
    <x v="9"/>
    <n v="10"/>
    <n v="120.78399999999999"/>
    <s v="Profit"/>
  </r>
  <r>
    <s v="CA-2017-128370"/>
    <d v="2017-10-09T00:00:00"/>
    <x v="1"/>
    <x v="1"/>
    <x v="778"/>
    <n v="7.1840000000000002"/>
    <n v="2"/>
    <n v="2.2450000000000001"/>
    <n v="0.3125"/>
    <n v="2017"/>
    <x v="9"/>
    <n v="10"/>
    <n v="3.5920000000000001"/>
    <s v="Profit"/>
  </r>
  <r>
    <s v="CA-2017-110905"/>
    <d v="2017-10-09T00:00:00"/>
    <x v="2"/>
    <x v="1"/>
    <x v="515"/>
    <n v="16.2"/>
    <n v="3"/>
    <n v="7.7759999999999998"/>
    <n v="0.48"/>
    <n v="2017"/>
    <x v="9"/>
    <n v="10"/>
    <n v="5.3999999999999995"/>
    <s v="Profit"/>
  </r>
  <r>
    <s v="CA-2017-110905"/>
    <d v="2017-10-09T00:00:00"/>
    <x v="2"/>
    <x v="1"/>
    <x v="779"/>
    <n v="33.99"/>
    <n v="3"/>
    <n v="14.6157"/>
    <n v="0.43"/>
    <n v="2017"/>
    <x v="9"/>
    <n v="10"/>
    <n v="11.33"/>
    <s v="Profit"/>
  </r>
  <r>
    <s v="CA-2017-110905"/>
    <d v="2017-10-09T00:00:00"/>
    <x v="2"/>
    <x v="2"/>
    <x v="680"/>
    <n v="296.85000000000002"/>
    <n v="5"/>
    <n v="53.433"/>
    <n v="0.18"/>
    <n v="2017"/>
    <x v="9"/>
    <n v="10"/>
    <n v="59.370000000000005"/>
    <s v="Profit"/>
  </r>
  <r>
    <s v="CA-2017-110905"/>
    <d v="2017-10-09T00:00:00"/>
    <x v="2"/>
    <x v="2"/>
    <x v="780"/>
    <n v="112.8"/>
    <n v="6"/>
    <n v="6.7679999999999998"/>
    <n v="0.06"/>
    <n v="2017"/>
    <x v="9"/>
    <n v="10"/>
    <n v="18.8"/>
    <s v="Profit"/>
  </r>
  <r>
    <s v="CA-2017-110905"/>
    <d v="2017-10-09T00:00:00"/>
    <x v="2"/>
    <x v="1"/>
    <x v="781"/>
    <n v="13.71"/>
    <n v="3"/>
    <n v="6.5808"/>
    <n v="0.48"/>
    <n v="2017"/>
    <x v="9"/>
    <n v="10"/>
    <n v="4.57"/>
    <s v="Profit"/>
  </r>
  <r>
    <s v="CA-2017-110905"/>
    <d v="2017-10-09T00:00:00"/>
    <x v="2"/>
    <x v="1"/>
    <x v="782"/>
    <n v="24.9"/>
    <n v="5"/>
    <n v="11.702999999999999"/>
    <n v="0.47000000000000003"/>
    <n v="2017"/>
    <x v="9"/>
    <n v="10"/>
    <n v="4.9799999999999995"/>
    <s v="Profit"/>
  </r>
  <r>
    <s v="CA-2017-110905"/>
    <d v="2017-10-09T00:00:00"/>
    <x v="2"/>
    <x v="1"/>
    <x v="265"/>
    <n v="286.29000000000002"/>
    <n v="3"/>
    <n v="17.177399999999999"/>
    <n v="5.9999999999999991E-2"/>
    <n v="2017"/>
    <x v="9"/>
    <n v="10"/>
    <n v="95.43"/>
    <s v="Profit"/>
  </r>
  <r>
    <s v="CA-2017-110905"/>
    <d v="2017-10-09T00:00:00"/>
    <x v="2"/>
    <x v="1"/>
    <x v="783"/>
    <n v="24.18"/>
    <n v="2"/>
    <n v="7.2539999999999996"/>
    <n v="0.3"/>
    <n v="2017"/>
    <x v="9"/>
    <n v="10"/>
    <n v="12.09"/>
    <s v="Profit"/>
  </r>
  <r>
    <s v="CA-2017-152093"/>
    <d v="2017-10-09T00:00:00"/>
    <x v="2"/>
    <x v="1"/>
    <x v="784"/>
    <n v="762.59400000000005"/>
    <n v="3"/>
    <n v="-1143.8910000000001"/>
    <n v="-1.5"/>
    <n v="2017"/>
    <x v="9"/>
    <n v="10"/>
    <n v="254.19800000000001"/>
    <s v="Loss"/>
  </r>
  <r>
    <s v="CA-2017-122280"/>
    <d v="2017-10-09T00:00:00"/>
    <x v="0"/>
    <x v="1"/>
    <x v="785"/>
    <n v="18.760000000000002"/>
    <n v="2"/>
    <n v="9.0047999999999995"/>
    <n v="0.47999999999999993"/>
    <n v="2017"/>
    <x v="9"/>
    <n v="10"/>
    <n v="9.3800000000000008"/>
    <s v="Profit"/>
  </r>
  <r>
    <s v="CA-2017-126438"/>
    <d v="2017-10-09T00:00:00"/>
    <x v="0"/>
    <x v="1"/>
    <x v="786"/>
    <n v="14.88"/>
    <n v="2"/>
    <n v="3.72"/>
    <n v="0.25"/>
    <n v="2017"/>
    <x v="9"/>
    <n v="10"/>
    <n v="7.44"/>
    <s v="Profit"/>
  </r>
  <r>
    <s v="CA-2017-147403"/>
    <d v="2017-10-09T00:00:00"/>
    <x v="0"/>
    <x v="1"/>
    <x v="550"/>
    <n v="85.055999999999997"/>
    <n v="3"/>
    <n v="28.706399999999999"/>
    <n v="0.33749999999999997"/>
    <n v="2017"/>
    <x v="9"/>
    <n v="10"/>
    <n v="28.352"/>
    <s v="Profit"/>
  </r>
  <r>
    <s v="CA-2017-159954"/>
    <d v="2017-10-09T00:00:00"/>
    <x v="3"/>
    <x v="1"/>
    <x v="787"/>
    <n v="2.78"/>
    <n v="1"/>
    <n v="1.3622000000000001"/>
    <n v="0.49000000000000005"/>
    <n v="2017"/>
    <x v="9"/>
    <n v="10"/>
    <n v="2.78"/>
    <s v="Profit"/>
  </r>
  <r>
    <s v="CA-2017-123036"/>
    <d v="2017-10-09T00:00:00"/>
    <x v="0"/>
    <x v="2"/>
    <x v="788"/>
    <n v="37.055999999999997"/>
    <n v="4"/>
    <n v="8.8008000000000006"/>
    <n v="0.23750000000000004"/>
    <n v="2017"/>
    <x v="9"/>
    <n v="10"/>
    <n v="9.2639999999999993"/>
    <s v="Profit"/>
  </r>
  <r>
    <s v="CA-2017-123036"/>
    <d v="2017-10-09T00:00:00"/>
    <x v="0"/>
    <x v="2"/>
    <x v="789"/>
    <n v="259.89600000000002"/>
    <n v="2"/>
    <n v="-56.3108"/>
    <n v="-0.21666666666666665"/>
    <n v="2017"/>
    <x v="9"/>
    <n v="10"/>
    <n v="129.94800000000001"/>
    <s v="Loss"/>
  </r>
  <r>
    <s v="CA-2017-111717"/>
    <d v="2017-10-10T00:00:00"/>
    <x v="2"/>
    <x v="0"/>
    <x v="790"/>
    <n v="239.358"/>
    <n v="3"/>
    <n v="-47.871600000000001"/>
    <n v="-0.2"/>
    <n v="2017"/>
    <x v="9"/>
    <n v="10"/>
    <n v="79.786000000000001"/>
    <s v="Loss"/>
  </r>
  <r>
    <s v="US-2017-155425"/>
    <d v="2017-10-11T00:00:00"/>
    <x v="1"/>
    <x v="1"/>
    <x v="791"/>
    <n v="38.387999999999998"/>
    <n v="14"/>
    <n v="-25.591999999999999"/>
    <n v="-0.66666666666666663"/>
    <n v="2017"/>
    <x v="9"/>
    <n v="10"/>
    <n v="2.742"/>
    <s v="Loss"/>
  </r>
  <r>
    <s v="US-2017-155425"/>
    <d v="2017-10-11T00:00:00"/>
    <x v="1"/>
    <x v="2"/>
    <x v="792"/>
    <n v="95.994"/>
    <n v="2"/>
    <n v="-63.996000000000002"/>
    <n v="-0.66666666666666674"/>
    <n v="2017"/>
    <x v="9"/>
    <n v="10"/>
    <n v="47.997"/>
    <s v="Loss"/>
  </r>
  <r>
    <s v="US-2017-155425"/>
    <d v="2017-10-11T00:00:00"/>
    <x v="1"/>
    <x v="2"/>
    <x v="793"/>
    <n v="239.952"/>
    <n v="6"/>
    <n v="-35.992800000000003"/>
    <n v="-0.15000000000000002"/>
    <n v="2017"/>
    <x v="9"/>
    <n v="10"/>
    <n v="39.991999999999997"/>
    <s v="Loss"/>
  </r>
  <r>
    <s v="US-2017-155425"/>
    <d v="2017-10-11T00:00:00"/>
    <x v="1"/>
    <x v="2"/>
    <x v="794"/>
    <n v="201.584"/>
    <n v="2"/>
    <n v="15.1188"/>
    <n v="7.4999999999999997E-2"/>
    <n v="2017"/>
    <x v="9"/>
    <n v="10"/>
    <n v="100.792"/>
    <s v="Profit"/>
  </r>
  <r>
    <s v="US-2017-155425"/>
    <d v="2017-10-11T00:00:00"/>
    <x v="1"/>
    <x v="0"/>
    <x v="551"/>
    <n v="899.13599999999997"/>
    <n v="4"/>
    <n v="-146.1096"/>
    <n v="-0.16250000000000001"/>
    <n v="2017"/>
    <x v="9"/>
    <n v="10"/>
    <n v="224.78399999999999"/>
    <s v="Loss"/>
  </r>
  <r>
    <s v="CA-2017-104640"/>
    <d v="2017-10-11T00:00:00"/>
    <x v="0"/>
    <x v="1"/>
    <x v="795"/>
    <n v="931.17600000000004"/>
    <n v="3"/>
    <n v="314.27190000000002"/>
    <n v="0.33750000000000002"/>
    <n v="2017"/>
    <x v="9"/>
    <n v="10"/>
    <n v="310.392"/>
    <s v="Profit"/>
  </r>
  <r>
    <s v="CA-2017-104640"/>
    <d v="2017-10-11T00:00:00"/>
    <x v="0"/>
    <x v="2"/>
    <x v="651"/>
    <n v="430.88"/>
    <n v="2"/>
    <n v="124.9552"/>
    <n v="0.29000000000000004"/>
    <n v="2017"/>
    <x v="9"/>
    <n v="10"/>
    <n v="215.44"/>
    <s v="Profit"/>
  </r>
  <r>
    <s v="CA-2017-161739"/>
    <d v="2017-10-11T00:00:00"/>
    <x v="2"/>
    <x v="0"/>
    <x v="796"/>
    <n v="341.96"/>
    <n v="5"/>
    <n v="-427.45"/>
    <n v="-1.25"/>
    <n v="2017"/>
    <x v="9"/>
    <n v="10"/>
    <n v="68.391999999999996"/>
    <s v="Loss"/>
  </r>
  <r>
    <s v="CA-2017-163874"/>
    <d v="2017-10-11T00:00:00"/>
    <x v="1"/>
    <x v="1"/>
    <x v="755"/>
    <n v="26.352"/>
    <n v="3"/>
    <n v="9.5526"/>
    <n v="0.36249999999999999"/>
    <n v="2017"/>
    <x v="9"/>
    <n v="10"/>
    <n v="8.7840000000000007"/>
    <s v="Profit"/>
  </r>
  <r>
    <s v="CA-2017-142671"/>
    <d v="2017-10-11T00:00:00"/>
    <x v="3"/>
    <x v="1"/>
    <x v="797"/>
    <n v="11.52"/>
    <n v="5"/>
    <n v="-7.68"/>
    <n v="-0.66666666666666663"/>
    <n v="2017"/>
    <x v="9"/>
    <n v="10"/>
    <n v="2.3039999999999998"/>
    <s v="Loss"/>
  </r>
  <r>
    <s v="CA-2017-162096"/>
    <d v="2017-10-11T00:00:00"/>
    <x v="1"/>
    <x v="1"/>
    <x v="798"/>
    <n v="7.8"/>
    <n v="3"/>
    <n v="2.1059999999999999"/>
    <n v="0.26999999999999996"/>
    <n v="2017"/>
    <x v="9"/>
    <n v="10"/>
    <n v="2.6"/>
    <s v="Profit"/>
  </r>
  <r>
    <s v="US-2017-128447"/>
    <d v="2017-10-11T00:00:00"/>
    <x v="1"/>
    <x v="1"/>
    <x v="615"/>
    <n v="400.8"/>
    <n v="5"/>
    <n v="112.224"/>
    <n v="0.28000000000000003"/>
    <n v="2017"/>
    <x v="9"/>
    <n v="10"/>
    <n v="80.16"/>
    <s v="Profit"/>
  </r>
  <r>
    <s v="US-2017-128447"/>
    <d v="2017-10-11T00:00:00"/>
    <x v="1"/>
    <x v="1"/>
    <x v="501"/>
    <n v="28.792000000000002"/>
    <n v="1"/>
    <n v="10.077199999999999"/>
    <n v="0.35"/>
    <n v="2017"/>
    <x v="9"/>
    <n v="10"/>
    <n v="28.792000000000002"/>
    <s v="Profit"/>
  </r>
  <r>
    <s v="CA-2017-141138"/>
    <d v="2017-10-11T00:00:00"/>
    <x v="1"/>
    <x v="2"/>
    <x v="799"/>
    <n v="111.79"/>
    <n v="7"/>
    <n v="43.598100000000002"/>
    <n v="0.39"/>
    <n v="2017"/>
    <x v="9"/>
    <n v="10"/>
    <n v="15.97"/>
    <s v="Profit"/>
  </r>
  <r>
    <s v="CA-2017-137624"/>
    <d v="2017-10-11T00:00:00"/>
    <x v="1"/>
    <x v="0"/>
    <x v="800"/>
    <n v="241.42400000000001"/>
    <n v="2"/>
    <n v="-36.2136"/>
    <n v="-0.15"/>
    <n v="2017"/>
    <x v="9"/>
    <n v="10"/>
    <n v="120.712"/>
    <s v="Loss"/>
  </r>
  <r>
    <s v="CA-2017-167150"/>
    <d v="2017-10-12T00:00:00"/>
    <x v="1"/>
    <x v="1"/>
    <x v="450"/>
    <n v="19.936"/>
    <n v="4"/>
    <n v="7.2267999999999999"/>
    <n v="0.36249999999999999"/>
    <n v="2017"/>
    <x v="9"/>
    <n v="10"/>
    <n v="4.984"/>
    <s v="Profit"/>
  </r>
  <r>
    <s v="CA-2017-167150"/>
    <d v="2017-10-12T00:00:00"/>
    <x v="1"/>
    <x v="1"/>
    <x v="801"/>
    <n v="65.567999999999998"/>
    <n v="2"/>
    <n v="22.948799999999999"/>
    <n v="0.35"/>
    <n v="2017"/>
    <x v="9"/>
    <n v="10"/>
    <n v="32.783999999999999"/>
    <s v="Profit"/>
  </r>
  <r>
    <s v="CA-2017-157651"/>
    <d v="2017-10-12T00:00:00"/>
    <x v="0"/>
    <x v="2"/>
    <x v="654"/>
    <n v="14.2"/>
    <n v="1"/>
    <n v="3.3725000000000001"/>
    <n v="0.23750000000000002"/>
    <n v="2017"/>
    <x v="9"/>
    <n v="10"/>
    <n v="14.2"/>
    <s v="Profit"/>
  </r>
  <r>
    <s v="CA-2017-108294"/>
    <d v="2017-10-12T00:00:00"/>
    <x v="2"/>
    <x v="1"/>
    <x v="458"/>
    <n v="34.5"/>
    <n v="3"/>
    <n v="15.525"/>
    <n v="0.45"/>
    <n v="2017"/>
    <x v="9"/>
    <n v="10"/>
    <n v="11.5"/>
    <s v="Profit"/>
  </r>
  <r>
    <s v="CA-2017-148446"/>
    <d v="2017-10-12T00:00:00"/>
    <x v="1"/>
    <x v="0"/>
    <x v="802"/>
    <n v="1669.6"/>
    <n v="4"/>
    <n v="116.872"/>
    <n v="7.0000000000000007E-2"/>
    <n v="2017"/>
    <x v="9"/>
    <n v="10"/>
    <n v="417.4"/>
    <s v="Profit"/>
  </r>
  <r>
    <s v="CA-2017-143798"/>
    <d v="2017-10-12T00:00:00"/>
    <x v="0"/>
    <x v="1"/>
    <x v="803"/>
    <n v="10.368"/>
    <n v="2"/>
    <n v="3.6288"/>
    <n v="0.35"/>
    <n v="2017"/>
    <x v="9"/>
    <n v="10"/>
    <n v="5.1840000000000002"/>
    <s v="Profit"/>
  </r>
  <r>
    <s v="CA-2017-143798"/>
    <d v="2017-10-12T00:00:00"/>
    <x v="0"/>
    <x v="0"/>
    <x v="804"/>
    <n v="310.88"/>
    <n v="2"/>
    <n v="23.315999999999999"/>
    <n v="7.4999999999999997E-2"/>
    <n v="2017"/>
    <x v="9"/>
    <n v="10"/>
    <n v="155.44"/>
    <s v="Profit"/>
  </r>
  <r>
    <s v="CA-2017-152695"/>
    <d v="2017-10-12T00:00:00"/>
    <x v="0"/>
    <x v="1"/>
    <x v="805"/>
    <n v="10.86"/>
    <n v="3"/>
    <n v="5.1041999999999996"/>
    <n v="0.47"/>
    <n v="2017"/>
    <x v="9"/>
    <n v="10"/>
    <n v="3.6199999999999997"/>
    <s v="Profit"/>
  </r>
  <r>
    <s v="CA-2017-152695"/>
    <d v="2017-10-12T00:00:00"/>
    <x v="0"/>
    <x v="1"/>
    <x v="768"/>
    <n v="426.79"/>
    <n v="7"/>
    <n v="123.76909999999999"/>
    <n v="0.28999999999999998"/>
    <n v="2017"/>
    <x v="9"/>
    <n v="10"/>
    <n v="60.970000000000006"/>
    <s v="Profit"/>
  </r>
  <r>
    <s v="CA-2017-158967"/>
    <d v="2017-10-12T00:00:00"/>
    <x v="3"/>
    <x v="0"/>
    <x v="263"/>
    <n v="19.103999999999999"/>
    <n v="3"/>
    <n v="5.7312000000000003"/>
    <n v="0.30000000000000004"/>
    <n v="2017"/>
    <x v="9"/>
    <n v="10"/>
    <n v="6.3679999999999994"/>
    <s v="Profit"/>
  </r>
  <r>
    <s v="US-2017-140907"/>
    <d v="2017-10-12T00:00:00"/>
    <x v="1"/>
    <x v="2"/>
    <x v="559"/>
    <n v="49.08"/>
    <n v="3"/>
    <n v="4.9080000000000004"/>
    <n v="0.1"/>
    <n v="2017"/>
    <x v="9"/>
    <n v="10"/>
    <n v="16.36"/>
    <s v="Profit"/>
  </r>
  <r>
    <s v="US-2017-140907"/>
    <d v="2017-10-12T00:00:00"/>
    <x v="1"/>
    <x v="1"/>
    <x v="806"/>
    <n v="324.89999999999998"/>
    <n v="5"/>
    <n v="38.988"/>
    <n v="0.12000000000000001"/>
    <n v="2017"/>
    <x v="9"/>
    <n v="10"/>
    <n v="64.97999999999999"/>
    <s v="Profit"/>
  </r>
  <r>
    <s v="US-2017-140907"/>
    <d v="2017-10-12T00:00:00"/>
    <x v="1"/>
    <x v="1"/>
    <x v="807"/>
    <n v="18.239999999999998"/>
    <n v="3"/>
    <n v="5.2896000000000001"/>
    <n v="0.29000000000000004"/>
    <n v="2017"/>
    <x v="9"/>
    <n v="10"/>
    <n v="6.0799999999999992"/>
    <s v="Profit"/>
  </r>
  <r>
    <s v="CA-2017-148922"/>
    <d v="2017-10-12T00:00:00"/>
    <x v="3"/>
    <x v="2"/>
    <x v="808"/>
    <n v="599.97"/>
    <n v="3"/>
    <n v="257.9871"/>
    <n v="0.43"/>
    <n v="2017"/>
    <x v="9"/>
    <n v="10"/>
    <n v="199.99"/>
    <s v="Profit"/>
  </r>
  <r>
    <s v="CA-2017-148922"/>
    <d v="2017-10-12T00:00:00"/>
    <x v="3"/>
    <x v="2"/>
    <x v="500"/>
    <n v="38.97"/>
    <n v="3"/>
    <n v="0.77939999999999998"/>
    <n v="0.02"/>
    <n v="2017"/>
    <x v="9"/>
    <n v="10"/>
    <n v="12.99"/>
    <s v="Profit"/>
  </r>
  <r>
    <s v="CA-2017-148922"/>
    <d v="2017-10-12T00:00:00"/>
    <x v="3"/>
    <x v="1"/>
    <x v="50"/>
    <n v="45.84"/>
    <n v="8"/>
    <n v="22.0032"/>
    <n v="0.48"/>
    <n v="2017"/>
    <x v="9"/>
    <n v="10"/>
    <n v="5.73"/>
    <s v="Profit"/>
  </r>
  <r>
    <s v="CA-2017-107748"/>
    <d v="2017-10-12T00:00:00"/>
    <x v="1"/>
    <x v="2"/>
    <x v="809"/>
    <n v="95.84"/>
    <n v="4"/>
    <n v="34.741999999999997"/>
    <n v="0.36249999999999993"/>
    <n v="2017"/>
    <x v="9"/>
    <n v="10"/>
    <n v="23.96"/>
    <s v="Profit"/>
  </r>
  <r>
    <s v="CA-2017-107748"/>
    <d v="2017-10-12T00:00:00"/>
    <x v="1"/>
    <x v="1"/>
    <x v="810"/>
    <n v="12.96"/>
    <n v="2"/>
    <n v="6.2207999999999997"/>
    <n v="0.47999999999999993"/>
    <n v="2017"/>
    <x v="9"/>
    <n v="10"/>
    <n v="6.48"/>
    <s v="Profit"/>
  </r>
  <r>
    <s v="US-2017-135503"/>
    <d v="2017-10-12T00:00:00"/>
    <x v="3"/>
    <x v="0"/>
    <x v="185"/>
    <n v="14.76"/>
    <n v="2"/>
    <n v="4.2804000000000002"/>
    <n v="0.29000000000000004"/>
    <n v="2017"/>
    <x v="9"/>
    <n v="10"/>
    <n v="7.38"/>
    <s v="Profit"/>
  </r>
  <r>
    <s v="US-2017-110149"/>
    <d v="2017-10-12T00:00:00"/>
    <x v="0"/>
    <x v="1"/>
    <x v="761"/>
    <n v="3.2730000000000001"/>
    <n v="1"/>
    <n v="-2.5093000000000001"/>
    <n v="-0.76666666666666661"/>
    <n v="2017"/>
    <x v="9"/>
    <n v="10"/>
    <n v="3.2730000000000001"/>
    <s v="Loss"/>
  </r>
  <r>
    <s v="US-2017-110149"/>
    <d v="2017-10-12T00:00:00"/>
    <x v="0"/>
    <x v="0"/>
    <x v="811"/>
    <n v="87.92"/>
    <n v="5"/>
    <n v="15.385999999999999"/>
    <n v="0.17499999999999999"/>
    <n v="2017"/>
    <x v="9"/>
    <n v="10"/>
    <n v="17.584"/>
    <s v="Profit"/>
  </r>
  <r>
    <s v="CA-2017-116204"/>
    <d v="2017-11-02T00:00:00"/>
    <x v="1"/>
    <x v="1"/>
    <x v="99"/>
    <n v="21.335999999999999"/>
    <n v="7"/>
    <n v="7.7343000000000002"/>
    <n v="0.36250000000000004"/>
    <n v="2017"/>
    <x v="10"/>
    <n v="11"/>
    <n v="3.0479999999999996"/>
    <s v="Profit"/>
  </r>
  <r>
    <s v="CA-2017-131828"/>
    <d v="2017-11-02T00:00:00"/>
    <x v="1"/>
    <x v="0"/>
    <x v="812"/>
    <n v="963.13599999999997"/>
    <n v="4"/>
    <n v="108.3528"/>
    <n v="0.1125"/>
    <n v="2017"/>
    <x v="10"/>
    <n v="11"/>
    <n v="240.78399999999999"/>
    <s v="Profit"/>
  </r>
  <r>
    <s v="CA-2017-131828"/>
    <d v="2017-11-02T00:00:00"/>
    <x v="1"/>
    <x v="2"/>
    <x v="771"/>
    <n v="88.775999999999996"/>
    <n v="3"/>
    <n v="7.7679"/>
    <n v="8.7500000000000008E-2"/>
    <n v="2017"/>
    <x v="10"/>
    <n v="11"/>
    <n v="29.591999999999999"/>
    <s v="Profit"/>
  </r>
  <r>
    <s v="US-2017-118535"/>
    <d v="2017-11-02T00:00:00"/>
    <x v="0"/>
    <x v="1"/>
    <x v="304"/>
    <n v="20.7"/>
    <n v="2"/>
    <n v="9.9359999999999999"/>
    <n v="0.48000000000000004"/>
    <n v="2017"/>
    <x v="10"/>
    <n v="11"/>
    <n v="10.35"/>
    <s v="Profit"/>
  </r>
  <r>
    <s v="CA-2017-138156"/>
    <d v="2017-11-02T00:00:00"/>
    <x v="0"/>
    <x v="0"/>
    <x v="461"/>
    <n v="147.56800000000001"/>
    <n v="2"/>
    <n v="-3.6892"/>
    <n v="-2.4999999999999998E-2"/>
    <n v="2017"/>
    <x v="10"/>
    <n v="11"/>
    <n v="73.784000000000006"/>
    <s v="Loss"/>
  </r>
  <r>
    <s v="CA-2017-147291"/>
    <d v="2017-11-03T00:00:00"/>
    <x v="2"/>
    <x v="1"/>
    <x v="813"/>
    <n v="895.92"/>
    <n v="4"/>
    <n v="421.08240000000001"/>
    <n v="0.47000000000000003"/>
    <n v="2017"/>
    <x v="10"/>
    <n v="11"/>
    <n v="223.98"/>
    <s v="Profit"/>
  </r>
  <r>
    <s v="US-2017-141558"/>
    <d v="2017-11-03T00:00:00"/>
    <x v="0"/>
    <x v="2"/>
    <x v="814"/>
    <n v="776.85"/>
    <n v="5"/>
    <n v="-181.26499999999999"/>
    <n v="-0.23333333333333331"/>
    <n v="2017"/>
    <x v="10"/>
    <n v="11"/>
    <n v="155.37"/>
    <s v="Loss"/>
  </r>
  <r>
    <s v="US-2017-141558"/>
    <d v="2017-11-03T00:00:00"/>
    <x v="0"/>
    <x v="1"/>
    <x v="815"/>
    <n v="12.294"/>
    <n v="1"/>
    <n v="-8.6058000000000003"/>
    <n v="-0.7"/>
    <n v="2017"/>
    <x v="10"/>
    <n v="11"/>
    <n v="12.294"/>
    <s v="Loss"/>
  </r>
  <r>
    <s v="US-2017-141558"/>
    <d v="2017-11-03T00:00:00"/>
    <x v="0"/>
    <x v="0"/>
    <x v="479"/>
    <n v="154.76400000000001"/>
    <n v="3"/>
    <n v="-46.429200000000002"/>
    <n v="-0.3"/>
    <n v="2017"/>
    <x v="10"/>
    <n v="11"/>
    <n v="51.588000000000001"/>
    <s v="Loss"/>
  </r>
  <r>
    <s v="US-2017-141558"/>
    <d v="2017-11-03T00:00:00"/>
    <x v="0"/>
    <x v="1"/>
    <x v="816"/>
    <n v="43.28"/>
    <n v="1"/>
    <n v="3.246"/>
    <n v="7.4999999999999997E-2"/>
    <n v="2017"/>
    <x v="10"/>
    <n v="11"/>
    <n v="43.28"/>
    <s v="Profit"/>
  </r>
  <r>
    <s v="US-2017-133081"/>
    <d v="2017-11-03T00:00:00"/>
    <x v="0"/>
    <x v="2"/>
    <x v="799"/>
    <n v="63.88"/>
    <n v="4"/>
    <n v="24.9132"/>
    <n v="0.38999999999999996"/>
    <n v="2017"/>
    <x v="10"/>
    <n v="11"/>
    <n v="15.97"/>
    <s v="Profit"/>
  </r>
  <r>
    <s v="US-2017-133081"/>
    <d v="2017-11-03T00:00:00"/>
    <x v="0"/>
    <x v="0"/>
    <x v="817"/>
    <n v="26.72"/>
    <n v="1"/>
    <n v="11.7568"/>
    <n v="0.44"/>
    <n v="2017"/>
    <x v="10"/>
    <n v="11"/>
    <n v="26.72"/>
    <s v="Profit"/>
  </r>
  <r>
    <s v="CA-2017-166128"/>
    <d v="2017-11-04T00:00:00"/>
    <x v="1"/>
    <x v="2"/>
    <x v="818"/>
    <n v="199.95"/>
    <n v="5"/>
    <n v="21.994499999999999"/>
    <n v="0.11"/>
    <n v="2017"/>
    <x v="10"/>
    <n v="11"/>
    <n v="39.989999999999995"/>
    <s v="Profit"/>
  </r>
  <r>
    <s v="CA-2017-166128"/>
    <d v="2017-11-04T00:00:00"/>
    <x v="1"/>
    <x v="1"/>
    <x v="819"/>
    <n v="41.86"/>
    <n v="7"/>
    <n v="14.2324"/>
    <n v="0.34"/>
    <n v="2017"/>
    <x v="10"/>
    <n v="11"/>
    <n v="5.9799999999999995"/>
    <s v="Profit"/>
  </r>
  <r>
    <s v="US-2017-143028"/>
    <d v="2017-11-04T00:00:00"/>
    <x v="2"/>
    <x v="1"/>
    <x v="540"/>
    <n v="11.364000000000001"/>
    <n v="3"/>
    <n v="-17.045999999999999"/>
    <n v="-1.4999999999999998"/>
    <n v="2017"/>
    <x v="10"/>
    <n v="11"/>
    <n v="3.7880000000000003"/>
    <s v="Loss"/>
  </r>
  <r>
    <s v="US-2017-100482"/>
    <d v="2017-11-04T00:00:00"/>
    <x v="0"/>
    <x v="1"/>
    <x v="332"/>
    <n v="16.768000000000001"/>
    <n v="2"/>
    <n v="1.4672000000000001"/>
    <n v="8.7499999999999994E-2"/>
    <n v="2017"/>
    <x v="10"/>
    <n v="11"/>
    <n v="8.3840000000000003"/>
    <s v="Profit"/>
  </r>
  <r>
    <s v="US-2017-100482"/>
    <d v="2017-11-04T00:00:00"/>
    <x v="0"/>
    <x v="2"/>
    <x v="168"/>
    <n v="27.12"/>
    <n v="2"/>
    <n v="-4.7460000000000004"/>
    <n v="-0.17500000000000002"/>
    <n v="2017"/>
    <x v="10"/>
    <n v="11"/>
    <n v="13.56"/>
    <s v="Loss"/>
  </r>
  <r>
    <s v="CA-2017-130904"/>
    <d v="2017-11-04T00:00:00"/>
    <x v="3"/>
    <x v="1"/>
    <x v="149"/>
    <n v="1.752"/>
    <n v="1"/>
    <n v="0.15329999999999999"/>
    <n v="8.7499999999999994E-2"/>
    <n v="2017"/>
    <x v="10"/>
    <n v="11"/>
    <n v="1.752"/>
    <s v="Profit"/>
  </r>
  <r>
    <s v="CA-2017-130904"/>
    <d v="2017-11-04T00:00:00"/>
    <x v="3"/>
    <x v="1"/>
    <x v="820"/>
    <n v="20.992000000000001"/>
    <n v="8"/>
    <n v="2.3616000000000001"/>
    <n v="0.1125"/>
    <n v="2017"/>
    <x v="10"/>
    <n v="11"/>
    <n v="2.6240000000000001"/>
    <s v="Profit"/>
  </r>
  <r>
    <s v="CA-2017-133823"/>
    <d v="2017-11-05T00:00:00"/>
    <x v="1"/>
    <x v="1"/>
    <x v="385"/>
    <n v="37.44"/>
    <n v="6"/>
    <n v="16.847999999999999"/>
    <n v="0.45"/>
    <n v="2017"/>
    <x v="10"/>
    <n v="11"/>
    <n v="6.2399999999999993"/>
    <s v="Profit"/>
  </r>
  <r>
    <s v="CA-2017-133823"/>
    <d v="2017-11-05T00:00:00"/>
    <x v="1"/>
    <x v="1"/>
    <x v="821"/>
    <n v="37.590000000000003"/>
    <n v="3"/>
    <n v="17.667300000000001"/>
    <n v="0.47"/>
    <n v="2017"/>
    <x v="10"/>
    <n v="11"/>
    <n v="12.530000000000001"/>
    <s v="Profit"/>
  </r>
  <r>
    <s v="CA-2017-133823"/>
    <d v="2017-11-05T00:00:00"/>
    <x v="1"/>
    <x v="1"/>
    <x v="822"/>
    <n v="26.032"/>
    <n v="2"/>
    <n v="9.4366000000000003"/>
    <n v="0.36249999999999999"/>
    <n v="2017"/>
    <x v="10"/>
    <n v="11"/>
    <n v="13.016"/>
    <s v="Profit"/>
  </r>
  <r>
    <s v="CA-2017-140298"/>
    <d v="2017-11-05T00:00:00"/>
    <x v="2"/>
    <x v="1"/>
    <x v="823"/>
    <n v="5.2480000000000002"/>
    <n v="2"/>
    <n v="0.59040000000000004"/>
    <n v="0.1125"/>
    <n v="2017"/>
    <x v="10"/>
    <n v="11"/>
    <n v="2.6240000000000001"/>
    <s v="Profit"/>
  </r>
  <r>
    <s v="CA-2017-140298"/>
    <d v="2017-11-05T00:00:00"/>
    <x v="2"/>
    <x v="1"/>
    <x v="739"/>
    <n v="74.415999999999997"/>
    <n v="2"/>
    <n v="-14.8832"/>
    <n v="-0.2"/>
    <n v="2017"/>
    <x v="10"/>
    <n v="11"/>
    <n v="37.207999999999998"/>
    <s v="Loss"/>
  </r>
  <r>
    <s v="CA-2017-140298"/>
    <d v="2017-11-05T00:00:00"/>
    <x v="2"/>
    <x v="1"/>
    <x v="824"/>
    <n v="6.8479999999999999"/>
    <n v="2"/>
    <n v="2.14"/>
    <n v="0.3125"/>
    <n v="2017"/>
    <x v="10"/>
    <n v="11"/>
    <n v="3.4239999999999999"/>
    <s v="Profit"/>
  </r>
  <r>
    <s v="CA-2017-140298"/>
    <d v="2017-11-05T00:00:00"/>
    <x v="2"/>
    <x v="0"/>
    <x v="328"/>
    <n v="7.9960000000000004"/>
    <n v="1"/>
    <n v="-6.9965000000000002"/>
    <n v="-0.875"/>
    <n v="2017"/>
    <x v="10"/>
    <n v="11"/>
    <n v="7.9960000000000004"/>
    <s v="Loss"/>
  </r>
  <r>
    <s v="US-2017-139647"/>
    <d v="2017-11-05T00:00:00"/>
    <x v="1"/>
    <x v="0"/>
    <x v="457"/>
    <n v="209.97900000000001"/>
    <n v="7"/>
    <n v="-356.96429999999998"/>
    <n v="-1.6999999999999997"/>
    <n v="2017"/>
    <x v="10"/>
    <n v="11"/>
    <n v="29.997000000000003"/>
    <s v="Loss"/>
  </r>
  <r>
    <s v="CA-2017-115322"/>
    <d v="2017-11-05T00:00:00"/>
    <x v="0"/>
    <x v="1"/>
    <x v="825"/>
    <n v="43.92"/>
    <n v="3"/>
    <n v="12.736800000000001"/>
    <n v="0.28999999999999998"/>
    <n v="2017"/>
    <x v="10"/>
    <n v="11"/>
    <n v="14.64"/>
    <s v="Profit"/>
  </r>
  <r>
    <s v="US-2017-152002"/>
    <d v="2017-11-06T00:00:00"/>
    <x v="1"/>
    <x v="1"/>
    <x v="142"/>
    <n v="122.97"/>
    <n v="3"/>
    <n v="60.255299999999998"/>
    <n v="0.49"/>
    <n v="2017"/>
    <x v="10"/>
    <n v="11"/>
    <n v="40.99"/>
    <s v="Profit"/>
  </r>
  <r>
    <s v="US-2017-120418"/>
    <d v="2017-11-06T00:00:00"/>
    <x v="1"/>
    <x v="0"/>
    <x v="826"/>
    <n v="280.79199999999997"/>
    <n v="1"/>
    <n v="35.098999999999997"/>
    <n v="0.125"/>
    <n v="2017"/>
    <x v="10"/>
    <n v="11"/>
    <n v="280.79199999999997"/>
    <s v="Profit"/>
  </r>
  <r>
    <s v="US-2017-120418"/>
    <d v="2017-11-06T00:00:00"/>
    <x v="1"/>
    <x v="1"/>
    <x v="827"/>
    <n v="68.447999999999993"/>
    <n v="4"/>
    <n v="7.7004000000000001"/>
    <n v="0.11250000000000002"/>
    <n v="2017"/>
    <x v="10"/>
    <n v="11"/>
    <n v="17.111999999999998"/>
    <s v="Profit"/>
  </r>
  <r>
    <s v="US-2017-120418"/>
    <d v="2017-11-06T00:00:00"/>
    <x v="1"/>
    <x v="1"/>
    <x v="828"/>
    <n v="88.04"/>
    <n v="5"/>
    <n v="6.6029999999999998"/>
    <n v="7.4999999999999997E-2"/>
    <n v="2017"/>
    <x v="10"/>
    <n v="11"/>
    <n v="17.608000000000001"/>
    <s v="Profit"/>
  </r>
  <r>
    <s v="US-2017-120418"/>
    <d v="2017-11-06T00:00:00"/>
    <x v="1"/>
    <x v="1"/>
    <x v="104"/>
    <n v="15.872"/>
    <n v="1"/>
    <n v="1.984"/>
    <n v="0.125"/>
    <n v="2017"/>
    <x v="10"/>
    <n v="11"/>
    <n v="15.872"/>
    <s v="Profit"/>
  </r>
  <r>
    <s v="US-2017-120418"/>
    <d v="2017-11-06T00:00:00"/>
    <x v="1"/>
    <x v="1"/>
    <x v="718"/>
    <n v="215.59200000000001"/>
    <n v="3"/>
    <n v="-48.508200000000002"/>
    <n v="-0.22500000000000001"/>
    <n v="2017"/>
    <x v="10"/>
    <n v="11"/>
    <n v="71.864000000000004"/>
    <s v="Loss"/>
  </r>
  <r>
    <s v="CA-2017-102554"/>
    <d v="2017-11-06T00:00:00"/>
    <x v="3"/>
    <x v="1"/>
    <x v="159"/>
    <n v="3.76"/>
    <n v="2"/>
    <n v="1.0904"/>
    <n v="0.29000000000000004"/>
    <n v="2017"/>
    <x v="10"/>
    <n v="11"/>
    <n v="1.88"/>
    <s v="Profit"/>
  </r>
  <r>
    <s v="CA-2017-134565"/>
    <d v="2017-11-06T00:00:00"/>
    <x v="1"/>
    <x v="1"/>
    <x v="68"/>
    <n v="37.94"/>
    <n v="2"/>
    <n v="18.211200000000002"/>
    <n v="0.48000000000000009"/>
    <n v="2017"/>
    <x v="10"/>
    <n v="11"/>
    <n v="18.97"/>
    <s v="Profit"/>
  </r>
  <r>
    <s v="CA-2017-134565"/>
    <d v="2017-11-06T00:00:00"/>
    <x v="1"/>
    <x v="1"/>
    <x v="99"/>
    <n v="18.288"/>
    <n v="6"/>
    <n v="6.6294000000000004"/>
    <n v="0.36250000000000004"/>
    <n v="2017"/>
    <x v="10"/>
    <n v="11"/>
    <n v="3.048"/>
    <s v="Profit"/>
  </r>
  <r>
    <s v="CA-2017-134565"/>
    <d v="2017-11-06T00:00:00"/>
    <x v="1"/>
    <x v="2"/>
    <x v="829"/>
    <n v="385.8"/>
    <n v="5"/>
    <n v="130.20750000000001"/>
    <n v="0.33750000000000002"/>
    <n v="2017"/>
    <x v="10"/>
    <n v="11"/>
    <n v="77.16"/>
    <s v="Profit"/>
  </r>
  <r>
    <s v="CA-2017-134565"/>
    <d v="2017-11-06T00:00:00"/>
    <x v="1"/>
    <x v="1"/>
    <x v="830"/>
    <n v="102.96"/>
    <n v="2"/>
    <n v="1.0296000000000001"/>
    <n v="1.0000000000000002E-2"/>
    <n v="2017"/>
    <x v="10"/>
    <n v="11"/>
    <n v="51.48"/>
    <s v="Profit"/>
  </r>
  <r>
    <s v="CA-2017-134565"/>
    <d v="2017-11-06T00:00:00"/>
    <x v="1"/>
    <x v="0"/>
    <x v="570"/>
    <n v="174.42"/>
    <n v="3"/>
    <n v="41.860799999999998"/>
    <n v="0.24"/>
    <n v="2017"/>
    <x v="10"/>
    <n v="11"/>
    <n v="58.139999999999993"/>
    <s v="Profit"/>
  </r>
  <r>
    <s v="CA-2017-141481"/>
    <d v="2017-11-06T00:00:00"/>
    <x v="1"/>
    <x v="1"/>
    <x v="488"/>
    <n v="61.44"/>
    <n v="3"/>
    <n v="16.588799999999999"/>
    <n v="0.27"/>
    <n v="2017"/>
    <x v="10"/>
    <n v="11"/>
    <n v="20.48"/>
    <s v="Profit"/>
  </r>
  <r>
    <s v="CA-2017-133928"/>
    <d v="2017-11-06T00:00:00"/>
    <x v="3"/>
    <x v="1"/>
    <x v="831"/>
    <n v="4.5720000000000001"/>
    <n v="4"/>
    <n v="-3.81"/>
    <n v="-0.83333333333333337"/>
    <n v="2017"/>
    <x v="10"/>
    <n v="11"/>
    <n v="1.143"/>
    <s v="Loss"/>
  </r>
  <r>
    <s v="CA-2017-164959"/>
    <d v="2017-11-07T00:00:00"/>
    <x v="1"/>
    <x v="1"/>
    <x v="832"/>
    <n v="8.67"/>
    <n v="3"/>
    <n v="4.0749000000000004"/>
    <n v="0.47000000000000003"/>
    <n v="2017"/>
    <x v="10"/>
    <n v="11"/>
    <n v="2.89"/>
    <s v="Profit"/>
  </r>
  <r>
    <s v="CA-2017-156818"/>
    <d v="2017-11-07T00:00:00"/>
    <x v="0"/>
    <x v="2"/>
    <x v="428"/>
    <n v="132.6"/>
    <n v="6"/>
    <n v="17.238"/>
    <n v="0.13"/>
    <n v="2017"/>
    <x v="10"/>
    <n v="11"/>
    <n v="22.099999999999998"/>
    <s v="Profit"/>
  </r>
  <r>
    <s v="CA-2017-127656"/>
    <d v="2017-11-07T00:00:00"/>
    <x v="2"/>
    <x v="1"/>
    <x v="51"/>
    <n v="30.32"/>
    <n v="4"/>
    <n v="11.8248"/>
    <n v="0.39"/>
    <n v="2017"/>
    <x v="10"/>
    <n v="11"/>
    <n v="7.58"/>
    <s v="Profit"/>
  </r>
  <r>
    <s v="CA-2017-162015"/>
    <d v="2017-11-07T00:00:00"/>
    <x v="1"/>
    <x v="2"/>
    <x v="276"/>
    <n v="1287.45"/>
    <n v="5"/>
    <n v="244.6155"/>
    <n v="0.19"/>
    <n v="2017"/>
    <x v="10"/>
    <n v="11"/>
    <n v="257.49"/>
    <s v="Profit"/>
  </r>
  <r>
    <s v="CA-2017-162015"/>
    <d v="2017-11-07T00:00:00"/>
    <x v="1"/>
    <x v="1"/>
    <x v="216"/>
    <n v="168.1"/>
    <n v="5"/>
    <n v="43.706000000000003"/>
    <n v="0.26"/>
    <n v="2017"/>
    <x v="10"/>
    <n v="11"/>
    <n v="33.619999999999997"/>
    <s v="Profit"/>
  </r>
  <r>
    <s v="CA-2017-136623"/>
    <d v="2017-11-07T00:00:00"/>
    <x v="1"/>
    <x v="2"/>
    <x v="833"/>
    <n v="71.951999999999998"/>
    <n v="6"/>
    <n v="5.3963999999999999"/>
    <n v="7.4999999999999997E-2"/>
    <n v="2017"/>
    <x v="10"/>
    <n v="11"/>
    <n v="11.991999999999999"/>
    <s v="Profit"/>
  </r>
  <r>
    <s v="CA-2017-136623"/>
    <d v="2017-11-07T00:00:00"/>
    <x v="1"/>
    <x v="1"/>
    <x v="834"/>
    <n v="29.8"/>
    <n v="5"/>
    <n v="9.3125"/>
    <n v="0.3125"/>
    <n v="2017"/>
    <x v="10"/>
    <n v="11"/>
    <n v="5.96"/>
    <s v="Profit"/>
  </r>
  <r>
    <s v="CA-2017-139311"/>
    <d v="2017-11-08T00:00:00"/>
    <x v="2"/>
    <x v="1"/>
    <x v="835"/>
    <n v="29.664000000000001"/>
    <n v="4"/>
    <n v="10.0116"/>
    <n v="0.33749999999999997"/>
    <n v="2017"/>
    <x v="10"/>
    <n v="11"/>
    <n v="7.4160000000000004"/>
    <s v="Profit"/>
  </r>
  <r>
    <s v="CA-2017-139311"/>
    <d v="2017-11-08T00:00:00"/>
    <x v="2"/>
    <x v="1"/>
    <x v="155"/>
    <n v="9.1839999999999993"/>
    <n v="7"/>
    <n v="2.87"/>
    <n v="0.31250000000000006"/>
    <n v="2017"/>
    <x v="10"/>
    <n v="11"/>
    <n v="1.3119999999999998"/>
    <s v="Profit"/>
  </r>
  <r>
    <s v="CA-2017-139311"/>
    <d v="2017-11-08T00:00:00"/>
    <x v="2"/>
    <x v="2"/>
    <x v="286"/>
    <n v="153.584"/>
    <n v="2"/>
    <n v="13.438599999999999"/>
    <n v="8.7499999999999994E-2"/>
    <n v="2017"/>
    <x v="10"/>
    <n v="11"/>
    <n v="76.792000000000002"/>
    <s v="Profit"/>
  </r>
  <r>
    <s v="CA-2017-139311"/>
    <d v="2017-11-08T00:00:00"/>
    <x v="2"/>
    <x v="1"/>
    <x v="836"/>
    <n v="12.864000000000001"/>
    <n v="8"/>
    <n v="-22.512"/>
    <n v="-1.75"/>
    <n v="2017"/>
    <x v="10"/>
    <n v="11"/>
    <n v="1.6080000000000001"/>
    <s v="Loss"/>
  </r>
  <r>
    <s v="CA-2017-160899"/>
    <d v="2017-11-08T00:00:00"/>
    <x v="3"/>
    <x v="1"/>
    <x v="226"/>
    <n v="477.51"/>
    <n v="11"/>
    <n v="219.65459999999999"/>
    <n v="0.45999999999999996"/>
    <n v="2017"/>
    <x v="10"/>
    <n v="11"/>
    <n v="43.41"/>
    <s v="Profit"/>
  </r>
  <r>
    <s v="CA-2017-100433"/>
    <d v="2017-11-08T00:00:00"/>
    <x v="0"/>
    <x v="1"/>
    <x v="41"/>
    <n v="25.92"/>
    <n v="4"/>
    <n v="12.441599999999999"/>
    <n v="0.47999999999999993"/>
    <n v="2017"/>
    <x v="10"/>
    <n v="11"/>
    <n v="6.48"/>
    <s v="Profit"/>
  </r>
  <r>
    <s v="CA-2017-112774"/>
    <d v="2017-11-09T00:00:00"/>
    <x v="3"/>
    <x v="0"/>
    <x v="112"/>
    <n v="34.503999999999998"/>
    <n v="1"/>
    <n v="6.0381999999999998"/>
    <n v="0.17500000000000002"/>
    <n v="2017"/>
    <x v="10"/>
    <n v="11"/>
    <n v="34.503999999999998"/>
    <s v="Profit"/>
  </r>
  <r>
    <s v="CA-2017-124898"/>
    <d v="2017-11-09T00:00:00"/>
    <x v="3"/>
    <x v="1"/>
    <x v="837"/>
    <n v="184.66"/>
    <n v="7"/>
    <n v="84.943600000000004"/>
    <n v="0.46"/>
    <n v="2017"/>
    <x v="10"/>
    <n v="11"/>
    <n v="26.38"/>
    <s v="Profit"/>
  </r>
  <r>
    <s v="CA-2017-149559"/>
    <d v="2017-11-09T00:00:00"/>
    <x v="1"/>
    <x v="1"/>
    <x v="187"/>
    <n v="12.96"/>
    <n v="2"/>
    <n v="6.2207999999999997"/>
    <n v="0.47999999999999993"/>
    <n v="2017"/>
    <x v="10"/>
    <n v="11"/>
    <n v="6.48"/>
    <s v="Profit"/>
  </r>
  <r>
    <s v="CA-2017-149559"/>
    <d v="2017-11-09T00:00:00"/>
    <x v="1"/>
    <x v="1"/>
    <x v="838"/>
    <n v="22.18"/>
    <n v="2"/>
    <n v="10.8682"/>
    <n v="0.49"/>
    <n v="2017"/>
    <x v="10"/>
    <n v="11"/>
    <n v="11.09"/>
    <s v="Profit"/>
  </r>
  <r>
    <s v="CA-2017-149559"/>
    <d v="2017-11-09T00:00:00"/>
    <x v="1"/>
    <x v="0"/>
    <x v="839"/>
    <n v="2054.2719999999999"/>
    <n v="8"/>
    <n v="256.78399999999999"/>
    <n v="0.125"/>
    <n v="2017"/>
    <x v="10"/>
    <n v="11"/>
    <n v="256.78399999999999"/>
    <s v="Profit"/>
  </r>
  <r>
    <s v="CA-2017-117044"/>
    <d v="2017-11-09T00:00:00"/>
    <x v="2"/>
    <x v="1"/>
    <x v="840"/>
    <n v="10.528"/>
    <n v="4"/>
    <n v="3.29"/>
    <n v="0.3125"/>
    <n v="2017"/>
    <x v="10"/>
    <n v="11"/>
    <n v="2.6320000000000001"/>
    <s v="Profit"/>
  </r>
  <r>
    <s v="CA-2017-117044"/>
    <d v="2017-11-09T00:00:00"/>
    <x v="2"/>
    <x v="1"/>
    <x v="824"/>
    <n v="20.544"/>
    <n v="6"/>
    <n v="6.42"/>
    <n v="0.3125"/>
    <n v="2017"/>
    <x v="10"/>
    <n v="11"/>
    <n v="3.4239999999999999"/>
    <s v="Profit"/>
  </r>
  <r>
    <s v="CA-2017-144484"/>
    <d v="2017-11-09T00:00:00"/>
    <x v="1"/>
    <x v="0"/>
    <x v="737"/>
    <n v="32.36"/>
    <n v="4"/>
    <n v="11.6496"/>
    <n v="0.36"/>
    <n v="2017"/>
    <x v="10"/>
    <n v="11"/>
    <n v="8.09"/>
    <s v="Profit"/>
  </r>
  <r>
    <s v="CA-2017-144484"/>
    <d v="2017-11-09T00:00:00"/>
    <x v="1"/>
    <x v="1"/>
    <x v="841"/>
    <n v="406.6"/>
    <n v="5"/>
    <n v="113.848"/>
    <n v="0.27999999999999997"/>
    <n v="2017"/>
    <x v="10"/>
    <n v="11"/>
    <n v="81.320000000000007"/>
    <s v="Profit"/>
  </r>
  <r>
    <s v="US-2017-142188"/>
    <d v="2017-11-09T00:00:00"/>
    <x v="1"/>
    <x v="0"/>
    <x v="5"/>
    <n v="177.56800000000001"/>
    <n v="2"/>
    <n v="8.8783999999999992"/>
    <n v="4.9999999999999989E-2"/>
    <n v="2017"/>
    <x v="10"/>
    <n v="11"/>
    <n v="88.784000000000006"/>
    <s v="Profit"/>
  </r>
  <r>
    <s v="US-2017-142188"/>
    <d v="2017-11-09T00:00:00"/>
    <x v="1"/>
    <x v="1"/>
    <x v="810"/>
    <n v="19.440000000000001"/>
    <n v="3"/>
    <n v="9.3312000000000008"/>
    <n v="0.48000000000000004"/>
    <n v="2017"/>
    <x v="10"/>
    <n v="11"/>
    <n v="6.48"/>
    <s v="Profit"/>
  </r>
  <r>
    <s v="US-2017-142188"/>
    <d v="2017-11-09T00:00:00"/>
    <x v="1"/>
    <x v="1"/>
    <x v="765"/>
    <n v="71.28"/>
    <n v="11"/>
    <n v="34.214399999999998"/>
    <n v="0.48"/>
    <n v="2017"/>
    <x v="10"/>
    <n v="11"/>
    <n v="6.48"/>
    <s v="Profit"/>
  </r>
  <r>
    <s v="US-2017-142188"/>
    <d v="2017-11-09T00:00:00"/>
    <x v="1"/>
    <x v="1"/>
    <x v="842"/>
    <n v="1471.96"/>
    <n v="5"/>
    <n v="459.98750000000001"/>
    <n v="0.3125"/>
    <n v="2017"/>
    <x v="10"/>
    <n v="11"/>
    <n v="294.392"/>
    <s v="Profit"/>
  </r>
  <r>
    <s v="US-2017-142188"/>
    <d v="2017-11-09T00:00:00"/>
    <x v="1"/>
    <x v="2"/>
    <x v="424"/>
    <n v="79.959999999999994"/>
    <n v="5"/>
    <n v="-17.991"/>
    <n v="-0.22500000000000001"/>
    <n v="2017"/>
    <x v="10"/>
    <n v="11"/>
    <n v="15.991999999999999"/>
    <s v="Loss"/>
  </r>
  <r>
    <s v="US-2017-160836"/>
    <d v="2017-11-09T00:00:00"/>
    <x v="2"/>
    <x v="1"/>
    <x v="843"/>
    <n v="10.272"/>
    <n v="3"/>
    <n v="3.21"/>
    <n v="0.3125"/>
    <n v="2017"/>
    <x v="10"/>
    <n v="11"/>
    <n v="3.4239999999999999"/>
    <s v="Profit"/>
  </r>
  <r>
    <s v="US-2017-160836"/>
    <d v="2017-11-09T00:00:00"/>
    <x v="2"/>
    <x v="0"/>
    <x v="844"/>
    <n v="512.19000000000005"/>
    <n v="5"/>
    <n v="-65.852999999999994"/>
    <n v="-0.12857142857142856"/>
    <n v="2017"/>
    <x v="10"/>
    <n v="11"/>
    <n v="102.43800000000002"/>
    <s v="Loss"/>
  </r>
  <r>
    <s v="US-2017-160836"/>
    <d v="2017-11-09T00:00:00"/>
    <x v="2"/>
    <x v="1"/>
    <x v="845"/>
    <n v="1.556"/>
    <n v="2"/>
    <n v="-4.2012"/>
    <n v="-2.6999999999999997"/>
    <n v="2017"/>
    <x v="10"/>
    <n v="11"/>
    <n v="0.77800000000000002"/>
    <s v="Loss"/>
  </r>
  <r>
    <s v="CA-2017-166898"/>
    <d v="2017-11-09T00:00:00"/>
    <x v="1"/>
    <x v="2"/>
    <x v="846"/>
    <n v="143.952"/>
    <n v="6"/>
    <n v="17.994"/>
    <n v="0.125"/>
    <n v="2017"/>
    <x v="10"/>
    <n v="11"/>
    <n v="23.992000000000001"/>
    <s v="Profit"/>
  </r>
  <r>
    <s v="CA-2017-166898"/>
    <d v="2017-11-09T00:00:00"/>
    <x v="1"/>
    <x v="1"/>
    <x v="847"/>
    <n v="19.440000000000001"/>
    <n v="3"/>
    <n v="9.3312000000000008"/>
    <n v="0.48000000000000004"/>
    <n v="2017"/>
    <x v="10"/>
    <n v="11"/>
    <n v="6.48"/>
    <s v="Profit"/>
  </r>
  <r>
    <s v="US-2017-152898"/>
    <d v="2017-11-09T00:00:00"/>
    <x v="3"/>
    <x v="1"/>
    <x v="105"/>
    <n v="67.900000000000006"/>
    <n v="5"/>
    <n v="20.37"/>
    <n v="0.3"/>
    <n v="2017"/>
    <x v="10"/>
    <n v="11"/>
    <n v="13.580000000000002"/>
    <s v="Profit"/>
  </r>
  <r>
    <s v="CA-2017-127726"/>
    <d v="2017-11-09T00:00:00"/>
    <x v="3"/>
    <x v="1"/>
    <x v="848"/>
    <n v="195.68"/>
    <n v="4"/>
    <n v="50.876800000000003"/>
    <n v="0.26"/>
    <n v="2017"/>
    <x v="10"/>
    <n v="11"/>
    <n v="48.92"/>
    <s v="Profit"/>
  </r>
  <r>
    <s v="CA-2017-127726"/>
    <d v="2017-11-09T00:00:00"/>
    <x v="3"/>
    <x v="1"/>
    <x v="849"/>
    <n v="14.2"/>
    <n v="4"/>
    <n v="6.6740000000000004"/>
    <n v="0.47000000000000003"/>
    <n v="2017"/>
    <x v="10"/>
    <n v="11"/>
    <n v="3.55"/>
    <s v="Profit"/>
  </r>
  <r>
    <s v="CA-2017-150959"/>
    <d v="2017-11-11T00:00:00"/>
    <x v="2"/>
    <x v="1"/>
    <x v="850"/>
    <n v="10.44"/>
    <n v="5"/>
    <n v="3.3929999999999998"/>
    <n v="0.32500000000000001"/>
    <n v="2017"/>
    <x v="10"/>
    <n v="11"/>
    <n v="2.0880000000000001"/>
    <s v="Profit"/>
  </r>
  <r>
    <s v="CA-2017-150959"/>
    <d v="2017-11-11T00:00:00"/>
    <x v="2"/>
    <x v="1"/>
    <x v="851"/>
    <n v="18.335999999999999"/>
    <n v="4"/>
    <n v="-32.088000000000001"/>
    <n v="-1.7500000000000002"/>
    <n v="2017"/>
    <x v="10"/>
    <n v="11"/>
    <n v="4.5839999999999996"/>
    <s v="Loss"/>
  </r>
  <r>
    <s v="CA-2017-143455"/>
    <d v="2017-11-11T00:00:00"/>
    <x v="0"/>
    <x v="1"/>
    <x v="58"/>
    <n v="10.368"/>
    <n v="2"/>
    <n v="3.6288"/>
    <n v="0.35"/>
    <n v="2017"/>
    <x v="10"/>
    <n v="11"/>
    <n v="5.1840000000000002"/>
    <s v="Profit"/>
  </r>
  <r>
    <s v="CA-2017-110842"/>
    <d v="2017-11-11T00:00:00"/>
    <x v="1"/>
    <x v="1"/>
    <x v="364"/>
    <n v="10.89"/>
    <n v="1"/>
    <n v="2.8313999999999999"/>
    <n v="0.25999999999999995"/>
    <n v="2017"/>
    <x v="10"/>
    <n v="11"/>
    <n v="10.89"/>
    <s v="Profit"/>
  </r>
  <r>
    <s v="CA-2017-110842"/>
    <d v="2017-11-11T00:00:00"/>
    <x v="1"/>
    <x v="1"/>
    <x v="92"/>
    <n v="19.440000000000001"/>
    <n v="3"/>
    <n v="9.3312000000000008"/>
    <n v="0.48000000000000004"/>
    <n v="2017"/>
    <x v="10"/>
    <n v="11"/>
    <n v="6.48"/>
    <s v="Profit"/>
  </r>
  <r>
    <s v="CA-2017-110842"/>
    <d v="2017-11-11T00:00:00"/>
    <x v="1"/>
    <x v="1"/>
    <x v="188"/>
    <n v="121.6"/>
    <n v="5"/>
    <n v="39.520000000000003"/>
    <n v="0.32500000000000007"/>
    <n v="2017"/>
    <x v="10"/>
    <n v="11"/>
    <n v="24.32"/>
    <s v="Profit"/>
  </r>
  <r>
    <s v="CA-2017-157483"/>
    <d v="2017-11-11T00:00:00"/>
    <x v="2"/>
    <x v="1"/>
    <x v="596"/>
    <n v="181.86"/>
    <n v="7"/>
    <n v="50.9208"/>
    <n v="0.27999999999999997"/>
    <n v="2017"/>
    <x v="10"/>
    <n v="11"/>
    <n v="25.98"/>
    <s v="Profit"/>
  </r>
  <r>
    <s v="CA-2017-120327"/>
    <d v="2017-11-11T00:00:00"/>
    <x v="2"/>
    <x v="1"/>
    <x v="656"/>
    <n v="45.92"/>
    <n v="4"/>
    <n v="21.5824"/>
    <n v="0.47"/>
    <n v="2017"/>
    <x v="10"/>
    <n v="11"/>
    <n v="11.48"/>
    <s v="Profit"/>
  </r>
  <r>
    <s v="CA-2017-143217"/>
    <d v="2017-11-11T00:00:00"/>
    <x v="2"/>
    <x v="1"/>
    <x v="852"/>
    <n v="18.239999999999998"/>
    <n v="3"/>
    <n v="8.5728000000000009"/>
    <n v="0.47000000000000008"/>
    <n v="2017"/>
    <x v="10"/>
    <n v="11"/>
    <n v="6.0799999999999992"/>
    <s v="Profit"/>
  </r>
  <r>
    <s v="CA-2017-154137"/>
    <d v="2017-11-11T00:00:00"/>
    <x v="0"/>
    <x v="1"/>
    <x v="853"/>
    <n v="35.479999999999997"/>
    <n v="1"/>
    <n v="0"/>
    <n v="0"/>
    <n v="2017"/>
    <x v="10"/>
    <n v="11"/>
    <n v="35.479999999999997"/>
    <s v="Loss"/>
  </r>
  <r>
    <s v="CA-2017-158561"/>
    <d v="2017-11-11T00:00:00"/>
    <x v="3"/>
    <x v="1"/>
    <x v="854"/>
    <n v="1158.1199999999999"/>
    <n v="5"/>
    <n v="130.2885"/>
    <n v="0.11250000000000002"/>
    <n v="2017"/>
    <x v="10"/>
    <n v="11"/>
    <n v="231.62399999999997"/>
    <s v="Profit"/>
  </r>
  <r>
    <s v="CA-2017-115448"/>
    <d v="2017-11-11T00:00:00"/>
    <x v="3"/>
    <x v="0"/>
    <x v="855"/>
    <n v="88.92"/>
    <n v="5"/>
    <n v="14.4495"/>
    <n v="0.16250000000000001"/>
    <n v="2017"/>
    <x v="10"/>
    <n v="11"/>
    <n v="17.783999999999999"/>
    <s v="Profit"/>
  </r>
  <r>
    <s v="CA-2017-148985"/>
    <d v="2017-11-11T00:00:00"/>
    <x v="1"/>
    <x v="0"/>
    <x v="196"/>
    <n v="34.92"/>
    <n v="4"/>
    <n v="11.8728"/>
    <n v="0.33999999999999997"/>
    <n v="2017"/>
    <x v="10"/>
    <n v="11"/>
    <n v="8.73"/>
    <s v="Profit"/>
  </r>
  <r>
    <s v="US-2017-116491"/>
    <d v="2017-11-11T00:00:00"/>
    <x v="2"/>
    <x v="2"/>
    <x v="856"/>
    <n v="35.183999999999997"/>
    <n v="2"/>
    <n v="12.314399999999999"/>
    <n v="0.35"/>
    <n v="2017"/>
    <x v="10"/>
    <n v="11"/>
    <n v="17.591999999999999"/>
    <s v="Profit"/>
  </r>
  <r>
    <s v="CA-2017-167976"/>
    <d v="2017-11-11T00:00:00"/>
    <x v="2"/>
    <x v="1"/>
    <x v="857"/>
    <n v="25.5"/>
    <n v="3"/>
    <n v="6.63"/>
    <n v="0.26"/>
    <n v="2017"/>
    <x v="10"/>
    <n v="11"/>
    <n v="8.5"/>
    <s v="Profit"/>
  </r>
  <r>
    <s v="CA-2017-101798"/>
    <d v="2017-11-12T00:00:00"/>
    <x v="0"/>
    <x v="1"/>
    <x v="858"/>
    <n v="23.36"/>
    <n v="4"/>
    <n v="7.8840000000000003"/>
    <n v="0.33750000000000002"/>
    <n v="2017"/>
    <x v="10"/>
    <n v="11"/>
    <n v="5.84"/>
    <s v="Profit"/>
  </r>
  <r>
    <s v="CA-2017-101798"/>
    <d v="2017-11-12T00:00:00"/>
    <x v="0"/>
    <x v="2"/>
    <x v="49"/>
    <n v="39.979999999999997"/>
    <n v="2"/>
    <n v="13.5932"/>
    <n v="0.34"/>
    <n v="2017"/>
    <x v="10"/>
    <n v="11"/>
    <n v="19.989999999999998"/>
    <s v="Profit"/>
  </r>
  <r>
    <s v="US-2017-160759"/>
    <d v="2017-11-12T00:00:00"/>
    <x v="0"/>
    <x v="0"/>
    <x v="859"/>
    <n v="63.686"/>
    <n v="1"/>
    <n v="-9.0980000000000008"/>
    <n v="-0.14285714285714288"/>
    <n v="2017"/>
    <x v="10"/>
    <n v="11"/>
    <n v="63.686"/>
    <s v="Loss"/>
  </r>
  <r>
    <s v="CA-2017-162565"/>
    <d v="2017-11-12T00:00:00"/>
    <x v="2"/>
    <x v="1"/>
    <x v="860"/>
    <n v="10.368"/>
    <n v="2"/>
    <n v="3.6288"/>
    <n v="0.35"/>
    <n v="2017"/>
    <x v="10"/>
    <n v="11"/>
    <n v="5.1840000000000002"/>
    <s v="Profit"/>
  </r>
  <r>
    <s v="CA-2017-162565"/>
    <d v="2017-11-12T00:00:00"/>
    <x v="2"/>
    <x v="0"/>
    <x v="804"/>
    <n v="77.72"/>
    <n v="1"/>
    <n v="-66.061999999999998"/>
    <n v="-0.85"/>
    <n v="2017"/>
    <x v="10"/>
    <n v="11"/>
    <n v="77.72"/>
    <s v="Loss"/>
  </r>
  <r>
    <s v="CA-2017-162565"/>
    <d v="2017-11-12T00:00:00"/>
    <x v="2"/>
    <x v="0"/>
    <x v="861"/>
    <n v="520.46400000000006"/>
    <n v="2"/>
    <n v="-14.8704"/>
    <n v="-2.8571428571428567E-2"/>
    <n v="2017"/>
    <x v="10"/>
    <n v="11"/>
    <n v="260.23200000000003"/>
    <s v="Loss"/>
  </r>
  <r>
    <s v="CA-2017-129581"/>
    <d v="2017-11-12T00:00:00"/>
    <x v="0"/>
    <x v="2"/>
    <x v="862"/>
    <n v="128.85"/>
    <n v="3"/>
    <n v="3.8654999999999999"/>
    <n v="3.0000000000000002E-2"/>
    <n v="2017"/>
    <x v="10"/>
    <n v="11"/>
    <n v="42.949999999999996"/>
    <s v="Profit"/>
  </r>
  <r>
    <s v="CA-2017-149706"/>
    <d v="2017-11-12T00:00:00"/>
    <x v="2"/>
    <x v="2"/>
    <x v="863"/>
    <n v="116.312"/>
    <n v="7"/>
    <n v="23.2624"/>
    <n v="0.2"/>
    <n v="2017"/>
    <x v="10"/>
    <n v="11"/>
    <n v="16.616"/>
    <s v="Profit"/>
  </r>
  <r>
    <s v="CA-2017-100230"/>
    <d v="2017-11-12T00:00:00"/>
    <x v="0"/>
    <x v="1"/>
    <x v="864"/>
    <n v="14.952"/>
    <n v="1"/>
    <n v="5.0462999999999996"/>
    <n v="0.33749999999999997"/>
    <n v="2017"/>
    <x v="10"/>
    <n v="11"/>
    <n v="14.952"/>
    <s v="Profit"/>
  </r>
  <r>
    <s v="CA-2017-100230"/>
    <d v="2017-11-12T00:00:00"/>
    <x v="0"/>
    <x v="1"/>
    <x v="865"/>
    <n v="17.940000000000001"/>
    <n v="3"/>
    <n v="8.0730000000000004"/>
    <n v="0.45"/>
    <n v="2017"/>
    <x v="10"/>
    <n v="11"/>
    <n v="5.98"/>
    <s v="Profit"/>
  </r>
  <r>
    <s v="CA-2017-100230"/>
    <d v="2017-11-12T00:00:00"/>
    <x v="0"/>
    <x v="2"/>
    <x v="866"/>
    <n v="116.98"/>
    <n v="2"/>
    <n v="29.245000000000001"/>
    <n v="0.25"/>
    <n v="2017"/>
    <x v="10"/>
    <n v="11"/>
    <n v="58.49"/>
    <s v="Profit"/>
  </r>
  <r>
    <s v="CA-2017-165099"/>
    <d v="2017-11-12T00:00:00"/>
    <x v="2"/>
    <x v="1"/>
    <x v="867"/>
    <n v="1.3919999999999999"/>
    <n v="2"/>
    <n v="-3.7584"/>
    <n v="-2.7"/>
    <n v="2017"/>
    <x v="10"/>
    <n v="11"/>
    <n v="0.69599999999999995"/>
    <s v="Loss"/>
  </r>
  <r>
    <s v="CA-2017-168389"/>
    <d v="2017-11-12T00:00:00"/>
    <x v="3"/>
    <x v="0"/>
    <x v="650"/>
    <n v="721.875"/>
    <n v="6"/>
    <n v="-420"/>
    <n v="-0.58181818181818179"/>
    <n v="2017"/>
    <x v="10"/>
    <n v="11"/>
    <n v="120.3125"/>
    <s v="Loss"/>
  </r>
  <r>
    <s v="CA-2017-168389"/>
    <d v="2017-11-12T00:00:00"/>
    <x v="3"/>
    <x v="2"/>
    <x v="470"/>
    <n v="73.567999999999998"/>
    <n v="4"/>
    <n v="-16.552800000000001"/>
    <n v="-0.22500000000000003"/>
    <n v="2017"/>
    <x v="10"/>
    <n v="11"/>
    <n v="18.391999999999999"/>
    <s v="Loss"/>
  </r>
  <r>
    <s v="CA-2017-168389"/>
    <d v="2017-11-12T00:00:00"/>
    <x v="3"/>
    <x v="1"/>
    <x v="217"/>
    <n v="13.584"/>
    <n v="1"/>
    <n v="1.3584000000000001"/>
    <n v="0.1"/>
    <n v="2017"/>
    <x v="10"/>
    <n v="11"/>
    <n v="13.584"/>
    <s v="Profit"/>
  </r>
  <r>
    <s v="CA-2017-168389"/>
    <d v="2017-11-12T00:00:00"/>
    <x v="3"/>
    <x v="0"/>
    <x v="868"/>
    <n v="64.784000000000006"/>
    <n v="1"/>
    <n v="-12.147"/>
    <n v="-0.1875"/>
    <n v="2017"/>
    <x v="10"/>
    <n v="11"/>
    <n v="64.784000000000006"/>
    <s v="Loss"/>
  </r>
  <r>
    <s v="CA-2017-142776"/>
    <d v="2017-11-12T00:00:00"/>
    <x v="2"/>
    <x v="1"/>
    <x v="869"/>
    <n v="7.28"/>
    <n v="1"/>
    <n v="3.4944000000000002"/>
    <n v="0.48"/>
    <n v="2017"/>
    <x v="10"/>
    <n v="11"/>
    <n v="7.28"/>
    <s v="Profit"/>
  </r>
  <r>
    <s v="CA-2017-142776"/>
    <d v="2017-11-12T00:00:00"/>
    <x v="2"/>
    <x v="1"/>
    <x v="2"/>
    <n v="5.4"/>
    <n v="3"/>
    <n v="2.5920000000000001"/>
    <n v="0.48"/>
    <n v="2017"/>
    <x v="10"/>
    <n v="11"/>
    <n v="1.8"/>
    <s v="Profit"/>
  </r>
  <r>
    <s v="US-2017-125213"/>
    <d v="2017-11-12T00:00:00"/>
    <x v="0"/>
    <x v="1"/>
    <x v="870"/>
    <n v="6.54"/>
    <n v="3"/>
    <n v="2.1581999999999999"/>
    <n v="0.32999999999999996"/>
    <n v="2017"/>
    <x v="10"/>
    <n v="11"/>
    <n v="2.1800000000000002"/>
    <s v="Profit"/>
  </r>
  <r>
    <s v="CA-2017-153871"/>
    <d v="2017-11-12T00:00:00"/>
    <x v="0"/>
    <x v="1"/>
    <x v="836"/>
    <n v="40.200000000000003"/>
    <n v="5"/>
    <n v="18.09"/>
    <n v="0.44999999999999996"/>
    <n v="2017"/>
    <x v="10"/>
    <n v="11"/>
    <n v="8.0400000000000009"/>
    <s v="Profit"/>
  </r>
  <r>
    <s v="CA-2017-153871"/>
    <d v="2017-11-12T00:00:00"/>
    <x v="0"/>
    <x v="1"/>
    <x v="842"/>
    <n v="735.98"/>
    <n v="2"/>
    <n v="331.19099999999997"/>
    <n v="0.44999999999999996"/>
    <n v="2017"/>
    <x v="10"/>
    <n v="11"/>
    <n v="367.99"/>
    <s v="Profit"/>
  </r>
  <r>
    <s v="CA-2017-153871"/>
    <d v="2017-11-12T00:00:00"/>
    <x v="0"/>
    <x v="1"/>
    <x v="275"/>
    <n v="22.75"/>
    <n v="7"/>
    <n v="6.5975000000000001"/>
    <n v="0.28999999999999998"/>
    <n v="2017"/>
    <x v="10"/>
    <n v="11"/>
    <n v="3.25"/>
    <s v="Profit"/>
  </r>
  <r>
    <s v="US-2017-158512"/>
    <d v="2017-12-01T00:00:00"/>
    <x v="0"/>
    <x v="1"/>
    <x v="871"/>
    <n v="40.08"/>
    <n v="6"/>
    <n v="19.238399999999999"/>
    <n v="0.48"/>
    <n v="2017"/>
    <x v="11"/>
    <n v="12"/>
    <n v="6.68"/>
    <s v="Profit"/>
  </r>
  <r>
    <s v="US-2017-158512"/>
    <d v="2017-12-01T00:00:00"/>
    <x v="0"/>
    <x v="0"/>
    <x v="872"/>
    <n v="37.68"/>
    <n v="2"/>
    <n v="15.8256"/>
    <n v="0.42"/>
    <n v="2017"/>
    <x v="11"/>
    <n v="12"/>
    <n v="18.84"/>
    <s v="Profit"/>
  </r>
  <r>
    <s v="CA-2017-108000"/>
    <d v="2017-12-01T00:00:00"/>
    <x v="1"/>
    <x v="1"/>
    <x v="11"/>
    <n v="9.7799999999999994"/>
    <n v="1"/>
    <n v="4.8899999999999997"/>
    <n v="0.5"/>
    <n v="2017"/>
    <x v="11"/>
    <n v="12"/>
    <n v="9.7799999999999994"/>
    <s v="Profit"/>
  </r>
  <r>
    <s v="US-2017-148551"/>
    <d v="2017-12-01T00:00:00"/>
    <x v="2"/>
    <x v="1"/>
    <x v="873"/>
    <n v="760.98"/>
    <n v="5"/>
    <n v="-1141.47"/>
    <n v="-1.5"/>
    <n v="2017"/>
    <x v="11"/>
    <n v="12"/>
    <n v="152.196"/>
    <s v="Loss"/>
  </r>
  <r>
    <s v="CA-2017-159352"/>
    <d v="2017-12-03T00:00:00"/>
    <x v="0"/>
    <x v="2"/>
    <x v="874"/>
    <n v="69.930000000000007"/>
    <n v="7"/>
    <n v="32.1678"/>
    <n v="0.45999999999999996"/>
    <n v="2017"/>
    <x v="11"/>
    <n v="12"/>
    <n v="9.99"/>
    <s v="Profit"/>
  </r>
  <r>
    <s v="CA-2017-116288"/>
    <d v="2017-12-03T00:00:00"/>
    <x v="1"/>
    <x v="1"/>
    <x v="546"/>
    <n v="242.94"/>
    <n v="3"/>
    <n v="9.7175999999999991"/>
    <n v="3.9999999999999994E-2"/>
    <n v="2017"/>
    <x v="11"/>
    <n v="12"/>
    <n v="80.98"/>
    <s v="Profit"/>
  </r>
  <r>
    <s v="CA-2017-152786"/>
    <d v="2017-12-03T00:00:00"/>
    <x v="3"/>
    <x v="1"/>
    <x v="778"/>
    <n v="40.409999999999997"/>
    <n v="9"/>
    <n v="18.5886"/>
    <n v="0.46"/>
    <n v="2017"/>
    <x v="11"/>
    <n v="12"/>
    <n v="4.4899999999999993"/>
    <s v="Profit"/>
  </r>
  <r>
    <s v="CA-2017-122735"/>
    <d v="2017-12-04T00:00:00"/>
    <x v="0"/>
    <x v="1"/>
    <x v="60"/>
    <n v="29.7"/>
    <n v="5"/>
    <n v="13.365"/>
    <n v="0.45"/>
    <n v="2017"/>
    <x v="11"/>
    <n v="12"/>
    <n v="5.9399999999999995"/>
    <s v="Profit"/>
  </r>
  <r>
    <s v="CA-2017-122735"/>
    <d v="2017-12-04T00:00:00"/>
    <x v="0"/>
    <x v="1"/>
    <x v="875"/>
    <n v="39.96"/>
    <n v="4"/>
    <n v="17.981999999999999"/>
    <n v="0.44999999999999996"/>
    <n v="2017"/>
    <x v="11"/>
    <n v="12"/>
    <n v="9.99"/>
    <s v="Profit"/>
  </r>
  <r>
    <s v="US-2017-158218"/>
    <d v="2017-12-05T00:00:00"/>
    <x v="2"/>
    <x v="1"/>
    <x v="876"/>
    <n v="127.92"/>
    <n v="5"/>
    <n v="-15.99"/>
    <n v="-0.125"/>
    <n v="2017"/>
    <x v="11"/>
    <n v="12"/>
    <n v="25.584"/>
    <s v="Loss"/>
  </r>
  <r>
    <s v="US-2017-158218"/>
    <d v="2017-12-05T00:00:00"/>
    <x v="2"/>
    <x v="1"/>
    <x v="270"/>
    <n v="34.24"/>
    <n v="4"/>
    <n v="-53.072000000000003"/>
    <n v="-1.55"/>
    <n v="2017"/>
    <x v="11"/>
    <n v="12"/>
    <n v="8.56"/>
    <s v="Loss"/>
  </r>
  <r>
    <s v="CA-2017-104577"/>
    <d v="2017-12-05T00:00:00"/>
    <x v="0"/>
    <x v="1"/>
    <x v="877"/>
    <n v="87.6"/>
    <n v="5"/>
    <n v="42.048000000000002"/>
    <n v="0.48000000000000004"/>
    <n v="2017"/>
    <x v="11"/>
    <n v="12"/>
    <n v="17.52"/>
    <s v="Profit"/>
  </r>
  <r>
    <s v="US-2017-106796"/>
    <d v="2017-12-05T00:00:00"/>
    <x v="0"/>
    <x v="1"/>
    <x v="878"/>
    <n v="10.272"/>
    <n v="3"/>
    <n v="1.1556"/>
    <n v="0.11249999999999999"/>
    <n v="2017"/>
    <x v="11"/>
    <n v="12"/>
    <n v="3.4239999999999999"/>
    <s v="Profit"/>
  </r>
  <r>
    <s v="CA-2017-117632"/>
    <d v="2017-12-05T00:00:00"/>
    <x v="1"/>
    <x v="1"/>
    <x v="879"/>
    <n v="238.62"/>
    <n v="2"/>
    <n v="4.7724000000000002"/>
    <n v="0.02"/>
    <n v="2017"/>
    <x v="11"/>
    <n v="12"/>
    <n v="119.31"/>
    <s v="Profit"/>
  </r>
  <r>
    <s v="CA-2017-117632"/>
    <d v="2017-12-05T00:00:00"/>
    <x v="1"/>
    <x v="1"/>
    <x v="880"/>
    <n v="7.77"/>
    <n v="1"/>
    <n v="2.0979000000000001"/>
    <n v="0.27"/>
    <n v="2017"/>
    <x v="11"/>
    <n v="12"/>
    <n v="7.77"/>
    <s v="Profit"/>
  </r>
  <r>
    <s v="CA-2017-117632"/>
    <d v="2017-12-05T00:00:00"/>
    <x v="1"/>
    <x v="0"/>
    <x v="262"/>
    <n v="285.48"/>
    <n v="5"/>
    <n v="-10.705500000000001"/>
    <n v="-3.7499999999999999E-2"/>
    <n v="2017"/>
    <x v="11"/>
    <n v="12"/>
    <n v="57.096000000000004"/>
    <s v="Loss"/>
  </r>
  <r>
    <s v="CA-2017-117632"/>
    <d v="2017-12-05T00:00:00"/>
    <x v="1"/>
    <x v="1"/>
    <x v="881"/>
    <n v="19.167999999999999"/>
    <n v="4"/>
    <n v="6.4691999999999998"/>
    <n v="0.33750000000000002"/>
    <n v="2017"/>
    <x v="11"/>
    <n v="12"/>
    <n v="4.7919999999999998"/>
    <s v="Profit"/>
  </r>
  <r>
    <s v="CA-2017-152226"/>
    <d v="2017-12-05T00:00:00"/>
    <x v="0"/>
    <x v="1"/>
    <x v="726"/>
    <n v="5.9039999999999999"/>
    <n v="2"/>
    <n v="1.9925999999999999"/>
    <n v="0.33749999999999997"/>
    <n v="2017"/>
    <x v="11"/>
    <n v="12"/>
    <n v="2.952"/>
    <s v="Profit"/>
  </r>
  <r>
    <s v="CA-2017-122175"/>
    <d v="2017-12-05T00:00:00"/>
    <x v="0"/>
    <x v="0"/>
    <x v="882"/>
    <n v="42.85"/>
    <n v="5"/>
    <n v="15.426"/>
    <n v="0.36"/>
    <n v="2017"/>
    <x v="11"/>
    <n v="12"/>
    <n v="8.57"/>
    <s v="Profit"/>
  </r>
  <r>
    <s v="CA-2017-122175"/>
    <d v="2017-12-05T00:00:00"/>
    <x v="0"/>
    <x v="1"/>
    <x v="883"/>
    <n v="6.16"/>
    <n v="2"/>
    <n v="2.9567999999999999"/>
    <n v="0.48"/>
    <n v="2017"/>
    <x v="11"/>
    <n v="12"/>
    <n v="3.08"/>
    <s v="Profit"/>
  </r>
  <r>
    <s v="CA-2017-122175"/>
    <d v="2017-12-05T00:00:00"/>
    <x v="0"/>
    <x v="1"/>
    <x v="857"/>
    <n v="17"/>
    <n v="2"/>
    <n v="4.42"/>
    <n v="0.26"/>
    <n v="2017"/>
    <x v="11"/>
    <n v="12"/>
    <n v="8.5"/>
    <s v="Profit"/>
  </r>
  <r>
    <s v="CA-2017-122175"/>
    <d v="2017-12-05T00:00:00"/>
    <x v="0"/>
    <x v="2"/>
    <x v="744"/>
    <n v="87.4"/>
    <n v="5"/>
    <n v="34.96"/>
    <n v="0.39999999999999997"/>
    <n v="2017"/>
    <x v="11"/>
    <n v="12"/>
    <n v="17.48"/>
    <s v="Profit"/>
  </r>
  <r>
    <s v="CA-2017-148474"/>
    <d v="2017-12-06T00:00:00"/>
    <x v="3"/>
    <x v="1"/>
    <x v="188"/>
    <n v="91.2"/>
    <n v="3"/>
    <n v="41.951999999999998"/>
    <n v="0.45999999999999996"/>
    <n v="2017"/>
    <x v="11"/>
    <n v="12"/>
    <n v="30.400000000000002"/>
    <s v="Profit"/>
  </r>
  <r>
    <s v="CA-2017-148474"/>
    <d v="2017-12-06T00:00:00"/>
    <x v="3"/>
    <x v="0"/>
    <x v="884"/>
    <n v="452.94"/>
    <n v="3"/>
    <n v="67.941000000000003"/>
    <n v="0.15"/>
    <n v="2017"/>
    <x v="11"/>
    <n v="12"/>
    <n v="150.97999999999999"/>
    <s v="Profit"/>
  </r>
  <r>
    <s v="CA-2017-108441"/>
    <d v="2017-12-06T00:00:00"/>
    <x v="0"/>
    <x v="1"/>
    <x v="885"/>
    <n v="19.04"/>
    <n v="4"/>
    <n v="9.3295999999999992"/>
    <n v="0.49"/>
    <n v="2017"/>
    <x v="11"/>
    <n v="12"/>
    <n v="4.76"/>
    <s v="Profit"/>
  </r>
  <r>
    <s v="CA-2017-108441"/>
    <d v="2017-12-06T00:00:00"/>
    <x v="0"/>
    <x v="1"/>
    <x v="886"/>
    <n v="13.128"/>
    <n v="3"/>
    <n v="4.2666000000000004"/>
    <n v="0.32500000000000001"/>
    <n v="2017"/>
    <x v="11"/>
    <n v="12"/>
    <n v="4.3760000000000003"/>
    <s v="Profit"/>
  </r>
  <r>
    <s v="CA-2017-108441"/>
    <d v="2017-12-06T00:00:00"/>
    <x v="0"/>
    <x v="1"/>
    <x v="887"/>
    <n v="64.14"/>
    <n v="3"/>
    <n v="16.676400000000001"/>
    <n v="0.26"/>
    <n v="2017"/>
    <x v="11"/>
    <n v="12"/>
    <n v="21.38"/>
    <s v="Profit"/>
  </r>
  <r>
    <s v="CA-2017-108441"/>
    <d v="2017-12-06T00:00:00"/>
    <x v="0"/>
    <x v="0"/>
    <x v="566"/>
    <n v="858.24"/>
    <n v="4"/>
    <n v="143.04"/>
    <n v="0.16666666666666666"/>
    <n v="2017"/>
    <x v="11"/>
    <n v="12"/>
    <n v="214.56"/>
    <s v="Profit"/>
  </r>
  <r>
    <s v="CA-2017-143861"/>
    <d v="2017-12-06T00:00:00"/>
    <x v="3"/>
    <x v="0"/>
    <x v="888"/>
    <n v="17.088000000000001"/>
    <n v="2"/>
    <n v="1.0680000000000001"/>
    <n v="6.25E-2"/>
    <n v="2017"/>
    <x v="11"/>
    <n v="12"/>
    <n v="8.5440000000000005"/>
    <s v="Profit"/>
  </r>
  <r>
    <s v="CA-2017-117821"/>
    <d v="2017-12-06T00:00:00"/>
    <x v="0"/>
    <x v="2"/>
    <x v="340"/>
    <n v="63.92"/>
    <n v="2"/>
    <n v="19.175999999999998"/>
    <n v="0.3"/>
    <n v="2017"/>
    <x v="11"/>
    <n v="12"/>
    <n v="31.96"/>
    <s v="Profit"/>
  </r>
  <r>
    <s v="CA-2017-119424"/>
    <d v="2017-12-06T00:00:00"/>
    <x v="1"/>
    <x v="2"/>
    <x v="846"/>
    <n v="71.975999999999999"/>
    <n v="3"/>
    <n v="8.9969999999999999"/>
    <n v="0.125"/>
    <n v="2017"/>
    <x v="11"/>
    <n v="12"/>
    <n v="23.992000000000001"/>
    <s v="Profit"/>
  </r>
  <r>
    <s v="CA-2017-119424"/>
    <d v="2017-12-06T00:00:00"/>
    <x v="1"/>
    <x v="1"/>
    <x v="889"/>
    <n v="19.440000000000001"/>
    <n v="3"/>
    <n v="9.3312000000000008"/>
    <n v="0.48000000000000004"/>
    <n v="2017"/>
    <x v="11"/>
    <n v="12"/>
    <n v="6.48"/>
    <s v="Profit"/>
  </r>
  <r>
    <s v="CA-2017-124191"/>
    <d v="2017-12-06T00:00:00"/>
    <x v="2"/>
    <x v="0"/>
    <x v="185"/>
    <n v="8.8559999999999999"/>
    <n v="3"/>
    <n v="-6.8634000000000004"/>
    <n v="-0.77500000000000002"/>
    <n v="2017"/>
    <x v="11"/>
    <n v="12"/>
    <n v="2.952"/>
    <s v="Loss"/>
  </r>
  <r>
    <s v="CA-2017-106047"/>
    <d v="2017-12-07T00:00:00"/>
    <x v="0"/>
    <x v="1"/>
    <x v="16"/>
    <n v="3.8159999999999998"/>
    <n v="1"/>
    <n v="1.1924999999999999"/>
    <n v="0.3125"/>
    <n v="2017"/>
    <x v="11"/>
    <n v="12"/>
    <n v="3.8159999999999998"/>
    <s v="Profit"/>
  </r>
  <r>
    <s v="CA-2017-106537"/>
    <d v="2017-12-08T00:00:00"/>
    <x v="3"/>
    <x v="1"/>
    <x v="890"/>
    <n v="20.736000000000001"/>
    <n v="4"/>
    <n v="7.2576000000000001"/>
    <n v="0.35"/>
    <n v="2017"/>
    <x v="11"/>
    <n v="12"/>
    <n v="5.1840000000000002"/>
    <s v="Profit"/>
  </r>
  <r>
    <s v="CA-2017-158169"/>
    <d v="2017-12-08T00:00:00"/>
    <x v="1"/>
    <x v="1"/>
    <x v="891"/>
    <n v="542.94000000000005"/>
    <n v="3"/>
    <n v="152.0232"/>
    <n v="0.27999999999999997"/>
    <n v="2017"/>
    <x v="11"/>
    <n v="12"/>
    <n v="180.98000000000002"/>
    <s v="Profit"/>
  </r>
  <r>
    <s v="CA-2017-158169"/>
    <d v="2017-12-08T00:00:00"/>
    <x v="1"/>
    <x v="0"/>
    <x v="892"/>
    <n v="54.92"/>
    <n v="4"/>
    <n v="19.7712"/>
    <n v="0.36"/>
    <n v="2017"/>
    <x v="11"/>
    <n v="12"/>
    <n v="13.73"/>
    <s v="Profit"/>
  </r>
  <r>
    <s v="US-2017-118941"/>
    <d v="2017-12-08T00:00:00"/>
    <x v="0"/>
    <x v="1"/>
    <x v="893"/>
    <n v="17.52"/>
    <n v="3"/>
    <n v="5.2560000000000002"/>
    <n v="0.30000000000000004"/>
    <n v="2017"/>
    <x v="11"/>
    <n v="12"/>
    <n v="5.84"/>
    <s v="Profit"/>
  </r>
  <r>
    <s v="US-2017-118941"/>
    <d v="2017-12-08T00:00:00"/>
    <x v="0"/>
    <x v="0"/>
    <x v="894"/>
    <n v="1779.9"/>
    <n v="5"/>
    <n v="373.779"/>
    <n v="0.21"/>
    <n v="2017"/>
    <x v="11"/>
    <n v="12"/>
    <n v="355.98"/>
    <s v="Profit"/>
  </r>
  <r>
    <s v="US-2017-118941"/>
    <d v="2017-12-08T00:00:00"/>
    <x v="0"/>
    <x v="1"/>
    <x v="895"/>
    <n v="219.9"/>
    <n v="5"/>
    <n v="59.372999999999998"/>
    <n v="0.26999999999999996"/>
    <n v="2017"/>
    <x v="11"/>
    <n v="12"/>
    <n v="43.980000000000004"/>
    <s v="Profit"/>
  </r>
  <r>
    <s v="CA-2017-152310"/>
    <d v="2017-12-08T00:00:00"/>
    <x v="1"/>
    <x v="2"/>
    <x v="692"/>
    <n v="299.99"/>
    <n v="1"/>
    <n v="89.997"/>
    <n v="0.3"/>
    <n v="2017"/>
    <x v="11"/>
    <n v="12"/>
    <n v="299.99"/>
    <s v="Profit"/>
  </r>
  <r>
    <s v="CA-2017-152310"/>
    <d v="2017-12-08T00:00:00"/>
    <x v="1"/>
    <x v="1"/>
    <x v="896"/>
    <n v="192.16"/>
    <n v="4"/>
    <n v="92.236800000000002"/>
    <n v="0.48000000000000004"/>
    <n v="2017"/>
    <x v="11"/>
    <n v="12"/>
    <n v="48.04"/>
    <s v="Profit"/>
  </r>
  <r>
    <s v="CA-2017-152310"/>
    <d v="2017-12-08T00:00:00"/>
    <x v="1"/>
    <x v="2"/>
    <x v="506"/>
    <n v="242.624"/>
    <n v="8"/>
    <n v="27.295200000000001"/>
    <n v="0.1125"/>
    <n v="2017"/>
    <x v="11"/>
    <n v="12"/>
    <n v="30.327999999999999"/>
    <s v="Profit"/>
  </r>
  <r>
    <s v="CA-2017-152310"/>
    <d v="2017-12-08T00:00:00"/>
    <x v="1"/>
    <x v="1"/>
    <x v="87"/>
    <n v="46.74"/>
    <n v="3"/>
    <n v="11.685"/>
    <n v="0.25"/>
    <n v="2017"/>
    <x v="11"/>
    <n v="12"/>
    <n v="15.58"/>
    <s v="Profit"/>
  </r>
  <r>
    <s v="CA-2017-152310"/>
    <d v="2017-12-08T00:00:00"/>
    <x v="1"/>
    <x v="2"/>
    <x v="897"/>
    <n v="174.95"/>
    <n v="5"/>
    <n v="12.246499999999999"/>
    <n v="7.0000000000000007E-2"/>
    <n v="2017"/>
    <x v="11"/>
    <n v="12"/>
    <n v="34.989999999999995"/>
    <s v="Profit"/>
  </r>
  <r>
    <s v="CA-2017-152310"/>
    <d v="2017-12-08T00:00:00"/>
    <x v="1"/>
    <x v="1"/>
    <x v="898"/>
    <n v="100.70399999999999"/>
    <n v="6"/>
    <n v="37.764000000000003"/>
    <n v="0.37500000000000006"/>
    <n v="2017"/>
    <x v="11"/>
    <n v="12"/>
    <n v="16.783999999999999"/>
    <s v="Profit"/>
  </r>
  <r>
    <s v="CA-2017-103611"/>
    <d v="2017-12-09T00:00:00"/>
    <x v="1"/>
    <x v="0"/>
    <x v="362"/>
    <n v="8.36"/>
    <n v="2"/>
    <n v="3.0095999999999998"/>
    <n v="0.36"/>
    <n v="2017"/>
    <x v="11"/>
    <n v="12"/>
    <n v="4.18"/>
    <s v="Profit"/>
  </r>
  <r>
    <s v="CA-2017-140676"/>
    <d v="2017-12-09T00:00:00"/>
    <x v="0"/>
    <x v="1"/>
    <x v="899"/>
    <n v="39.9"/>
    <n v="5"/>
    <n v="19.95"/>
    <n v="0.5"/>
    <n v="2017"/>
    <x v="11"/>
    <n v="12"/>
    <n v="7.9799999999999995"/>
    <s v="Profit"/>
  </r>
  <r>
    <s v="CA-2017-140676"/>
    <d v="2017-12-09T00:00:00"/>
    <x v="0"/>
    <x v="1"/>
    <x v="79"/>
    <n v="90.86"/>
    <n v="7"/>
    <n v="26.349399999999999"/>
    <n v="0.28999999999999998"/>
    <n v="2017"/>
    <x v="11"/>
    <n v="12"/>
    <n v="12.98"/>
    <s v="Profit"/>
  </r>
  <r>
    <s v="CA-2017-140676"/>
    <d v="2017-12-09T00:00:00"/>
    <x v="0"/>
    <x v="1"/>
    <x v="68"/>
    <n v="94.85"/>
    <n v="5"/>
    <n v="45.527999999999999"/>
    <n v="0.48000000000000004"/>
    <n v="2017"/>
    <x v="11"/>
    <n v="12"/>
    <n v="18.97"/>
    <s v="Profit"/>
  </r>
  <r>
    <s v="CA-2017-108749"/>
    <d v="2017-12-09T00:00:00"/>
    <x v="0"/>
    <x v="1"/>
    <x v="900"/>
    <n v="45.36"/>
    <n v="7"/>
    <n v="21.7728"/>
    <n v="0.48"/>
    <n v="2017"/>
    <x v="11"/>
    <n v="12"/>
    <n v="6.4799999999999995"/>
    <s v="Profit"/>
  </r>
  <r>
    <s v="CA-2017-108749"/>
    <d v="2017-12-09T00:00:00"/>
    <x v="0"/>
    <x v="1"/>
    <x v="239"/>
    <n v="45.78"/>
    <n v="3"/>
    <n v="22.89"/>
    <n v="0.5"/>
    <n v="2017"/>
    <x v="11"/>
    <n v="12"/>
    <n v="15.26"/>
    <s v="Profit"/>
  </r>
  <r>
    <s v="US-2017-109582"/>
    <d v="2017-12-09T00:00:00"/>
    <x v="1"/>
    <x v="1"/>
    <x v="485"/>
    <n v="166.44"/>
    <n v="3"/>
    <n v="79.891199999999998"/>
    <n v="0.48"/>
    <n v="2017"/>
    <x v="11"/>
    <n v="12"/>
    <n v="55.48"/>
    <s v="Profit"/>
  </r>
  <r>
    <s v="CA-2017-152702"/>
    <d v="2017-12-10T00:00:00"/>
    <x v="2"/>
    <x v="0"/>
    <x v="901"/>
    <n v="254.60400000000001"/>
    <n v="14"/>
    <n v="-18.186"/>
    <n v="-7.1428571428571425E-2"/>
    <n v="2017"/>
    <x v="11"/>
    <n v="12"/>
    <n v="18.186"/>
    <s v="Loss"/>
  </r>
  <r>
    <s v="CA-2017-149146"/>
    <d v="2017-12-10T00:00:00"/>
    <x v="3"/>
    <x v="1"/>
    <x v="902"/>
    <n v="7.968"/>
    <n v="2"/>
    <n v="2.6892"/>
    <n v="0.33750000000000002"/>
    <n v="2017"/>
    <x v="11"/>
    <n v="12"/>
    <n v="3.984"/>
    <s v="Profit"/>
  </r>
  <r>
    <s v="CA-2017-168655"/>
    <d v="2017-12-10T00:00:00"/>
    <x v="1"/>
    <x v="2"/>
    <x v="156"/>
    <n v="595"/>
    <n v="5"/>
    <n v="95.2"/>
    <n v="0.16"/>
    <n v="2017"/>
    <x v="11"/>
    <n v="12"/>
    <n v="119"/>
    <s v="Profit"/>
  </r>
  <r>
    <s v="CA-2017-168655"/>
    <d v="2017-12-10T00:00:00"/>
    <x v="1"/>
    <x v="1"/>
    <x v="903"/>
    <n v="79.872"/>
    <n v="3"/>
    <n v="29.952000000000002"/>
    <n v="0.375"/>
    <n v="2017"/>
    <x v="11"/>
    <n v="12"/>
    <n v="26.623999999999999"/>
    <s v="Profit"/>
  </r>
  <r>
    <s v="CA-2017-126536"/>
    <d v="2017-12-10T00:00:00"/>
    <x v="1"/>
    <x v="2"/>
    <x v="904"/>
    <n v="0.99"/>
    <n v="1"/>
    <n v="0.43559999999999999"/>
    <n v="0.44"/>
    <n v="2017"/>
    <x v="11"/>
    <n v="12"/>
    <n v="0.99"/>
    <s v="Profit"/>
  </r>
  <r>
    <s v="CA-2017-126536"/>
    <d v="2017-12-10T00:00:00"/>
    <x v="1"/>
    <x v="1"/>
    <x v="905"/>
    <n v="101.84"/>
    <n v="5"/>
    <n v="36.917000000000002"/>
    <n v="0.36249999999999999"/>
    <n v="2017"/>
    <x v="11"/>
    <n v="12"/>
    <n v="20.368000000000002"/>
    <s v="Profit"/>
  </r>
  <r>
    <s v="CA-2017-112431"/>
    <d v="2017-12-10T00:00:00"/>
    <x v="1"/>
    <x v="2"/>
    <x v="552"/>
    <n v="435.84"/>
    <n v="12"/>
    <n v="130.75200000000001"/>
    <n v="0.30000000000000004"/>
    <n v="2017"/>
    <x v="11"/>
    <n v="12"/>
    <n v="36.32"/>
    <s v="Profit"/>
  </r>
  <r>
    <s v="CA-2017-112431"/>
    <d v="2017-12-10T00:00:00"/>
    <x v="1"/>
    <x v="1"/>
    <x v="906"/>
    <n v="5.88"/>
    <n v="2"/>
    <n v="1.5875999999999999"/>
    <n v="0.26999999999999996"/>
    <n v="2017"/>
    <x v="11"/>
    <n v="12"/>
    <n v="2.94"/>
    <s v="Profit"/>
  </r>
  <r>
    <s v="CA-2017-169362"/>
    <d v="2017-12-10T00:00:00"/>
    <x v="2"/>
    <x v="2"/>
    <x v="907"/>
    <n v="39.984000000000002"/>
    <n v="2"/>
    <n v="-1.4994000000000001"/>
    <n v="-3.7499999999999999E-2"/>
    <n v="2017"/>
    <x v="11"/>
    <n v="12"/>
    <n v="19.992000000000001"/>
    <s v="Loss"/>
  </r>
  <r>
    <s v="CA-2017-150091"/>
    <d v="2017-12-10T00:00:00"/>
    <x v="0"/>
    <x v="2"/>
    <x v="302"/>
    <n v="45"/>
    <n v="3"/>
    <n v="4.95"/>
    <n v="0.11"/>
    <n v="2017"/>
    <x v="11"/>
    <n v="12"/>
    <n v="15"/>
    <s v="Profit"/>
  </r>
  <r>
    <s v="CA-2017-150091"/>
    <d v="2017-12-10T00:00:00"/>
    <x v="0"/>
    <x v="1"/>
    <x v="908"/>
    <n v="17.899999999999999"/>
    <n v="5"/>
    <n v="8.7710000000000008"/>
    <n v="0.4900000000000001"/>
    <n v="2017"/>
    <x v="11"/>
    <n v="12"/>
    <n v="3.5799999999999996"/>
    <s v="Profit"/>
  </r>
  <r>
    <s v="CA-2017-150091"/>
    <d v="2017-12-10T00:00:00"/>
    <x v="0"/>
    <x v="0"/>
    <x v="363"/>
    <n v="40.479999999999997"/>
    <n v="2"/>
    <n v="17.406400000000001"/>
    <n v="0.43000000000000005"/>
    <n v="2017"/>
    <x v="11"/>
    <n v="12"/>
    <n v="20.239999999999998"/>
    <s v="Profit"/>
  </r>
  <r>
    <s v="CA-2017-150091"/>
    <d v="2017-12-10T00:00:00"/>
    <x v="0"/>
    <x v="0"/>
    <x v="909"/>
    <n v="2154.9"/>
    <n v="5"/>
    <n v="129.29400000000001"/>
    <n v="6.0000000000000005E-2"/>
    <n v="2017"/>
    <x v="11"/>
    <n v="12"/>
    <n v="430.98"/>
    <s v="Profit"/>
  </r>
  <r>
    <s v="CA-2017-152933"/>
    <d v="2017-12-10T00:00:00"/>
    <x v="2"/>
    <x v="2"/>
    <x v="910"/>
    <n v="369.54399999999998"/>
    <n v="7"/>
    <n v="27.715800000000002"/>
    <n v="7.5000000000000011E-2"/>
    <n v="2017"/>
    <x v="11"/>
    <n v="12"/>
    <n v="52.791999999999994"/>
    <s v="Profit"/>
  </r>
  <r>
    <s v="CA-2017-152933"/>
    <d v="2017-12-10T00:00:00"/>
    <x v="2"/>
    <x v="1"/>
    <x v="911"/>
    <n v="10.368"/>
    <n v="2"/>
    <n v="3.7584"/>
    <n v="0.36249999999999999"/>
    <n v="2017"/>
    <x v="11"/>
    <n v="12"/>
    <n v="5.1840000000000002"/>
    <s v="Profit"/>
  </r>
  <r>
    <s v="CA-2017-152933"/>
    <d v="2017-12-10T00:00:00"/>
    <x v="2"/>
    <x v="2"/>
    <x v="575"/>
    <n v="791.88"/>
    <n v="3"/>
    <n v="128.68049999999999"/>
    <n v="0.16250000000000001"/>
    <n v="2017"/>
    <x v="11"/>
    <n v="12"/>
    <n v="263.95999999999998"/>
    <s v="Profit"/>
  </r>
  <r>
    <s v="CA-2017-130505"/>
    <d v="2017-12-10T00:00:00"/>
    <x v="0"/>
    <x v="0"/>
    <x v="281"/>
    <n v="673.34400000000005"/>
    <n v="3"/>
    <n v="-76.953599999999994"/>
    <n v="-0.11428571428571427"/>
    <n v="2017"/>
    <x v="11"/>
    <n v="12"/>
    <n v="224.44800000000001"/>
    <s v="Loss"/>
  </r>
  <r>
    <s v="CA-2017-169607"/>
    <d v="2017-12-10T00:00:00"/>
    <x v="0"/>
    <x v="1"/>
    <x v="912"/>
    <n v="9.9600000000000009"/>
    <n v="2"/>
    <n v="4.6811999999999996"/>
    <n v="0.46999999999999992"/>
    <n v="2017"/>
    <x v="11"/>
    <n v="12"/>
    <n v="4.9800000000000004"/>
    <s v="Profit"/>
  </r>
  <r>
    <s v="CA-2017-160514"/>
    <d v="2017-12-11T00:00:00"/>
    <x v="1"/>
    <x v="1"/>
    <x v="138"/>
    <n v="10.56"/>
    <n v="2"/>
    <n v="4.7519999999999998"/>
    <n v="0.44999999999999996"/>
    <n v="2017"/>
    <x v="11"/>
    <n v="12"/>
    <n v="5.28"/>
    <s v="Profit"/>
  </r>
  <r>
    <s v="CA-2017-134978"/>
    <d v="2017-12-11T00:00:00"/>
    <x v="0"/>
    <x v="1"/>
    <x v="71"/>
    <n v="15.92"/>
    <n v="5"/>
    <n v="5.3730000000000002"/>
    <n v="0.33750000000000002"/>
    <n v="2017"/>
    <x v="11"/>
    <n v="12"/>
    <n v="3.1840000000000002"/>
    <s v="Profit"/>
  </r>
  <r>
    <s v="CA-2017-130386"/>
    <d v="2017-12-11T00:00:00"/>
    <x v="2"/>
    <x v="1"/>
    <x v="525"/>
    <n v="16.056000000000001"/>
    <n v="3"/>
    <n v="5.8202999999999996"/>
    <n v="0.36249999999999993"/>
    <n v="2017"/>
    <x v="11"/>
    <n v="12"/>
    <n v="5.3520000000000003"/>
    <s v="Profit"/>
  </r>
  <r>
    <s v="CA-2017-130386"/>
    <d v="2017-12-11T00:00:00"/>
    <x v="2"/>
    <x v="1"/>
    <x v="913"/>
    <n v="223.05600000000001"/>
    <n v="9"/>
    <n v="69.704999999999998"/>
    <n v="0.3125"/>
    <n v="2017"/>
    <x v="11"/>
    <n v="12"/>
    <n v="24.784000000000002"/>
    <s v="Profit"/>
  </r>
  <r>
    <s v="CA-2017-130386"/>
    <d v="2017-12-11T00:00:00"/>
    <x v="2"/>
    <x v="1"/>
    <x v="184"/>
    <n v="540.048"/>
    <n v="3"/>
    <n v="-47.254199999999997"/>
    <n v="-8.7499999999999994E-2"/>
    <n v="2017"/>
    <x v="11"/>
    <n v="12"/>
    <n v="180.01599999999999"/>
    <s v="Loss"/>
  </r>
  <r>
    <s v="US-2017-116659"/>
    <d v="2017-12-11T00:00:00"/>
    <x v="0"/>
    <x v="2"/>
    <x v="914"/>
    <n v="370.78199999999998"/>
    <n v="3"/>
    <n v="-92.695499999999996"/>
    <n v="-0.25"/>
    <n v="2017"/>
    <x v="11"/>
    <n v="12"/>
    <n v="123.59399999999999"/>
    <s v="Loss"/>
  </r>
  <r>
    <s v="CA-2017-134915"/>
    <d v="2017-12-11T00:00:00"/>
    <x v="1"/>
    <x v="2"/>
    <x v="616"/>
    <n v="41.6"/>
    <n v="4"/>
    <n v="13"/>
    <n v="0.3125"/>
    <n v="2017"/>
    <x v="11"/>
    <n v="12"/>
    <n v="10.4"/>
    <s v="Profit"/>
  </r>
  <r>
    <s v="CA-2017-134915"/>
    <d v="2017-12-11T00:00:00"/>
    <x v="1"/>
    <x v="1"/>
    <x v="915"/>
    <n v="23.12"/>
    <n v="5"/>
    <n v="8.3810000000000002"/>
    <n v="0.36249999999999999"/>
    <n v="2017"/>
    <x v="11"/>
    <n v="12"/>
    <n v="4.6240000000000006"/>
    <s v="Profit"/>
  </r>
  <r>
    <s v="CA-2017-134915"/>
    <d v="2017-12-11T00:00:00"/>
    <x v="1"/>
    <x v="0"/>
    <x v="52"/>
    <n v="113.88800000000001"/>
    <n v="2"/>
    <n v="9.9651999999999994"/>
    <n v="8.7499999999999994E-2"/>
    <n v="2017"/>
    <x v="11"/>
    <n v="12"/>
    <n v="56.944000000000003"/>
    <s v="Profit"/>
  </r>
  <r>
    <s v="CA-2017-134915"/>
    <d v="2017-12-11T00:00:00"/>
    <x v="1"/>
    <x v="0"/>
    <x v="916"/>
    <n v="113.568"/>
    <n v="2"/>
    <n v="-5.6783999999999999"/>
    <n v="-0.05"/>
    <n v="2017"/>
    <x v="11"/>
    <n v="12"/>
    <n v="56.783999999999999"/>
    <s v="Loss"/>
  </r>
  <r>
    <s v="CA-2017-134915"/>
    <d v="2017-12-11T00:00:00"/>
    <x v="1"/>
    <x v="2"/>
    <x v="136"/>
    <n v="7.92"/>
    <n v="2"/>
    <n v="0.69299999999999995"/>
    <n v="8.7499999999999994E-2"/>
    <n v="2017"/>
    <x v="11"/>
    <n v="12"/>
    <n v="3.96"/>
    <s v="Profit"/>
  </r>
  <r>
    <s v="CA-2017-134915"/>
    <d v="2017-12-11T00:00:00"/>
    <x v="1"/>
    <x v="2"/>
    <x v="917"/>
    <n v="671.98400000000004"/>
    <n v="2"/>
    <n v="50.398800000000001"/>
    <n v="7.4999999999999997E-2"/>
    <n v="2017"/>
    <x v="11"/>
    <n v="12"/>
    <n v="335.99200000000002"/>
    <s v="Profit"/>
  </r>
  <r>
    <s v="CA-2017-164168"/>
    <d v="2017-12-11T00:00:00"/>
    <x v="2"/>
    <x v="1"/>
    <x v="918"/>
    <n v="30.56"/>
    <n v="5"/>
    <n v="-45.84"/>
    <n v="-1.5000000000000002"/>
    <n v="2017"/>
    <x v="11"/>
    <n v="12"/>
    <n v="6.1120000000000001"/>
    <s v="Loss"/>
  </r>
  <r>
    <s v="CA-2017-164168"/>
    <d v="2017-12-11T00:00:00"/>
    <x v="2"/>
    <x v="1"/>
    <x v="919"/>
    <n v="77.951999999999998"/>
    <n v="3"/>
    <n v="-15.590400000000001"/>
    <n v="-0.2"/>
    <n v="2017"/>
    <x v="11"/>
    <n v="12"/>
    <n v="25.983999999999998"/>
    <s v="Loss"/>
  </r>
  <r>
    <s v="CA-2017-164168"/>
    <d v="2017-12-11T00:00:00"/>
    <x v="2"/>
    <x v="2"/>
    <x v="920"/>
    <n v="67.992000000000004"/>
    <n v="1"/>
    <n v="8.4990000000000006"/>
    <n v="0.125"/>
    <n v="2017"/>
    <x v="11"/>
    <n v="12"/>
    <n v="67.992000000000004"/>
    <s v="Profit"/>
  </r>
  <r>
    <s v="CA-2017-164168"/>
    <d v="2017-12-11T00:00:00"/>
    <x v="2"/>
    <x v="1"/>
    <x v="309"/>
    <n v="12.224"/>
    <n v="2"/>
    <n v="4.4311999999999996"/>
    <n v="0.36249999999999993"/>
    <n v="2017"/>
    <x v="11"/>
    <n v="12"/>
    <n v="6.1120000000000001"/>
    <s v="Profit"/>
  </r>
  <r>
    <s v="CA-2017-164168"/>
    <d v="2017-12-11T00:00:00"/>
    <x v="2"/>
    <x v="2"/>
    <x v="36"/>
    <n v="44.783999999999999"/>
    <n v="2"/>
    <n v="-0.55979999999999996"/>
    <n v="-1.2499999999999999E-2"/>
    <n v="2017"/>
    <x v="11"/>
    <n v="12"/>
    <n v="22.391999999999999"/>
    <s v="Loss"/>
  </r>
  <r>
    <s v="CA-2017-164168"/>
    <d v="2017-12-11T00:00:00"/>
    <x v="2"/>
    <x v="0"/>
    <x v="921"/>
    <n v="22.847999999999999"/>
    <n v="3"/>
    <n v="-17.7072"/>
    <n v="-0.77500000000000002"/>
    <n v="2017"/>
    <x v="11"/>
    <n v="12"/>
    <n v="7.6159999999999997"/>
    <s v="Loss"/>
  </r>
  <r>
    <s v="CA-2017-122644"/>
    <d v="2017-12-11T00:00:00"/>
    <x v="0"/>
    <x v="1"/>
    <x v="342"/>
    <n v="10.848000000000001"/>
    <n v="2"/>
    <n v="3.5255999999999998"/>
    <n v="0.32499999999999996"/>
    <n v="2017"/>
    <x v="11"/>
    <n v="12"/>
    <n v="5.4240000000000004"/>
    <s v="Profit"/>
  </r>
  <r>
    <s v="CA-2017-122644"/>
    <d v="2017-12-11T00:00:00"/>
    <x v="0"/>
    <x v="2"/>
    <x v="922"/>
    <n v="18.544"/>
    <n v="2"/>
    <n v="3.0133999999999999"/>
    <n v="0.16249999999999998"/>
    <n v="2017"/>
    <x v="11"/>
    <n v="12"/>
    <n v="9.2720000000000002"/>
    <s v="Profit"/>
  </r>
  <r>
    <s v="CA-2017-164364"/>
    <d v="2017-12-11T00:00:00"/>
    <x v="1"/>
    <x v="1"/>
    <x v="98"/>
    <n v="9.9600000000000009"/>
    <n v="2"/>
    <n v="4.5815999999999999"/>
    <n v="0.45999999999999996"/>
    <n v="2017"/>
    <x v="11"/>
    <n v="12"/>
    <n v="4.9800000000000004"/>
    <s v="Profit"/>
  </r>
  <r>
    <s v="CA-2017-164364"/>
    <d v="2017-12-11T00:00:00"/>
    <x v="1"/>
    <x v="1"/>
    <x v="923"/>
    <n v="9.2100000000000009"/>
    <n v="3"/>
    <n v="2.3025000000000002"/>
    <n v="0.25"/>
    <n v="2017"/>
    <x v="11"/>
    <n v="12"/>
    <n v="3.0700000000000003"/>
    <s v="Profit"/>
  </r>
  <r>
    <s v="CA-2017-164364"/>
    <d v="2017-12-11T00:00:00"/>
    <x v="1"/>
    <x v="1"/>
    <x v="924"/>
    <n v="27.93"/>
    <n v="3"/>
    <n v="8.0997000000000003"/>
    <n v="0.29000000000000004"/>
    <n v="2017"/>
    <x v="11"/>
    <n v="12"/>
    <n v="9.31"/>
    <s v="Profit"/>
  </r>
  <r>
    <s v="US-2017-136707"/>
    <d v="2017-12-11T00:00:00"/>
    <x v="1"/>
    <x v="1"/>
    <x v="76"/>
    <n v="14.016"/>
    <n v="4"/>
    <n v="4.9055999999999997"/>
    <n v="0.35"/>
    <n v="2017"/>
    <x v="11"/>
    <n v="12"/>
    <n v="3.504"/>
    <s v="Profit"/>
  </r>
  <r>
    <s v="CA-2017-149944"/>
    <d v="2017-12-11T00:00:00"/>
    <x v="1"/>
    <x v="1"/>
    <x v="111"/>
    <n v="18.239999999999998"/>
    <n v="3"/>
    <n v="9.1199999999999992"/>
    <n v="0.5"/>
    <n v="2017"/>
    <x v="11"/>
    <n v="12"/>
    <n v="6.0799999999999992"/>
    <s v="Profit"/>
  </r>
  <r>
    <s v="CA-2017-149944"/>
    <d v="2017-12-11T00:00:00"/>
    <x v="1"/>
    <x v="1"/>
    <x v="9"/>
    <n v="76.12"/>
    <n v="2"/>
    <n v="22.0748"/>
    <n v="0.28999999999999998"/>
    <n v="2017"/>
    <x v="11"/>
    <n v="12"/>
    <n v="38.06"/>
    <s v="Profit"/>
  </r>
  <r>
    <s v="CA-2017-154088"/>
    <d v="2017-12-11T00:00:00"/>
    <x v="3"/>
    <x v="1"/>
    <x v="677"/>
    <n v="26.72"/>
    <n v="5"/>
    <n v="9.3520000000000003"/>
    <n v="0.35000000000000003"/>
    <n v="2017"/>
    <x v="11"/>
    <n v="12"/>
    <n v="5.3439999999999994"/>
    <s v="Profit"/>
  </r>
  <r>
    <s v="US-2017-132220"/>
    <d v="2017-12-11T00:00:00"/>
    <x v="1"/>
    <x v="2"/>
    <x v="925"/>
    <n v="62.351999999999997"/>
    <n v="6"/>
    <n v="-10.9116"/>
    <n v="-0.17500000000000002"/>
    <n v="2017"/>
    <x v="11"/>
    <n v="12"/>
    <n v="10.391999999999999"/>
    <s v="Loss"/>
  </r>
  <r>
    <s v="US-2017-125808"/>
    <d v="2017-12-11T00:00:00"/>
    <x v="1"/>
    <x v="1"/>
    <x v="926"/>
    <n v="11.56"/>
    <n v="2"/>
    <n v="5.6643999999999997"/>
    <n v="0.48999999999999994"/>
    <n v="2017"/>
    <x v="11"/>
    <n v="12"/>
    <n v="5.78"/>
    <s v="Profit"/>
  </r>
  <r>
    <s v="CA-2017-166835"/>
    <d v="2017-12-11T00:00:00"/>
    <x v="0"/>
    <x v="1"/>
    <x v="927"/>
    <n v="221.024"/>
    <n v="2"/>
    <n v="-55.256"/>
    <n v="-0.25"/>
    <n v="2017"/>
    <x v="11"/>
    <n v="12"/>
    <n v="110.512"/>
    <s v="Loss"/>
  </r>
  <r>
    <s v="US-2016-140809"/>
    <d v="2016-01-02T00:00:00"/>
    <x v="3"/>
    <x v="1"/>
    <x v="321"/>
    <n v="56.45"/>
    <n v="5"/>
    <n v="14.677"/>
    <n v="0.25999999999999995"/>
    <n v="2016"/>
    <x v="0"/>
    <n v="1"/>
    <n v="11.290000000000001"/>
    <s v="Profit"/>
  </r>
  <r>
    <s v="CA-2016-154067"/>
    <d v="2016-01-02T00:00:00"/>
    <x v="1"/>
    <x v="1"/>
    <x v="508"/>
    <n v="105.52"/>
    <n v="4"/>
    <n v="48.539200000000001"/>
    <n v="0.46"/>
    <n v="2016"/>
    <x v="0"/>
    <n v="1"/>
    <n v="26.38"/>
    <s v="Profit"/>
  </r>
  <r>
    <s v="US-2016-143819"/>
    <d v="2016-01-03T00:00:00"/>
    <x v="0"/>
    <x v="0"/>
    <x v="341"/>
    <n v="836.59199999999998"/>
    <n v="8"/>
    <n v="-264.92079999999999"/>
    <n v="-0.31666666666666665"/>
    <n v="2016"/>
    <x v="0"/>
    <n v="1"/>
    <n v="104.574"/>
    <s v="Loss"/>
  </r>
  <r>
    <s v="US-2016-143819"/>
    <d v="2016-01-03T00:00:00"/>
    <x v="0"/>
    <x v="1"/>
    <x v="124"/>
    <n v="26.38"/>
    <n v="1"/>
    <n v="12.1348"/>
    <n v="0.46"/>
    <n v="2016"/>
    <x v="0"/>
    <n v="1"/>
    <n v="26.38"/>
    <s v="Profit"/>
  </r>
  <r>
    <s v="US-2016-143819"/>
    <d v="2016-01-03T00:00:00"/>
    <x v="0"/>
    <x v="1"/>
    <x v="538"/>
    <n v="362.92"/>
    <n v="2"/>
    <n v="105.24679999999999"/>
    <n v="0.28999999999999998"/>
    <n v="2016"/>
    <x v="0"/>
    <n v="1"/>
    <n v="181.46"/>
    <s v="Profit"/>
  </r>
  <r>
    <s v="US-2016-143819"/>
    <d v="2016-01-03T00:00:00"/>
    <x v="0"/>
    <x v="2"/>
    <x v="928"/>
    <n v="4899.93"/>
    <n v="7"/>
    <n v="2400.9657000000002"/>
    <n v="0.49"/>
    <n v="2016"/>
    <x v="0"/>
    <n v="1"/>
    <n v="699.99"/>
    <s v="Profit"/>
  </r>
  <r>
    <s v="US-2016-151862"/>
    <d v="2016-01-03T00:00:00"/>
    <x v="1"/>
    <x v="2"/>
    <x v="929"/>
    <n v="159.98400000000001"/>
    <n v="2"/>
    <n v="13.9986"/>
    <n v="8.7499999999999994E-2"/>
    <n v="2016"/>
    <x v="0"/>
    <n v="1"/>
    <n v="79.992000000000004"/>
    <s v="Profit"/>
  </r>
  <r>
    <s v="CA-2016-166674"/>
    <d v="2016-01-04T00:00:00"/>
    <x v="0"/>
    <x v="1"/>
    <x v="514"/>
    <n v="59.52"/>
    <n v="3"/>
    <n v="15.475199999999999"/>
    <n v="0.25999999999999995"/>
    <n v="2016"/>
    <x v="0"/>
    <n v="1"/>
    <n v="19.84"/>
    <s v="Profit"/>
  </r>
  <r>
    <s v="CA-2016-166674"/>
    <d v="2016-01-04T00:00:00"/>
    <x v="0"/>
    <x v="1"/>
    <x v="930"/>
    <n v="161.94"/>
    <n v="3"/>
    <n v="9.7164000000000001"/>
    <n v="6.0000000000000005E-2"/>
    <n v="2016"/>
    <x v="0"/>
    <n v="1"/>
    <n v="53.98"/>
    <s v="Profit"/>
  </r>
  <r>
    <s v="CA-2016-166674"/>
    <d v="2016-01-04T00:00:00"/>
    <x v="0"/>
    <x v="1"/>
    <x v="895"/>
    <n v="263.88"/>
    <n v="6"/>
    <n v="71.247600000000006"/>
    <n v="0.27"/>
    <n v="2016"/>
    <x v="0"/>
    <n v="1"/>
    <n v="43.98"/>
    <s v="Profit"/>
  </r>
  <r>
    <s v="CA-2016-166674"/>
    <d v="2016-01-04T00:00:00"/>
    <x v="0"/>
    <x v="1"/>
    <x v="563"/>
    <n v="30.48"/>
    <n v="3"/>
    <n v="7.9248000000000003"/>
    <n v="0.26"/>
    <n v="2016"/>
    <x v="0"/>
    <n v="1"/>
    <n v="10.16"/>
    <s v="Profit"/>
  </r>
  <r>
    <s v="CA-2016-166674"/>
    <d v="2016-01-04T00:00:00"/>
    <x v="0"/>
    <x v="1"/>
    <x v="931"/>
    <n v="9.84"/>
    <n v="3"/>
    <n v="2.8536000000000001"/>
    <n v="0.29000000000000004"/>
    <n v="2016"/>
    <x v="0"/>
    <n v="1"/>
    <n v="3.28"/>
    <s v="Profit"/>
  </r>
  <r>
    <s v="CA-2016-166674"/>
    <d v="2016-01-04T00:00:00"/>
    <x v="0"/>
    <x v="2"/>
    <x v="932"/>
    <n v="35.119999999999997"/>
    <n v="4"/>
    <n v="9.1311999999999998"/>
    <n v="0.26"/>
    <n v="2016"/>
    <x v="0"/>
    <n v="1"/>
    <n v="8.7799999999999994"/>
    <s v="Profit"/>
  </r>
  <r>
    <s v="CA-2016-103947"/>
    <d v="2016-01-04T00:00:00"/>
    <x v="1"/>
    <x v="1"/>
    <x v="111"/>
    <n v="31.56"/>
    <n v="5"/>
    <n v="9.8625000000000007"/>
    <n v="0.31250000000000006"/>
    <n v="2016"/>
    <x v="0"/>
    <n v="1"/>
    <n v="6.3119999999999994"/>
    <s v="Profit"/>
  </r>
  <r>
    <s v="CA-2016-103947"/>
    <d v="2016-01-04T00:00:00"/>
    <x v="1"/>
    <x v="1"/>
    <x v="355"/>
    <n v="30.143999999999998"/>
    <n v="2"/>
    <n v="3.0144000000000002"/>
    <n v="0.1"/>
    <n v="2016"/>
    <x v="0"/>
    <n v="1"/>
    <n v="15.071999999999999"/>
    <s v="Profit"/>
  </r>
  <r>
    <s v="CA-2016-149902"/>
    <d v="2016-01-04T00:00:00"/>
    <x v="0"/>
    <x v="1"/>
    <x v="828"/>
    <n v="88.04"/>
    <n v="4"/>
    <n v="22.8904"/>
    <n v="0.25999999999999995"/>
    <n v="2016"/>
    <x v="0"/>
    <n v="1"/>
    <n v="22.01"/>
    <s v="Profit"/>
  </r>
  <r>
    <s v="CA-2016-161473"/>
    <d v="2016-01-04T00:00:00"/>
    <x v="0"/>
    <x v="1"/>
    <x v="304"/>
    <n v="20.7"/>
    <n v="2"/>
    <n v="9.9359999999999999"/>
    <n v="0.48000000000000004"/>
    <n v="2016"/>
    <x v="0"/>
    <n v="1"/>
    <n v="10.35"/>
    <s v="Profit"/>
  </r>
  <r>
    <s v="CA-2016-161473"/>
    <d v="2016-01-04T00:00:00"/>
    <x v="0"/>
    <x v="1"/>
    <x v="933"/>
    <n v="10.95"/>
    <n v="3"/>
    <n v="3.2850000000000001"/>
    <n v="0.30000000000000004"/>
    <n v="2016"/>
    <x v="0"/>
    <n v="1"/>
    <n v="3.65"/>
    <s v="Profit"/>
  </r>
  <r>
    <s v="CA-2016-161473"/>
    <d v="2016-01-04T00:00:00"/>
    <x v="0"/>
    <x v="1"/>
    <x v="934"/>
    <n v="14.352"/>
    <n v="3"/>
    <n v="4.6643999999999997"/>
    <n v="0.32499999999999996"/>
    <n v="2016"/>
    <x v="0"/>
    <n v="1"/>
    <n v="4.7839999999999998"/>
    <s v="Profit"/>
  </r>
  <r>
    <s v="CA-2016-111213"/>
    <d v="2016-01-04T00:00:00"/>
    <x v="0"/>
    <x v="0"/>
    <x v="207"/>
    <n v="1317.492"/>
    <n v="6"/>
    <n v="292.77600000000001"/>
    <n v="0.22222222222222224"/>
    <n v="2016"/>
    <x v="0"/>
    <n v="1"/>
    <n v="219.58199999999999"/>
    <s v="Profit"/>
  </r>
  <r>
    <s v="CA-2016-111213"/>
    <d v="2016-01-04T00:00:00"/>
    <x v="0"/>
    <x v="1"/>
    <x v="118"/>
    <n v="63.84"/>
    <n v="8"/>
    <n v="18.5136"/>
    <n v="0.28999999999999998"/>
    <n v="2016"/>
    <x v="0"/>
    <n v="1"/>
    <n v="7.98"/>
    <s v="Profit"/>
  </r>
  <r>
    <s v="CA-2016-111213"/>
    <d v="2016-01-04T00:00:00"/>
    <x v="0"/>
    <x v="1"/>
    <x v="778"/>
    <n v="3.5920000000000001"/>
    <n v="1"/>
    <n v="1.1225000000000001"/>
    <n v="0.3125"/>
    <n v="2016"/>
    <x v="0"/>
    <n v="1"/>
    <n v="3.5920000000000001"/>
    <s v="Profit"/>
  </r>
  <r>
    <s v="CA-2016-127985"/>
    <d v="2016-01-04T00:00:00"/>
    <x v="3"/>
    <x v="0"/>
    <x v="935"/>
    <n v="7.04"/>
    <n v="4"/>
    <n v="3.0975999999999999"/>
    <n v="0.44"/>
    <n v="2016"/>
    <x v="0"/>
    <n v="1"/>
    <n v="1.76"/>
    <s v="Profit"/>
  </r>
  <r>
    <s v="US-2016-160206"/>
    <d v="2016-01-04T00:00:00"/>
    <x v="2"/>
    <x v="2"/>
    <x v="500"/>
    <n v="12.99"/>
    <n v="1"/>
    <n v="0.25979999999999998"/>
    <n v="1.9999999999999997E-2"/>
    <n v="2016"/>
    <x v="0"/>
    <n v="1"/>
    <n v="12.99"/>
    <s v="Profit"/>
  </r>
  <r>
    <s v="CA-2016-164784"/>
    <d v="2016-01-05T00:00:00"/>
    <x v="3"/>
    <x v="1"/>
    <x v="132"/>
    <n v="3.984"/>
    <n v="1"/>
    <n v="1.2948"/>
    <n v="0.32500000000000001"/>
    <n v="2016"/>
    <x v="0"/>
    <n v="1"/>
    <n v="3.984"/>
    <s v="Profit"/>
  </r>
  <r>
    <s v="CA-2016-164784"/>
    <d v="2016-01-05T00:00:00"/>
    <x v="3"/>
    <x v="0"/>
    <x v="129"/>
    <n v="370.62"/>
    <n v="3"/>
    <n v="-142.071"/>
    <n v="-0.3833333333333333"/>
    <n v="2016"/>
    <x v="0"/>
    <n v="1"/>
    <n v="123.54"/>
    <s v="Loss"/>
  </r>
  <r>
    <s v="CA-2016-164784"/>
    <d v="2016-01-05T00:00:00"/>
    <x v="3"/>
    <x v="1"/>
    <x v="781"/>
    <n v="2.742"/>
    <n v="2"/>
    <n v="-2.0108000000000001"/>
    <n v="-0.73333333333333339"/>
    <n v="2016"/>
    <x v="0"/>
    <n v="1"/>
    <n v="1.371"/>
    <s v="Loss"/>
  </r>
  <r>
    <s v="CA-2016-101525"/>
    <d v="2016-01-05T00:00:00"/>
    <x v="3"/>
    <x v="1"/>
    <x v="711"/>
    <n v="109.92"/>
    <n v="2"/>
    <n v="53.860799999999998"/>
    <n v="0.49"/>
    <n v="2016"/>
    <x v="0"/>
    <n v="1"/>
    <n v="54.96"/>
    <s v="Profit"/>
  </r>
  <r>
    <s v="CA-2016-101525"/>
    <d v="2016-01-05T00:00:00"/>
    <x v="3"/>
    <x v="1"/>
    <x v="936"/>
    <n v="19.440000000000001"/>
    <n v="3"/>
    <n v="9.3312000000000008"/>
    <n v="0.48000000000000004"/>
    <n v="2016"/>
    <x v="0"/>
    <n v="1"/>
    <n v="6.48"/>
    <s v="Profit"/>
  </r>
  <r>
    <s v="CA-2016-101525"/>
    <d v="2016-01-05T00:00:00"/>
    <x v="3"/>
    <x v="1"/>
    <x v="434"/>
    <n v="11.16"/>
    <n v="2"/>
    <n v="4.3524000000000003"/>
    <n v="0.39"/>
    <n v="2016"/>
    <x v="0"/>
    <n v="1"/>
    <n v="5.58"/>
    <s v="Profit"/>
  </r>
  <r>
    <s v="CA-2016-152163"/>
    <d v="2016-01-07T00:00:00"/>
    <x v="3"/>
    <x v="1"/>
    <x v="937"/>
    <n v="14.2"/>
    <n v="2"/>
    <n v="6.532"/>
    <n v="0.46"/>
    <n v="2016"/>
    <x v="0"/>
    <n v="1"/>
    <n v="7.1"/>
    <s v="Profit"/>
  </r>
  <r>
    <s v="CA-2016-152163"/>
    <d v="2016-01-07T00:00:00"/>
    <x v="3"/>
    <x v="1"/>
    <x v="803"/>
    <n v="12.96"/>
    <n v="2"/>
    <n v="6.2207999999999997"/>
    <n v="0.47999999999999993"/>
    <n v="2016"/>
    <x v="0"/>
    <n v="1"/>
    <n v="6.48"/>
    <s v="Profit"/>
  </r>
  <r>
    <s v="CA-2016-152163"/>
    <d v="2016-01-07T00:00:00"/>
    <x v="3"/>
    <x v="1"/>
    <x v="938"/>
    <n v="58.34"/>
    <n v="2"/>
    <n v="28.0032"/>
    <n v="0.48"/>
    <n v="2016"/>
    <x v="0"/>
    <n v="1"/>
    <n v="29.17"/>
    <s v="Profit"/>
  </r>
  <r>
    <s v="CA-2016-139997"/>
    <d v="2016-01-07T00:00:00"/>
    <x v="1"/>
    <x v="2"/>
    <x v="692"/>
    <n v="1499.95"/>
    <n v="5"/>
    <n v="449.98500000000001"/>
    <n v="0.3"/>
    <n v="2016"/>
    <x v="0"/>
    <n v="1"/>
    <n v="299.99"/>
    <s v="Profit"/>
  </r>
  <r>
    <s v="US-2016-126431"/>
    <d v="2016-01-07T00:00:00"/>
    <x v="0"/>
    <x v="1"/>
    <x v="939"/>
    <n v="30.53"/>
    <n v="1"/>
    <n v="14.043799999999999"/>
    <n v="0.45999999999999996"/>
    <n v="2016"/>
    <x v="0"/>
    <n v="1"/>
    <n v="30.53"/>
    <s v="Profit"/>
  </r>
  <r>
    <s v="US-2016-126431"/>
    <d v="2016-01-07T00:00:00"/>
    <x v="0"/>
    <x v="2"/>
    <x v="940"/>
    <n v="30.84"/>
    <n v="3"/>
    <n v="6.1680000000000001"/>
    <n v="0.2"/>
    <n v="2016"/>
    <x v="0"/>
    <n v="1"/>
    <n v="10.28"/>
    <s v="Profit"/>
  </r>
  <r>
    <s v="US-2016-126431"/>
    <d v="2016-01-07T00:00:00"/>
    <x v="0"/>
    <x v="1"/>
    <x v="941"/>
    <n v="75.06"/>
    <n v="9"/>
    <n v="33.777000000000001"/>
    <n v="0.45"/>
    <n v="2016"/>
    <x v="0"/>
    <n v="1"/>
    <n v="8.34"/>
    <s v="Profit"/>
  </r>
  <r>
    <s v="US-2016-158680"/>
    <d v="2016-01-07T00:00:00"/>
    <x v="1"/>
    <x v="1"/>
    <x v="497"/>
    <n v="2.496"/>
    <n v="1"/>
    <n v="0.90480000000000005"/>
    <n v="0.36250000000000004"/>
    <n v="2016"/>
    <x v="0"/>
    <n v="1"/>
    <n v="2.496"/>
    <s v="Profit"/>
  </r>
  <r>
    <s v="CA-2016-144337"/>
    <d v="2016-01-08T00:00:00"/>
    <x v="2"/>
    <x v="1"/>
    <x v="124"/>
    <n v="19.648"/>
    <n v="2"/>
    <n v="6.6311999999999998"/>
    <n v="0.33749999999999997"/>
    <n v="2016"/>
    <x v="0"/>
    <n v="1"/>
    <n v="9.8239999999999998"/>
    <s v="Profit"/>
  </r>
  <r>
    <s v="CA-2016-155978"/>
    <d v="2016-01-08T00:00:00"/>
    <x v="1"/>
    <x v="2"/>
    <x v="942"/>
    <n v="1039.7280000000001"/>
    <n v="2"/>
    <n v="90.976200000000006"/>
    <n v="8.7499999999999994E-2"/>
    <n v="2016"/>
    <x v="0"/>
    <n v="1"/>
    <n v="519.86400000000003"/>
    <s v="Profit"/>
  </r>
  <r>
    <s v="CA-2016-155978"/>
    <d v="2016-01-08T00:00:00"/>
    <x v="1"/>
    <x v="1"/>
    <x v="943"/>
    <n v="45.96"/>
    <n v="2"/>
    <n v="13.788"/>
    <n v="0.3"/>
    <n v="2016"/>
    <x v="0"/>
    <n v="1"/>
    <n v="22.98"/>
    <s v="Profit"/>
  </r>
  <r>
    <s v="CA-2016-132990"/>
    <d v="2016-01-08T00:00:00"/>
    <x v="0"/>
    <x v="0"/>
    <x v="186"/>
    <n v="19.312000000000001"/>
    <n v="2"/>
    <n v="3.1381999999999999"/>
    <n v="0.16249999999999998"/>
    <n v="2016"/>
    <x v="0"/>
    <n v="1"/>
    <n v="9.6560000000000006"/>
    <s v="Profit"/>
  </r>
  <r>
    <s v="CA-2016-129714"/>
    <d v="2016-01-09T00:00:00"/>
    <x v="0"/>
    <x v="2"/>
    <x v="74"/>
    <n v="6.79"/>
    <n v="1"/>
    <n v="2.3086000000000002"/>
    <n v="0.34"/>
    <n v="2016"/>
    <x v="0"/>
    <n v="1"/>
    <n v="6.79"/>
    <s v="Profit"/>
  </r>
  <r>
    <s v="CA-2016-129714"/>
    <d v="2016-01-09T00:00:00"/>
    <x v="0"/>
    <x v="1"/>
    <x v="300"/>
    <n v="24.56"/>
    <n v="2"/>
    <n v="11.543200000000001"/>
    <n v="0.47000000000000003"/>
    <n v="2016"/>
    <x v="0"/>
    <n v="1"/>
    <n v="12.28"/>
    <s v="Profit"/>
  </r>
  <r>
    <s v="CA-2016-129714"/>
    <d v="2016-01-09T00:00:00"/>
    <x v="0"/>
    <x v="1"/>
    <x v="944"/>
    <n v="3.048"/>
    <n v="1"/>
    <n v="1.0668"/>
    <n v="0.35"/>
    <n v="2016"/>
    <x v="0"/>
    <n v="1"/>
    <n v="3.048"/>
    <s v="Profit"/>
  </r>
  <r>
    <s v="CA-2016-129714"/>
    <d v="2016-01-09T00:00:00"/>
    <x v="0"/>
    <x v="1"/>
    <x v="300"/>
    <n v="49.12"/>
    <n v="4"/>
    <n v="23.086400000000001"/>
    <n v="0.47000000000000003"/>
    <n v="2016"/>
    <x v="0"/>
    <n v="1"/>
    <n v="12.28"/>
    <s v="Profit"/>
  </r>
  <r>
    <s v="CA-2016-129714"/>
    <d v="2016-01-09T00:00:00"/>
    <x v="0"/>
    <x v="1"/>
    <x v="945"/>
    <n v="4355.1679999999997"/>
    <n v="4"/>
    <n v="1415.4295999999999"/>
    <n v="0.32500000000000001"/>
    <n v="2016"/>
    <x v="0"/>
    <n v="1"/>
    <n v="1088.7919999999999"/>
    <s v="Profit"/>
  </r>
  <r>
    <s v="CA-2016-120859"/>
    <d v="2016-01-09T00:00:00"/>
    <x v="1"/>
    <x v="1"/>
    <x v="200"/>
    <n v="21.88"/>
    <n v="2"/>
    <n v="10.94"/>
    <n v="0.5"/>
    <n v="2016"/>
    <x v="0"/>
    <n v="1"/>
    <n v="10.94"/>
    <s v="Profit"/>
  </r>
  <r>
    <s v="CA-2016-155481"/>
    <d v="2016-01-09T00:00:00"/>
    <x v="0"/>
    <x v="1"/>
    <x v="946"/>
    <n v="30.48"/>
    <n v="6"/>
    <n v="9.9060000000000006"/>
    <n v="0.32500000000000001"/>
    <n v="2016"/>
    <x v="0"/>
    <n v="1"/>
    <n v="5.08"/>
    <s v="Profit"/>
  </r>
  <r>
    <s v="CA-2016-155481"/>
    <d v="2016-01-09T00:00:00"/>
    <x v="0"/>
    <x v="2"/>
    <x v="109"/>
    <n v="23.988"/>
    <n v="2"/>
    <n v="-4.7976000000000001"/>
    <n v="-0.2"/>
    <n v="2016"/>
    <x v="0"/>
    <n v="1"/>
    <n v="11.994"/>
    <s v="Loss"/>
  </r>
  <r>
    <s v="CA-2016-155481"/>
    <d v="2016-01-09T00:00:00"/>
    <x v="0"/>
    <x v="1"/>
    <x v="111"/>
    <n v="16.687999999999999"/>
    <n v="7"/>
    <n v="5.4236000000000004"/>
    <n v="0.32500000000000007"/>
    <n v="2016"/>
    <x v="0"/>
    <n v="1"/>
    <n v="2.3839999999999999"/>
    <s v="Profit"/>
  </r>
  <r>
    <s v="CA-2016-151561"/>
    <d v="2016-01-09T00:00:00"/>
    <x v="0"/>
    <x v="2"/>
    <x v="481"/>
    <n v="468.9"/>
    <n v="6"/>
    <n v="206.316"/>
    <n v="0.44"/>
    <n v="2016"/>
    <x v="0"/>
    <n v="1"/>
    <n v="78.149999999999991"/>
    <s v="Profit"/>
  </r>
  <r>
    <s v="CA-2016-151561"/>
    <d v="2016-01-09T00:00:00"/>
    <x v="0"/>
    <x v="2"/>
    <x v="947"/>
    <n v="72.48"/>
    <n v="2"/>
    <n v="30.441600000000001"/>
    <n v="0.42"/>
    <n v="2016"/>
    <x v="0"/>
    <n v="1"/>
    <n v="36.24"/>
    <s v="Profit"/>
  </r>
  <r>
    <s v="CA-2016-151561"/>
    <d v="2016-01-09T00:00:00"/>
    <x v="0"/>
    <x v="1"/>
    <x v="933"/>
    <n v="10.95"/>
    <n v="3"/>
    <n v="3.2850000000000001"/>
    <n v="0.30000000000000004"/>
    <n v="2016"/>
    <x v="0"/>
    <n v="1"/>
    <n v="3.65"/>
    <s v="Profit"/>
  </r>
  <r>
    <s v="CA-2016-151561"/>
    <d v="2016-01-09T00:00:00"/>
    <x v="0"/>
    <x v="0"/>
    <x v="948"/>
    <n v="191.82"/>
    <n v="3"/>
    <n v="61.382399999999997"/>
    <n v="0.32"/>
    <n v="2016"/>
    <x v="0"/>
    <n v="1"/>
    <n v="63.94"/>
    <s v="Profit"/>
  </r>
  <r>
    <s v="CA-2016-116526"/>
    <d v="2016-01-09T00:00:00"/>
    <x v="2"/>
    <x v="1"/>
    <x v="503"/>
    <n v="24.1"/>
    <n v="5"/>
    <n v="11.086"/>
    <n v="0.45999999999999996"/>
    <n v="2016"/>
    <x v="0"/>
    <n v="1"/>
    <n v="4.82"/>
    <s v="Profit"/>
  </r>
  <r>
    <s v="CA-2016-116526"/>
    <d v="2016-01-09T00:00:00"/>
    <x v="2"/>
    <x v="2"/>
    <x v="932"/>
    <n v="8.7799999999999994"/>
    <n v="1"/>
    <n v="2.2827999999999999"/>
    <n v="0.26"/>
    <n v="2016"/>
    <x v="0"/>
    <n v="1"/>
    <n v="8.7799999999999994"/>
    <s v="Profit"/>
  </r>
  <r>
    <s v="CA-2016-116526"/>
    <d v="2016-01-09T00:00:00"/>
    <x v="2"/>
    <x v="1"/>
    <x v="418"/>
    <n v="376.74"/>
    <n v="4"/>
    <n v="71.162000000000006"/>
    <n v="0.18888888888888891"/>
    <n v="2016"/>
    <x v="0"/>
    <n v="1"/>
    <n v="94.185000000000002"/>
    <s v="Profit"/>
  </r>
  <r>
    <s v="CA-2016-116526"/>
    <d v="2016-01-09T00:00:00"/>
    <x v="2"/>
    <x v="1"/>
    <x v="949"/>
    <n v="29.52"/>
    <n v="4"/>
    <n v="14.4648"/>
    <n v="0.49"/>
    <n v="2016"/>
    <x v="0"/>
    <n v="1"/>
    <n v="7.38"/>
    <s v="Profit"/>
  </r>
  <r>
    <s v="CA-2016-116526"/>
    <d v="2016-01-09T00:00:00"/>
    <x v="2"/>
    <x v="1"/>
    <x v="950"/>
    <n v="11.96"/>
    <n v="2"/>
    <n v="2.99"/>
    <n v="0.25"/>
    <n v="2016"/>
    <x v="0"/>
    <n v="1"/>
    <n v="5.98"/>
    <s v="Profit"/>
  </r>
  <r>
    <s v="CA-2016-116526"/>
    <d v="2016-01-09T00:00:00"/>
    <x v="2"/>
    <x v="1"/>
    <x v="754"/>
    <n v="26.4"/>
    <n v="5"/>
    <n v="12.672000000000001"/>
    <n v="0.48000000000000004"/>
    <n v="2016"/>
    <x v="0"/>
    <n v="1"/>
    <n v="5.2799999999999994"/>
    <s v="Profit"/>
  </r>
  <r>
    <s v="CA-2016-124583"/>
    <d v="2016-01-09T00:00:00"/>
    <x v="1"/>
    <x v="1"/>
    <x v="951"/>
    <n v="12.78"/>
    <n v="1"/>
    <n v="5.7510000000000003"/>
    <n v="0.45000000000000007"/>
    <n v="2016"/>
    <x v="0"/>
    <n v="1"/>
    <n v="12.78"/>
    <s v="Profit"/>
  </r>
  <r>
    <s v="CA-2016-157686"/>
    <d v="2016-01-10T00:00:00"/>
    <x v="1"/>
    <x v="0"/>
    <x v="952"/>
    <n v="194.84800000000001"/>
    <n v="4"/>
    <n v="12.178000000000001"/>
    <n v="6.25E-2"/>
    <n v="2016"/>
    <x v="0"/>
    <n v="1"/>
    <n v="48.712000000000003"/>
    <s v="Profit"/>
  </r>
  <r>
    <s v="CA-2016-155992"/>
    <d v="2016-01-10T00:00:00"/>
    <x v="2"/>
    <x v="2"/>
    <x v="953"/>
    <n v="69.900000000000006"/>
    <n v="2"/>
    <n v="18.873000000000001"/>
    <n v="0.27"/>
    <n v="2016"/>
    <x v="0"/>
    <n v="1"/>
    <n v="34.950000000000003"/>
    <s v="Profit"/>
  </r>
  <r>
    <s v="CA-2016-155992"/>
    <d v="2016-01-10T00:00:00"/>
    <x v="2"/>
    <x v="0"/>
    <x v="128"/>
    <n v="41.85"/>
    <n v="5"/>
    <n v="10.881"/>
    <n v="0.26"/>
    <n v="2016"/>
    <x v="0"/>
    <n v="1"/>
    <n v="8.370000000000001"/>
    <s v="Profit"/>
  </r>
  <r>
    <s v="CA-2016-139157"/>
    <d v="2016-01-10T00:00:00"/>
    <x v="0"/>
    <x v="0"/>
    <x v="954"/>
    <n v="330.58800000000002"/>
    <n v="1"/>
    <n v="-115.7058"/>
    <n v="-0.35"/>
    <n v="2016"/>
    <x v="0"/>
    <n v="1"/>
    <n v="330.58800000000002"/>
    <s v="Loss"/>
  </r>
  <r>
    <s v="CA-2016-111794"/>
    <d v="2016-01-10T00:00:00"/>
    <x v="2"/>
    <x v="2"/>
    <x v="490"/>
    <n v="79.512"/>
    <n v="3"/>
    <n v="20.8719"/>
    <n v="0.26250000000000001"/>
    <n v="2016"/>
    <x v="0"/>
    <n v="1"/>
    <n v="26.504000000000001"/>
    <s v="Profit"/>
  </r>
  <r>
    <s v="CA-2016-111794"/>
    <d v="2016-01-10T00:00:00"/>
    <x v="2"/>
    <x v="1"/>
    <x v="124"/>
    <n v="28.352"/>
    <n v="1"/>
    <n v="9.5687999999999995"/>
    <n v="0.33749999999999997"/>
    <n v="2016"/>
    <x v="0"/>
    <n v="1"/>
    <n v="28.352"/>
    <s v="Profit"/>
  </r>
  <r>
    <s v="CA-2016-116918"/>
    <d v="2016-01-10T00:00:00"/>
    <x v="3"/>
    <x v="1"/>
    <x v="778"/>
    <n v="5.3879999999999999"/>
    <n v="4"/>
    <n v="-4.49"/>
    <n v="-0.83333333333333337"/>
    <n v="2016"/>
    <x v="0"/>
    <n v="1"/>
    <n v="1.347"/>
    <s v="Loss"/>
  </r>
  <r>
    <s v="CA-2016-116918"/>
    <d v="2016-01-10T00:00:00"/>
    <x v="3"/>
    <x v="1"/>
    <x v="51"/>
    <n v="30.975999999999999"/>
    <n v="8"/>
    <n v="5.0335999999999999"/>
    <n v="0.16250000000000001"/>
    <n v="2016"/>
    <x v="0"/>
    <n v="1"/>
    <n v="3.8719999999999999"/>
    <s v="Profit"/>
  </r>
  <r>
    <s v="CA-2016-159212"/>
    <d v="2016-01-11T00:00:00"/>
    <x v="3"/>
    <x v="2"/>
    <x v="955"/>
    <n v="21.8"/>
    <n v="2"/>
    <n v="6.1040000000000001"/>
    <n v="0.27999999999999997"/>
    <n v="2016"/>
    <x v="0"/>
    <n v="1"/>
    <n v="10.9"/>
    <s v="Profit"/>
  </r>
  <r>
    <s v="CA-2016-159212"/>
    <d v="2016-01-11T00:00:00"/>
    <x v="3"/>
    <x v="1"/>
    <x v="956"/>
    <n v="251.79"/>
    <n v="3"/>
    <n v="118.3413"/>
    <n v="0.47000000000000003"/>
    <n v="2016"/>
    <x v="0"/>
    <n v="1"/>
    <n v="83.929999999999993"/>
    <s v="Profit"/>
  </r>
  <r>
    <s v="CA-2016-100671"/>
    <d v="2016-01-11T00:00:00"/>
    <x v="2"/>
    <x v="1"/>
    <x v="957"/>
    <n v="111.672"/>
    <n v="9"/>
    <n v="6.9794999999999998"/>
    <n v="6.25E-2"/>
    <n v="2016"/>
    <x v="0"/>
    <n v="1"/>
    <n v="12.407999999999999"/>
    <s v="Profit"/>
  </r>
  <r>
    <s v="CA-2016-129196"/>
    <d v="2016-01-11T00:00:00"/>
    <x v="2"/>
    <x v="2"/>
    <x v="593"/>
    <n v="68.111999999999995"/>
    <n v="3"/>
    <n v="17.8794"/>
    <n v="0.26250000000000001"/>
    <n v="2016"/>
    <x v="0"/>
    <n v="1"/>
    <n v="22.703999999999997"/>
    <s v="Profit"/>
  </r>
  <r>
    <s v="CA-2016-129903"/>
    <d v="2016-01-12T00:00:00"/>
    <x v="2"/>
    <x v="1"/>
    <x v="958"/>
    <n v="23.92"/>
    <n v="4"/>
    <n v="11.720800000000001"/>
    <n v="0.49"/>
    <n v="2016"/>
    <x v="0"/>
    <n v="1"/>
    <n v="5.98"/>
    <s v="Profit"/>
  </r>
  <r>
    <s v="CA-2016-113621"/>
    <d v="2016-01-12T00:00:00"/>
    <x v="0"/>
    <x v="0"/>
    <x v="702"/>
    <n v="172.5"/>
    <n v="2"/>
    <n v="51.75"/>
    <n v="0.3"/>
    <n v="2016"/>
    <x v="0"/>
    <n v="1"/>
    <n v="86.25"/>
    <s v="Profit"/>
  </r>
  <r>
    <s v="CA-2016-113621"/>
    <d v="2016-01-12T00:00:00"/>
    <x v="0"/>
    <x v="2"/>
    <x v="42"/>
    <n v="179.97"/>
    <n v="3"/>
    <n v="44.9925"/>
    <n v="0.25"/>
    <n v="2016"/>
    <x v="0"/>
    <n v="1"/>
    <n v="59.99"/>
    <s v="Profit"/>
  </r>
  <r>
    <s v="CA-2016-136434"/>
    <d v="2016-01-12T00:00:00"/>
    <x v="2"/>
    <x v="0"/>
    <x v="151"/>
    <n v="17.309999999999999"/>
    <n v="3"/>
    <n v="5.1929999999999996"/>
    <n v="0.3"/>
    <n v="2016"/>
    <x v="0"/>
    <n v="1"/>
    <n v="5.77"/>
    <s v="Profit"/>
  </r>
  <r>
    <s v="CA-2016-136483"/>
    <d v="2016-01-12T00:00:00"/>
    <x v="3"/>
    <x v="1"/>
    <x v="906"/>
    <n v="4.7039999999999997"/>
    <n v="2"/>
    <n v="0.41160000000000002"/>
    <n v="8.7500000000000008E-2"/>
    <n v="2016"/>
    <x v="0"/>
    <n v="1"/>
    <n v="2.3519999999999999"/>
    <s v="Profit"/>
  </r>
  <r>
    <s v="US-2016-150035"/>
    <d v="2016-01-12T00:00:00"/>
    <x v="1"/>
    <x v="0"/>
    <x v="128"/>
    <n v="16.739999999999998"/>
    <n v="2"/>
    <n v="4.3524000000000003"/>
    <n v="0.26000000000000006"/>
    <n v="2016"/>
    <x v="0"/>
    <n v="1"/>
    <n v="8.3699999999999992"/>
    <s v="Profit"/>
  </r>
  <r>
    <s v="CA-2016-157336"/>
    <d v="2016-01-12T00:00:00"/>
    <x v="0"/>
    <x v="1"/>
    <x v="752"/>
    <n v="88.08"/>
    <n v="6"/>
    <n v="40.516800000000003"/>
    <n v="0.46000000000000008"/>
    <n v="2016"/>
    <x v="0"/>
    <n v="1"/>
    <n v="14.68"/>
    <s v="Profit"/>
  </r>
  <r>
    <s v="CA-2016-157336"/>
    <d v="2016-01-12T00:00:00"/>
    <x v="0"/>
    <x v="0"/>
    <x v="59"/>
    <n v="751.92"/>
    <n v="4"/>
    <n v="150.38399999999999"/>
    <n v="0.19999999999999998"/>
    <n v="2016"/>
    <x v="0"/>
    <n v="1"/>
    <n v="187.98"/>
    <s v="Profit"/>
  </r>
  <r>
    <s v="CA-2016-127698"/>
    <d v="2016-01-12T00:00:00"/>
    <x v="3"/>
    <x v="2"/>
    <x v="604"/>
    <n v="863.928"/>
    <n v="9"/>
    <n v="86.392799999999994"/>
    <n v="9.9999999999999992E-2"/>
    <n v="2016"/>
    <x v="0"/>
    <n v="1"/>
    <n v="95.992000000000004"/>
    <s v="Profit"/>
  </r>
  <r>
    <s v="CA-2016-130393"/>
    <d v="2016-01-12T00:00:00"/>
    <x v="2"/>
    <x v="0"/>
    <x v="959"/>
    <n v="248.43"/>
    <n v="5"/>
    <n v="-17.745000000000001"/>
    <n v="-7.1428571428571425E-2"/>
    <n v="2016"/>
    <x v="0"/>
    <n v="1"/>
    <n v="49.686"/>
    <s v="Loss"/>
  </r>
  <r>
    <s v="CA-2016-130393"/>
    <d v="2016-01-12T00:00:00"/>
    <x v="2"/>
    <x v="1"/>
    <x v="256"/>
    <n v="11.648"/>
    <n v="4"/>
    <n v="-30.8672"/>
    <n v="-2.65"/>
    <n v="2016"/>
    <x v="0"/>
    <n v="1"/>
    <n v="2.9119999999999999"/>
    <s v="Loss"/>
  </r>
  <r>
    <s v="CA-2016-130393"/>
    <d v="2016-01-12T00:00:00"/>
    <x v="2"/>
    <x v="0"/>
    <x v="960"/>
    <n v="85.245999999999995"/>
    <n v="2"/>
    <n v="-1.2178"/>
    <n v="-1.4285714285714287E-2"/>
    <n v="2016"/>
    <x v="0"/>
    <n v="1"/>
    <n v="42.622999999999998"/>
    <s v="Loss"/>
  </r>
  <r>
    <s v="CA-2016-142594"/>
    <d v="2016-01-12T00:00:00"/>
    <x v="0"/>
    <x v="2"/>
    <x v="961"/>
    <n v="137.94"/>
    <n v="3"/>
    <n v="35.864400000000003"/>
    <n v="0.26"/>
    <n v="2016"/>
    <x v="0"/>
    <n v="1"/>
    <n v="45.98"/>
    <s v="Profit"/>
  </r>
  <r>
    <s v="CA-2016-142594"/>
    <d v="2016-01-12T00:00:00"/>
    <x v="0"/>
    <x v="0"/>
    <x v="962"/>
    <n v="111.15"/>
    <n v="5"/>
    <n v="48.905999999999999"/>
    <n v="0.43999999999999995"/>
    <n v="2016"/>
    <x v="0"/>
    <n v="1"/>
    <n v="22.23"/>
    <s v="Profit"/>
  </r>
  <r>
    <s v="CA-2016-142594"/>
    <d v="2016-01-12T00:00:00"/>
    <x v="0"/>
    <x v="1"/>
    <x v="35"/>
    <n v="901.95"/>
    <n v="3"/>
    <n v="297.64350000000002"/>
    <n v="0.33"/>
    <n v="2016"/>
    <x v="0"/>
    <n v="1"/>
    <n v="300.65000000000003"/>
    <s v="Profit"/>
  </r>
  <r>
    <s v="CA-2016-142594"/>
    <d v="2016-01-12T00:00:00"/>
    <x v="0"/>
    <x v="0"/>
    <x v="341"/>
    <n v="366.00900000000001"/>
    <n v="3"/>
    <n v="-47.058300000000003"/>
    <n v="-0.12857142857142859"/>
    <n v="2016"/>
    <x v="0"/>
    <n v="1"/>
    <n v="122.003"/>
    <s v="Loss"/>
  </r>
  <r>
    <s v="CA-2016-143805"/>
    <d v="2016-01-12T00:00:00"/>
    <x v="3"/>
    <x v="1"/>
    <x v="35"/>
    <n v="2104.5500000000002"/>
    <n v="7"/>
    <n v="694.50149999999996"/>
    <n v="0.32999999999999996"/>
    <n v="2016"/>
    <x v="0"/>
    <n v="1"/>
    <n v="300.65000000000003"/>
    <s v="Profit"/>
  </r>
  <r>
    <s v="CA-2016-143805"/>
    <d v="2016-01-12T00:00:00"/>
    <x v="3"/>
    <x v="1"/>
    <x v="194"/>
    <n v="40.700000000000003"/>
    <n v="5"/>
    <n v="11.803000000000001"/>
    <n v="0.28999999999999998"/>
    <n v="2016"/>
    <x v="0"/>
    <n v="1"/>
    <n v="8.14"/>
    <s v="Profit"/>
  </r>
  <r>
    <s v="US-2016-155768"/>
    <d v="2016-01-12T00:00:00"/>
    <x v="1"/>
    <x v="0"/>
    <x v="585"/>
    <n v="31.96"/>
    <n v="2"/>
    <n v="1.5980000000000001"/>
    <n v="0.05"/>
    <n v="2016"/>
    <x v="0"/>
    <n v="1"/>
    <n v="15.98"/>
    <s v="Profit"/>
  </r>
  <r>
    <s v="US-2016-155768"/>
    <d v="2016-01-12T00:00:00"/>
    <x v="1"/>
    <x v="1"/>
    <x v="536"/>
    <n v="47.9"/>
    <n v="1"/>
    <n v="22.992000000000001"/>
    <n v="0.48000000000000004"/>
    <n v="2016"/>
    <x v="0"/>
    <n v="1"/>
    <n v="47.9"/>
    <s v="Profit"/>
  </r>
  <r>
    <s v="US-2016-155768"/>
    <d v="2016-01-12T00:00:00"/>
    <x v="1"/>
    <x v="1"/>
    <x v="963"/>
    <n v="1112.94"/>
    <n v="3"/>
    <n v="222.58799999999999"/>
    <n v="0.19999999999999998"/>
    <n v="2016"/>
    <x v="0"/>
    <n v="1"/>
    <n v="370.98"/>
    <s v="Profit"/>
  </r>
  <r>
    <s v="US-2016-155768"/>
    <d v="2016-01-12T00:00:00"/>
    <x v="1"/>
    <x v="1"/>
    <x v="309"/>
    <n v="22.92"/>
    <n v="3"/>
    <n v="11.2308"/>
    <n v="0.49"/>
    <n v="2016"/>
    <x v="0"/>
    <n v="1"/>
    <n v="7.6400000000000006"/>
    <s v="Profit"/>
  </r>
  <r>
    <s v="CA-2016-104689"/>
    <d v="2016-01-12T00:00:00"/>
    <x v="1"/>
    <x v="1"/>
    <x v="399"/>
    <n v="23.04"/>
    <n v="8"/>
    <n v="6.9119999999999999"/>
    <n v="0.3"/>
    <n v="2016"/>
    <x v="0"/>
    <n v="1"/>
    <n v="2.88"/>
    <s v="Profit"/>
  </r>
  <r>
    <s v="CA-2016-160304"/>
    <d v="2016-02-01T00:00:00"/>
    <x v="0"/>
    <x v="0"/>
    <x v="964"/>
    <n v="173.94"/>
    <n v="3"/>
    <n v="38.266800000000003"/>
    <n v="0.22000000000000003"/>
    <n v="2016"/>
    <x v="1"/>
    <n v="2"/>
    <n v="57.98"/>
    <s v="Profit"/>
  </r>
  <r>
    <s v="CA-2016-160304"/>
    <d v="2016-02-01T00:00:00"/>
    <x v="0"/>
    <x v="2"/>
    <x v="965"/>
    <n v="231.98"/>
    <n v="2"/>
    <n v="67.274199999999993"/>
    <n v="0.28999999999999998"/>
    <n v="2016"/>
    <x v="1"/>
    <n v="2"/>
    <n v="115.99"/>
    <s v="Profit"/>
  </r>
  <r>
    <s v="CA-2016-147431"/>
    <d v="2016-02-02T00:00:00"/>
    <x v="0"/>
    <x v="1"/>
    <x v="167"/>
    <n v="117.96"/>
    <n v="2"/>
    <n v="5.8979999999999997"/>
    <n v="0.05"/>
    <n v="2016"/>
    <x v="1"/>
    <n v="2"/>
    <n v="58.98"/>
    <s v="Profit"/>
  </r>
  <r>
    <s v="CA-2016-158841"/>
    <d v="2016-02-02T00:00:00"/>
    <x v="3"/>
    <x v="2"/>
    <x v="966"/>
    <n v="8749.9500000000007"/>
    <n v="5"/>
    <n v="2799.9839999999999"/>
    <n v="0.31999999999999995"/>
    <n v="2016"/>
    <x v="1"/>
    <n v="2"/>
    <n v="1749.9900000000002"/>
    <s v="Profit"/>
  </r>
  <r>
    <s v="CA-2016-158841"/>
    <d v="2016-02-02T00:00:00"/>
    <x v="3"/>
    <x v="1"/>
    <x v="387"/>
    <n v="36.4"/>
    <n v="8"/>
    <n v="18.2"/>
    <n v="0.5"/>
    <n v="2016"/>
    <x v="1"/>
    <n v="2"/>
    <n v="4.55"/>
    <s v="Profit"/>
  </r>
  <r>
    <s v="CA-2016-158841"/>
    <d v="2016-02-02T00:00:00"/>
    <x v="3"/>
    <x v="0"/>
    <x v="967"/>
    <n v="18.690000000000001"/>
    <n v="7"/>
    <n v="7.1021999999999998"/>
    <n v="0.37999999999999995"/>
    <n v="2016"/>
    <x v="1"/>
    <n v="2"/>
    <n v="2.6700000000000004"/>
    <s v="Profit"/>
  </r>
  <r>
    <s v="CA-2016-144645"/>
    <d v="2016-02-02T00:00:00"/>
    <x v="2"/>
    <x v="0"/>
    <x v="461"/>
    <n v="73.784000000000006"/>
    <n v="2"/>
    <n v="-77.473200000000006"/>
    <n v="-1.05"/>
    <n v="2016"/>
    <x v="1"/>
    <n v="2"/>
    <n v="36.892000000000003"/>
    <s v="Loss"/>
  </r>
  <r>
    <s v="CA-2016-123540"/>
    <d v="2016-02-04T00:00:00"/>
    <x v="2"/>
    <x v="0"/>
    <x v="741"/>
    <n v="1454.9"/>
    <n v="5"/>
    <n v="378.274"/>
    <n v="0.26"/>
    <n v="2016"/>
    <x v="1"/>
    <n v="2"/>
    <n v="290.98"/>
    <s v="Profit"/>
  </r>
  <r>
    <s v="CA-2016-148698"/>
    <d v="2016-02-05T00:00:00"/>
    <x v="2"/>
    <x v="1"/>
    <x v="234"/>
    <n v="86.352000000000004"/>
    <n v="3"/>
    <n v="5.3970000000000002"/>
    <n v="6.25E-2"/>
    <n v="2016"/>
    <x v="1"/>
    <n v="2"/>
    <n v="28.784000000000002"/>
    <s v="Profit"/>
  </r>
  <r>
    <s v="CA-2016-146836"/>
    <d v="2016-02-05T00:00:00"/>
    <x v="0"/>
    <x v="1"/>
    <x v="209"/>
    <n v="44.94"/>
    <n v="3"/>
    <n v="12.5832"/>
    <n v="0.28000000000000003"/>
    <n v="2016"/>
    <x v="1"/>
    <n v="2"/>
    <n v="14.979999999999999"/>
    <s v="Profit"/>
  </r>
  <r>
    <s v="CA-2016-146836"/>
    <d v="2016-02-05T00:00:00"/>
    <x v="0"/>
    <x v="1"/>
    <x v="968"/>
    <n v="45.576000000000001"/>
    <n v="3"/>
    <n v="15.951599999999999"/>
    <n v="0.35"/>
    <n v="2016"/>
    <x v="1"/>
    <n v="2"/>
    <n v="15.192"/>
    <s v="Profit"/>
  </r>
  <r>
    <s v="CA-2016-154060"/>
    <d v="2016-02-05T00:00:00"/>
    <x v="3"/>
    <x v="0"/>
    <x v="901"/>
    <n v="187.05600000000001"/>
    <n v="9"/>
    <n v="11.691000000000001"/>
    <n v="6.25E-2"/>
    <n v="2016"/>
    <x v="1"/>
    <n v="2"/>
    <n v="20.784000000000002"/>
    <s v="Profit"/>
  </r>
  <r>
    <s v="CA-2016-104311"/>
    <d v="2016-02-05T00:00:00"/>
    <x v="2"/>
    <x v="1"/>
    <x v="969"/>
    <n v="18.936"/>
    <n v="3"/>
    <n v="-3.7871999999999999"/>
    <n v="-0.19999999999999998"/>
    <n v="2016"/>
    <x v="1"/>
    <n v="2"/>
    <n v="6.3120000000000003"/>
    <s v="Loss"/>
  </r>
  <r>
    <s v="CA-2016-104311"/>
    <d v="2016-02-05T00:00:00"/>
    <x v="2"/>
    <x v="1"/>
    <x v="524"/>
    <n v="12.672000000000001"/>
    <n v="3"/>
    <n v="-3.1680000000000001"/>
    <n v="-0.25"/>
    <n v="2016"/>
    <x v="1"/>
    <n v="2"/>
    <n v="4.2240000000000002"/>
    <s v="Loss"/>
  </r>
  <r>
    <s v="CA-2016-104311"/>
    <d v="2016-02-05T00:00:00"/>
    <x v="2"/>
    <x v="1"/>
    <x v="970"/>
    <n v="5.04"/>
    <n v="2"/>
    <n v="1.764"/>
    <n v="0.35"/>
    <n v="2016"/>
    <x v="1"/>
    <n v="2"/>
    <n v="2.52"/>
    <s v="Profit"/>
  </r>
  <r>
    <s v="CA-2016-109400"/>
    <d v="2016-02-05T00:00:00"/>
    <x v="2"/>
    <x v="0"/>
    <x v="971"/>
    <n v="366.74400000000003"/>
    <n v="4"/>
    <n v="-110.0232"/>
    <n v="-0.3"/>
    <n v="2016"/>
    <x v="1"/>
    <n v="2"/>
    <n v="91.686000000000007"/>
    <s v="Loss"/>
  </r>
  <r>
    <s v="CA-2016-158155"/>
    <d v="2016-02-05T00:00:00"/>
    <x v="0"/>
    <x v="0"/>
    <x v="972"/>
    <n v="12.56"/>
    <n v="2"/>
    <n v="4.0191999999999997"/>
    <n v="0.31999999999999995"/>
    <n v="2016"/>
    <x v="1"/>
    <n v="2"/>
    <n v="6.28"/>
    <s v="Profit"/>
  </r>
  <r>
    <s v="CA-2016-158155"/>
    <d v="2016-02-05T00:00:00"/>
    <x v="0"/>
    <x v="1"/>
    <x v="245"/>
    <n v="90.48"/>
    <n v="3"/>
    <n v="33.93"/>
    <n v="0.375"/>
    <n v="2016"/>
    <x v="1"/>
    <n v="2"/>
    <n v="30.16"/>
    <s v="Profit"/>
  </r>
  <r>
    <s v="CA-2016-158155"/>
    <d v="2016-02-05T00:00:00"/>
    <x v="0"/>
    <x v="1"/>
    <x v="973"/>
    <n v="13.08"/>
    <n v="2"/>
    <n v="6.0167999999999999"/>
    <n v="0.45999999999999996"/>
    <n v="2016"/>
    <x v="1"/>
    <n v="2"/>
    <n v="6.54"/>
    <s v="Profit"/>
  </r>
  <r>
    <s v="CA-2016-158155"/>
    <d v="2016-02-05T00:00:00"/>
    <x v="0"/>
    <x v="0"/>
    <x v="974"/>
    <n v="214.7"/>
    <n v="5"/>
    <n v="83.733000000000004"/>
    <n v="0.39"/>
    <n v="2016"/>
    <x v="1"/>
    <n v="2"/>
    <n v="42.94"/>
    <s v="Profit"/>
  </r>
  <r>
    <s v="US-2016-128293"/>
    <d v="2016-02-06T00:00:00"/>
    <x v="0"/>
    <x v="1"/>
    <x v="546"/>
    <n v="64.784000000000006"/>
    <n v="1"/>
    <n v="-12.956799999999999"/>
    <n v="-0.19999999999999998"/>
    <n v="2016"/>
    <x v="1"/>
    <n v="2"/>
    <n v="64.784000000000006"/>
    <s v="Loss"/>
  </r>
  <r>
    <s v="US-2016-119046"/>
    <d v="2016-02-06T00:00:00"/>
    <x v="1"/>
    <x v="1"/>
    <x v="975"/>
    <n v="30.18"/>
    <n v="3"/>
    <n v="13.8828"/>
    <n v="0.45999999999999996"/>
    <n v="2016"/>
    <x v="1"/>
    <n v="2"/>
    <n v="10.06"/>
    <s v="Profit"/>
  </r>
  <r>
    <s v="US-2016-119046"/>
    <d v="2016-02-06T00:00:00"/>
    <x v="1"/>
    <x v="1"/>
    <x v="976"/>
    <n v="51.648000000000003"/>
    <n v="12"/>
    <n v="18.7224"/>
    <n v="0.36249999999999999"/>
    <n v="2016"/>
    <x v="1"/>
    <n v="2"/>
    <n v="4.3040000000000003"/>
    <s v="Profit"/>
  </r>
  <r>
    <s v="US-2016-119046"/>
    <d v="2016-02-06T00:00:00"/>
    <x v="1"/>
    <x v="1"/>
    <x v="169"/>
    <n v="11.231999999999999"/>
    <n v="3"/>
    <n v="3.9312"/>
    <n v="0.35000000000000003"/>
    <n v="2016"/>
    <x v="1"/>
    <n v="2"/>
    <n v="3.7439999999999998"/>
    <s v="Profit"/>
  </r>
  <r>
    <s v="CA-2016-149314"/>
    <d v="2016-02-07T00:00:00"/>
    <x v="1"/>
    <x v="0"/>
    <x v="977"/>
    <n v="195.184"/>
    <n v="1"/>
    <n v="19.5184"/>
    <n v="0.1"/>
    <n v="2016"/>
    <x v="1"/>
    <n v="2"/>
    <n v="195.184"/>
    <s v="Profit"/>
  </r>
  <r>
    <s v="CA-2016-101469"/>
    <d v="2016-02-07T00:00:00"/>
    <x v="3"/>
    <x v="1"/>
    <x v="978"/>
    <n v="7.7"/>
    <n v="2"/>
    <n v="3.157"/>
    <n v="0.41"/>
    <n v="2016"/>
    <x v="1"/>
    <n v="2"/>
    <n v="3.85"/>
    <s v="Profit"/>
  </r>
  <r>
    <s v="CA-2016-102813"/>
    <d v="2016-02-07T00:00:00"/>
    <x v="2"/>
    <x v="0"/>
    <x v="979"/>
    <n v="528.42999999999995"/>
    <n v="5"/>
    <n v="0"/>
    <n v="0"/>
    <n v="2016"/>
    <x v="1"/>
    <n v="2"/>
    <n v="105.68599999999999"/>
    <s v="Loss"/>
  </r>
  <r>
    <s v="CA-2016-102813"/>
    <d v="2016-02-07T00:00:00"/>
    <x v="2"/>
    <x v="1"/>
    <x v="92"/>
    <n v="41.472000000000001"/>
    <n v="8"/>
    <n v="14.5152"/>
    <n v="0.35"/>
    <n v="2016"/>
    <x v="1"/>
    <n v="2"/>
    <n v="5.1840000000000002"/>
    <s v="Profit"/>
  </r>
  <r>
    <s v="CA-2016-156265"/>
    <d v="2016-02-08T00:00:00"/>
    <x v="1"/>
    <x v="0"/>
    <x v="980"/>
    <n v="136.464"/>
    <n v="2"/>
    <n v="15.3522"/>
    <n v="0.1125"/>
    <n v="2016"/>
    <x v="1"/>
    <n v="2"/>
    <n v="68.231999999999999"/>
    <s v="Profit"/>
  </r>
  <r>
    <s v="CA-2016-156265"/>
    <d v="2016-02-08T00:00:00"/>
    <x v="1"/>
    <x v="2"/>
    <x v="738"/>
    <n v="333.57600000000002"/>
    <n v="3"/>
    <n v="33.357599999999998"/>
    <n v="9.9999999999999992E-2"/>
    <n v="2016"/>
    <x v="1"/>
    <n v="2"/>
    <n v="111.19200000000001"/>
    <s v="Profit"/>
  </r>
  <r>
    <s v="CA-2016-156265"/>
    <d v="2016-02-08T00:00:00"/>
    <x v="1"/>
    <x v="1"/>
    <x v="981"/>
    <n v="12.544"/>
    <n v="2"/>
    <n v="4.7039999999999997"/>
    <n v="0.37499999999999994"/>
    <n v="2016"/>
    <x v="1"/>
    <n v="2"/>
    <n v="6.2720000000000002"/>
    <s v="Profit"/>
  </r>
  <r>
    <s v="CA-2016-130407"/>
    <d v="2016-02-09T00:00:00"/>
    <x v="0"/>
    <x v="1"/>
    <x v="982"/>
    <n v="75.48"/>
    <n v="2"/>
    <n v="19.6248"/>
    <n v="0.26"/>
    <n v="2016"/>
    <x v="1"/>
    <n v="2"/>
    <n v="37.74"/>
    <s v="Profit"/>
  </r>
  <r>
    <s v="CA-2016-130407"/>
    <d v="2016-02-09T00:00:00"/>
    <x v="0"/>
    <x v="0"/>
    <x v="328"/>
    <n v="39.979999999999997"/>
    <n v="2"/>
    <n v="9.9949999999999992"/>
    <n v="0.25"/>
    <n v="2016"/>
    <x v="1"/>
    <n v="2"/>
    <n v="19.989999999999998"/>
    <s v="Profit"/>
  </r>
  <r>
    <s v="CA-2016-116540"/>
    <d v="2016-02-09T00:00:00"/>
    <x v="2"/>
    <x v="1"/>
    <x v="983"/>
    <n v="1.81"/>
    <n v="1"/>
    <n v="0.65159999999999996"/>
    <n v="0.36"/>
    <n v="2016"/>
    <x v="1"/>
    <n v="2"/>
    <n v="1.81"/>
    <s v="Profit"/>
  </r>
  <r>
    <s v="CA-2016-116540"/>
    <d v="2016-02-09T00:00:00"/>
    <x v="2"/>
    <x v="1"/>
    <x v="152"/>
    <n v="8.26"/>
    <n v="2"/>
    <n v="3.8822000000000001"/>
    <n v="0.47000000000000003"/>
    <n v="2016"/>
    <x v="1"/>
    <n v="2"/>
    <n v="4.13"/>
    <s v="Profit"/>
  </r>
  <r>
    <s v="CA-2016-113096"/>
    <d v="2016-02-09T00:00:00"/>
    <x v="1"/>
    <x v="1"/>
    <x v="984"/>
    <n v="46.53"/>
    <n v="3"/>
    <n v="12.097799999999999"/>
    <n v="0.26"/>
    <n v="2016"/>
    <x v="1"/>
    <n v="2"/>
    <n v="15.51"/>
    <s v="Profit"/>
  </r>
  <r>
    <s v="CA-2016-144764"/>
    <d v="2016-02-09T00:00:00"/>
    <x v="2"/>
    <x v="1"/>
    <x v="985"/>
    <n v="29.24"/>
    <n v="5"/>
    <n v="9.8684999999999992"/>
    <n v="0.33749999999999997"/>
    <n v="2016"/>
    <x v="1"/>
    <n v="2"/>
    <n v="5.8479999999999999"/>
    <s v="Profit"/>
  </r>
  <r>
    <s v="CA-2016-144764"/>
    <d v="2016-02-09T00:00:00"/>
    <x v="2"/>
    <x v="1"/>
    <x v="301"/>
    <n v="35.167999999999999"/>
    <n v="2"/>
    <n v="-8.3523999999999994"/>
    <n v="-0.23749999999999999"/>
    <n v="2016"/>
    <x v="1"/>
    <n v="2"/>
    <n v="17.584"/>
    <s v="Loss"/>
  </r>
  <r>
    <s v="CA-2016-144764"/>
    <d v="2016-02-09T00:00:00"/>
    <x v="2"/>
    <x v="2"/>
    <x v="440"/>
    <n v="1362.9"/>
    <n v="3"/>
    <n v="-19.47"/>
    <n v="-1.4285714285714284E-2"/>
    <n v="2016"/>
    <x v="1"/>
    <n v="2"/>
    <n v="454.3"/>
    <s v="Loss"/>
  </r>
  <r>
    <s v="CA-2016-129847"/>
    <d v="2016-02-09T00:00:00"/>
    <x v="2"/>
    <x v="0"/>
    <x v="986"/>
    <n v="84.272000000000006"/>
    <n v="2"/>
    <n v="-75.844800000000006"/>
    <n v="-0.9"/>
    <n v="2016"/>
    <x v="1"/>
    <n v="2"/>
    <n v="42.136000000000003"/>
    <s v="Loss"/>
  </r>
  <r>
    <s v="CA-2016-106950"/>
    <d v="2016-02-09T00:00:00"/>
    <x v="3"/>
    <x v="1"/>
    <x v="761"/>
    <n v="22.911000000000001"/>
    <n v="7"/>
    <n v="-17.565100000000001"/>
    <n v="-0.76666666666666672"/>
    <n v="2016"/>
    <x v="1"/>
    <n v="2"/>
    <n v="3.2730000000000001"/>
    <s v="Loss"/>
  </r>
  <r>
    <s v="CA-2016-106950"/>
    <d v="2016-02-09T00:00:00"/>
    <x v="3"/>
    <x v="1"/>
    <x v="753"/>
    <n v="309.45600000000002"/>
    <n v="9"/>
    <n v="34.813800000000001"/>
    <n v="0.11249999999999999"/>
    <n v="2016"/>
    <x v="1"/>
    <n v="2"/>
    <n v="34.384"/>
    <s v="Profit"/>
  </r>
  <r>
    <s v="CA-2016-106950"/>
    <d v="2016-02-09T00:00:00"/>
    <x v="3"/>
    <x v="1"/>
    <x v="646"/>
    <n v="19.456"/>
    <n v="4"/>
    <n v="3.4047999999999998"/>
    <n v="0.17499999999999999"/>
    <n v="2016"/>
    <x v="1"/>
    <n v="2"/>
    <n v="4.8639999999999999"/>
    <s v="Profit"/>
  </r>
  <r>
    <s v="CA-2016-106950"/>
    <d v="2016-02-09T00:00:00"/>
    <x v="3"/>
    <x v="0"/>
    <x v="987"/>
    <n v="472.51799999999997"/>
    <n v="3"/>
    <n v="-149.63069999999999"/>
    <n v="-0.31666666666666665"/>
    <n v="2016"/>
    <x v="1"/>
    <n v="2"/>
    <n v="157.506"/>
    <s v="Loss"/>
  </r>
  <r>
    <s v="CA-2016-106950"/>
    <d v="2016-02-09T00:00:00"/>
    <x v="3"/>
    <x v="2"/>
    <x v="297"/>
    <n v="1012.68"/>
    <n v="3"/>
    <n v="303.80399999999997"/>
    <n v="0.3"/>
    <n v="2016"/>
    <x v="1"/>
    <n v="2"/>
    <n v="337.56"/>
    <s v="Profit"/>
  </r>
  <r>
    <s v="CA-2016-106950"/>
    <d v="2016-02-09T00:00:00"/>
    <x v="3"/>
    <x v="1"/>
    <x v="988"/>
    <n v="17.22"/>
    <n v="5"/>
    <n v="-12.628"/>
    <n v="-0.73333333333333339"/>
    <n v="2016"/>
    <x v="1"/>
    <n v="2"/>
    <n v="3.444"/>
    <s v="Loss"/>
  </r>
  <r>
    <s v="CA-2016-166429"/>
    <d v="2016-02-09T00:00:00"/>
    <x v="1"/>
    <x v="2"/>
    <x v="989"/>
    <n v="999.98"/>
    <n v="2"/>
    <n v="449.99099999999999"/>
    <n v="0.44999999999999996"/>
    <n v="2016"/>
    <x v="1"/>
    <n v="2"/>
    <n v="499.99"/>
    <s v="Profit"/>
  </r>
  <r>
    <s v="CA-2016-112739"/>
    <d v="2016-02-09T00:00:00"/>
    <x v="2"/>
    <x v="1"/>
    <x v="990"/>
    <n v="8.6080000000000005"/>
    <n v="8"/>
    <n v="-13.3424"/>
    <n v="-1.5499999999999998"/>
    <n v="2016"/>
    <x v="1"/>
    <n v="2"/>
    <n v="1.0760000000000001"/>
    <s v="Loss"/>
  </r>
  <r>
    <s v="CA-2016-112739"/>
    <d v="2016-02-09T00:00:00"/>
    <x v="2"/>
    <x v="2"/>
    <x v="37"/>
    <n v="159.56"/>
    <n v="5"/>
    <n v="33.906500000000001"/>
    <n v="0.21249999999999999"/>
    <n v="2016"/>
    <x v="1"/>
    <n v="2"/>
    <n v="31.911999999999999"/>
    <s v="Profit"/>
  </r>
  <r>
    <s v="CA-2016-106278"/>
    <d v="2016-02-09T00:00:00"/>
    <x v="1"/>
    <x v="0"/>
    <x v="171"/>
    <n v="215.976"/>
    <n v="3"/>
    <n v="-2.6997"/>
    <n v="-1.2500000000000001E-2"/>
    <n v="2016"/>
    <x v="1"/>
    <n v="2"/>
    <n v="71.992000000000004"/>
    <s v="Loss"/>
  </r>
  <r>
    <s v="CA-2016-106278"/>
    <d v="2016-02-09T00:00:00"/>
    <x v="1"/>
    <x v="1"/>
    <x v="991"/>
    <n v="65.94"/>
    <n v="3"/>
    <n v="30.991800000000001"/>
    <n v="0.47000000000000003"/>
    <n v="2016"/>
    <x v="1"/>
    <n v="2"/>
    <n v="21.98"/>
    <s v="Profit"/>
  </r>
  <r>
    <s v="CA-2016-126732"/>
    <d v="2016-02-09T00:00:00"/>
    <x v="1"/>
    <x v="0"/>
    <x v="992"/>
    <n v="94.68"/>
    <n v="9"/>
    <n v="31.244399999999999"/>
    <n v="0.32999999999999996"/>
    <n v="2016"/>
    <x v="1"/>
    <n v="2"/>
    <n v="10.520000000000001"/>
    <s v="Profit"/>
  </r>
  <r>
    <s v="CA-2016-126732"/>
    <d v="2016-02-09T00:00:00"/>
    <x v="1"/>
    <x v="1"/>
    <x v="969"/>
    <n v="23.67"/>
    <n v="3"/>
    <n v="0.94679999999999997"/>
    <n v="3.9999999999999994E-2"/>
    <n v="2016"/>
    <x v="1"/>
    <n v="2"/>
    <n v="7.8900000000000006"/>
    <s v="Profit"/>
  </r>
  <r>
    <s v="CA-2016-126732"/>
    <d v="2016-02-09T00:00:00"/>
    <x v="1"/>
    <x v="2"/>
    <x v="993"/>
    <n v="1091.1679999999999"/>
    <n v="4"/>
    <n v="68.197999999999993"/>
    <n v="6.25E-2"/>
    <n v="2016"/>
    <x v="1"/>
    <n v="2"/>
    <n v="272.79199999999997"/>
    <s v="Profit"/>
  </r>
  <r>
    <s v="CA-2016-126732"/>
    <d v="2016-02-09T00:00:00"/>
    <x v="1"/>
    <x v="1"/>
    <x v="516"/>
    <n v="18.690000000000001"/>
    <n v="7"/>
    <n v="5.2332000000000001"/>
    <n v="0.27999999999999997"/>
    <n v="2016"/>
    <x v="1"/>
    <n v="2"/>
    <n v="2.6700000000000004"/>
    <s v="Profit"/>
  </r>
  <r>
    <s v="CA-2016-126732"/>
    <d v="2016-02-09T00:00:00"/>
    <x v="1"/>
    <x v="0"/>
    <x v="994"/>
    <n v="568.72799999999995"/>
    <n v="3"/>
    <n v="28.436399999999999"/>
    <n v="0.05"/>
    <n v="2016"/>
    <x v="1"/>
    <n v="2"/>
    <n v="189.57599999999999"/>
    <s v="Profit"/>
  </r>
  <r>
    <s v="CA-2016-126732"/>
    <d v="2016-02-09T00:00:00"/>
    <x v="1"/>
    <x v="1"/>
    <x v="350"/>
    <n v="7.3120000000000003"/>
    <n v="1"/>
    <n v="2.5592000000000001"/>
    <n v="0.35000000000000003"/>
    <n v="2016"/>
    <x v="1"/>
    <n v="2"/>
    <n v="7.3120000000000003"/>
    <s v="Profit"/>
  </r>
  <r>
    <s v="CA-2016-134376"/>
    <d v="2016-02-10T00:00:00"/>
    <x v="0"/>
    <x v="1"/>
    <x v="488"/>
    <n v="61.44"/>
    <n v="3"/>
    <n v="16.588799999999999"/>
    <n v="0.27"/>
    <n v="2016"/>
    <x v="1"/>
    <n v="2"/>
    <n v="20.48"/>
    <s v="Profit"/>
  </r>
  <r>
    <s v="CA-2016-118969"/>
    <d v="2016-02-10T00:00:00"/>
    <x v="1"/>
    <x v="1"/>
    <x v="230"/>
    <n v="54.792000000000002"/>
    <n v="6"/>
    <n v="-40.180799999999998"/>
    <n v="-0.73333333333333328"/>
    <n v="2016"/>
    <x v="1"/>
    <n v="2"/>
    <n v="9.1319999999999997"/>
    <s v="Loss"/>
  </r>
  <r>
    <s v="CA-2016-118689"/>
    <d v="2016-02-10T00:00:00"/>
    <x v="2"/>
    <x v="1"/>
    <x v="995"/>
    <n v="32.479999999999997"/>
    <n v="2"/>
    <n v="4.8719999999999999"/>
    <n v="0.15000000000000002"/>
    <n v="2016"/>
    <x v="1"/>
    <n v="2"/>
    <n v="16.239999999999998"/>
    <s v="Profit"/>
  </r>
  <r>
    <s v="CA-2016-118689"/>
    <d v="2016-02-10T00:00:00"/>
    <x v="2"/>
    <x v="2"/>
    <x v="996"/>
    <n v="17499.95"/>
    <n v="5"/>
    <n v="8399.9760000000006"/>
    <n v="0.48000000000000004"/>
    <n v="2016"/>
    <x v="1"/>
    <n v="2"/>
    <n v="3499.9900000000002"/>
    <s v="Profit"/>
  </r>
  <r>
    <s v="CA-2016-118689"/>
    <d v="2016-02-10T00:00:00"/>
    <x v="2"/>
    <x v="1"/>
    <x v="842"/>
    <n v="735.98"/>
    <n v="2"/>
    <n v="331.19099999999997"/>
    <n v="0.44999999999999996"/>
    <n v="2016"/>
    <x v="1"/>
    <n v="2"/>
    <n v="367.99"/>
    <s v="Profit"/>
  </r>
  <r>
    <s v="CA-2016-118689"/>
    <d v="2016-02-10T00:00:00"/>
    <x v="2"/>
    <x v="1"/>
    <x v="767"/>
    <n v="34.369999999999997"/>
    <n v="7"/>
    <n v="16.8413"/>
    <n v="0.49000000000000005"/>
    <n v="2016"/>
    <x v="1"/>
    <n v="2"/>
    <n v="4.9099999999999993"/>
    <s v="Profit"/>
  </r>
  <r>
    <s v="CA-2016-118689"/>
    <d v="2016-02-10T00:00:00"/>
    <x v="2"/>
    <x v="1"/>
    <x v="217"/>
    <n v="33.96"/>
    <n v="2"/>
    <n v="9.5088000000000008"/>
    <n v="0.28000000000000003"/>
    <n v="2016"/>
    <x v="1"/>
    <n v="2"/>
    <n v="16.98"/>
    <s v="Profit"/>
  </r>
  <r>
    <s v="US-2016-108455"/>
    <d v="2016-02-12T00:00:00"/>
    <x v="1"/>
    <x v="1"/>
    <x v="847"/>
    <n v="25.92"/>
    <n v="4"/>
    <n v="12.441599999999999"/>
    <n v="0.47999999999999993"/>
    <n v="2016"/>
    <x v="1"/>
    <n v="2"/>
    <n v="6.48"/>
    <s v="Profit"/>
  </r>
  <r>
    <s v="US-2016-108455"/>
    <d v="2016-02-12T00:00:00"/>
    <x v="1"/>
    <x v="1"/>
    <x v="756"/>
    <n v="40.46"/>
    <n v="7"/>
    <n v="19.825399999999998"/>
    <n v="0.48999999999999994"/>
    <n v="2016"/>
    <x v="1"/>
    <n v="2"/>
    <n v="5.78"/>
    <s v="Profit"/>
  </r>
  <r>
    <s v="US-2016-108455"/>
    <d v="2016-02-12T00:00:00"/>
    <x v="1"/>
    <x v="1"/>
    <x v="321"/>
    <n v="33.869999999999997"/>
    <n v="3"/>
    <n v="8.8062000000000005"/>
    <n v="0.26"/>
    <n v="2016"/>
    <x v="1"/>
    <n v="2"/>
    <n v="11.29"/>
    <s v="Profit"/>
  </r>
  <r>
    <s v="US-2016-113985"/>
    <d v="2016-02-12T00:00:00"/>
    <x v="1"/>
    <x v="1"/>
    <x v="125"/>
    <n v="24.704000000000001"/>
    <n v="2"/>
    <n v="9.2639999999999993"/>
    <n v="0.37499999999999994"/>
    <n v="2016"/>
    <x v="1"/>
    <n v="2"/>
    <n v="12.352"/>
    <s v="Profit"/>
  </r>
  <r>
    <s v="US-2016-113985"/>
    <d v="2016-02-12T00:00:00"/>
    <x v="1"/>
    <x v="1"/>
    <x v="997"/>
    <n v="59.7"/>
    <n v="3"/>
    <n v="26.864999999999998"/>
    <n v="0.44999999999999996"/>
    <n v="2016"/>
    <x v="1"/>
    <n v="2"/>
    <n v="19.900000000000002"/>
    <s v="Profit"/>
  </r>
  <r>
    <s v="US-2016-113985"/>
    <d v="2016-02-12T00:00:00"/>
    <x v="1"/>
    <x v="0"/>
    <x v="998"/>
    <n v="14.52"/>
    <n v="3"/>
    <n v="5.6627999999999998"/>
    <n v="0.39"/>
    <n v="2016"/>
    <x v="1"/>
    <n v="2"/>
    <n v="4.84"/>
    <s v="Profit"/>
  </r>
  <r>
    <s v="US-2016-113985"/>
    <d v="2016-02-12T00:00:00"/>
    <x v="1"/>
    <x v="1"/>
    <x v="226"/>
    <n v="104.184"/>
    <n v="3"/>
    <n v="33.8598"/>
    <n v="0.32500000000000001"/>
    <n v="2016"/>
    <x v="1"/>
    <n v="2"/>
    <n v="34.728000000000002"/>
    <s v="Profit"/>
  </r>
  <r>
    <s v="CA-2016-163804"/>
    <d v="2016-02-12T00:00:00"/>
    <x v="0"/>
    <x v="1"/>
    <x v="999"/>
    <n v="2079.4"/>
    <n v="5"/>
    <n v="582.23199999999997"/>
    <n v="0.27999999999999997"/>
    <n v="2016"/>
    <x v="1"/>
    <n v="2"/>
    <n v="415.88"/>
    <s v="Profit"/>
  </r>
  <r>
    <s v="CA-2016-163804"/>
    <d v="2016-02-12T00:00:00"/>
    <x v="0"/>
    <x v="2"/>
    <x v="278"/>
    <n v="629.95000000000005"/>
    <n v="5"/>
    <n v="176.386"/>
    <n v="0.27999999999999997"/>
    <n v="2016"/>
    <x v="1"/>
    <n v="2"/>
    <n v="125.99000000000001"/>
    <s v="Profit"/>
  </r>
  <r>
    <s v="CA-2016-163804"/>
    <d v="2016-02-12T00:00:00"/>
    <x v="0"/>
    <x v="0"/>
    <x v="186"/>
    <n v="72.42"/>
    <n v="6"/>
    <n v="23.898599999999998"/>
    <n v="0.32999999999999996"/>
    <n v="2016"/>
    <x v="1"/>
    <n v="2"/>
    <n v="12.07"/>
    <s v="Profit"/>
  </r>
  <r>
    <s v="US-2016-155103"/>
    <d v="2016-02-12T00:00:00"/>
    <x v="0"/>
    <x v="1"/>
    <x v="1000"/>
    <n v="415.17599999999999"/>
    <n v="3"/>
    <n v="134.93219999999999"/>
    <n v="0.32500000000000001"/>
    <n v="2016"/>
    <x v="1"/>
    <n v="2"/>
    <n v="138.392"/>
    <s v="Profit"/>
  </r>
  <r>
    <s v="US-2016-155103"/>
    <d v="2016-02-12T00:00:00"/>
    <x v="0"/>
    <x v="1"/>
    <x v="752"/>
    <n v="35.231999999999999"/>
    <n v="3"/>
    <n v="11.4504"/>
    <n v="0.32500000000000001"/>
    <n v="2016"/>
    <x v="1"/>
    <n v="2"/>
    <n v="11.744"/>
    <s v="Profit"/>
  </r>
  <r>
    <s v="US-2016-155103"/>
    <d v="2016-02-12T00:00:00"/>
    <x v="0"/>
    <x v="1"/>
    <x v="1001"/>
    <n v="54.96"/>
    <n v="1"/>
    <n v="26.930399999999999"/>
    <n v="0.49"/>
    <n v="2016"/>
    <x v="1"/>
    <n v="2"/>
    <n v="54.96"/>
    <s v="Profit"/>
  </r>
  <r>
    <s v="CA-2016-143154"/>
    <d v="2016-02-12T00:00:00"/>
    <x v="1"/>
    <x v="2"/>
    <x v="280"/>
    <n v="165.6"/>
    <n v="3"/>
    <n v="-6.21"/>
    <n v="-3.7499999999999999E-2"/>
    <n v="2016"/>
    <x v="1"/>
    <n v="2"/>
    <n v="55.199999999999996"/>
    <s v="Loss"/>
  </r>
  <r>
    <s v="CA-2016-105354"/>
    <d v="2016-02-12T00:00:00"/>
    <x v="2"/>
    <x v="1"/>
    <x v="57"/>
    <n v="115.84"/>
    <n v="8"/>
    <n v="54.444800000000001"/>
    <n v="0.47"/>
    <n v="2016"/>
    <x v="1"/>
    <n v="2"/>
    <n v="14.48"/>
    <s v="Profit"/>
  </r>
  <r>
    <s v="CA-2016-164770"/>
    <d v="2016-02-12T00:00:00"/>
    <x v="2"/>
    <x v="0"/>
    <x v="1002"/>
    <n v="781.86400000000003"/>
    <n v="10"/>
    <n v="-137.976"/>
    <n v="-0.1764705882352941"/>
    <n v="2016"/>
    <x v="1"/>
    <n v="2"/>
    <n v="78.186400000000006"/>
    <s v="Loss"/>
  </r>
  <r>
    <s v="CA-2016-164770"/>
    <d v="2016-02-12T00:00:00"/>
    <x v="2"/>
    <x v="1"/>
    <x v="158"/>
    <n v="30.815999999999999"/>
    <n v="9"/>
    <n v="9.6300000000000008"/>
    <n v="0.31250000000000006"/>
    <n v="2016"/>
    <x v="1"/>
    <n v="2"/>
    <n v="3.4239999999999999"/>
    <s v="Profit"/>
  </r>
  <r>
    <s v="CA-2016-125206"/>
    <d v="2016-03-01T00:00:00"/>
    <x v="1"/>
    <x v="1"/>
    <x v="710"/>
    <n v="114.46"/>
    <n v="2"/>
    <n v="28.614999999999998"/>
    <n v="0.25"/>
    <n v="2016"/>
    <x v="2"/>
    <n v="3"/>
    <n v="57.23"/>
    <s v="Profit"/>
  </r>
  <r>
    <s v="US-2016-116365"/>
    <d v="2016-03-01T00:00:00"/>
    <x v="2"/>
    <x v="2"/>
    <x v="780"/>
    <n v="30.08"/>
    <n v="2"/>
    <n v="-5.2640000000000002"/>
    <n v="-0.17500000000000002"/>
    <n v="2016"/>
    <x v="2"/>
    <n v="3"/>
    <n v="15.04"/>
    <s v="Loss"/>
  </r>
  <r>
    <s v="US-2016-116365"/>
    <d v="2016-03-01T00:00:00"/>
    <x v="2"/>
    <x v="2"/>
    <x v="280"/>
    <n v="165.6"/>
    <n v="3"/>
    <n v="-6.21"/>
    <n v="-3.7499999999999999E-2"/>
    <n v="2016"/>
    <x v="2"/>
    <n v="3"/>
    <n v="55.199999999999996"/>
    <s v="Loss"/>
  </r>
  <r>
    <s v="US-2016-116365"/>
    <d v="2016-03-01T00:00:00"/>
    <x v="2"/>
    <x v="2"/>
    <x v="1003"/>
    <n v="180.96"/>
    <n v="5"/>
    <n v="13.571999999999999"/>
    <n v="7.4999999999999997E-2"/>
    <n v="2016"/>
    <x v="2"/>
    <n v="3"/>
    <n v="36.192"/>
    <s v="Profit"/>
  </r>
  <r>
    <s v="CA-2016-105207"/>
    <d v="2016-03-01T00:00:00"/>
    <x v="2"/>
    <x v="0"/>
    <x v="1004"/>
    <n v="1592.85"/>
    <n v="7"/>
    <n v="350.42700000000002"/>
    <n v="0.22000000000000003"/>
    <n v="2016"/>
    <x v="2"/>
    <n v="3"/>
    <n v="227.54999999999998"/>
    <s v="Profit"/>
  </r>
  <r>
    <s v="CA-2016-105207"/>
    <d v="2016-03-01T00:00:00"/>
    <x v="2"/>
    <x v="1"/>
    <x v="60"/>
    <n v="11.88"/>
    <n v="2"/>
    <n v="5.3460000000000001"/>
    <n v="0.44999999999999996"/>
    <n v="2016"/>
    <x v="2"/>
    <n v="3"/>
    <n v="5.94"/>
    <s v="Profit"/>
  </r>
  <r>
    <s v="CA-2016-118514"/>
    <d v="2016-03-02T00:00:00"/>
    <x v="3"/>
    <x v="0"/>
    <x v="1005"/>
    <n v="866.4"/>
    <n v="4"/>
    <n v="225.26400000000001"/>
    <n v="0.26"/>
    <n v="2016"/>
    <x v="2"/>
    <n v="3"/>
    <n v="216.6"/>
    <s v="Profit"/>
  </r>
  <r>
    <s v="CA-2016-112123"/>
    <d v="2016-03-03T00:00:00"/>
    <x v="0"/>
    <x v="1"/>
    <x v="449"/>
    <n v="447.86"/>
    <n v="7"/>
    <n v="219.45140000000001"/>
    <n v="0.49"/>
    <n v="2016"/>
    <x v="2"/>
    <n v="3"/>
    <n v="63.980000000000004"/>
    <s v="Profit"/>
  </r>
  <r>
    <s v="CA-2016-112123"/>
    <d v="2016-03-03T00:00:00"/>
    <x v="0"/>
    <x v="2"/>
    <x v="286"/>
    <n v="479.95"/>
    <n v="5"/>
    <n v="129.5865"/>
    <n v="0.27"/>
    <n v="2016"/>
    <x v="2"/>
    <n v="3"/>
    <n v="95.99"/>
    <s v="Profit"/>
  </r>
  <r>
    <s v="CA-2016-112123"/>
    <d v="2016-03-03T00:00:00"/>
    <x v="0"/>
    <x v="1"/>
    <x v="1006"/>
    <n v="166.44"/>
    <n v="3"/>
    <n v="79.891199999999998"/>
    <n v="0.48"/>
    <n v="2016"/>
    <x v="2"/>
    <n v="3"/>
    <n v="55.48"/>
    <s v="Profit"/>
  </r>
  <r>
    <s v="CA-2016-116799"/>
    <d v="2016-03-03T00:00:00"/>
    <x v="2"/>
    <x v="1"/>
    <x v="357"/>
    <n v="42.783999999999999"/>
    <n v="7"/>
    <n v="15.5092"/>
    <n v="0.36249999999999999"/>
    <n v="2016"/>
    <x v="2"/>
    <n v="3"/>
    <n v="6.1120000000000001"/>
    <s v="Profit"/>
  </r>
  <r>
    <s v="CA-2016-116799"/>
    <d v="2016-03-03T00:00:00"/>
    <x v="2"/>
    <x v="0"/>
    <x v="233"/>
    <n v="563.42999999999995"/>
    <n v="5"/>
    <n v="-56.343000000000004"/>
    <n v="-0.10000000000000002"/>
    <n v="2016"/>
    <x v="2"/>
    <n v="3"/>
    <n v="112.68599999999999"/>
    <s v="Loss"/>
  </r>
  <r>
    <s v="CA-2016-167759"/>
    <d v="2016-03-03T00:00:00"/>
    <x v="2"/>
    <x v="2"/>
    <x v="1007"/>
    <n v="134.85"/>
    <n v="3"/>
    <n v="37.758000000000003"/>
    <n v="0.28000000000000003"/>
    <n v="2016"/>
    <x v="2"/>
    <n v="3"/>
    <n v="44.949999999999996"/>
    <s v="Profit"/>
  </r>
  <r>
    <s v="CA-2016-145730"/>
    <d v="2016-03-03T00:00:00"/>
    <x v="2"/>
    <x v="0"/>
    <x v="1008"/>
    <n v="637.89599999999996"/>
    <n v="3"/>
    <n v="-127.5792"/>
    <n v="-0.2"/>
    <n v="2016"/>
    <x v="2"/>
    <n v="3"/>
    <n v="212.63199999999998"/>
    <s v="Loss"/>
  </r>
  <r>
    <s v="CA-2016-145730"/>
    <d v="2016-03-03T00:00:00"/>
    <x v="2"/>
    <x v="2"/>
    <x v="1009"/>
    <n v="287.91000000000003"/>
    <n v="3"/>
    <n v="33.589500000000001"/>
    <n v="0.11666666666666665"/>
    <n v="2016"/>
    <x v="2"/>
    <n v="3"/>
    <n v="95.970000000000013"/>
    <s v="Profit"/>
  </r>
  <r>
    <s v="CA-2016-145730"/>
    <d v="2016-03-03T00:00:00"/>
    <x v="2"/>
    <x v="1"/>
    <x v="366"/>
    <n v="36.6"/>
    <n v="3"/>
    <n v="11.895"/>
    <n v="0.32499999999999996"/>
    <n v="2016"/>
    <x v="2"/>
    <n v="3"/>
    <n v="12.200000000000001"/>
    <s v="Profit"/>
  </r>
  <r>
    <s v="CA-2016-120005"/>
    <d v="2016-03-03T00:00:00"/>
    <x v="1"/>
    <x v="1"/>
    <x v="361"/>
    <n v="25.35"/>
    <n v="3"/>
    <n v="7.6050000000000004"/>
    <n v="0.3"/>
    <n v="2016"/>
    <x v="2"/>
    <n v="3"/>
    <n v="8.4500000000000011"/>
    <s v="Profit"/>
  </r>
  <r>
    <s v="CA-2016-120005"/>
    <d v="2016-03-03T00:00:00"/>
    <x v="1"/>
    <x v="0"/>
    <x v="1010"/>
    <n v="35.28"/>
    <n v="3"/>
    <n v="11.995200000000001"/>
    <n v="0.34"/>
    <n v="2016"/>
    <x v="2"/>
    <n v="3"/>
    <n v="11.76"/>
    <s v="Profit"/>
  </r>
  <r>
    <s v="CA-2016-103982"/>
    <d v="2016-03-03T00:00:00"/>
    <x v="2"/>
    <x v="1"/>
    <x v="1011"/>
    <n v="3930.0720000000001"/>
    <n v="3"/>
    <n v="-786.01440000000002"/>
    <n v="-0.2"/>
    <n v="2016"/>
    <x v="2"/>
    <n v="3"/>
    <n v="1310.0240000000001"/>
    <s v="Loss"/>
  </r>
  <r>
    <s v="CA-2016-103982"/>
    <d v="2016-03-03T00:00:00"/>
    <x v="2"/>
    <x v="1"/>
    <x v="1012"/>
    <n v="2.3039999999999998"/>
    <n v="1"/>
    <n v="0.77759999999999996"/>
    <n v="0.33750000000000002"/>
    <n v="2016"/>
    <x v="2"/>
    <n v="3"/>
    <n v="2.3039999999999998"/>
    <s v="Profit"/>
  </r>
  <r>
    <s v="CA-2016-103982"/>
    <d v="2016-03-03T00:00:00"/>
    <x v="2"/>
    <x v="2"/>
    <x v="1013"/>
    <n v="431.976"/>
    <n v="3"/>
    <n v="32.398200000000003"/>
    <n v="7.5000000000000011E-2"/>
    <n v="2016"/>
    <x v="2"/>
    <n v="3"/>
    <n v="143.99199999999999"/>
    <s v="Profit"/>
  </r>
  <r>
    <s v="CA-2016-103982"/>
    <d v="2016-03-03T00:00:00"/>
    <x v="2"/>
    <x v="2"/>
    <x v="1014"/>
    <n v="41.72"/>
    <n v="7"/>
    <n v="5.7365000000000004"/>
    <n v="0.13750000000000001"/>
    <n v="2016"/>
    <x v="2"/>
    <n v="3"/>
    <n v="5.96"/>
    <s v="Profit"/>
  </r>
  <r>
    <s v="CA-2016-120796"/>
    <d v="2016-03-04T00:00:00"/>
    <x v="0"/>
    <x v="1"/>
    <x v="176"/>
    <n v="99.846000000000004"/>
    <n v="9"/>
    <n v="-83.204999999999998"/>
    <n v="-0.83333333333333326"/>
    <n v="2016"/>
    <x v="2"/>
    <n v="3"/>
    <n v="11.094000000000001"/>
    <s v="Loss"/>
  </r>
  <r>
    <s v="CA-2016-167682"/>
    <d v="2016-03-04T00:00:00"/>
    <x v="2"/>
    <x v="0"/>
    <x v="1015"/>
    <n v="71.12"/>
    <n v="4"/>
    <n v="22.0472"/>
    <n v="0.31"/>
    <n v="2016"/>
    <x v="2"/>
    <n v="3"/>
    <n v="17.78"/>
    <s v="Profit"/>
  </r>
  <r>
    <s v="CA-2016-167682"/>
    <d v="2016-03-04T00:00:00"/>
    <x v="2"/>
    <x v="2"/>
    <x v="1016"/>
    <n v="259.95999999999998"/>
    <n v="4"/>
    <n v="124.7808"/>
    <n v="0.48000000000000004"/>
    <n v="2016"/>
    <x v="2"/>
    <n v="3"/>
    <n v="64.989999999999995"/>
    <s v="Profit"/>
  </r>
  <r>
    <s v="CA-2016-162222"/>
    <d v="2016-03-04T00:00:00"/>
    <x v="2"/>
    <x v="1"/>
    <x v="158"/>
    <n v="10.272"/>
    <n v="3"/>
    <n v="3.21"/>
    <n v="0.3125"/>
    <n v="2016"/>
    <x v="2"/>
    <n v="3"/>
    <n v="3.4239999999999999"/>
    <s v="Profit"/>
  </r>
  <r>
    <s v="CA-2016-163398"/>
    <d v="2016-03-05T00:00:00"/>
    <x v="2"/>
    <x v="1"/>
    <x v="761"/>
    <n v="2.1819999999999999"/>
    <n v="1"/>
    <n v="-3.6002999999999998"/>
    <n v="-1.65"/>
    <n v="2016"/>
    <x v="2"/>
    <n v="3"/>
    <n v="2.1819999999999999"/>
    <s v="Loss"/>
  </r>
  <r>
    <s v="CA-2016-163398"/>
    <d v="2016-03-05T00:00:00"/>
    <x v="2"/>
    <x v="1"/>
    <x v="1017"/>
    <n v="27.384"/>
    <n v="7"/>
    <n v="2.7383999999999999"/>
    <n v="9.9999999999999992E-2"/>
    <n v="2016"/>
    <x v="2"/>
    <n v="3"/>
    <n v="3.9119999999999999"/>
    <s v="Profit"/>
  </r>
  <r>
    <s v="CA-2016-163398"/>
    <d v="2016-03-05T00:00:00"/>
    <x v="2"/>
    <x v="1"/>
    <x v="1018"/>
    <n v="26.405999999999999"/>
    <n v="3"/>
    <n v="-71.296199999999999"/>
    <n v="-2.7"/>
    <n v="2016"/>
    <x v="2"/>
    <n v="3"/>
    <n v="8.8019999999999996"/>
    <s v="Loss"/>
  </r>
  <r>
    <s v="CA-2016-129280"/>
    <d v="2016-03-05T00:00:00"/>
    <x v="0"/>
    <x v="2"/>
    <x v="490"/>
    <n v="132.52000000000001"/>
    <n v="5"/>
    <n v="34.786499999999997"/>
    <n v="0.26249999999999996"/>
    <n v="2016"/>
    <x v="2"/>
    <n v="3"/>
    <n v="26.504000000000001"/>
    <s v="Profit"/>
  </r>
  <r>
    <s v="CA-2016-129280"/>
    <d v="2016-03-05T00:00:00"/>
    <x v="0"/>
    <x v="1"/>
    <x v="712"/>
    <n v="195.64"/>
    <n v="5"/>
    <n v="-44.018999999999998"/>
    <n v="-0.22500000000000001"/>
    <n v="2016"/>
    <x v="2"/>
    <n v="3"/>
    <n v="39.128"/>
    <s v="Loss"/>
  </r>
  <r>
    <s v="CA-2016-129280"/>
    <d v="2016-03-05T00:00:00"/>
    <x v="0"/>
    <x v="0"/>
    <x v="1019"/>
    <n v="51.968000000000004"/>
    <n v="2"/>
    <n v="10.393599999999999"/>
    <n v="0.19999999999999998"/>
    <n v="2016"/>
    <x v="2"/>
    <n v="3"/>
    <n v="25.984000000000002"/>
    <s v="Profit"/>
  </r>
  <r>
    <s v="CA-2016-129280"/>
    <d v="2016-03-05T00:00:00"/>
    <x v="0"/>
    <x v="2"/>
    <x v="1020"/>
    <n v="431.976"/>
    <n v="3"/>
    <n v="-75.595799999999997"/>
    <n v="-0.17499999999999999"/>
    <n v="2016"/>
    <x v="2"/>
    <n v="3"/>
    <n v="143.99199999999999"/>
    <s v="Loss"/>
  </r>
  <r>
    <s v="CA-2016-129280"/>
    <d v="2016-03-05T00:00:00"/>
    <x v="0"/>
    <x v="2"/>
    <x v="1021"/>
    <n v="224.93700000000001"/>
    <n v="3"/>
    <n v="-164.9538"/>
    <n v="-0.73333333333333328"/>
    <n v="2016"/>
    <x v="2"/>
    <n v="3"/>
    <n v="74.978999999999999"/>
    <s v="Loss"/>
  </r>
  <r>
    <s v="CA-2016-129280"/>
    <d v="2016-03-05T00:00:00"/>
    <x v="0"/>
    <x v="1"/>
    <x v="1022"/>
    <n v="6"/>
    <n v="2"/>
    <n v="2.1"/>
    <n v="0.35000000000000003"/>
    <n v="2016"/>
    <x v="2"/>
    <n v="3"/>
    <n v="3"/>
    <s v="Profit"/>
  </r>
  <r>
    <s v="CA-2016-164889"/>
    <d v="2016-03-06T00:00:00"/>
    <x v="1"/>
    <x v="0"/>
    <x v="728"/>
    <n v="71.087999999999994"/>
    <n v="2"/>
    <n v="-1.7771999999999999"/>
    <n v="-2.5000000000000001E-2"/>
    <n v="2016"/>
    <x v="2"/>
    <n v="3"/>
    <n v="35.543999999999997"/>
    <s v="Loss"/>
  </r>
  <r>
    <s v="CA-2016-130029"/>
    <d v="2016-03-07T00:00:00"/>
    <x v="1"/>
    <x v="1"/>
    <x v="1023"/>
    <n v="12.96"/>
    <n v="2"/>
    <n v="6.2207999999999997"/>
    <n v="0.47999999999999993"/>
    <n v="2016"/>
    <x v="2"/>
    <n v="3"/>
    <n v="6.48"/>
    <s v="Profit"/>
  </r>
  <r>
    <s v="CA-2016-130029"/>
    <d v="2016-03-07T00:00:00"/>
    <x v="1"/>
    <x v="1"/>
    <x v="576"/>
    <n v="3.96"/>
    <n v="2"/>
    <n v="7.9200000000000007E-2"/>
    <n v="0.02"/>
    <n v="2016"/>
    <x v="2"/>
    <n v="3"/>
    <n v="1.98"/>
    <s v="Profit"/>
  </r>
  <r>
    <s v="CA-2016-168543"/>
    <d v="2016-03-07T00:00:00"/>
    <x v="0"/>
    <x v="1"/>
    <x v="1024"/>
    <n v="706.86"/>
    <n v="7"/>
    <n v="197.92080000000001"/>
    <n v="0.28000000000000003"/>
    <n v="2016"/>
    <x v="2"/>
    <n v="3"/>
    <n v="100.98"/>
    <s v="Profit"/>
  </r>
  <r>
    <s v="CA-2016-104983"/>
    <d v="2016-03-07T00:00:00"/>
    <x v="0"/>
    <x v="1"/>
    <x v="1025"/>
    <n v="123.92"/>
    <n v="5"/>
    <n v="38.725000000000001"/>
    <n v="0.3125"/>
    <n v="2016"/>
    <x v="2"/>
    <n v="3"/>
    <n v="24.783999999999999"/>
    <s v="Profit"/>
  </r>
  <r>
    <s v="CA-2016-104150"/>
    <d v="2016-03-08T00:00:00"/>
    <x v="2"/>
    <x v="1"/>
    <x v="701"/>
    <n v="81.540000000000006"/>
    <n v="3"/>
    <n v="38.323799999999999"/>
    <n v="0.47"/>
    <n v="2016"/>
    <x v="2"/>
    <n v="3"/>
    <n v="27.180000000000003"/>
    <s v="Profit"/>
  </r>
  <r>
    <s v="CA-2016-104150"/>
    <d v="2016-03-08T00:00:00"/>
    <x v="2"/>
    <x v="2"/>
    <x v="583"/>
    <n v="167.28"/>
    <n v="12"/>
    <n v="23.4192"/>
    <n v="0.13999999999999999"/>
    <n v="2016"/>
    <x v="2"/>
    <n v="3"/>
    <n v="13.94"/>
    <s v="Profit"/>
  </r>
  <r>
    <s v="CA-2016-158099"/>
    <d v="2016-03-09T00:00:00"/>
    <x v="0"/>
    <x v="1"/>
    <x v="873"/>
    <n v="1141.47"/>
    <n v="5"/>
    <n v="-760.98"/>
    <n v="-0.66666666666666663"/>
    <n v="2016"/>
    <x v="2"/>
    <n v="3"/>
    <n v="228.29400000000001"/>
    <s v="Loss"/>
  </r>
  <r>
    <s v="CA-2016-158099"/>
    <d v="2016-03-09T00:00:00"/>
    <x v="0"/>
    <x v="2"/>
    <x v="609"/>
    <n v="280.78199999999998"/>
    <n v="3"/>
    <n v="-46.796999999999997"/>
    <n v="-0.16666666666666666"/>
    <n v="2016"/>
    <x v="2"/>
    <n v="3"/>
    <n v="93.593999999999994"/>
    <s v="Loss"/>
  </r>
  <r>
    <s v="US-2016-100566"/>
    <d v="2016-03-09T00:00:00"/>
    <x v="2"/>
    <x v="0"/>
    <x v="97"/>
    <n v="83.951999999999998"/>
    <n v="3"/>
    <n v="-90.248400000000004"/>
    <n v="-1.0750000000000002"/>
    <n v="2016"/>
    <x v="2"/>
    <n v="3"/>
    <n v="27.983999999999998"/>
    <s v="Loss"/>
  </r>
  <r>
    <s v="CA-2016-159737"/>
    <d v="2016-03-09T00:00:00"/>
    <x v="2"/>
    <x v="1"/>
    <x v="752"/>
    <n v="8.8079999999999998"/>
    <n v="3"/>
    <n v="-14.973599999999999"/>
    <n v="-1.7"/>
    <n v="2016"/>
    <x v="2"/>
    <n v="3"/>
    <n v="2.9359999999999999"/>
    <s v="Loss"/>
  </r>
  <r>
    <s v="CA-2016-132143"/>
    <d v="2016-03-09T00:00:00"/>
    <x v="0"/>
    <x v="1"/>
    <x v="135"/>
    <n v="48.16"/>
    <n v="7"/>
    <n v="22.153600000000001"/>
    <n v="0.46000000000000008"/>
    <n v="2016"/>
    <x v="2"/>
    <n v="3"/>
    <n v="6.88"/>
    <s v="Profit"/>
  </r>
  <r>
    <s v="CA-2016-163986"/>
    <d v="2016-03-09T00:00:00"/>
    <x v="2"/>
    <x v="1"/>
    <x v="162"/>
    <n v="54.5"/>
    <n v="5"/>
    <n v="14.17"/>
    <n v="0.26"/>
    <n v="2016"/>
    <x v="2"/>
    <n v="3"/>
    <n v="10.9"/>
    <s v="Profit"/>
  </r>
  <r>
    <s v="US-2016-101616"/>
    <d v="2016-03-09T00:00:00"/>
    <x v="3"/>
    <x v="1"/>
    <x v="761"/>
    <n v="87.28"/>
    <n v="8"/>
    <n v="41.021599999999999"/>
    <n v="0.47"/>
    <n v="2016"/>
    <x v="2"/>
    <n v="3"/>
    <n v="10.91"/>
    <s v="Profit"/>
  </r>
  <r>
    <s v="US-2016-147711"/>
    <d v="2016-03-09T00:00:00"/>
    <x v="0"/>
    <x v="0"/>
    <x v="682"/>
    <n v="344.94"/>
    <n v="3"/>
    <n v="31.044599999999999"/>
    <n v="0.09"/>
    <n v="2016"/>
    <x v="2"/>
    <n v="3"/>
    <n v="114.98"/>
    <s v="Profit"/>
  </r>
  <r>
    <s v="US-2016-147711"/>
    <d v="2016-03-09T00:00:00"/>
    <x v="0"/>
    <x v="0"/>
    <x v="185"/>
    <n v="14.76"/>
    <n v="2"/>
    <n v="4.2804000000000002"/>
    <n v="0.29000000000000004"/>
    <n v="2016"/>
    <x v="2"/>
    <n v="3"/>
    <n v="7.38"/>
    <s v="Profit"/>
  </r>
  <r>
    <s v="US-2016-147711"/>
    <d v="2016-03-09T00:00:00"/>
    <x v="0"/>
    <x v="1"/>
    <x v="1026"/>
    <n v="12.76"/>
    <n v="2"/>
    <n v="5.8696000000000002"/>
    <n v="0.46"/>
    <n v="2016"/>
    <x v="2"/>
    <n v="3"/>
    <n v="6.38"/>
    <s v="Profit"/>
  </r>
  <r>
    <s v="US-2016-147711"/>
    <d v="2016-03-09T00:00:00"/>
    <x v="0"/>
    <x v="1"/>
    <x v="1027"/>
    <n v="58.48"/>
    <n v="8"/>
    <n v="27.485600000000002"/>
    <n v="0.47000000000000003"/>
    <n v="2016"/>
    <x v="2"/>
    <n v="3"/>
    <n v="7.31"/>
    <s v="Profit"/>
  </r>
  <r>
    <s v="US-2016-104815"/>
    <d v="2016-03-09T00:00:00"/>
    <x v="2"/>
    <x v="0"/>
    <x v="14"/>
    <n v="198.744"/>
    <n v="4"/>
    <n v="0"/>
    <n v="0"/>
    <n v="2016"/>
    <x v="2"/>
    <n v="3"/>
    <n v="49.686"/>
    <s v="Loss"/>
  </r>
  <r>
    <s v="CA-2016-153185"/>
    <d v="2016-03-09T00:00:00"/>
    <x v="0"/>
    <x v="1"/>
    <x v="294"/>
    <n v="30.96"/>
    <n v="6"/>
    <n v="11.223000000000001"/>
    <n v="0.36249999999999999"/>
    <n v="2016"/>
    <x v="2"/>
    <n v="3"/>
    <n v="5.16"/>
    <s v="Profit"/>
  </r>
  <r>
    <s v="CA-2016-140634"/>
    <d v="2016-03-10T00:00:00"/>
    <x v="2"/>
    <x v="1"/>
    <x v="11"/>
    <n v="15.648"/>
    <n v="2"/>
    <n v="5.0856000000000003"/>
    <n v="0.32500000000000001"/>
    <n v="2016"/>
    <x v="2"/>
    <n v="3"/>
    <n v="7.8239999999999998"/>
    <s v="Profit"/>
  </r>
  <r>
    <s v="CA-2016-144939"/>
    <d v="2016-03-10T00:00:00"/>
    <x v="0"/>
    <x v="0"/>
    <x v="5"/>
    <n v="599.29200000000003"/>
    <n v="6"/>
    <n v="93.223200000000006"/>
    <n v="0.15555555555555556"/>
    <n v="2016"/>
    <x v="2"/>
    <n v="3"/>
    <n v="99.882000000000005"/>
    <s v="Profit"/>
  </r>
  <r>
    <s v="CA-2016-103919"/>
    <d v="2016-03-10T00:00:00"/>
    <x v="2"/>
    <x v="0"/>
    <x v="921"/>
    <n v="38.08"/>
    <n v="5"/>
    <n v="-29.512"/>
    <n v="-0.77500000000000002"/>
    <n v="2016"/>
    <x v="2"/>
    <n v="3"/>
    <n v="7.6159999999999997"/>
    <s v="Loss"/>
  </r>
  <r>
    <s v="CA-2016-101672"/>
    <d v="2016-03-10T00:00:00"/>
    <x v="1"/>
    <x v="1"/>
    <x v="883"/>
    <n v="6.16"/>
    <n v="2"/>
    <n v="2.9567999999999999"/>
    <n v="0.48"/>
    <n v="2016"/>
    <x v="2"/>
    <n v="3"/>
    <n v="3.08"/>
    <s v="Profit"/>
  </r>
  <r>
    <s v="CA-2016-101672"/>
    <d v="2016-03-10T00:00:00"/>
    <x v="1"/>
    <x v="0"/>
    <x v="1028"/>
    <n v="915.13599999999997"/>
    <n v="4"/>
    <n v="102.9528"/>
    <n v="0.1125"/>
    <n v="2016"/>
    <x v="2"/>
    <n v="3"/>
    <n v="228.78399999999999"/>
    <s v="Profit"/>
  </r>
  <r>
    <s v="CA-2016-101672"/>
    <d v="2016-03-10T00:00:00"/>
    <x v="1"/>
    <x v="1"/>
    <x v="1029"/>
    <n v="8.56"/>
    <n v="2"/>
    <n v="3.8519999999999999"/>
    <n v="0.44999999999999996"/>
    <n v="2016"/>
    <x v="2"/>
    <n v="3"/>
    <n v="4.28"/>
    <s v="Profit"/>
  </r>
  <r>
    <s v="CA-2016-101672"/>
    <d v="2016-03-10T00:00:00"/>
    <x v="1"/>
    <x v="1"/>
    <x v="289"/>
    <n v="97.82"/>
    <n v="2"/>
    <n v="45.9754"/>
    <n v="0.47000000000000003"/>
    <n v="2016"/>
    <x v="2"/>
    <n v="3"/>
    <n v="48.91"/>
    <s v="Profit"/>
  </r>
  <r>
    <s v="CA-2016-128867"/>
    <d v="2016-03-11T00:00:00"/>
    <x v="2"/>
    <x v="1"/>
    <x v="413"/>
    <n v="75.959999999999994"/>
    <n v="2"/>
    <n v="22.788"/>
    <n v="0.30000000000000004"/>
    <n v="2016"/>
    <x v="2"/>
    <n v="3"/>
    <n v="37.979999999999997"/>
    <s v="Profit"/>
  </r>
  <r>
    <s v="CA-2016-128867"/>
    <d v="2016-03-11T00:00:00"/>
    <x v="2"/>
    <x v="1"/>
    <x v="1030"/>
    <n v="27.24"/>
    <n v="6"/>
    <n v="13.3476"/>
    <n v="0.49000000000000005"/>
    <n v="2016"/>
    <x v="2"/>
    <n v="3"/>
    <n v="4.54"/>
    <s v="Profit"/>
  </r>
  <r>
    <s v="CA-2016-127250"/>
    <d v="2016-03-11T00:00:00"/>
    <x v="1"/>
    <x v="1"/>
    <x v="1031"/>
    <n v="8.82"/>
    <n v="3"/>
    <n v="2.3814000000000002"/>
    <n v="0.27"/>
    <n v="2016"/>
    <x v="2"/>
    <n v="3"/>
    <n v="2.94"/>
    <s v="Profit"/>
  </r>
  <r>
    <s v="CA-2016-114972"/>
    <d v="2016-03-11T00:00:00"/>
    <x v="1"/>
    <x v="0"/>
    <x v="476"/>
    <n v="217.584"/>
    <n v="2"/>
    <n v="-29.9178"/>
    <n v="-0.13749999999999998"/>
    <n v="2016"/>
    <x v="2"/>
    <n v="3"/>
    <n v="108.792"/>
    <s v="Loss"/>
  </r>
  <r>
    <s v="CA-2016-114972"/>
    <d v="2016-03-11T00:00:00"/>
    <x v="1"/>
    <x v="2"/>
    <x v="108"/>
    <n v="82.95"/>
    <n v="5"/>
    <n v="29.032499999999999"/>
    <n v="0.35"/>
    <n v="2016"/>
    <x v="2"/>
    <n v="3"/>
    <n v="16.59"/>
    <s v="Profit"/>
  </r>
  <r>
    <s v="CA-2016-114972"/>
    <d v="2016-03-11T00:00:00"/>
    <x v="1"/>
    <x v="1"/>
    <x v="821"/>
    <n v="87.71"/>
    <n v="7"/>
    <n v="41.223700000000001"/>
    <n v="0.47000000000000003"/>
    <n v="2016"/>
    <x v="2"/>
    <n v="3"/>
    <n v="12.53"/>
    <s v="Profit"/>
  </r>
  <r>
    <s v="CA-2016-114972"/>
    <d v="2016-03-11T00:00:00"/>
    <x v="1"/>
    <x v="1"/>
    <x v="1032"/>
    <n v="1101.48"/>
    <n v="4"/>
    <n v="429.5772"/>
    <n v="0.39"/>
    <n v="2016"/>
    <x v="2"/>
    <n v="3"/>
    <n v="275.37"/>
    <s v="Profit"/>
  </r>
  <r>
    <s v="CA-2016-168893"/>
    <d v="2016-03-11T00:00:00"/>
    <x v="3"/>
    <x v="1"/>
    <x v="165"/>
    <n v="20"/>
    <n v="4"/>
    <n v="9.6"/>
    <n v="0.48"/>
    <n v="2016"/>
    <x v="2"/>
    <n v="3"/>
    <n v="5"/>
    <s v="Profit"/>
  </r>
  <r>
    <s v="CA-2016-168893"/>
    <d v="2016-03-11T00:00:00"/>
    <x v="3"/>
    <x v="1"/>
    <x v="1033"/>
    <n v="7.98"/>
    <n v="3"/>
    <n v="2.0748000000000002"/>
    <n v="0.26"/>
    <n v="2016"/>
    <x v="2"/>
    <n v="3"/>
    <n v="2.66"/>
    <s v="Profit"/>
  </r>
  <r>
    <s v="CA-2016-168893"/>
    <d v="2016-03-11T00:00:00"/>
    <x v="3"/>
    <x v="0"/>
    <x v="91"/>
    <n v="24.1"/>
    <n v="5"/>
    <n v="9.1579999999999995"/>
    <n v="0.37999999999999995"/>
    <n v="2016"/>
    <x v="2"/>
    <n v="3"/>
    <n v="4.82"/>
    <s v="Profit"/>
  </r>
  <r>
    <s v="CA-2016-168893"/>
    <d v="2016-03-11T00:00:00"/>
    <x v="3"/>
    <x v="1"/>
    <x v="1034"/>
    <n v="8.75"/>
    <n v="1"/>
    <n v="2.625"/>
    <n v="0.3"/>
    <n v="2016"/>
    <x v="2"/>
    <n v="3"/>
    <n v="8.75"/>
    <s v="Profit"/>
  </r>
  <r>
    <s v="CA-2016-168893"/>
    <d v="2016-03-11T00:00:00"/>
    <x v="3"/>
    <x v="0"/>
    <x v="1035"/>
    <n v="842.94"/>
    <n v="3"/>
    <n v="160.15860000000001"/>
    <n v="0.19"/>
    <n v="2016"/>
    <x v="2"/>
    <n v="3"/>
    <n v="280.98"/>
    <s v="Profit"/>
  </r>
  <r>
    <s v="CA-2016-109365"/>
    <d v="2016-03-11T00:00:00"/>
    <x v="1"/>
    <x v="1"/>
    <x v="870"/>
    <n v="15.26"/>
    <n v="7"/>
    <n v="5.0358000000000001"/>
    <n v="0.33"/>
    <n v="2016"/>
    <x v="2"/>
    <n v="3"/>
    <n v="2.1800000000000002"/>
    <s v="Profit"/>
  </r>
  <r>
    <s v="CA-2016-109365"/>
    <d v="2016-03-11T00:00:00"/>
    <x v="1"/>
    <x v="1"/>
    <x v="1036"/>
    <n v="43.32"/>
    <n v="2"/>
    <n v="14.2956"/>
    <n v="0.33"/>
    <n v="2016"/>
    <x v="2"/>
    <n v="3"/>
    <n v="21.66"/>
    <s v="Profit"/>
  </r>
  <r>
    <s v="CA-2016-109365"/>
    <d v="2016-03-11T00:00:00"/>
    <x v="1"/>
    <x v="1"/>
    <x v="1030"/>
    <n v="43.584000000000003"/>
    <n v="12"/>
    <n v="15.799200000000001"/>
    <n v="0.36249999999999999"/>
    <n v="2016"/>
    <x v="2"/>
    <n v="3"/>
    <n v="3.6320000000000001"/>
    <s v="Profit"/>
  </r>
  <r>
    <s v="CA-2016-109365"/>
    <d v="2016-03-11T00:00:00"/>
    <x v="1"/>
    <x v="1"/>
    <x v="1037"/>
    <n v="116.28"/>
    <n v="3"/>
    <n v="56.977200000000003"/>
    <n v="0.49000000000000005"/>
    <n v="2016"/>
    <x v="2"/>
    <n v="3"/>
    <n v="38.76"/>
    <s v="Profit"/>
  </r>
  <r>
    <s v="CA-2016-109365"/>
    <d v="2016-03-11T00:00:00"/>
    <x v="1"/>
    <x v="1"/>
    <x v="250"/>
    <n v="9.2959999999999994"/>
    <n v="2"/>
    <n v="3.0211999999999999"/>
    <n v="0.32500000000000001"/>
    <n v="2016"/>
    <x v="2"/>
    <n v="3"/>
    <n v="4.6479999999999997"/>
    <s v="Profit"/>
  </r>
  <r>
    <s v="CA-2016-109365"/>
    <d v="2016-03-11T00:00:00"/>
    <x v="1"/>
    <x v="1"/>
    <x v="1038"/>
    <n v="19.440000000000001"/>
    <n v="3"/>
    <n v="9.3312000000000008"/>
    <n v="0.48000000000000004"/>
    <n v="2016"/>
    <x v="2"/>
    <n v="3"/>
    <n v="6.48"/>
    <s v="Profit"/>
  </r>
  <r>
    <s v="CA-2016-109365"/>
    <d v="2016-03-11T00:00:00"/>
    <x v="1"/>
    <x v="1"/>
    <x v="751"/>
    <n v="314.55"/>
    <n v="3"/>
    <n v="150.98400000000001"/>
    <n v="0.48000000000000004"/>
    <n v="2016"/>
    <x v="2"/>
    <n v="3"/>
    <n v="104.85000000000001"/>
    <s v="Profit"/>
  </r>
  <r>
    <s v="CA-2016-160136"/>
    <d v="2016-03-11T00:00:00"/>
    <x v="2"/>
    <x v="1"/>
    <x v="915"/>
    <n v="9.2479999999999993"/>
    <n v="2"/>
    <n v="3.3523999999999998"/>
    <n v="0.36249999999999999"/>
    <n v="2016"/>
    <x v="2"/>
    <n v="3"/>
    <n v="4.6239999999999997"/>
    <s v="Profit"/>
  </r>
  <r>
    <s v="CA-2016-159023"/>
    <d v="2016-03-11T00:00:00"/>
    <x v="1"/>
    <x v="1"/>
    <x v="1039"/>
    <n v="4.1580000000000004"/>
    <n v="7"/>
    <n v="-3.4649999999999999"/>
    <n v="-0.83333333333333326"/>
    <n v="2016"/>
    <x v="2"/>
    <n v="3"/>
    <n v="0.59400000000000008"/>
    <s v="Loss"/>
  </r>
  <r>
    <s v="CA-2016-159023"/>
    <d v="2016-03-11T00:00:00"/>
    <x v="1"/>
    <x v="2"/>
    <x v="1040"/>
    <n v="179.99100000000001"/>
    <n v="3"/>
    <n v="-251.98740000000001"/>
    <n v="-1.4"/>
    <n v="2016"/>
    <x v="2"/>
    <n v="3"/>
    <n v="59.997000000000007"/>
    <s v="Loss"/>
  </r>
  <r>
    <s v="CA-2016-134180"/>
    <d v="2016-03-11T00:00:00"/>
    <x v="0"/>
    <x v="2"/>
    <x v="130"/>
    <n v="72"/>
    <n v="1"/>
    <n v="14.4"/>
    <n v="0.2"/>
    <n v="2016"/>
    <x v="2"/>
    <n v="3"/>
    <n v="72"/>
    <s v="Profit"/>
  </r>
  <r>
    <s v="CA-2016-134180"/>
    <d v="2016-03-11T00:00:00"/>
    <x v="0"/>
    <x v="0"/>
    <x v="1041"/>
    <n v="470.15499999999997"/>
    <n v="7"/>
    <n v="-13.433"/>
    <n v="-2.8571428571428574E-2"/>
    <n v="2016"/>
    <x v="2"/>
    <n v="3"/>
    <n v="67.164999999999992"/>
    <s v="Loss"/>
  </r>
  <r>
    <s v="US-2016-150861"/>
    <d v="2016-03-12T00:00:00"/>
    <x v="0"/>
    <x v="1"/>
    <x v="1042"/>
    <n v="182.72"/>
    <n v="8"/>
    <n v="84.051199999999994"/>
    <n v="0.45999999999999996"/>
    <n v="2016"/>
    <x v="2"/>
    <n v="3"/>
    <n v="22.84"/>
    <s v="Profit"/>
  </r>
  <r>
    <s v="US-2016-150861"/>
    <d v="2016-03-12T00:00:00"/>
    <x v="0"/>
    <x v="0"/>
    <x v="762"/>
    <n v="400.03199999999998"/>
    <n v="2"/>
    <n v="-153.34559999999999"/>
    <n v="-0.3833333333333333"/>
    <n v="2016"/>
    <x v="2"/>
    <n v="3"/>
    <n v="200.01599999999999"/>
    <s v="Loss"/>
  </r>
  <r>
    <s v="US-2016-150861"/>
    <d v="2016-03-12T00:00:00"/>
    <x v="0"/>
    <x v="1"/>
    <x v="1043"/>
    <n v="33.630000000000003"/>
    <n v="3"/>
    <n v="10.089"/>
    <n v="0.3"/>
    <n v="2016"/>
    <x v="2"/>
    <n v="3"/>
    <n v="11.21"/>
    <s v="Profit"/>
  </r>
  <r>
    <s v="US-2016-150861"/>
    <d v="2016-03-12T00:00:00"/>
    <x v="0"/>
    <x v="0"/>
    <x v="1044"/>
    <n v="542.64599999999996"/>
    <n v="3"/>
    <n v="102.49979999999999"/>
    <n v="0.18888888888888888"/>
    <n v="2016"/>
    <x v="2"/>
    <n v="3"/>
    <n v="180.88199999999998"/>
    <s v="Profit"/>
  </r>
  <r>
    <s v="US-2016-150861"/>
    <d v="2016-03-12T00:00:00"/>
    <x v="0"/>
    <x v="1"/>
    <x v="352"/>
    <n v="6.3"/>
    <n v="2"/>
    <n v="3.024"/>
    <n v="0.48000000000000004"/>
    <n v="2016"/>
    <x v="2"/>
    <n v="3"/>
    <n v="3.15"/>
    <s v="Profit"/>
  </r>
  <r>
    <s v="US-2016-161683"/>
    <d v="2016-03-12T00:00:00"/>
    <x v="0"/>
    <x v="1"/>
    <x v="1045"/>
    <n v="394.81599999999997"/>
    <n v="4"/>
    <n v="93.768799999999999"/>
    <n v="0.23750000000000002"/>
    <n v="2016"/>
    <x v="2"/>
    <n v="3"/>
    <n v="98.703999999999994"/>
    <s v="Profit"/>
  </r>
  <r>
    <s v="US-2016-161683"/>
    <d v="2016-03-12T00:00:00"/>
    <x v="0"/>
    <x v="1"/>
    <x v="1046"/>
    <n v="18.192"/>
    <n v="4"/>
    <n v="-14.553599999999999"/>
    <n v="-0.79999999999999993"/>
    <n v="2016"/>
    <x v="2"/>
    <n v="3"/>
    <n v="4.548"/>
    <s v="Loss"/>
  </r>
  <r>
    <s v="CA-2016-153598"/>
    <d v="2016-03-12T00:00:00"/>
    <x v="1"/>
    <x v="2"/>
    <x v="1047"/>
    <n v="1649.95"/>
    <n v="5"/>
    <n v="659.98"/>
    <n v="0.4"/>
    <n v="2016"/>
    <x v="2"/>
    <n v="3"/>
    <n v="329.99"/>
    <s v="Profit"/>
  </r>
  <r>
    <s v="CA-2016-153598"/>
    <d v="2016-03-12T00:00:00"/>
    <x v="1"/>
    <x v="0"/>
    <x v="1048"/>
    <n v="111.9"/>
    <n v="6"/>
    <n v="51.473999999999997"/>
    <n v="0.45999999999999996"/>
    <n v="2016"/>
    <x v="2"/>
    <n v="3"/>
    <n v="18.650000000000002"/>
    <s v="Profit"/>
  </r>
  <r>
    <s v="CA-2016-122063"/>
    <d v="2016-03-12T00:00:00"/>
    <x v="2"/>
    <x v="0"/>
    <x v="421"/>
    <n v="581.96"/>
    <n v="2"/>
    <n v="104.75279999999999"/>
    <n v="0.17999999999999997"/>
    <n v="2016"/>
    <x v="2"/>
    <n v="3"/>
    <n v="290.98"/>
    <s v="Profit"/>
  </r>
  <r>
    <s v="CA-2016-122063"/>
    <d v="2016-03-12T00:00:00"/>
    <x v="2"/>
    <x v="0"/>
    <x v="1049"/>
    <n v="29.98"/>
    <n v="1"/>
    <n v="8.0945999999999998"/>
    <n v="0.26999999999999996"/>
    <n v="2016"/>
    <x v="2"/>
    <n v="3"/>
    <n v="29.98"/>
    <s v="Profit"/>
  </r>
  <r>
    <s v="CA-2016-161025"/>
    <d v="2016-03-12T00:00:00"/>
    <x v="1"/>
    <x v="1"/>
    <x v="520"/>
    <n v="772.68"/>
    <n v="4"/>
    <n v="108.1752"/>
    <n v="0.14000000000000001"/>
    <n v="2016"/>
    <x v="2"/>
    <n v="3"/>
    <n v="193.17"/>
    <s v="Profit"/>
  </r>
  <r>
    <s v="CA-2016-149762"/>
    <d v="2016-03-12T00:00:00"/>
    <x v="1"/>
    <x v="0"/>
    <x v="1050"/>
    <n v="268.70400000000001"/>
    <n v="3"/>
    <n v="6.7176"/>
    <n v="2.4999999999999998E-2"/>
    <n v="2016"/>
    <x v="2"/>
    <n v="3"/>
    <n v="89.567999999999998"/>
    <s v="Profit"/>
  </r>
  <r>
    <s v="CA-2016-149762"/>
    <d v="2016-03-12T00:00:00"/>
    <x v="1"/>
    <x v="1"/>
    <x v="246"/>
    <n v="21.92"/>
    <n v="8"/>
    <n v="5.9184000000000001"/>
    <n v="0.26999999999999996"/>
    <n v="2016"/>
    <x v="2"/>
    <n v="3"/>
    <n v="2.74"/>
    <s v="Profit"/>
  </r>
  <r>
    <s v="CA-2016-149762"/>
    <d v="2016-03-12T00:00:00"/>
    <x v="1"/>
    <x v="1"/>
    <x v="995"/>
    <n v="48.72"/>
    <n v="3"/>
    <n v="7.3079999999999998"/>
    <n v="0.15"/>
    <n v="2016"/>
    <x v="2"/>
    <n v="3"/>
    <n v="16.239999999999998"/>
    <s v="Profit"/>
  </r>
  <r>
    <s v="CA-2016-149762"/>
    <d v="2016-03-12T00:00:00"/>
    <x v="1"/>
    <x v="0"/>
    <x v="769"/>
    <n v="205.666"/>
    <n v="2"/>
    <n v="-12.098000000000001"/>
    <n v="-5.8823529411764712E-2"/>
    <n v="2016"/>
    <x v="2"/>
    <n v="3"/>
    <n v="102.833"/>
    <s v="Loss"/>
  </r>
  <r>
    <s v="US-2016-164630"/>
    <d v="2016-04-01T00:00:00"/>
    <x v="3"/>
    <x v="2"/>
    <x v="692"/>
    <n v="959.96799999999996"/>
    <n v="4"/>
    <n v="119.996"/>
    <n v="0.125"/>
    <n v="2016"/>
    <x v="3"/>
    <n v="4"/>
    <n v="239.99199999999999"/>
    <s v="Profit"/>
  </r>
  <r>
    <s v="CA-2016-158211"/>
    <d v="2016-04-01T00:00:00"/>
    <x v="0"/>
    <x v="1"/>
    <x v="893"/>
    <n v="4.6719999999999997"/>
    <n v="1"/>
    <n v="0.58399999999999996"/>
    <n v="0.125"/>
    <n v="2016"/>
    <x v="3"/>
    <n v="4"/>
    <n v="4.6719999999999997"/>
    <s v="Profit"/>
  </r>
  <r>
    <s v="CA-2016-158211"/>
    <d v="2016-04-01T00:00:00"/>
    <x v="0"/>
    <x v="1"/>
    <x v="699"/>
    <n v="104.58"/>
    <n v="6"/>
    <n v="-80.177999999999997"/>
    <n v="-0.76666666666666661"/>
    <n v="2016"/>
    <x v="3"/>
    <n v="4"/>
    <n v="17.43"/>
    <s v="Loss"/>
  </r>
  <r>
    <s v="CA-2016-117912"/>
    <d v="2016-04-02T00:00:00"/>
    <x v="1"/>
    <x v="0"/>
    <x v="1051"/>
    <n v="14.368"/>
    <n v="2"/>
    <n v="3.9512"/>
    <n v="0.27500000000000002"/>
    <n v="2016"/>
    <x v="3"/>
    <n v="4"/>
    <n v="7.1840000000000002"/>
    <s v="Profit"/>
  </r>
  <r>
    <s v="CA-2016-150077"/>
    <d v="2016-04-02T00:00:00"/>
    <x v="0"/>
    <x v="2"/>
    <x v="1003"/>
    <n v="90.48"/>
    <n v="2"/>
    <n v="23.524799999999999"/>
    <n v="0.25999999999999995"/>
    <n v="2016"/>
    <x v="3"/>
    <n v="4"/>
    <n v="45.24"/>
    <s v="Profit"/>
  </r>
  <r>
    <s v="CA-2016-101189"/>
    <d v="2016-04-02T00:00:00"/>
    <x v="1"/>
    <x v="1"/>
    <x v="739"/>
    <n v="93.02"/>
    <n v="2"/>
    <n v="3.7208000000000001"/>
    <n v="0.04"/>
    <n v="2016"/>
    <x v="3"/>
    <n v="4"/>
    <n v="46.51"/>
    <s v="Profit"/>
  </r>
  <r>
    <s v="CA-2016-154053"/>
    <d v="2016-04-03T00:00:00"/>
    <x v="1"/>
    <x v="1"/>
    <x v="195"/>
    <n v="16.989999999999998"/>
    <n v="1"/>
    <n v="4.9271000000000003"/>
    <n v="0.29000000000000004"/>
    <n v="2016"/>
    <x v="3"/>
    <n v="4"/>
    <n v="16.989999999999998"/>
    <s v="Profit"/>
  </r>
  <r>
    <s v="CA-2016-122518"/>
    <d v="2016-04-03T00:00:00"/>
    <x v="3"/>
    <x v="1"/>
    <x v="154"/>
    <n v="10.08"/>
    <n v="4"/>
    <n v="3.528"/>
    <n v="0.35"/>
    <n v="2016"/>
    <x v="3"/>
    <n v="4"/>
    <n v="2.52"/>
    <s v="Profit"/>
  </r>
  <r>
    <s v="CA-2016-164637"/>
    <d v="2016-04-03T00:00:00"/>
    <x v="2"/>
    <x v="1"/>
    <x v="621"/>
    <n v="128.4"/>
    <n v="3"/>
    <n v="64.2"/>
    <n v="0.5"/>
    <n v="2016"/>
    <x v="3"/>
    <n v="4"/>
    <n v="42.800000000000004"/>
    <s v="Profit"/>
  </r>
  <r>
    <s v="CA-2016-158358"/>
    <d v="2016-04-03T00:00:00"/>
    <x v="0"/>
    <x v="2"/>
    <x v="612"/>
    <n v="159.97999999999999"/>
    <n v="2"/>
    <n v="57.592799999999997"/>
    <n v="0.36"/>
    <n v="2016"/>
    <x v="3"/>
    <n v="4"/>
    <n v="79.989999999999995"/>
    <s v="Profit"/>
  </r>
  <r>
    <s v="CA-2016-159142"/>
    <d v="2016-04-04T00:00:00"/>
    <x v="3"/>
    <x v="2"/>
    <x v="232"/>
    <n v="149.97"/>
    <n v="3"/>
    <n v="5.9988000000000001"/>
    <n v="0.04"/>
    <n v="2016"/>
    <x v="3"/>
    <n v="4"/>
    <n v="49.99"/>
    <s v="Profit"/>
  </r>
  <r>
    <s v="CA-2016-159142"/>
    <d v="2016-04-04T00:00:00"/>
    <x v="3"/>
    <x v="1"/>
    <x v="835"/>
    <n v="27.81"/>
    <n v="3"/>
    <n v="13.0707"/>
    <n v="0.47000000000000003"/>
    <n v="2016"/>
    <x v="3"/>
    <n v="4"/>
    <n v="9.27"/>
    <s v="Profit"/>
  </r>
  <r>
    <s v="CA-2016-167115"/>
    <d v="2016-04-04T00:00:00"/>
    <x v="0"/>
    <x v="1"/>
    <x v="842"/>
    <n v="588.78399999999999"/>
    <n v="2"/>
    <n v="183.995"/>
    <n v="0.3125"/>
    <n v="2016"/>
    <x v="3"/>
    <n v="4"/>
    <n v="294.392"/>
    <s v="Profit"/>
  </r>
  <r>
    <s v="CA-2016-123050"/>
    <d v="2016-04-04T00:00:00"/>
    <x v="0"/>
    <x v="0"/>
    <x v="305"/>
    <n v="82.64"/>
    <n v="2"/>
    <n v="7.4375999999999998"/>
    <n v="0.09"/>
    <n v="2016"/>
    <x v="3"/>
    <n v="4"/>
    <n v="41.32"/>
    <s v="Profit"/>
  </r>
  <r>
    <s v="CA-2016-123050"/>
    <d v="2016-04-04T00:00:00"/>
    <x v="0"/>
    <x v="1"/>
    <x v="984"/>
    <n v="31.02"/>
    <n v="2"/>
    <n v="8.0652000000000008"/>
    <n v="0.26"/>
    <n v="2016"/>
    <x v="3"/>
    <n v="4"/>
    <n v="15.51"/>
    <s v="Profit"/>
  </r>
  <r>
    <s v="CA-2016-123050"/>
    <d v="2016-04-04T00:00:00"/>
    <x v="0"/>
    <x v="2"/>
    <x v="1052"/>
    <n v="89.97"/>
    <n v="3"/>
    <n v="37.787399999999998"/>
    <n v="0.42"/>
    <n v="2016"/>
    <x v="3"/>
    <n v="4"/>
    <n v="29.99"/>
    <s v="Profit"/>
  </r>
  <r>
    <s v="CA-2016-119823"/>
    <d v="2016-04-06T00:00:00"/>
    <x v="3"/>
    <x v="1"/>
    <x v="1053"/>
    <n v="75.88"/>
    <n v="2"/>
    <n v="35.663600000000002"/>
    <n v="0.47000000000000008"/>
    <n v="2016"/>
    <x v="3"/>
    <n v="4"/>
    <n v="37.94"/>
    <s v="Profit"/>
  </r>
  <r>
    <s v="CA-2016-157749"/>
    <d v="2016-04-06T00:00:00"/>
    <x v="2"/>
    <x v="1"/>
    <x v="1054"/>
    <n v="25.92"/>
    <n v="5"/>
    <n v="9.3960000000000008"/>
    <n v="0.36249999999999999"/>
    <n v="2016"/>
    <x v="3"/>
    <n v="4"/>
    <n v="5.1840000000000002"/>
    <s v="Profit"/>
  </r>
  <r>
    <s v="CA-2016-157749"/>
    <d v="2016-04-06T00:00:00"/>
    <x v="2"/>
    <x v="0"/>
    <x v="1055"/>
    <n v="419.68"/>
    <n v="5"/>
    <n v="-356.72800000000001"/>
    <n v="-0.85"/>
    <n v="2016"/>
    <x v="3"/>
    <n v="4"/>
    <n v="83.936000000000007"/>
    <s v="Loss"/>
  </r>
  <r>
    <s v="CA-2016-157749"/>
    <d v="2016-04-06T00:00:00"/>
    <x v="2"/>
    <x v="0"/>
    <x v="263"/>
    <n v="11.688000000000001"/>
    <n v="3"/>
    <n v="-4.6752000000000002"/>
    <n v="-0.4"/>
    <n v="2016"/>
    <x v="3"/>
    <n v="4"/>
    <n v="3.8960000000000004"/>
    <s v="Loss"/>
  </r>
  <r>
    <s v="CA-2016-157749"/>
    <d v="2016-04-06T00:00:00"/>
    <x v="2"/>
    <x v="2"/>
    <x v="1056"/>
    <n v="31.984000000000002"/>
    <n v="2"/>
    <n v="11.1944"/>
    <n v="0.35"/>
    <n v="2016"/>
    <x v="3"/>
    <n v="4"/>
    <n v="15.992000000000001"/>
    <s v="Profit"/>
  </r>
  <r>
    <s v="CA-2016-157749"/>
    <d v="2016-04-06T00:00:00"/>
    <x v="2"/>
    <x v="0"/>
    <x v="54"/>
    <n v="177.22499999999999"/>
    <n v="5"/>
    <n v="-120.51300000000001"/>
    <n v="-0.68"/>
    <n v="2016"/>
    <x v="3"/>
    <n v="4"/>
    <n v="35.445"/>
    <s v="Loss"/>
  </r>
  <r>
    <s v="CA-2016-157749"/>
    <d v="2016-04-06T00:00:00"/>
    <x v="2"/>
    <x v="0"/>
    <x v="1057"/>
    <n v="4.0439999999999996"/>
    <n v="3"/>
    <n v="-2.8308"/>
    <n v="-0.70000000000000007"/>
    <n v="2016"/>
    <x v="3"/>
    <n v="4"/>
    <n v="1.3479999999999999"/>
    <s v="Loss"/>
  </r>
  <r>
    <s v="CA-2016-157749"/>
    <d v="2016-04-06T00:00:00"/>
    <x v="2"/>
    <x v="1"/>
    <x v="199"/>
    <n v="7.4080000000000004"/>
    <n v="2"/>
    <n v="1.2038"/>
    <n v="0.16249999999999998"/>
    <n v="2016"/>
    <x v="3"/>
    <n v="4"/>
    <n v="3.7040000000000002"/>
    <s v="Profit"/>
  </r>
  <r>
    <s v="CA-2016-165848"/>
    <d v="2016-04-06T00:00:00"/>
    <x v="0"/>
    <x v="1"/>
    <x v="124"/>
    <n v="14.94"/>
    <n v="3"/>
    <n v="7.0217999999999998"/>
    <n v="0.47000000000000003"/>
    <n v="2016"/>
    <x v="3"/>
    <n v="4"/>
    <n v="4.9799999999999995"/>
    <s v="Profit"/>
  </r>
  <r>
    <s v="CA-2016-165848"/>
    <d v="2016-04-06T00:00:00"/>
    <x v="0"/>
    <x v="2"/>
    <x v="1058"/>
    <n v="1349.85"/>
    <n v="3"/>
    <n v="364.45949999999999"/>
    <n v="0.27"/>
    <n v="2016"/>
    <x v="3"/>
    <n v="4"/>
    <n v="449.95"/>
    <s v="Profit"/>
  </r>
  <r>
    <s v="CA-2016-165848"/>
    <d v="2016-04-06T00:00:00"/>
    <x v="0"/>
    <x v="0"/>
    <x v="1059"/>
    <n v="136.78399999999999"/>
    <n v="1"/>
    <n v="5.1294000000000004"/>
    <n v="3.7500000000000006E-2"/>
    <n v="2016"/>
    <x v="3"/>
    <n v="4"/>
    <n v="136.78399999999999"/>
    <s v="Profit"/>
  </r>
  <r>
    <s v="CA-2016-165848"/>
    <d v="2016-04-06T00:00:00"/>
    <x v="0"/>
    <x v="0"/>
    <x v="0"/>
    <n v="61.12"/>
    <n v="4"/>
    <n v="20.780799999999999"/>
    <n v="0.34"/>
    <n v="2016"/>
    <x v="3"/>
    <n v="4"/>
    <n v="15.28"/>
    <s v="Profit"/>
  </r>
  <r>
    <s v="CA-2016-147137"/>
    <d v="2016-04-07T00:00:00"/>
    <x v="1"/>
    <x v="0"/>
    <x v="1060"/>
    <n v="25.4"/>
    <n v="5"/>
    <n v="8.6359999999999992"/>
    <n v="0.33999999999999997"/>
    <n v="2016"/>
    <x v="3"/>
    <n v="4"/>
    <n v="5.08"/>
    <s v="Profit"/>
  </r>
  <r>
    <s v="CA-2016-147137"/>
    <d v="2016-04-07T00:00:00"/>
    <x v="1"/>
    <x v="1"/>
    <x v="991"/>
    <n v="43.96"/>
    <n v="2"/>
    <n v="20.661200000000001"/>
    <n v="0.47000000000000003"/>
    <n v="2016"/>
    <x v="3"/>
    <n v="4"/>
    <n v="21.98"/>
    <s v="Profit"/>
  </r>
  <r>
    <s v="CA-2016-147137"/>
    <d v="2016-04-07T00:00:00"/>
    <x v="1"/>
    <x v="0"/>
    <x v="505"/>
    <n v="1279.165"/>
    <n v="5"/>
    <n v="225.73500000000001"/>
    <n v="0.17647058823529413"/>
    <n v="2016"/>
    <x v="3"/>
    <n v="4"/>
    <n v="255.833"/>
    <s v="Profit"/>
  </r>
  <r>
    <s v="CA-2016-147137"/>
    <d v="2016-04-07T00:00:00"/>
    <x v="1"/>
    <x v="1"/>
    <x v="1061"/>
    <n v="27.92"/>
    <n v="4"/>
    <n v="0.55840000000000001"/>
    <n v="0.02"/>
    <n v="2016"/>
    <x v="3"/>
    <n v="4"/>
    <n v="6.98"/>
    <s v="Profit"/>
  </r>
  <r>
    <s v="CA-2016-103107"/>
    <d v="2016-04-07T00:00:00"/>
    <x v="1"/>
    <x v="0"/>
    <x v="1060"/>
    <n v="25.4"/>
    <n v="5"/>
    <n v="8.6359999999999992"/>
    <n v="0.33999999999999997"/>
    <n v="2016"/>
    <x v="3"/>
    <n v="4"/>
    <n v="5.08"/>
    <s v="Profit"/>
  </r>
  <r>
    <s v="CA-2016-103107"/>
    <d v="2016-04-07T00:00:00"/>
    <x v="1"/>
    <x v="2"/>
    <x v="1062"/>
    <n v="177.48"/>
    <n v="3"/>
    <n v="19.9665"/>
    <n v="0.1125"/>
    <n v="2016"/>
    <x v="3"/>
    <n v="4"/>
    <n v="59.16"/>
    <s v="Profit"/>
  </r>
  <r>
    <s v="CA-2016-103107"/>
    <d v="2016-04-07T00:00:00"/>
    <x v="1"/>
    <x v="2"/>
    <x v="846"/>
    <n v="71.975999999999999"/>
    <n v="3"/>
    <n v="8.9969999999999999"/>
    <n v="0.125"/>
    <n v="2016"/>
    <x v="3"/>
    <n v="4"/>
    <n v="23.992000000000001"/>
    <s v="Profit"/>
  </r>
  <r>
    <s v="CA-2016-110254"/>
    <d v="2016-04-08T00:00:00"/>
    <x v="3"/>
    <x v="1"/>
    <x v="530"/>
    <n v="35.06"/>
    <n v="2"/>
    <n v="10.518000000000001"/>
    <n v="0.3"/>
    <n v="2016"/>
    <x v="3"/>
    <n v="4"/>
    <n v="17.53"/>
    <s v="Profit"/>
  </r>
  <r>
    <s v="CA-2016-110254"/>
    <d v="2016-04-08T00:00:00"/>
    <x v="3"/>
    <x v="1"/>
    <x v="308"/>
    <n v="4.13"/>
    <n v="1"/>
    <n v="1.8997999999999999"/>
    <n v="0.46"/>
    <n v="2016"/>
    <x v="3"/>
    <n v="4"/>
    <n v="4.13"/>
    <s v="Profit"/>
  </r>
  <r>
    <s v="CA-2016-110254"/>
    <d v="2016-04-08T00:00:00"/>
    <x v="3"/>
    <x v="0"/>
    <x v="1063"/>
    <n v="109.8"/>
    <n v="9"/>
    <n v="46.116"/>
    <n v="0.42"/>
    <n v="2016"/>
    <x v="3"/>
    <n v="4"/>
    <n v="12.2"/>
    <s v="Profit"/>
  </r>
  <r>
    <s v="CA-2016-110254"/>
    <d v="2016-04-08T00:00:00"/>
    <x v="3"/>
    <x v="1"/>
    <x v="1064"/>
    <n v="9.82"/>
    <n v="2"/>
    <n v="4.8117999999999999"/>
    <n v="0.49"/>
    <n v="2016"/>
    <x v="3"/>
    <n v="4"/>
    <n v="4.91"/>
    <s v="Profit"/>
  </r>
  <r>
    <s v="US-2016-128195"/>
    <d v="2016-04-08T00:00:00"/>
    <x v="2"/>
    <x v="1"/>
    <x v="95"/>
    <n v="3.98"/>
    <n v="5"/>
    <n v="-6.5670000000000002"/>
    <n v="-1.6500000000000001"/>
    <n v="2016"/>
    <x v="3"/>
    <n v="4"/>
    <n v="0.79600000000000004"/>
    <s v="Loss"/>
  </r>
  <r>
    <s v="CA-2016-111913"/>
    <d v="2016-04-08T00:00:00"/>
    <x v="1"/>
    <x v="2"/>
    <x v="1065"/>
    <n v="302.38400000000001"/>
    <n v="2"/>
    <n v="30.238399999999999"/>
    <n v="9.9999999999999992E-2"/>
    <n v="2016"/>
    <x v="3"/>
    <n v="4"/>
    <n v="151.19200000000001"/>
    <s v="Profit"/>
  </r>
  <r>
    <s v="CA-2016-111913"/>
    <d v="2016-04-08T00:00:00"/>
    <x v="1"/>
    <x v="1"/>
    <x v="119"/>
    <n v="20.952000000000002"/>
    <n v="3"/>
    <n v="7.0712999999999999"/>
    <n v="0.33749999999999997"/>
    <n v="2016"/>
    <x v="3"/>
    <n v="4"/>
    <n v="6.9840000000000009"/>
    <s v="Profit"/>
  </r>
  <r>
    <s v="CA-2016-111913"/>
    <d v="2016-04-08T00:00:00"/>
    <x v="1"/>
    <x v="1"/>
    <x v="8"/>
    <n v="11.784000000000001"/>
    <n v="3"/>
    <n v="3.9771000000000001"/>
    <n v="0.33749999999999997"/>
    <n v="2016"/>
    <x v="3"/>
    <n v="4"/>
    <n v="3.9280000000000004"/>
    <s v="Profit"/>
  </r>
  <r>
    <s v="CA-2016-169971"/>
    <d v="2016-04-09T00:00:00"/>
    <x v="2"/>
    <x v="1"/>
    <x v="1066"/>
    <n v="3.9119999999999999"/>
    <n v="1"/>
    <n v="1.0268999999999999"/>
    <n v="0.26250000000000001"/>
    <n v="2016"/>
    <x v="3"/>
    <n v="4"/>
    <n v="3.9119999999999999"/>
    <s v="Profit"/>
  </r>
  <r>
    <s v="CA-2016-169971"/>
    <d v="2016-04-09T00:00:00"/>
    <x v="2"/>
    <x v="1"/>
    <x v="1067"/>
    <n v="62.375999999999998"/>
    <n v="3"/>
    <n v="7.0172999999999996"/>
    <n v="0.1125"/>
    <n v="2016"/>
    <x v="3"/>
    <n v="4"/>
    <n v="20.791999999999998"/>
    <s v="Profit"/>
  </r>
  <r>
    <s v="CA-2016-123120"/>
    <d v="2016-04-09T00:00:00"/>
    <x v="0"/>
    <x v="0"/>
    <x v="1068"/>
    <n v="63.94"/>
    <n v="1"/>
    <n v="24.936599999999999"/>
    <n v="0.39"/>
    <n v="2016"/>
    <x v="3"/>
    <n v="4"/>
    <n v="63.94"/>
    <s v="Profit"/>
  </r>
  <r>
    <s v="CA-2016-123120"/>
    <d v="2016-04-09T00:00:00"/>
    <x v="0"/>
    <x v="1"/>
    <x v="1069"/>
    <n v="60.6"/>
    <n v="5"/>
    <n v="20.452500000000001"/>
    <n v="0.33750000000000002"/>
    <n v="2016"/>
    <x v="3"/>
    <n v="4"/>
    <n v="12.120000000000001"/>
    <s v="Profit"/>
  </r>
  <r>
    <s v="CA-2016-123120"/>
    <d v="2016-04-09T00:00:00"/>
    <x v="0"/>
    <x v="1"/>
    <x v="1070"/>
    <n v="22.72"/>
    <n v="4"/>
    <n v="6.5888"/>
    <n v="0.29000000000000004"/>
    <n v="2016"/>
    <x v="3"/>
    <n v="4"/>
    <n v="5.68"/>
    <s v="Profit"/>
  </r>
  <r>
    <s v="CA-2016-149783"/>
    <d v="2016-04-09T00:00:00"/>
    <x v="3"/>
    <x v="1"/>
    <x v="148"/>
    <n v="12.192"/>
    <n v="3"/>
    <n v="4.1147999999999998"/>
    <n v="0.33749999999999997"/>
    <n v="2016"/>
    <x v="3"/>
    <n v="4"/>
    <n v="4.0640000000000001"/>
    <s v="Profit"/>
  </r>
  <r>
    <s v="CA-2016-149783"/>
    <d v="2016-04-09T00:00:00"/>
    <x v="3"/>
    <x v="1"/>
    <x v="1071"/>
    <n v="87.168000000000006"/>
    <n v="2"/>
    <n v="8.7167999999999992"/>
    <n v="9.9999999999999978E-2"/>
    <n v="2016"/>
    <x v="3"/>
    <n v="4"/>
    <n v="43.584000000000003"/>
    <s v="Profit"/>
  </r>
  <r>
    <s v="CA-2016-149783"/>
    <d v="2016-04-09T00:00:00"/>
    <x v="3"/>
    <x v="1"/>
    <x v="713"/>
    <n v="31.744"/>
    <n v="2"/>
    <n v="8.3328000000000007"/>
    <n v="0.26250000000000001"/>
    <n v="2016"/>
    <x v="3"/>
    <n v="4"/>
    <n v="15.872"/>
    <s v="Profit"/>
  </r>
  <r>
    <s v="CA-2016-131205"/>
    <d v="2016-04-09T00:00:00"/>
    <x v="3"/>
    <x v="0"/>
    <x v="1072"/>
    <n v="42.6"/>
    <n v="3"/>
    <n v="16.614000000000001"/>
    <n v="0.39"/>
    <n v="2016"/>
    <x v="3"/>
    <n v="4"/>
    <n v="14.200000000000001"/>
    <s v="Profit"/>
  </r>
  <r>
    <s v="CA-2016-131205"/>
    <d v="2016-04-09T00:00:00"/>
    <x v="3"/>
    <x v="1"/>
    <x v="968"/>
    <n v="113.94"/>
    <n v="6"/>
    <n v="54.691200000000002"/>
    <n v="0.48000000000000004"/>
    <n v="2016"/>
    <x v="3"/>
    <n v="4"/>
    <n v="18.989999999999998"/>
    <s v="Profit"/>
  </r>
  <r>
    <s v="CA-2016-131205"/>
    <d v="2016-04-09T00:00:00"/>
    <x v="3"/>
    <x v="1"/>
    <x v="919"/>
    <n v="129.91999999999999"/>
    <n v="4"/>
    <n v="5.1967999999999996"/>
    <n v="0.04"/>
    <n v="2016"/>
    <x v="3"/>
    <n v="4"/>
    <n v="32.479999999999997"/>
    <s v="Profit"/>
  </r>
  <r>
    <s v="CA-2016-131205"/>
    <d v="2016-04-09T00:00:00"/>
    <x v="3"/>
    <x v="1"/>
    <x v="201"/>
    <n v="5.28"/>
    <n v="3"/>
    <n v="2.5344000000000002"/>
    <n v="0.48000000000000004"/>
    <n v="2016"/>
    <x v="3"/>
    <n v="4"/>
    <n v="1.76"/>
    <s v="Profit"/>
  </r>
  <r>
    <s v="CA-2016-168774"/>
    <d v="2016-04-09T00:00:00"/>
    <x v="2"/>
    <x v="1"/>
    <x v="251"/>
    <n v="535.41"/>
    <n v="3"/>
    <n v="160.62299999999999"/>
    <n v="0.3"/>
    <n v="2016"/>
    <x v="3"/>
    <n v="4"/>
    <n v="178.47"/>
    <s v="Profit"/>
  </r>
  <r>
    <s v="CA-2016-142524"/>
    <d v="2016-04-09T00:00:00"/>
    <x v="2"/>
    <x v="1"/>
    <x v="11"/>
    <n v="16.559999999999999"/>
    <n v="2"/>
    <n v="7.7831999999999999"/>
    <n v="0.47000000000000003"/>
    <n v="2016"/>
    <x v="3"/>
    <n v="4"/>
    <n v="8.2799999999999994"/>
    <s v="Profit"/>
  </r>
  <r>
    <s v="CA-2016-142524"/>
    <d v="2016-04-09T00:00:00"/>
    <x v="2"/>
    <x v="2"/>
    <x v="157"/>
    <n v="279.95"/>
    <n v="5"/>
    <n v="67.188000000000002"/>
    <n v="0.24000000000000002"/>
    <n v="2016"/>
    <x v="3"/>
    <n v="4"/>
    <n v="55.989999999999995"/>
    <s v="Profit"/>
  </r>
  <r>
    <s v="CA-2016-117604"/>
    <d v="2016-04-09T00:00:00"/>
    <x v="3"/>
    <x v="1"/>
    <x v="536"/>
    <n v="239.5"/>
    <n v="5"/>
    <n v="114.96"/>
    <n v="0.48"/>
    <n v="2016"/>
    <x v="3"/>
    <n v="4"/>
    <n v="47.9"/>
    <s v="Profit"/>
  </r>
  <r>
    <s v="CA-2016-129630"/>
    <d v="2016-04-09T00:00:00"/>
    <x v="1"/>
    <x v="0"/>
    <x v="737"/>
    <n v="24.27"/>
    <n v="3"/>
    <n v="8.7371999999999996"/>
    <n v="0.36"/>
    <n v="2016"/>
    <x v="3"/>
    <n v="4"/>
    <n v="8.09"/>
    <s v="Profit"/>
  </r>
  <r>
    <s v="CA-2016-129630"/>
    <d v="2016-04-09T00:00:00"/>
    <x v="1"/>
    <x v="2"/>
    <x v="1073"/>
    <n v="2799.96"/>
    <n v="5"/>
    <n v="944.98649999999998"/>
    <n v="0.33749999999999997"/>
    <n v="2016"/>
    <x v="3"/>
    <n v="4"/>
    <n v="559.99199999999996"/>
    <s v="Profit"/>
  </r>
  <r>
    <s v="CA-2016-121601"/>
    <d v="2016-04-10T00:00:00"/>
    <x v="2"/>
    <x v="1"/>
    <x v="451"/>
    <n v="59.752000000000002"/>
    <n v="7"/>
    <n v="19.4194"/>
    <n v="0.32499999999999996"/>
    <n v="2016"/>
    <x v="3"/>
    <n v="4"/>
    <n v="8.5359999999999996"/>
    <s v="Profit"/>
  </r>
  <r>
    <s v="US-2016-140158"/>
    <d v="2016-04-10T00:00:00"/>
    <x v="0"/>
    <x v="1"/>
    <x v="188"/>
    <n v="30.4"/>
    <n v="1"/>
    <n v="13.984"/>
    <n v="0.46"/>
    <n v="2016"/>
    <x v="3"/>
    <n v="4"/>
    <n v="30.4"/>
    <s v="Profit"/>
  </r>
  <r>
    <s v="US-2016-140158"/>
    <d v="2016-04-10T00:00:00"/>
    <x v="0"/>
    <x v="2"/>
    <x v="1074"/>
    <n v="5399.91"/>
    <n v="9"/>
    <n v="2591.9567999999999"/>
    <n v="0.48"/>
    <n v="2016"/>
    <x v="3"/>
    <n v="4"/>
    <n v="599.99"/>
    <s v="Profit"/>
  </r>
  <r>
    <s v="US-2016-140158"/>
    <d v="2016-04-10T00:00:00"/>
    <x v="0"/>
    <x v="1"/>
    <x v="1075"/>
    <n v="119.1"/>
    <n v="3"/>
    <n v="34.539000000000001"/>
    <n v="0.29000000000000004"/>
    <n v="2016"/>
    <x v="3"/>
    <n v="4"/>
    <n v="39.699999999999996"/>
    <s v="Profit"/>
  </r>
  <r>
    <s v="CA-2016-131296"/>
    <d v="2016-04-10T00:00:00"/>
    <x v="0"/>
    <x v="0"/>
    <x v="1076"/>
    <n v="239.37200000000001"/>
    <n v="2"/>
    <n v="-23.937200000000001"/>
    <n v="-9.9999999999999992E-2"/>
    <n v="2016"/>
    <x v="3"/>
    <n v="4"/>
    <n v="119.68600000000001"/>
    <s v="Loss"/>
  </r>
  <r>
    <s v="CA-2016-145709"/>
    <d v="2016-04-10T00:00:00"/>
    <x v="3"/>
    <x v="2"/>
    <x v="473"/>
    <n v="52.68"/>
    <n v="3"/>
    <n v="19.754999999999999"/>
    <n v="0.375"/>
    <n v="2016"/>
    <x v="3"/>
    <n v="4"/>
    <n v="17.559999999999999"/>
    <s v="Profit"/>
  </r>
  <r>
    <s v="CA-2016-145709"/>
    <d v="2016-04-10T00:00:00"/>
    <x v="3"/>
    <x v="0"/>
    <x v="91"/>
    <n v="11.568"/>
    <n v="3"/>
    <n v="2.6027999999999998"/>
    <n v="0.22499999999999998"/>
    <n v="2016"/>
    <x v="3"/>
    <n v="4"/>
    <n v="3.8559999999999999"/>
    <s v="Profit"/>
  </r>
  <r>
    <s v="CA-2016-143308"/>
    <d v="2016-04-11T00:00:00"/>
    <x v="3"/>
    <x v="1"/>
    <x v="908"/>
    <n v="10.74"/>
    <n v="3"/>
    <n v="5.2625999999999999"/>
    <n v="0.49"/>
    <n v="2016"/>
    <x v="3"/>
    <n v="4"/>
    <n v="3.58"/>
    <s v="Profit"/>
  </r>
  <r>
    <s v="CA-2016-163755"/>
    <d v="2016-04-11T00:00:00"/>
    <x v="1"/>
    <x v="0"/>
    <x v="97"/>
    <n v="209.88"/>
    <n v="3"/>
    <n v="35.679600000000001"/>
    <n v="0.17"/>
    <n v="2016"/>
    <x v="3"/>
    <n v="4"/>
    <n v="69.959999999999994"/>
    <s v="Profit"/>
  </r>
  <r>
    <s v="CA-2016-166443"/>
    <d v="2016-04-11T00:00:00"/>
    <x v="1"/>
    <x v="0"/>
    <x v="223"/>
    <n v="38.29"/>
    <n v="7"/>
    <n v="16.464700000000001"/>
    <n v="0.43000000000000005"/>
    <n v="2016"/>
    <x v="3"/>
    <n v="4"/>
    <n v="5.47"/>
    <s v="Profit"/>
  </r>
  <r>
    <s v="CA-2016-146766"/>
    <d v="2016-04-11T00:00:00"/>
    <x v="1"/>
    <x v="1"/>
    <x v="1077"/>
    <n v="192.8"/>
    <n v="4"/>
    <n v="55.911999999999999"/>
    <n v="0.28999999999999998"/>
    <n v="2016"/>
    <x v="3"/>
    <n v="4"/>
    <n v="48.2"/>
    <s v="Profit"/>
  </r>
  <r>
    <s v="CA-2016-163328"/>
    <d v="2016-04-11T00:00:00"/>
    <x v="1"/>
    <x v="1"/>
    <x v="1078"/>
    <n v="17.584"/>
    <n v="7"/>
    <n v="-4.1761999999999997"/>
    <n v="-0.23749999999999999"/>
    <n v="2016"/>
    <x v="3"/>
    <n v="4"/>
    <n v="2.512"/>
    <s v="Loss"/>
  </r>
  <r>
    <s v="CA-2016-163328"/>
    <d v="2016-04-11T00:00:00"/>
    <x v="1"/>
    <x v="0"/>
    <x v="971"/>
    <n v="104.78400000000001"/>
    <n v="1"/>
    <n v="-14.4078"/>
    <n v="-0.13749999999999998"/>
    <n v="2016"/>
    <x v="3"/>
    <n v="4"/>
    <n v="104.78400000000001"/>
    <s v="Loss"/>
  </r>
  <r>
    <s v="CA-2016-163328"/>
    <d v="2016-04-11T00:00:00"/>
    <x v="1"/>
    <x v="1"/>
    <x v="1079"/>
    <n v="47.951999999999998"/>
    <n v="3"/>
    <n v="16.783200000000001"/>
    <n v="0.35000000000000003"/>
    <n v="2016"/>
    <x v="3"/>
    <n v="4"/>
    <n v="15.984"/>
    <s v="Profit"/>
  </r>
  <r>
    <s v="CA-2016-163328"/>
    <d v="2016-04-11T00:00:00"/>
    <x v="1"/>
    <x v="0"/>
    <x v="1080"/>
    <n v="650.35199999999998"/>
    <n v="3"/>
    <n v="-97.552800000000005"/>
    <n v="-0.15000000000000002"/>
    <n v="2016"/>
    <x v="3"/>
    <n v="4"/>
    <n v="216.78399999999999"/>
    <s v="Loss"/>
  </r>
  <r>
    <s v="CA-2016-163328"/>
    <d v="2016-04-11T00:00:00"/>
    <x v="1"/>
    <x v="1"/>
    <x v="642"/>
    <n v="629.18399999999997"/>
    <n v="8"/>
    <n v="228.07919999999999"/>
    <n v="0.36249999999999999"/>
    <n v="2016"/>
    <x v="3"/>
    <n v="4"/>
    <n v="78.647999999999996"/>
    <s v="Profit"/>
  </r>
  <r>
    <s v="CA-2016-163328"/>
    <d v="2016-04-11T00:00:00"/>
    <x v="1"/>
    <x v="1"/>
    <x v="1081"/>
    <n v="15.176"/>
    <n v="1"/>
    <n v="5.3116000000000003"/>
    <n v="0.35000000000000003"/>
    <n v="2016"/>
    <x v="3"/>
    <n v="4"/>
    <n v="15.176"/>
    <s v="Profit"/>
  </r>
  <r>
    <s v="CA-2016-165827"/>
    <d v="2016-04-11T00:00:00"/>
    <x v="3"/>
    <x v="0"/>
    <x v="992"/>
    <n v="50.496000000000002"/>
    <n v="6"/>
    <n v="8.2056000000000004"/>
    <n v="0.16250000000000001"/>
    <n v="2016"/>
    <x v="3"/>
    <n v="4"/>
    <n v="8.4160000000000004"/>
    <s v="Profit"/>
  </r>
  <r>
    <s v="CA-2016-119018"/>
    <d v="2016-04-11T00:00:00"/>
    <x v="1"/>
    <x v="1"/>
    <x v="1082"/>
    <n v="7.7119999999999997"/>
    <n v="2"/>
    <n v="2.7955999999999999"/>
    <n v="0.36249999999999999"/>
    <n v="2016"/>
    <x v="3"/>
    <n v="4"/>
    <n v="3.8559999999999999"/>
    <s v="Profit"/>
  </r>
  <r>
    <s v="CA-2016-119018"/>
    <d v="2016-04-11T00:00:00"/>
    <x v="1"/>
    <x v="1"/>
    <x v="1083"/>
    <n v="4.1760000000000002"/>
    <n v="1"/>
    <n v="1.3049999999999999"/>
    <n v="0.3125"/>
    <n v="2016"/>
    <x v="3"/>
    <n v="4"/>
    <n v="4.1760000000000002"/>
    <s v="Profit"/>
  </r>
  <r>
    <s v="CA-2016-119018"/>
    <d v="2016-04-11T00:00:00"/>
    <x v="1"/>
    <x v="1"/>
    <x v="1084"/>
    <n v="38.880000000000003"/>
    <n v="6"/>
    <n v="18.662400000000002"/>
    <n v="0.48000000000000004"/>
    <n v="2016"/>
    <x v="3"/>
    <n v="4"/>
    <n v="6.48"/>
    <s v="Profit"/>
  </r>
  <r>
    <s v="CA-2016-162236"/>
    <d v="2016-04-11T00:00:00"/>
    <x v="3"/>
    <x v="1"/>
    <x v="1085"/>
    <n v="45.247999999999998"/>
    <n v="2"/>
    <n v="3.9592000000000001"/>
    <n v="8.7500000000000008E-2"/>
    <n v="2016"/>
    <x v="3"/>
    <n v="4"/>
    <n v="22.623999999999999"/>
    <s v="Profit"/>
  </r>
  <r>
    <s v="CA-2016-162236"/>
    <d v="2016-04-11T00:00:00"/>
    <x v="3"/>
    <x v="0"/>
    <x v="1086"/>
    <n v="876.3"/>
    <n v="10"/>
    <n v="-292.10000000000002"/>
    <n v="-0.33333333333333337"/>
    <n v="2016"/>
    <x v="3"/>
    <n v="4"/>
    <n v="87.63"/>
    <s v="Loss"/>
  </r>
  <r>
    <s v="CA-2016-162236"/>
    <d v="2016-04-11T00:00:00"/>
    <x v="3"/>
    <x v="1"/>
    <x v="1087"/>
    <n v="185.376"/>
    <n v="2"/>
    <n v="-34.758000000000003"/>
    <n v="-0.1875"/>
    <n v="2016"/>
    <x v="3"/>
    <n v="4"/>
    <n v="92.688000000000002"/>
    <s v="Loss"/>
  </r>
  <r>
    <s v="CA-2016-158260"/>
    <d v="2016-04-11T00:00:00"/>
    <x v="1"/>
    <x v="2"/>
    <x v="1088"/>
    <n v="686.4"/>
    <n v="2"/>
    <n v="77.22"/>
    <n v="0.1125"/>
    <n v="2016"/>
    <x v="3"/>
    <n v="4"/>
    <n v="343.2"/>
    <s v="Profit"/>
  </r>
  <r>
    <s v="US-2016-111563"/>
    <d v="2016-04-11T00:00:00"/>
    <x v="2"/>
    <x v="0"/>
    <x v="1089"/>
    <n v="11.375999999999999"/>
    <n v="3"/>
    <n v="-5.6879999999999997"/>
    <n v="-0.5"/>
    <n v="2016"/>
    <x v="3"/>
    <n v="4"/>
    <n v="3.7919999999999998"/>
    <s v="Loss"/>
  </r>
  <r>
    <s v="US-2016-111563"/>
    <d v="2016-04-11T00:00:00"/>
    <x v="2"/>
    <x v="0"/>
    <x v="305"/>
    <n v="66.111999999999995"/>
    <n v="4"/>
    <n v="-84.2928"/>
    <n v="-1.2750000000000001"/>
    <n v="2016"/>
    <x v="3"/>
    <n v="4"/>
    <n v="16.527999999999999"/>
    <s v="Loss"/>
  </r>
  <r>
    <s v="CA-2016-126004"/>
    <d v="2016-04-12T00:00:00"/>
    <x v="0"/>
    <x v="0"/>
    <x v="1090"/>
    <n v="113.79"/>
    <n v="3"/>
    <n v="20.482199999999999"/>
    <n v="0.18"/>
    <n v="2016"/>
    <x v="3"/>
    <n v="4"/>
    <n v="37.93"/>
    <s v="Profit"/>
  </r>
  <r>
    <s v="CA-2016-126004"/>
    <d v="2016-04-12T00:00:00"/>
    <x v="0"/>
    <x v="2"/>
    <x v="481"/>
    <n v="78.150000000000006"/>
    <n v="1"/>
    <n v="34.386000000000003"/>
    <n v="0.44"/>
    <n v="2016"/>
    <x v="3"/>
    <n v="4"/>
    <n v="78.150000000000006"/>
    <s v="Profit"/>
  </r>
  <r>
    <s v="CA-2016-126004"/>
    <d v="2016-04-12T00:00:00"/>
    <x v="0"/>
    <x v="1"/>
    <x v="1091"/>
    <n v="1.728"/>
    <n v="1"/>
    <n v="0.6048"/>
    <n v="0.35000000000000003"/>
    <n v="2016"/>
    <x v="3"/>
    <n v="4"/>
    <n v="1.728"/>
    <s v="Profit"/>
  </r>
  <r>
    <s v="CA-2016-126004"/>
    <d v="2016-04-12T00:00:00"/>
    <x v="0"/>
    <x v="1"/>
    <x v="124"/>
    <n v="40.56"/>
    <n v="4"/>
    <n v="19.874400000000001"/>
    <n v="0.49"/>
    <n v="2016"/>
    <x v="3"/>
    <n v="4"/>
    <n v="10.14"/>
    <s v="Profit"/>
  </r>
  <r>
    <s v="CA-2016-126004"/>
    <d v="2016-04-12T00:00:00"/>
    <x v="0"/>
    <x v="1"/>
    <x v="1092"/>
    <n v="182.94"/>
    <n v="3"/>
    <n v="3.6587999999999998"/>
    <n v="0.02"/>
    <n v="2016"/>
    <x v="3"/>
    <n v="4"/>
    <n v="60.98"/>
    <s v="Profit"/>
  </r>
  <r>
    <s v="CA-2016-126004"/>
    <d v="2016-04-12T00:00:00"/>
    <x v="0"/>
    <x v="1"/>
    <x v="1093"/>
    <n v="193.86"/>
    <n v="2"/>
    <n v="11.631600000000001"/>
    <n v="0.06"/>
    <n v="2016"/>
    <x v="3"/>
    <n v="4"/>
    <n v="96.93"/>
    <s v="Profit"/>
  </r>
  <r>
    <s v="CA-2016-139885"/>
    <d v="2016-04-12T00:00:00"/>
    <x v="0"/>
    <x v="1"/>
    <x v="853"/>
    <n v="212.88"/>
    <n v="6"/>
    <n v="0"/>
    <n v="0"/>
    <n v="2016"/>
    <x v="3"/>
    <n v="4"/>
    <n v="35.479999999999997"/>
    <s v="Loss"/>
  </r>
  <r>
    <s v="CA-2016-105277"/>
    <d v="2016-04-12T00:00:00"/>
    <x v="0"/>
    <x v="1"/>
    <x v="7"/>
    <n v="15.528"/>
    <n v="3"/>
    <n v="5.8230000000000004"/>
    <n v="0.375"/>
    <n v="2016"/>
    <x v="3"/>
    <n v="4"/>
    <n v="5.1760000000000002"/>
    <s v="Profit"/>
  </r>
  <r>
    <s v="CA-2016-112060"/>
    <d v="2016-04-12T00:00:00"/>
    <x v="1"/>
    <x v="1"/>
    <x v="64"/>
    <n v="104.85"/>
    <n v="1"/>
    <n v="50.328000000000003"/>
    <n v="0.48000000000000004"/>
    <n v="2016"/>
    <x v="3"/>
    <n v="4"/>
    <n v="104.85"/>
    <s v="Profit"/>
  </r>
  <r>
    <s v="CA-2016-134474"/>
    <d v="2016-05-01T00:00:00"/>
    <x v="3"/>
    <x v="2"/>
    <x v="37"/>
    <n v="191.47200000000001"/>
    <n v="6"/>
    <n v="40.687800000000003"/>
    <n v="0.21249999999999999"/>
    <n v="2016"/>
    <x v="4"/>
    <n v="5"/>
    <n v="31.912000000000003"/>
    <s v="Profit"/>
  </r>
  <r>
    <s v="CA-2016-134474"/>
    <d v="2016-05-01T00:00:00"/>
    <x v="3"/>
    <x v="1"/>
    <x v="757"/>
    <n v="5.2480000000000002"/>
    <n v="2"/>
    <n v="0.59040000000000004"/>
    <n v="0.1125"/>
    <n v="2016"/>
    <x v="4"/>
    <n v="5"/>
    <n v="2.6240000000000001"/>
    <s v="Profit"/>
  </r>
  <r>
    <s v="CA-2016-134474"/>
    <d v="2016-05-01T00:00:00"/>
    <x v="3"/>
    <x v="2"/>
    <x v="771"/>
    <n v="59.183999999999997"/>
    <n v="2"/>
    <n v="5.1786000000000003"/>
    <n v="8.7500000000000008E-2"/>
    <n v="2016"/>
    <x v="4"/>
    <n v="5"/>
    <n v="29.591999999999999"/>
    <s v="Profit"/>
  </r>
  <r>
    <s v="US-2016-108504"/>
    <d v="2016-05-02T00:00:00"/>
    <x v="3"/>
    <x v="1"/>
    <x v="429"/>
    <n v="80.98"/>
    <n v="1"/>
    <n v="1.6195999999999999"/>
    <n v="1.9999999999999997E-2"/>
    <n v="2016"/>
    <x v="4"/>
    <n v="5"/>
    <n v="80.98"/>
    <s v="Profit"/>
  </r>
  <r>
    <s v="US-2016-108504"/>
    <d v="2016-05-02T00:00:00"/>
    <x v="3"/>
    <x v="1"/>
    <x v="1094"/>
    <n v="348.84"/>
    <n v="9"/>
    <n v="170.9316"/>
    <n v="0.49000000000000005"/>
    <n v="2016"/>
    <x v="4"/>
    <n v="5"/>
    <n v="38.76"/>
    <s v="Profit"/>
  </r>
  <r>
    <s v="US-2016-108504"/>
    <d v="2016-05-02T00:00:00"/>
    <x v="3"/>
    <x v="1"/>
    <x v="1095"/>
    <n v="9.4499999999999993"/>
    <n v="5"/>
    <n v="0.189"/>
    <n v="0.02"/>
    <n v="2016"/>
    <x v="4"/>
    <n v="5"/>
    <n v="1.89"/>
    <s v="Profit"/>
  </r>
  <r>
    <s v="US-2016-108504"/>
    <d v="2016-05-02T00:00:00"/>
    <x v="3"/>
    <x v="0"/>
    <x v="1096"/>
    <n v="18.84"/>
    <n v="3"/>
    <n v="7.1592000000000002"/>
    <n v="0.38"/>
    <n v="2016"/>
    <x v="4"/>
    <n v="5"/>
    <n v="6.28"/>
    <s v="Profit"/>
  </r>
  <r>
    <s v="US-2016-108504"/>
    <d v="2016-05-02T00:00:00"/>
    <x v="3"/>
    <x v="0"/>
    <x v="504"/>
    <n v="239.98"/>
    <n v="2"/>
    <n v="52.7956"/>
    <n v="0.22"/>
    <n v="2016"/>
    <x v="4"/>
    <n v="5"/>
    <n v="119.99"/>
    <s v="Profit"/>
  </r>
  <r>
    <s v="US-2016-108504"/>
    <d v="2016-05-02T00:00:00"/>
    <x v="3"/>
    <x v="1"/>
    <x v="1097"/>
    <n v="167.96"/>
    <n v="2"/>
    <n v="78.941199999999995"/>
    <n v="0.47"/>
    <n v="2016"/>
    <x v="4"/>
    <n v="5"/>
    <n v="83.98"/>
    <s v="Profit"/>
  </r>
  <r>
    <s v="US-2016-108504"/>
    <d v="2016-05-02T00:00:00"/>
    <x v="3"/>
    <x v="2"/>
    <x v="953"/>
    <n v="104.85"/>
    <n v="3"/>
    <n v="28.3095"/>
    <n v="0.27"/>
    <n v="2016"/>
    <x v="4"/>
    <n v="5"/>
    <n v="34.949999999999996"/>
    <s v="Profit"/>
  </r>
  <r>
    <s v="US-2016-108504"/>
    <d v="2016-05-02T00:00:00"/>
    <x v="3"/>
    <x v="2"/>
    <x v="776"/>
    <n v="484.83"/>
    <n v="3"/>
    <n v="126.0558"/>
    <n v="0.26"/>
    <n v="2016"/>
    <x v="4"/>
    <n v="5"/>
    <n v="161.60999999999999"/>
    <s v="Profit"/>
  </r>
  <r>
    <s v="US-2016-108504"/>
    <d v="2016-05-02T00:00:00"/>
    <x v="3"/>
    <x v="1"/>
    <x v="142"/>
    <n v="122.97"/>
    <n v="3"/>
    <n v="60.255299999999998"/>
    <n v="0.49"/>
    <n v="2016"/>
    <x v="4"/>
    <n v="5"/>
    <n v="40.99"/>
    <s v="Profit"/>
  </r>
  <r>
    <s v="US-2016-108504"/>
    <d v="2016-05-02T00:00:00"/>
    <x v="3"/>
    <x v="1"/>
    <x v="830"/>
    <n v="154.44"/>
    <n v="3"/>
    <n v="1.5444"/>
    <n v="0.01"/>
    <n v="2016"/>
    <x v="4"/>
    <n v="5"/>
    <n v="51.48"/>
    <s v="Profit"/>
  </r>
  <r>
    <s v="US-2016-108504"/>
    <d v="2016-05-02T00:00:00"/>
    <x v="3"/>
    <x v="1"/>
    <x v="1098"/>
    <n v="342.37"/>
    <n v="7"/>
    <n v="160.91390000000001"/>
    <n v="0.47000000000000003"/>
    <n v="2016"/>
    <x v="4"/>
    <n v="5"/>
    <n v="48.910000000000004"/>
    <s v="Profit"/>
  </r>
  <r>
    <s v="CA-2016-100993"/>
    <d v="2016-05-02T00:00:00"/>
    <x v="1"/>
    <x v="1"/>
    <x v="1099"/>
    <n v="14.73"/>
    <n v="3"/>
    <n v="7.2176999999999998"/>
    <n v="0.49"/>
    <n v="2016"/>
    <x v="4"/>
    <n v="5"/>
    <n v="4.91"/>
    <s v="Profit"/>
  </r>
  <r>
    <s v="CA-2016-100993"/>
    <d v="2016-05-02T00:00:00"/>
    <x v="1"/>
    <x v="1"/>
    <x v="47"/>
    <n v="186.54"/>
    <n v="3"/>
    <n v="50.3658"/>
    <n v="0.27"/>
    <n v="2016"/>
    <x v="4"/>
    <n v="5"/>
    <n v="62.18"/>
    <s v="Profit"/>
  </r>
  <r>
    <s v="CA-2016-100993"/>
    <d v="2016-05-02T00:00:00"/>
    <x v="1"/>
    <x v="0"/>
    <x v="341"/>
    <n v="557.72799999999995"/>
    <n v="4"/>
    <n v="6.9715999999999996"/>
    <n v="1.2500000000000001E-2"/>
    <n v="2016"/>
    <x v="4"/>
    <n v="5"/>
    <n v="139.43199999999999"/>
    <s v="Profit"/>
  </r>
  <r>
    <s v="CA-2016-100993"/>
    <d v="2016-05-02T00:00:00"/>
    <x v="1"/>
    <x v="2"/>
    <x v="232"/>
    <n v="159.96799999999999"/>
    <n v="4"/>
    <n v="-31.993600000000001"/>
    <n v="-0.2"/>
    <n v="2016"/>
    <x v="4"/>
    <n v="5"/>
    <n v="39.991999999999997"/>
    <s v="Loss"/>
  </r>
  <r>
    <s v="CA-2016-165218"/>
    <d v="2016-05-03T00:00:00"/>
    <x v="2"/>
    <x v="1"/>
    <x v="1100"/>
    <n v="149.352"/>
    <n v="3"/>
    <n v="50.406300000000002"/>
    <n v="0.33750000000000002"/>
    <n v="2016"/>
    <x v="4"/>
    <n v="5"/>
    <n v="49.783999999999999"/>
    <s v="Profit"/>
  </r>
  <r>
    <s v="CA-2016-165218"/>
    <d v="2016-05-03T00:00:00"/>
    <x v="2"/>
    <x v="1"/>
    <x v="995"/>
    <n v="12.992000000000001"/>
    <n v="1"/>
    <n v="-0.81200000000000006"/>
    <n v="-6.25E-2"/>
    <n v="2016"/>
    <x v="4"/>
    <n v="5"/>
    <n v="12.992000000000001"/>
    <s v="Loss"/>
  </r>
  <r>
    <s v="CA-2016-159695"/>
    <d v="2016-05-04T00:00:00"/>
    <x v="2"/>
    <x v="1"/>
    <x v="1085"/>
    <n v="158.36799999999999"/>
    <n v="7"/>
    <n v="13.857200000000001"/>
    <n v="8.7500000000000008E-2"/>
    <n v="2016"/>
    <x v="4"/>
    <n v="5"/>
    <n v="22.623999999999999"/>
    <s v="Profit"/>
  </r>
  <r>
    <s v="CA-2016-161907"/>
    <d v="2016-05-04T00:00:00"/>
    <x v="0"/>
    <x v="2"/>
    <x v="1101"/>
    <n v="118.782"/>
    <n v="3"/>
    <n v="-27.715800000000002"/>
    <n v="-0.23333333333333336"/>
    <n v="2016"/>
    <x v="4"/>
    <n v="5"/>
    <n v="39.594000000000001"/>
    <s v="Loss"/>
  </r>
  <r>
    <s v="CA-2016-161907"/>
    <d v="2016-05-04T00:00:00"/>
    <x v="0"/>
    <x v="1"/>
    <x v="215"/>
    <n v="769.18399999999997"/>
    <n v="4"/>
    <n v="-163.45160000000001"/>
    <n v="-0.21250000000000002"/>
    <n v="2016"/>
    <x v="4"/>
    <n v="5"/>
    <n v="192.29599999999999"/>
    <s v="Loss"/>
  </r>
  <r>
    <s v="CA-2016-145247"/>
    <d v="2016-05-05T00:00:00"/>
    <x v="3"/>
    <x v="1"/>
    <x v="1102"/>
    <n v="79.14"/>
    <n v="3"/>
    <n v="36.404400000000003"/>
    <n v="0.46"/>
    <n v="2016"/>
    <x v="4"/>
    <n v="5"/>
    <n v="26.38"/>
    <s v="Profit"/>
  </r>
  <r>
    <s v="CA-2016-112676"/>
    <d v="2016-05-05T00:00:00"/>
    <x v="3"/>
    <x v="1"/>
    <x v="1103"/>
    <n v="14.352"/>
    <n v="3"/>
    <n v="5.2026000000000003"/>
    <n v="0.36249999999999999"/>
    <n v="2016"/>
    <x v="4"/>
    <n v="5"/>
    <n v="4.7839999999999998"/>
    <s v="Profit"/>
  </r>
  <r>
    <s v="CA-2016-137729"/>
    <d v="2016-05-05T00:00:00"/>
    <x v="1"/>
    <x v="1"/>
    <x v="1104"/>
    <n v="5.98"/>
    <n v="1"/>
    <n v="1.0165999999999999"/>
    <n v="0.16999999999999998"/>
    <n v="2016"/>
    <x v="4"/>
    <n v="5"/>
    <n v="5.98"/>
    <s v="Profit"/>
  </r>
  <r>
    <s v="CA-2016-137729"/>
    <d v="2016-05-05T00:00:00"/>
    <x v="1"/>
    <x v="2"/>
    <x v="1105"/>
    <n v="246.16800000000001"/>
    <n v="3"/>
    <n v="21.5397"/>
    <n v="8.7499999999999994E-2"/>
    <n v="2016"/>
    <x v="4"/>
    <n v="5"/>
    <n v="82.055999999999997"/>
    <s v="Profit"/>
  </r>
  <r>
    <s v="CA-2016-160500"/>
    <d v="2016-05-05T00:00:00"/>
    <x v="1"/>
    <x v="1"/>
    <x v="1106"/>
    <n v="6.72"/>
    <n v="5"/>
    <n v="2.3519999999999999"/>
    <n v="0.35"/>
    <n v="2016"/>
    <x v="4"/>
    <n v="5"/>
    <n v="1.3439999999999999"/>
    <s v="Profit"/>
  </r>
  <r>
    <s v="CA-2016-160500"/>
    <d v="2016-05-05T00:00:00"/>
    <x v="1"/>
    <x v="0"/>
    <x v="269"/>
    <n v="298.77600000000001"/>
    <n v="3"/>
    <n v="7.4694000000000003"/>
    <n v="2.5000000000000001E-2"/>
    <n v="2016"/>
    <x v="4"/>
    <n v="5"/>
    <n v="99.591999999999999"/>
    <s v="Profit"/>
  </r>
  <r>
    <s v="US-2016-147991"/>
    <d v="2016-05-05T00:00:00"/>
    <x v="3"/>
    <x v="0"/>
    <x v="362"/>
    <n v="16.72"/>
    <n v="5"/>
    <n v="3.3439999999999999"/>
    <n v="0.2"/>
    <n v="2016"/>
    <x v="4"/>
    <n v="5"/>
    <n v="3.3439999999999999"/>
    <s v="Profit"/>
  </r>
  <r>
    <s v="CA-2016-126165"/>
    <d v="2016-05-05T00:00:00"/>
    <x v="1"/>
    <x v="0"/>
    <x v="728"/>
    <n v="71.087999999999994"/>
    <n v="2"/>
    <n v="-1.7771999999999999"/>
    <n v="-2.5000000000000001E-2"/>
    <n v="2016"/>
    <x v="4"/>
    <n v="5"/>
    <n v="35.543999999999997"/>
    <s v="Loss"/>
  </r>
  <r>
    <s v="US-2016-102239"/>
    <d v="2016-05-05T00:00:00"/>
    <x v="1"/>
    <x v="0"/>
    <x v="1035"/>
    <n v="1685.88"/>
    <n v="6"/>
    <n v="320.31720000000001"/>
    <n v="0.19"/>
    <n v="2016"/>
    <x v="4"/>
    <n v="5"/>
    <n v="280.98"/>
    <s v="Profit"/>
  </r>
  <r>
    <s v="US-2016-102239"/>
    <d v="2016-05-05T00:00:00"/>
    <x v="1"/>
    <x v="1"/>
    <x v="1107"/>
    <n v="5.7279999999999998"/>
    <n v="2"/>
    <n v="2.0047999999999999"/>
    <n v="0.35"/>
    <n v="2016"/>
    <x v="4"/>
    <n v="5"/>
    <n v="2.8639999999999999"/>
    <s v="Profit"/>
  </r>
  <r>
    <s v="CA-2016-105662"/>
    <d v="2016-05-05T00:00:00"/>
    <x v="3"/>
    <x v="1"/>
    <x v="1108"/>
    <n v="93.248000000000005"/>
    <n v="4"/>
    <n v="31.4712"/>
    <n v="0.33749999999999997"/>
    <n v="2016"/>
    <x v="4"/>
    <n v="5"/>
    <n v="23.312000000000001"/>
    <s v="Profit"/>
  </r>
  <r>
    <s v="CA-2016-105662"/>
    <d v="2016-05-05T00:00:00"/>
    <x v="3"/>
    <x v="2"/>
    <x v="1062"/>
    <n v="177.48"/>
    <n v="3"/>
    <n v="19.9665"/>
    <n v="0.1125"/>
    <n v="2016"/>
    <x v="4"/>
    <n v="5"/>
    <n v="59.16"/>
    <s v="Profit"/>
  </r>
  <r>
    <s v="US-2016-134908"/>
    <d v="2016-05-06T00:00:00"/>
    <x v="0"/>
    <x v="1"/>
    <x v="1109"/>
    <n v="124.608"/>
    <n v="4"/>
    <n v="-23.364000000000001"/>
    <n v="-0.1875"/>
    <n v="2016"/>
    <x v="4"/>
    <n v="5"/>
    <n v="31.152000000000001"/>
    <s v="Loss"/>
  </r>
  <r>
    <s v="US-2016-134908"/>
    <d v="2016-05-06T00:00:00"/>
    <x v="0"/>
    <x v="1"/>
    <x v="970"/>
    <n v="7.56"/>
    <n v="3"/>
    <n v="2.6459999999999999"/>
    <n v="0.35000000000000003"/>
    <n v="2016"/>
    <x v="4"/>
    <n v="5"/>
    <n v="2.52"/>
    <s v="Profit"/>
  </r>
  <r>
    <s v="CA-2016-165169"/>
    <d v="2016-05-06T00:00:00"/>
    <x v="0"/>
    <x v="1"/>
    <x v="709"/>
    <n v="360.38"/>
    <n v="2"/>
    <n v="93.698800000000006"/>
    <n v="0.26"/>
    <n v="2016"/>
    <x v="4"/>
    <n v="5"/>
    <n v="180.19"/>
    <s v="Profit"/>
  </r>
  <r>
    <s v="CA-2016-165169"/>
    <d v="2016-05-06T00:00:00"/>
    <x v="0"/>
    <x v="1"/>
    <x v="748"/>
    <n v="11.16"/>
    <n v="2"/>
    <n v="2.79"/>
    <n v="0.25"/>
    <n v="2016"/>
    <x v="4"/>
    <n v="5"/>
    <n v="5.58"/>
    <s v="Profit"/>
  </r>
  <r>
    <s v="CA-2016-165169"/>
    <d v="2016-05-06T00:00:00"/>
    <x v="0"/>
    <x v="1"/>
    <x v="1110"/>
    <n v="14.94"/>
    <n v="3"/>
    <n v="6.8723999999999998"/>
    <n v="0.46"/>
    <n v="2016"/>
    <x v="4"/>
    <n v="5"/>
    <n v="4.9799999999999995"/>
    <s v="Profit"/>
  </r>
  <r>
    <s v="CA-2016-110982"/>
    <d v="2016-05-06T00:00:00"/>
    <x v="1"/>
    <x v="1"/>
    <x v="778"/>
    <n v="21.552"/>
    <n v="6"/>
    <n v="7.0044000000000004"/>
    <n v="0.32500000000000001"/>
    <n v="2016"/>
    <x v="4"/>
    <n v="5"/>
    <n v="3.5920000000000001"/>
    <s v="Profit"/>
  </r>
  <r>
    <s v="CA-2016-110982"/>
    <d v="2016-05-06T00:00:00"/>
    <x v="1"/>
    <x v="1"/>
    <x v="256"/>
    <n v="58.24"/>
    <n v="4"/>
    <n v="15.7248"/>
    <n v="0.27"/>
    <n v="2016"/>
    <x v="4"/>
    <n v="5"/>
    <n v="14.56"/>
    <s v="Profit"/>
  </r>
  <r>
    <s v="CA-2016-149671"/>
    <d v="2016-05-06T00:00:00"/>
    <x v="1"/>
    <x v="1"/>
    <x v="1111"/>
    <n v="61.38"/>
    <n v="6"/>
    <n v="15.9588"/>
    <n v="0.26"/>
    <n v="2016"/>
    <x v="4"/>
    <n v="5"/>
    <n v="10.23"/>
    <s v="Profit"/>
  </r>
  <r>
    <s v="US-2016-102232"/>
    <d v="2016-05-08T00:00:00"/>
    <x v="3"/>
    <x v="1"/>
    <x v="1112"/>
    <n v="197.05"/>
    <n v="7"/>
    <n v="59.115000000000002"/>
    <n v="0.3"/>
    <n v="2016"/>
    <x v="4"/>
    <n v="5"/>
    <n v="28.150000000000002"/>
    <s v="Profit"/>
  </r>
  <r>
    <s v="CA-2016-110366"/>
    <d v="2016-05-09T00:00:00"/>
    <x v="0"/>
    <x v="0"/>
    <x v="368"/>
    <n v="82.8"/>
    <n v="2"/>
    <n v="10.35"/>
    <n v="0.125"/>
    <n v="2016"/>
    <x v="4"/>
    <n v="5"/>
    <n v="41.4"/>
    <s v="Profit"/>
  </r>
  <r>
    <s v="CA-2016-115756"/>
    <d v="2016-05-09T00:00:00"/>
    <x v="2"/>
    <x v="0"/>
    <x v="1113"/>
    <n v="12.22"/>
    <n v="1"/>
    <n v="3.6659999999999999"/>
    <n v="0.3"/>
    <n v="2016"/>
    <x v="4"/>
    <n v="5"/>
    <n v="12.22"/>
    <s v="Profit"/>
  </r>
  <r>
    <s v="CA-2016-115756"/>
    <d v="2016-05-09T00:00:00"/>
    <x v="2"/>
    <x v="1"/>
    <x v="806"/>
    <n v="194.94"/>
    <n v="3"/>
    <n v="23.392800000000001"/>
    <n v="0.12000000000000001"/>
    <n v="2016"/>
    <x v="4"/>
    <n v="5"/>
    <n v="64.98"/>
    <s v="Profit"/>
  </r>
  <r>
    <s v="CA-2016-115756"/>
    <d v="2016-05-09T00:00:00"/>
    <x v="2"/>
    <x v="1"/>
    <x v="1114"/>
    <n v="70.95"/>
    <n v="3"/>
    <n v="20.575500000000002"/>
    <n v="0.29000000000000004"/>
    <n v="2016"/>
    <x v="4"/>
    <n v="5"/>
    <n v="23.650000000000002"/>
    <s v="Profit"/>
  </r>
  <r>
    <s v="CA-2016-115756"/>
    <d v="2016-05-09T00:00:00"/>
    <x v="2"/>
    <x v="1"/>
    <x v="1115"/>
    <n v="91.36"/>
    <n v="4"/>
    <n v="42.025599999999997"/>
    <n v="0.45999999999999996"/>
    <n v="2016"/>
    <x v="4"/>
    <n v="5"/>
    <n v="22.84"/>
    <s v="Profit"/>
  </r>
  <r>
    <s v="CA-2016-115756"/>
    <d v="2016-05-09T00:00:00"/>
    <x v="2"/>
    <x v="0"/>
    <x v="664"/>
    <n v="242.94"/>
    <n v="3"/>
    <n v="29.152799999999999"/>
    <n v="0.12"/>
    <n v="2016"/>
    <x v="4"/>
    <n v="5"/>
    <n v="80.98"/>
    <s v="Profit"/>
  </r>
  <r>
    <s v="CA-2016-115756"/>
    <d v="2016-05-09T00:00:00"/>
    <x v="2"/>
    <x v="1"/>
    <x v="352"/>
    <n v="22.05"/>
    <n v="7"/>
    <n v="10.584"/>
    <n v="0.48"/>
    <n v="2016"/>
    <x v="4"/>
    <n v="5"/>
    <n v="3.15"/>
    <s v="Profit"/>
  </r>
  <r>
    <s v="CA-2016-160815"/>
    <d v="2016-05-09T00:00:00"/>
    <x v="2"/>
    <x v="2"/>
    <x v="445"/>
    <n v="278.39999999999998"/>
    <n v="3"/>
    <n v="80.736000000000004"/>
    <n v="0.29000000000000004"/>
    <n v="2016"/>
    <x v="4"/>
    <n v="5"/>
    <n v="92.8"/>
    <s v="Profit"/>
  </r>
  <r>
    <s v="CA-2016-140774"/>
    <d v="2016-05-09T00:00:00"/>
    <x v="2"/>
    <x v="1"/>
    <x v="234"/>
    <n v="107.94"/>
    <n v="3"/>
    <n v="26.984999999999999"/>
    <n v="0.25"/>
    <n v="2016"/>
    <x v="4"/>
    <n v="5"/>
    <n v="35.979999999999997"/>
    <s v="Profit"/>
  </r>
  <r>
    <s v="US-2016-148110"/>
    <d v="2016-05-09T00:00:00"/>
    <x v="2"/>
    <x v="0"/>
    <x v="959"/>
    <n v="347.80200000000002"/>
    <n v="7"/>
    <n v="-24.843"/>
    <n v="-7.1428571428571425E-2"/>
    <n v="2016"/>
    <x v="4"/>
    <n v="5"/>
    <n v="49.686"/>
    <s v="Loss"/>
  </r>
  <r>
    <s v="CA-2016-137673"/>
    <d v="2016-05-09T00:00:00"/>
    <x v="1"/>
    <x v="2"/>
    <x v="335"/>
    <n v="116"/>
    <n v="8"/>
    <n v="29"/>
    <n v="0.25"/>
    <n v="2016"/>
    <x v="4"/>
    <n v="5"/>
    <n v="14.5"/>
    <s v="Profit"/>
  </r>
  <r>
    <s v="CA-2016-154536"/>
    <d v="2016-05-09T00:00:00"/>
    <x v="0"/>
    <x v="1"/>
    <x v="1116"/>
    <n v="9.5549999999999997"/>
    <n v="5"/>
    <n v="-7.3254999999999999"/>
    <n v="-0.76666666666666672"/>
    <n v="2016"/>
    <x v="4"/>
    <n v="5"/>
    <n v="1.911"/>
    <s v="Loss"/>
  </r>
  <r>
    <s v="CA-2016-136231"/>
    <d v="2016-05-09T00:00:00"/>
    <x v="3"/>
    <x v="1"/>
    <x v="11"/>
    <n v="23.472000000000001"/>
    <n v="3"/>
    <n v="7.6284000000000001"/>
    <n v="0.32500000000000001"/>
    <n v="2016"/>
    <x v="4"/>
    <n v="5"/>
    <n v="7.8240000000000007"/>
    <s v="Profit"/>
  </r>
  <r>
    <s v="CA-2016-136231"/>
    <d v="2016-05-09T00:00:00"/>
    <x v="3"/>
    <x v="1"/>
    <x v="801"/>
    <n v="86.058000000000007"/>
    <n v="7"/>
    <n v="-63.109200000000001"/>
    <n v="-0.73333333333333328"/>
    <n v="2016"/>
    <x v="4"/>
    <n v="5"/>
    <n v="12.294"/>
    <s v="Loss"/>
  </r>
  <r>
    <s v="CA-2016-136231"/>
    <d v="2016-05-09T00:00:00"/>
    <x v="3"/>
    <x v="2"/>
    <x v="43"/>
    <n v="108.78400000000001"/>
    <n v="2"/>
    <n v="6.7990000000000004"/>
    <n v="6.25E-2"/>
    <n v="2016"/>
    <x v="4"/>
    <n v="5"/>
    <n v="54.392000000000003"/>
    <s v="Profit"/>
  </r>
  <r>
    <s v="CA-2016-136231"/>
    <d v="2016-05-09T00:00:00"/>
    <x v="3"/>
    <x v="1"/>
    <x v="331"/>
    <n v="10.272"/>
    <n v="3"/>
    <n v="3.21"/>
    <n v="0.3125"/>
    <n v="2016"/>
    <x v="4"/>
    <n v="5"/>
    <n v="3.4239999999999999"/>
    <s v="Profit"/>
  </r>
  <r>
    <s v="CA-2016-144540"/>
    <d v="2016-05-09T00:00:00"/>
    <x v="2"/>
    <x v="1"/>
    <x v="418"/>
    <n v="62.79"/>
    <n v="3"/>
    <n v="-166.39349999999999"/>
    <n v="-2.65"/>
    <n v="2016"/>
    <x v="4"/>
    <n v="5"/>
    <n v="20.93"/>
    <s v="Loss"/>
  </r>
  <r>
    <s v="CA-2016-144540"/>
    <d v="2016-05-09T00:00:00"/>
    <x v="2"/>
    <x v="1"/>
    <x v="447"/>
    <n v="28.44"/>
    <n v="9"/>
    <n v="4.266"/>
    <n v="0.15"/>
    <n v="2016"/>
    <x v="4"/>
    <n v="5"/>
    <n v="3.16"/>
    <s v="Profit"/>
  </r>
  <r>
    <s v="CA-2016-151372"/>
    <d v="2016-05-09T00:00:00"/>
    <x v="1"/>
    <x v="1"/>
    <x v="252"/>
    <n v="96.08"/>
    <n v="2"/>
    <n v="46.118400000000001"/>
    <n v="0.48000000000000004"/>
    <n v="2016"/>
    <x v="4"/>
    <n v="5"/>
    <n v="48.04"/>
    <s v="Profit"/>
  </r>
  <r>
    <s v="CA-2016-151372"/>
    <d v="2016-05-09T00:00:00"/>
    <x v="1"/>
    <x v="1"/>
    <x v="858"/>
    <n v="11.68"/>
    <n v="2"/>
    <n v="3.9420000000000002"/>
    <n v="0.33750000000000002"/>
    <n v="2016"/>
    <x v="4"/>
    <n v="5"/>
    <n v="5.84"/>
    <s v="Profit"/>
  </r>
  <r>
    <s v="CA-2016-151372"/>
    <d v="2016-05-09T00:00:00"/>
    <x v="1"/>
    <x v="1"/>
    <x v="1117"/>
    <n v="4.3600000000000003"/>
    <n v="2"/>
    <n v="1.7876000000000001"/>
    <n v="0.41"/>
    <n v="2016"/>
    <x v="4"/>
    <n v="5"/>
    <n v="2.1800000000000002"/>
    <s v="Profit"/>
  </r>
  <r>
    <s v="CA-2016-149195"/>
    <d v="2016-05-09T00:00:00"/>
    <x v="2"/>
    <x v="1"/>
    <x v="484"/>
    <n v="25.92"/>
    <n v="5"/>
    <n v="9.0719999999999992"/>
    <n v="0.34999999999999992"/>
    <n v="2016"/>
    <x v="4"/>
    <n v="5"/>
    <n v="5.1840000000000002"/>
    <s v="Profit"/>
  </r>
  <r>
    <s v="CA-2016-149195"/>
    <d v="2016-05-09T00:00:00"/>
    <x v="2"/>
    <x v="1"/>
    <x v="111"/>
    <n v="15.808"/>
    <n v="8"/>
    <n v="5.3352000000000004"/>
    <n v="0.33750000000000002"/>
    <n v="2016"/>
    <x v="4"/>
    <n v="5"/>
    <n v="1.976"/>
    <s v="Profit"/>
  </r>
  <r>
    <s v="CA-2016-149195"/>
    <d v="2016-05-09T00:00:00"/>
    <x v="2"/>
    <x v="1"/>
    <x v="725"/>
    <n v="10.368"/>
    <n v="2"/>
    <n v="3.7584"/>
    <n v="0.36249999999999999"/>
    <n v="2016"/>
    <x v="4"/>
    <n v="5"/>
    <n v="5.1840000000000002"/>
    <s v="Profit"/>
  </r>
  <r>
    <s v="CA-2016-133319"/>
    <d v="2016-05-09T00:00:00"/>
    <x v="0"/>
    <x v="1"/>
    <x v="1118"/>
    <n v="192.16"/>
    <n v="4"/>
    <n v="92.236800000000002"/>
    <n v="0.48000000000000004"/>
    <n v="2016"/>
    <x v="4"/>
    <n v="5"/>
    <n v="48.04"/>
    <s v="Profit"/>
  </r>
  <r>
    <s v="US-2016-152373"/>
    <d v="2016-05-09T00:00:00"/>
    <x v="2"/>
    <x v="1"/>
    <x v="1109"/>
    <n v="93.456000000000003"/>
    <n v="3"/>
    <n v="-17.523"/>
    <n v="-0.1875"/>
    <n v="2016"/>
    <x v="4"/>
    <n v="5"/>
    <n v="31.152000000000001"/>
    <s v="Loss"/>
  </r>
  <r>
    <s v="US-2016-121013"/>
    <d v="2016-05-09T00:00:00"/>
    <x v="3"/>
    <x v="1"/>
    <x v="821"/>
    <n v="25.06"/>
    <n v="2"/>
    <n v="11.7782"/>
    <n v="0.47000000000000003"/>
    <n v="2016"/>
    <x v="4"/>
    <n v="5"/>
    <n v="12.53"/>
    <s v="Profit"/>
  </r>
  <r>
    <s v="US-2016-121013"/>
    <d v="2016-05-09T00:00:00"/>
    <x v="3"/>
    <x v="0"/>
    <x v="954"/>
    <n v="1652.94"/>
    <n v="3"/>
    <n v="314.05860000000001"/>
    <n v="0.19"/>
    <n v="2016"/>
    <x v="4"/>
    <n v="5"/>
    <n v="550.98"/>
    <s v="Profit"/>
  </r>
  <r>
    <s v="CA-2016-164490"/>
    <d v="2016-05-09T00:00:00"/>
    <x v="2"/>
    <x v="1"/>
    <x v="1119"/>
    <n v="9.2479999999999993"/>
    <n v="2"/>
    <n v="3.3523999999999998"/>
    <n v="0.36249999999999999"/>
    <n v="2016"/>
    <x v="4"/>
    <n v="5"/>
    <n v="4.6239999999999997"/>
    <s v="Profit"/>
  </r>
  <r>
    <s v="CA-2016-162383"/>
    <d v="2016-05-09T00:00:00"/>
    <x v="0"/>
    <x v="1"/>
    <x v="1120"/>
    <n v="8.952"/>
    <n v="2"/>
    <n v="-7.46"/>
    <n v="-0.83333333333333337"/>
    <n v="2016"/>
    <x v="4"/>
    <n v="5"/>
    <n v="4.476"/>
    <s v="Loss"/>
  </r>
  <r>
    <s v="CA-2016-162383"/>
    <d v="2016-05-09T00:00:00"/>
    <x v="0"/>
    <x v="1"/>
    <x v="414"/>
    <n v="8.8559999999999999"/>
    <n v="6"/>
    <n v="-6.4943999999999997"/>
    <n v="-0.73333333333333328"/>
    <n v="2016"/>
    <x v="4"/>
    <n v="5"/>
    <n v="1.476"/>
    <s v="Loss"/>
  </r>
  <r>
    <s v="CA-2016-162383"/>
    <d v="2016-05-09T00:00:00"/>
    <x v="0"/>
    <x v="0"/>
    <x v="960"/>
    <n v="85.245999999999995"/>
    <n v="2"/>
    <n v="-1.2178"/>
    <n v="-1.4285714285714287E-2"/>
    <n v="2016"/>
    <x v="4"/>
    <n v="5"/>
    <n v="42.622999999999998"/>
    <s v="Loss"/>
  </r>
  <r>
    <s v="CA-2016-136595"/>
    <d v="2016-05-09T00:00:00"/>
    <x v="2"/>
    <x v="0"/>
    <x v="545"/>
    <n v="21.204000000000001"/>
    <n v="3"/>
    <n v="-11.6622"/>
    <n v="-0.55000000000000004"/>
    <n v="2016"/>
    <x v="4"/>
    <n v="5"/>
    <n v="7.0680000000000005"/>
    <s v="Loss"/>
  </r>
  <r>
    <s v="CA-2016-158778"/>
    <d v="2016-05-09T00:00:00"/>
    <x v="0"/>
    <x v="0"/>
    <x v="737"/>
    <n v="58.247999999999998"/>
    <n v="9"/>
    <n v="11.6496"/>
    <n v="0.2"/>
    <n v="2016"/>
    <x v="4"/>
    <n v="5"/>
    <n v="6.4719999999999995"/>
    <s v="Profit"/>
  </r>
  <r>
    <s v="CA-2016-158778"/>
    <d v="2016-05-09T00:00:00"/>
    <x v="0"/>
    <x v="0"/>
    <x v="526"/>
    <n v="71.245999999999995"/>
    <n v="2"/>
    <n v="-19.338200000000001"/>
    <n v="-0.27142857142857146"/>
    <n v="2016"/>
    <x v="4"/>
    <n v="5"/>
    <n v="35.622999999999998"/>
    <s v="Loss"/>
  </r>
  <r>
    <s v="CA-2016-158778"/>
    <d v="2016-05-09T00:00:00"/>
    <x v="0"/>
    <x v="1"/>
    <x v="1121"/>
    <n v="7.8719999999999999"/>
    <n v="3"/>
    <n v="0.59040000000000004"/>
    <n v="7.5000000000000011E-2"/>
    <n v="2016"/>
    <x v="4"/>
    <n v="5"/>
    <n v="2.6240000000000001"/>
    <s v="Profit"/>
  </r>
  <r>
    <s v="CA-2016-158778"/>
    <d v="2016-05-09T00:00:00"/>
    <x v="0"/>
    <x v="0"/>
    <x v="1122"/>
    <n v="887.27099999999996"/>
    <n v="3"/>
    <n v="-63.3765"/>
    <n v="-7.1428571428571438E-2"/>
    <n v="2016"/>
    <x v="4"/>
    <n v="5"/>
    <n v="295.75700000000001"/>
    <s v="Loss"/>
  </r>
  <r>
    <s v="CA-2016-139409"/>
    <d v="2016-05-09T00:00:00"/>
    <x v="0"/>
    <x v="2"/>
    <x v="955"/>
    <n v="43.6"/>
    <n v="4"/>
    <n v="12.208"/>
    <n v="0.27999999999999997"/>
    <n v="2016"/>
    <x v="4"/>
    <n v="5"/>
    <n v="10.9"/>
    <s v="Profit"/>
  </r>
  <r>
    <s v="CA-2016-140207"/>
    <d v="2016-05-11T00:00:00"/>
    <x v="1"/>
    <x v="1"/>
    <x v="1123"/>
    <n v="29.12"/>
    <n v="5"/>
    <n v="9.8279999999999994"/>
    <n v="0.33749999999999997"/>
    <n v="2016"/>
    <x v="4"/>
    <n v="5"/>
    <n v="5.8239999999999998"/>
    <s v="Profit"/>
  </r>
  <r>
    <s v="US-2016-106677"/>
    <d v="2016-05-11T00:00:00"/>
    <x v="0"/>
    <x v="2"/>
    <x v="1124"/>
    <n v="23.988"/>
    <n v="2"/>
    <n v="-15.992000000000001"/>
    <n v="-0.66666666666666674"/>
    <n v="2016"/>
    <x v="4"/>
    <n v="5"/>
    <n v="11.994"/>
    <s v="Loss"/>
  </r>
  <r>
    <s v="US-2016-131611"/>
    <d v="2016-05-11T00:00:00"/>
    <x v="2"/>
    <x v="0"/>
    <x v="1125"/>
    <n v="863.12800000000004"/>
    <n v="8"/>
    <n v="-160.29519999999999"/>
    <n v="-0.18571428571428569"/>
    <n v="2016"/>
    <x v="4"/>
    <n v="5"/>
    <n v="107.89100000000001"/>
    <s v="Loss"/>
  </r>
  <r>
    <s v="US-2016-131611"/>
    <d v="2016-05-11T00:00:00"/>
    <x v="2"/>
    <x v="1"/>
    <x v="60"/>
    <n v="3.5640000000000001"/>
    <n v="3"/>
    <n v="-6.2370000000000001"/>
    <n v="-1.75"/>
    <n v="2016"/>
    <x v="4"/>
    <n v="5"/>
    <n v="1.1879999999999999"/>
    <s v="Loss"/>
  </r>
  <r>
    <s v="US-2016-131611"/>
    <d v="2016-05-11T00:00:00"/>
    <x v="2"/>
    <x v="0"/>
    <x v="1126"/>
    <n v="956.66480000000001"/>
    <n v="7"/>
    <n v="-225.0976"/>
    <n v="-0.23529411764705882"/>
    <n v="2016"/>
    <x v="4"/>
    <n v="5"/>
    <n v="136.66640000000001"/>
    <s v="Loss"/>
  </r>
  <r>
    <s v="US-2016-131611"/>
    <d v="2016-05-11T00:00:00"/>
    <x v="2"/>
    <x v="1"/>
    <x v="466"/>
    <n v="12.587999999999999"/>
    <n v="3"/>
    <n v="-20.140799999999999"/>
    <n v="-1.6"/>
    <n v="2016"/>
    <x v="4"/>
    <n v="5"/>
    <n v="4.1959999999999997"/>
    <s v="Loss"/>
  </r>
  <r>
    <s v="US-2016-131611"/>
    <d v="2016-05-11T00:00:00"/>
    <x v="2"/>
    <x v="2"/>
    <x v="1127"/>
    <n v="171.96"/>
    <n v="5"/>
    <n v="45.139499999999998"/>
    <n v="0.26249999999999996"/>
    <n v="2016"/>
    <x v="4"/>
    <n v="5"/>
    <n v="34.392000000000003"/>
    <s v="Profit"/>
  </r>
  <r>
    <s v="US-2016-165078"/>
    <d v="2016-05-11T00:00:00"/>
    <x v="2"/>
    <x v="1"/>
    <x v="466"/>
    <n v="104.9"/>
    <n v="5"/>
    <n v="50.351999999999997"/>
    <n v="0.47999999999999993"/>
    <n v="2016"/>
    <x v="4"/>
    <n v="5"/>
    <n v="20.98"/>
    <s v="Profit"/>
  </r>
  <r>
    <s v="US-2016-165078"/>
    <d v="2016-05-11T00:00:00"/>
    <x v="2"/>
    <x v="1"/>
    <x v="713"/>
    <n v="39.68"/>
    <n v="2"/>
    <n v="16.268799999999999"/>
    <n v="0.41"/>
    <n v="2016"/>
    <x v="4"/>
    <n v="5"/>
    <n v="19.84"/>
    <s v="Profit"/>
  </r>
  <r>
    <s v="US-2016-165078"/>
    <d v="2016-05-11T00:00:00"/>
    <x v="2"/>
    <x v="1"/>
    <x v="549"/>
    <n v="51.75"/>
    <n v="5"/>
    <n v="24.84"/>
    <n v="0.48"/>
    <n v="2016"/>
    <x v="4"/>
    <n v="5"/>
    <n v="10.35"/>
    <s v="Profit"/>
  </r>
  <r>
    <s v="CA-2016-148908"/>
    <d v="2016-05-11T00:00:00"/>
    <x v="1"/>
    <x v="1"/>
    <x v="903"/>
    <n v="53.247999999999998"/>
    <n v="2"/>
    <n v="19.968"/>
    <n v="0.375"/>
    <n v="2016"/>
    <x v="4"/>
    <n v="5"/>
    <n v="26.623999999999999"/>
    <s v="Profit"/>
  </r>
  <r>
    <s v="CA-2016-143441"/>
    <d v="2016-05-11T00:00:00"/>
    <x v="2"/>
    <x v="1"/>
    <x v="1128"/>
    <n v="11.84"/>
    <n v="1"/>
    <n v="4.4400000000000004"/>
    <n v="0.37500000000000006"/>
    <n v="2016"/>
    <x v="4"/>
    <n v="5"/>
    <n v="11.84"/>
    <s v="Profit"/>
  </r>
  <r>
    <s v="CA-2016-125094"/>
    <d v="2016-05-11T00:00:00"/>
    <x v="1"/>
    <x v="2"/>
    <x v="1129"/>
    <n v="479.72"/>
    <n v="4"/>
    <n v="52.769199999999998"/>
    <n v="0.10999999999999999"/>
    <n v="2016"/>
    <x v="4"/>
    <n v="5"/>
    <n v="119.93"/>
    <s v="Profit"/>
  </r>
  <r>
    <s v="CA-2016-144092"/>
    <d v="2016-05-11T00:00:00"/>
    <x v="1"/>
    <x v="2"/>
    <x v="662"/>
    <n v="72"/>
    <n v="4"/>
    <n v="12.96"/>
    <n v="0.18000000000000002"/>
    <n v="2016"/>
    <x v="4"/>
    <n v="5"/>
    <n v="18"/>
    <s v="Profit"/>
  </r>
  <r>
    <s v="CA-2016-144092"/>
    <d v="2016-05-11T00:00:00"/>
    <x v="1"/>
    <x v="0"/>
    <x v="52"/>
    <n v="113.88800000000001"/>
    <n v="2"/>
    <n v="9.9651999999999994"/>
    <n v="8.7499999999999994E-2"/>
    <n v="2016"/>
    <x v="4"/>
    <n v="5"/>
    <n v="56.944000000000003"/>
    <s v="Profit"/>
  </r>
  <r>
    <s v="CA-2016-144092"/>
    <d v="2016-05-11T00:00:00"/>
    <x v="1"/>
    <x v="1"/>
    <x v="1130"/>
    <n v="158.13"/>
    <n v="3"/>
    <n v="77.483699999999999"/>
    <n v="0.49"/>
    <n v="2016"/>
    <x v="4"/>
    <n v="5"/>
    <n v="52.71"/>
    <s v="Profit"/>
  </r>
  <r>
    <s v="CA-2016-157280"/>
    <d v="2016-05-11T00:00:00"/>
    <x v="3"/>
    <x v="0"/>
    <x v="626"/>
    <n v="273.95999999999998"/>
    <n v="2"/>
    <n v="71.229600000000005"/>
    <n v="0.26000000000000006"/>
    <n v="2016"/>
    <x v="4"/>
    <n v="5"/>
    <n v="136.97999999999999"/>
    <s v="Profit"/>
  </r>
  <r>
    <s v="CA-2016-157280"/>
    <d v="2016-05-11T00:00:00"/>
    <x v="3"/>
    <x v="2"/>
    <x v="1131"/>
    <n v="89.97"/>
    <n v="3"/>
    <n v="18.893699999999999"/>
    <n v="0.21"/>
    <n v="2016"/>
    <x v="4"/>
    <n v="5"/>
    <n v="29.99"/>
    <s v="Profit"/>
  </r>
  <r>
    <s v="CA-2016-157280"/>
    <d v="2016-05-11T00:00:00"/>
    <x v="3"/>
    <x v="0"/>
    <x v="1132"/>
    <n v="756.8"/>
    <n v="5"/>
    <n v="75.680000000000007"/>
    <n v="0.10000000000000002"/>
    <n v="2016"/>
    <x v="4"/>
    <n v="5"/>
    <n v="151.35999999999999"/>
    <s v="Profit"/>
  </r>
  <r>
    <s v="CA-2016-161389"/>
    <d v="2016-05-12T00:00:00"/>
    <x v="1"/>
    <x v="1"/>
    <x v="40"/>
    <n v="407.976"/>
    <n v="3"/>
    <n v="132.59219999999999"/>
    <n v="0.32499999999999996"/>
    <n v="2016"/>
    <x v="4"/>
    <n v="5"/>
    <n v="135.99199999999999"/>
    <s v="Profit"/>
  </r>
  <r>
    <s v="CA-2016-114489"/>
    <d v="2016-05-12T00:00:00"/>
    <x v="2"/>
    <x v="2"/>
    <x v="953"/>
    <n v="384.45"/>
    <n v="11"/>
    <n v="103.8015"/>
    <n v="0.27"/>
    <n v="2016"/>
    <x v="4"/>
    <n v="5"/>
    <n v="34.949999999999996"/>
    <s v="Profit"/>
  </r>
  <r>
    <s v="CA-2016-114489"/>
    <d v="2016-05-12T00:00:00"/>
    <x v="2"/>
    <x v="2"/>
    <x v="232"/>
    <n v="149.97"/>
    <n v="3"/>
    <n v="5.9988000000000001"/>
    <n v="0.04"/>
    <n v="2016"/>
    <x v="4"/>
    <n v="5"/>
    <n v="49.99"/>
    <s v="Profit"/>
  </r>
  <r>
    <s v="CA-2016-114489"/>
    <d v="2016-05-12T00:00:00"/>
    <x v="2"/>
    <x v="0"/>
    <x v="207"/>
    <n v="1951.84"/>
    <n v="8"/>
    <n v="585.55200000000002"/>
    <n v="0.30000000000000004"/>
    <n v="2016"/>
    <x v="4"/>
    <n v="5"/>
    <n v="243.98"/>
    <s v="Profit"/>
  </r>
  <r>
    <s v="CA-2016-114489"/>
    <d v="2016-05-12T00:00:00"/>
    <x v="2"/>
    <x v="1"/>
    <x v="46"/>
    <n v="171.55"/>
    <n v="5"/>
    <n v="80.628500000000003"/>
    <n v="0.47"/>
    <n v="2016"/>
    <x v="4"/>
    <n v="5"/>
    <n v="34.31"/>
    <s v="Profit"/>
  </r>
  <r>
    <s v="CA-2016-124772"/>
    <d v="2016-05-12T00:00:00"/>
    <x v="3"/>
    <x v="0"/>
    <x v="1068"/>
    <n v="191.82"/>
    <n v="3"/>
    <n v="74.809799999999996"/>
    <n v="0.39"/>
    <n v="2016"/>
    <x v="4"/>
    <n v="5"/>
    <n v="63.94"/>
    <s v="Profit"/>
  </r>
  <r>
    <s v="CA-2016-108434"/>
    <d v="2016-05-12T00:00:00"/>
    <x v="0"/>
    <x v="1"/>
    <x v="107"/>
    <n v="465.18"/>
    <n v="3"/>
    <n v="120.9468"/>
    <n v="0.26"/>
    <n v="2016"/>
    <x v="4"/>
    <n v="5"/>
    <n v="155.06"/>
    <s v="Profit"/>
  </r>
  <r>
    <s v="CA-2016-143749"/>
    <d v="2016-05-12T00:00:00"/>
    <x v="0"/>
    <x v="0"/>
    <x v="1133"/>
    <n v="81.94"/>
    <n v="1"/>
    <n v="20.484999999999999"/>
    <n v="0.25"/>
    <n v="2016"/>
    <x v="4"/>
    <n v="5"/>
    <n v="81.94"/>
    <s v="Profit"/>
  </r>
  <r>
    <s v="CA-2016-140564"/>
    <d v="2016-05-12T00:00:00"/>
    <x v="0"/>
    <x v="1"/>
    <x v="1134"/>
    <n v="33.92"/>
    <n v="8"/>
    <n v="13.2288"/>
    <n v="0.38999999999999996"/>
    <n v="2016"/>
    <x v="4"/>
    <n v="5"/>
    <n v="4.24"/>
    <s v="Profit"/>
  </r>
  <r>
    <s v="CA-2016-109722"/>
    <d v="2016-05-12T00:00:00"/>
    <x v="3"/>
    <x v="2"/>
    <x v="1135"/>
    <n v="699.98"/>
    <n v="2"/>
    <n v="195.99440000000001"/>
    <n v="0.28000000000000003"/>
    <n v="2016"/>
    <x v="4"/>
    <n v="5"/>
    <n v="349.99"/>
    <s v="Profit"/>
  </r>
  <r>
    <s v="CA-2016-109722"/>
    <d v="2016-05-12T00:00:00"/>
    <x v="3"/>
    <x v="1"/>
    <x v="806"/>
    <n v="584.82000000000005"/>
    <n v="9"/>
    <n v="70.178399999999996"/>
    <n v="0.11999999999999998"/>
    <n v="2016"/>
    <x v="4"/>
    <n v="5"/>
    <n v="64.98"/>
    <s v="Profit"/>
  </r>
  <r>
    <s v="CA-2016-145009"/>
    <d v="2016-05-12T00:00:00"/>
    <x v="2"/>
    <x v="1"/>
    <x v="98"/>
    <n v="11.952"/>
    <n v="3"/>
    <n v="3.8843999999999999"/>
    <n v="0.32500000000000001"/>
    <n v="2016"/>
    <x v="4"/>
    <n v="5"/>
    <n v="3.984"/>
    <s v="Profit"/>
  </r>
  <r>
    <s v="CA-2016-163636"/>
    <d v="2016-05-12T00:00:00"/>
    <x v="2"/>
    <x v="1"/>
    <x v="1136"/>
    <n v="3.536"/>
    <n v="2"/>
    <n v="0.30940000000000001"/>
    <n v="8.7500000000000008E-2"/>
    <n v="2016"/>
    <x v="4"/>
    <n v="5"/>
    <n v="1.768"/>
    <s v="Profit"/>
  </r>
  <r>
    <s v="CA-2016-146374"/>
    <d v="2016-05-12T00:00:00"/>
    <x v="0"/>
    <x v="0"/>
    <x v="1137"/>
    <n v="13.4"/>
    <n v="1"/>
    <n v="6.4320000000000004"/>
    <n v="0.48000000000000004"/>
    <n v="2016"/>
    <x v="4"/>
    <n v="5"/>
    <n v="13.4"/>
    <s v="Profit"/>
  </r>
  <r>
    <s v="CA-2016-146374"/>
    <d v="2016-05-12T00:00:00"/>
    <x v="0"/>
    <x v="1"/>
    <x v="124"/>
    <n v="4.9800000000000004"/>
    <n v="1"/>
    <n v="2.3405999999999998"/>
    <n v="0.46999999999999992"/>
    <n v="2016"/>
    <x v="4"/>
    <n v="5"/>
    <n v="4.9800000000000004"/>
    <s v="Profit"/>
  </r>
  <r>
    <s v="CA-2016-146374"/>
    <d v="2016-05-12T00:00:00"/>
    <x v="0"/>
    <x v="1"/>
    <x v="1138"/>
    <n v="109.69"/>
    <n v="7"/>
    <n v="51.554299999999998"/>
    <n v="0.47"/>
    <n v="2016"/>
    <x v="4"/>
    <n v="5"/>
    <n v="15.67"/>
    <s v="Profit"/>
  </r>
  <r>
    <s v="CA-2016-125017"/>
    <d v="2016-06-02T00:00:00"/>
    <x v="3"/>
    <x v="0"/>
    <x v="305"/>
    <n v="132.22399999999999"/>
    <n v="4"/>
    <n v="-18.180800000000001"/>
    <n v="-0.13750000000000001"/>
    <n v="2016"/>
    <x v="5"/>
    <n v="6"/>
    <n v="33.055999999999997"/>
    <s v="Loss"/>
  </r>
  <r>
    <s v="US-2016-155173"/>
    <d v="2016-06-03T00:00:00"/>
    <x v="0"/>
    <x v="2"/>
    <x v="1139"/>
    <n v="431.94"/>
    <n v="2"/>
    <n v="-71.989999999999995"/>
    <n v="-0.16666666666666666"/>
    <n v="2016"/>
    <x v="5"/>
    <n v="6"/>
    <n v="215.97"/>
    <s v="Loss"/>
  </r>
  <r>
    <s v="US-2016-155173"/>
    <d v="2016-06-03T00:00:00"/>
    <x v="0"/>
    <x v="1"/>
    <x v="346"/>
    <n v="2.0430000000000001"/>
    <n v="1"/>
    <n v="-1.4982"/>
    <n v="-0.73333333333333328"/>
    <n v="2016"/>
    <x v="5"/>
    <n v="6"/>
    <n v="2.0430000000000001"/>
    <s v="Loss"/>
  </r>
  <r>
    <s v="US-2016-155173"/>
    <d v="2016-06-03T00:00:00"/>
    <x v="0"/>
    <x v="2"/>
    <x v="506"/>
    <n v="68.238"/>
    <n v="3"/>
    <n v="-12.510300000000001"/>
    <n v="-0.18333333333333335"/>
    <n v="2016"/>
    <x v="5"/>
    <n v="6"/>
    <n v="22.745999999999999"/>
    <s v="Loss"/>
  </r>
  <r>
    <s v="CA-2016-110898"/>
    <d v="2016-06-03T00:00:00"/>
    <x v="2"/>
    <x v="1"/>
    <x v="845"/>
    <n v="2.3340000000000001"/>
    <n v="3"/>
    <n v="-6.3018000000000001"/>
    <n v="-2.6999999999999997"/>
    <n v="2016"/>
    <x v="5"/>
    <n v="6"/>
    <n v="0.77800000000000002"/>
    <s v="Loss"/>
  </r>
  <r>
    <s v="CA-2016-110898"/>
    <d v="2016-06-03T00:00:00"/>
    <x v="2"/>
    <x v="1"/>
    <x v="1091"/>
    <n v="1.728"/>
    <n v="4"/>
    <n v="-2.7648000000000001"/>
    <n v="-1.6"/>
    <n v="2016"/>
    <x v="5"/>
    <n v="6"/>
    <n v="0.432"/>
    <s v="Loss"/>
  </r>
  <r>
    <s v="CA-2016-110898"/>
    <d v="2016-06-03T00:00:00"/>
    <x v="2"/>
    <x v="0"/>
    <x v="1140"/>
    <n v="159.04"/>
    <n v="5"/>
    <n v="-194.82400000000001"/>
    <n v="-1.2250000000000001"/>
    <n v="2016"/>
    <x v="5"/>
    <n v="6"/>
    <n v="31.808"/>
    <s v="Loss"/>
  </r>
  <r>
    <s v="CA-2016-110898"/>
    <d v="2016-06-03T00:00:00"/>
    <x v="2"/>
    <x v="0"/>
    <x v="605"/>
    <n v="145.97999999999999"/>
    <n v="2"/>
    <n v="-99.266400000000004"/>
    <n v="-0.68"/>
    <n v="2016"/>
    <x v="5"/>
    <n v="6"/>
    <n v="72.989999999999995"/>
    <s v="Loss"/>
  </r>
  <r>
    <s v="US-2016-150140"/>
    <d v="2016-06-04T00:00:00"/>
    <x v="0"/>
    <x v="2"/>
    <x v="814"/>
    <n v="1294.75"/>
    <n v="5"/>
    <n v="336.63499999999999"/>
    <n v="0.26"/>
    <n v="2016"/>
    <x v="5"/>
    <n v="6"/>
    <n v="258.95"/>
    <s v="Profit"/>
  </r>
  <r>
    <s v="CA-2016-118052"/>
    <d v="2016-06-05T00:00:00"/>
    <x v="0"/>
    <x v="1"/>
    <x v="1141"/>
    <n v="7.2160000000000002"/>
    <n v="2"/>
    <n v="1.7138"/>
    <n v="0.23749999999999999"/>
    <n v="2016"/>
    <x v="5"/>
    <n v="6"/>
    <n v="3.6080000000000001"/>
    <s v="Profit"/>
  </r>
  <r>
    <s v="CA-2016-118052"/>
    <d v="2016-06-05T00:00:00"/>
    <x v="0"/>
    <x v="1"/>
    <x v="472"/>
    <n v="49.567999999999998"/>
    <n v="2"/>
    <n v="15.49"/>
    <n v="0.3125"/>
    <n v="2016"/>
    <x v="5"/>
    <n v="6"/>
    <n v="24.783999999999999"/>
    <s v="Profit"/>
  </r>
  <r>
    <s v="CA-2016-118052"/>
    <d v="2016-06-05T00:00:00"/>
    <x v="0"/>
    <x v="0"/>
    <x v="1142"/>
    <n v="54.712000000000003"/>
    <n v="7"/>
    <n v="11.626300000000001"/>
    <n v="0.21249999999999999"/>
    <n v="2016"/>
    <x v="5"/>
    <n v="6"/>
    <n v="7.8160000000000007"/>
    <s v="Profit"/>
  </r>
  <r>
    <s v="CA-2016-139234"/>
    <d v="2016-06-05T00:00:00"/>
    <x v="2"/>
    <x v="1"/>
    <x v="1143"/>
    <n v="3.2080000000000002"/>
    <n v="2"/>
    <n v="-5.2931999999999997"/>
    <n v="-1.65"/>
    <n v="2016"/>
    <x v="5"/>
    <n v="6"/>
    <n v="1.6040000000000001"/>
    <s v="Loss"/>
  </r>
  <r>
    <s v="CA-2016-139234"/>
    <d v="2016-06-05T00:00:00"/>
    <x v="2"/>
    <x v="2"/>
    <x v="559"/>
    <n v="26.175999999999998"/>
    <n v="2"/>
    <n v="-3.2719999999999998"/>
    <n v="-0.125"/>
    <n v="2016"/>
    <x v="5"/>
    <n v="6"/>
    <n v="13.087999999999999"/>
    <s v="Loss"/>
  </r>
  <r>
    <s v="US-2016-146857"/>
    <d v="2016-06-05T00:00:00"/>
    <x v="2"/>
    <x v="1"/>
    <x v="1071"/>
    <n v="54.48"/>
    <n v="1"/>
    <n v="15.2544"/>
    <n v="0.28000000000000003"/>
    <n v="2016"/>
    <x v="5"/>
    <n v="6"/>
    <n v="54.48"/>
    <s v="Profit"/>
  </r>
  <r>
    <s v="CA-2016-137393"/>
    <d v="2016-06-05T00:00:00"/>
    <x v="1"/>
    <x v="0"/>
    <x v="1144"/>
    <n v="41.6"/>
    <n v="4"/>
    <n v="14.144"/>
    <n v="0.33999999999999997"/>
    <n v="2016"/>
    <x v="5"/>
    <n v="6"/>
    <n v="10.4"/>
    <s v="Profit"/>
  </r>
  <r>
    <s v="CA-2016-125318"/>
    <d v="2016-06-06T00:00:00"/>
    <x v="2"/>
    <x v="2"/>
    <x v="1105"/>
    <n v="328.22399999999999"/>
    <n v="4"/>
    <n v="28.7196"/>
    <n v="8.7500000000000008E-2"/>
    <n v="2016"/>
    <x v="5"/>
    <n v="6"/>
    <n v="82.055999999999997"/>
    <s v="Profit"/>
  </r>
  <r>
    <s v="CA-2016-127369"/>
    <d v="2016-06-06T00:00:00"/>
    <x v="0"/>
    <x v="1"/>
    <x v="238"/>
    <n v="714.3"/>
    <n v="5"/>
    <n v="207.14699999999999"/>
    <n v="0.28999999999999998"/>
    <n v="2016"/>
    <x v="5"/>
    <n v="6"/>
    <n v="142.85999999999999"/>
    <s v="Profit"/>
  </r>
  <r>
    <s v="CA-2016-108350"/>
    <d v="2016-06-06T00:00:00"/>
    <x v="0"/>
    <x v="1"/>
    <x v="837"/>
    <n v="105.52"/>
    <n v="4"/>
    <n v="48.539200000000001"/>
    <n v="0.46"/>
    <n v="2016"/>
    <x v="5"/>
    <n v="6"/>
    <n v="26.38"/>
    <s v="Profit"/>
  </r>
  <r>
    <s v="US-2016-167472"/>
    <d v="2016-06-06T00:00:00"/>
    <x v="3"/>
    <x v="2"/>
    <x v="1052"/>
    <n v="179.94"/>
    <n v="6"/>
    <n v="75.574799999999996"/>
    <n v="0.42"/>
    <n v="2016"/>
    <x v="5"/>
    <n v="6"/>
    <n v="29.99"/>
    <s v="Profit"/>
  </r>
  <r>
    <s v="US-2016-167472"/>
    <d v="2016-06-06T00:00:00"/>
    <x v="3"/>
    <x v="2"/>
    <x v="272"/>
    <n v="26.85"/>
    <n v="3"/>
    <n v="5.1014999999999997"/>
    <n v="0.18999999999999997"/>
    <n v="2016"/>
    <x v="5"/>
    <n v="6"/>
    <n v="8.9500000000000011"/>
    <s v="Profit"/>
  </r>
  <r>
    <s v="US-2016-167472"/>
    <d v="2016-06-06T00:00:00"/>
    <x v="3"/>
    <x v="2"/>
    <x v="716"/>
    <n v="323.37"/>
    <n v="3"/>
    <n v="129.34800000000001"/>
    <n v="0.4"/>
    <n v="2016"/>
    <x v="5"/>
    <n v="6"/>
    <n v="107.79"/>
    <s v="Profit"/>
  </r>
  <r>
    <s v="US-2016-167472"/>
    <d v="2016-06-06T00:00:00"/>
    <x v="3"/>
    <x v="1"/>
    <x v="163"/>
    <n v="59.94"/>
    <n v="3"/>
    <n v="28.171800000000001"/>
    <n v="0.47000000000000003"/>
    <n v="2016"/>
    <x v="5"/>
    <n v="6"/>
    <n v="19.98"/>
    <s v="Profit"/>
  </r>
  <r>
    <s v="US-2016-167472"/>
    <d v="2016-06-06T00:00:00"/>
    <x v="3"/>
    <x v="1"/>
    <x v="1145"/>
    <n v="64.14"/>
    <n v="3"/>
    <n v="30.787199999999999"/>
    <n v="0.48"/>
    <n v="2016"/>
    <x v="5"/>
    <n v="6"/>
    <n v="21.38"/>
    <s v="Profit"/>
  </r>
  <r>
    <s v="US-2016-167472"/>
    <d v="2016-06-06T00:00:00"/>
    <x v="3"/>
    <x v="1"/>
    <x v="1146"/>
    <n v="11.67"/>
    <n v="3"/>
    <n v="5.6016000000000004"/>
    <n v="0.48000000000000004"/>
    <n v="2016"/>
    <x v="5"/>
    <n v="6"/>
    <n v="3.89"/>
    <s v="Profit"/>
  </r>
  <r>
    <s v="US-2016-167472"/>
    <d v="2016-06-06T00:00:00"/>
    <x v="3"/>
    <x v="1"/>
    <x v="1147"/>
    <n v="12.96"/>
    <n v="2"/>
    <n v="6.2207999999999997"/>
    <n v="0.47999999999999993"/>
    <n v="2016"/>
    <x v="5"/>
    <n v="6"/>
    <n v="6.48"/>
    <s v="Profit"/>
  </r>
  <r>
    <s v="US-2016-155971"/>
    <d v="2016-06-06T00:00:00"/>
    <x v="1"/>
    <x v="1"/>
    <x v="1148"/>
    <n v="22.05"/>
    <n v="7"/>
    <n v="10.584"/>
    <n v="0.48"/>
    <n v="2016"/>
    <x v="5"/>
    <n v="6"/>
    <n v="3.15"/>
    <s v="Profit"/>
  </r>
  <r>
    <s v="US-2016-155971"/>
    <d v="2016-06-06T00:00:00"/>
    <x v="1"/>
    <x v="1"/>
    <x v="1149"/>
    <n v="99.9"/>
    <n v="5"/>
    <n v="46.953000000000003"/>
    <n v="0.47000000000000003"/>
    <n v="2016"/>
    <x v="5"/>
    <n v="6"/>
    <n v="19.98"/>
    <s v="Profit"/>
  </r>
  <r>
    <s v="CA-2016-160717"/>
    <d v="2016-06-06T00:00:00"/>
    <x v="1"/>
    <x v="2"/>
    <x v="917"/>
    <n v="3023.9279999999999"/>
    <n v="9"/>
    <n v="226.7946"/>
    <n v="7.4999999999999997E-2"/>
    <n v="2016"/>
    <x v="5"/>
    <n v="6"/>
    <n v="335.99199999999996"/>
    <s v="Profit"/>
  </r>
  <r>
    <s v="CA-2016-160717"/>
    <d v="2016-06-06T00:00:00"/>
    <x v="1"/>
    <x v="2"/>
    <x v="589"/>
    <n v="26.96"/>
    <n v="2"/>
    <n v="3.7744"/>
    <n v="0.13999999999999999"/>
    <n v="2016"/>
    <x v="5"/>
    <n v="6"/>
    <n v="13.48"/>
    <s v="Profit"/>
  </r>
  <r>
    <s v="CA-2016-160717"/>
    <d v="2016-06-06T00:00:00"/>
    <x v="1"/>
    <x v="2"/>
    <x v="1150"/>
    <n v="477.6"/>
    <n v="3"/>
    <n v="161.19"/>
    <n v="0.33749999999999997"/>
    <n v="2016"/>
    <x v="5"/>
    <n v="6"/>
    <n v="159.20000000000002"/>
    <s v="Profit"/>
  </r>
  <r>
    <s v="CA-2016-112830"/>
    <d v="2016-06-06T00:00:00"/>
    <x v="0"/>
    <x v="0"/>
    <x v="804"/>
    <n v="466.32"/>
    <n v="3"/>
    <n v="34.973999999999997"/>
    <n v="7.4999999999999997E-2"/>
    <n v="2016"/>
    <x v="5"/>
    <n v="6"/>
    <n v="155.44"/>
    <s v="Profit"/>
  </r>
  <r>
    <s v="CA-2016-112830"/>
    <d v="2016-06-06T00:00:00"/>
    <x v="0"/>
    <x v="0"/>
    <x v="1151"/>
    <n v="82.64"/>
    <n v="2"/>
    <n v="0"/>
    <n v="0"/>
    <n v="2016"/>
    <x v="5"/>
    <n v="6"/>
    <n v="41.32"/>
    <s v="Loss"/>
  </r>
  <r>
    <s v="CA-2016-158869"/>
    <d v="2016-06-08T00:00:00"/>
    <x v="0"/>
    <x v="1"/>
    <x v="124"/>
    <n v="70.88"/>
    <n v="2"/>
    <n v="33.313600000000001"/>
    <n v="0.47000000000000003"/>
    <n v="2016"/>
    <x v="5"/>
    <n v="6"/>
    <n v="35.44"/>
    <s v="Profit"/>
  </r>
  <r>
    <s v="CA-2016-151092"/>
    <d v="2016-06-08T00:00:00"/>
    <x v="1"/>
    <x v="2"/>
    <x v="31"/>
    <n v="211.16800000000001"/>
    <n v="4"/>
    <n v="18.4772"/>
    <n v="8.7499999999999994E-2"/>
    <n v="2016"/>
    <x v="5"/>
    <n v="6"/>
    <n v="52.792000000000002"/>
    <s v="Profit"/>
  </r>
  <r>
    <s v="CA-2016-105263"/>
    <d v="2016-06-08T00:00:00"/>
    <x v="0"/>
    <x v="1"/>
    <x v="1152"/>
    <n v="38.340000000000003"/>
    <n v="9"/>
    <n v="15.7194"/>
    <n v="0.41"/>
    <n v="2016"/>
    <x v="5"/>
    <n v="6"/>
    <n v="4.2600000000000007"/>
    <s v="Profit"/>
  </r>
  <r>
    <s v="CA-2016-149223"/>
    <d v="2016-06-09T00:00:00"/>
    <x v="2"/>
    <x v="1"/>
    <x v="79"/>
    <n v="77.88"/>
    <n v="6"/>
    <n v="22.5852"/>
    <n v="0.29000000000000004"/>
    <n v="2016"/>
    <x v="5"/>
    <n v="6"/>
    <n v="12.979999999999999"/>
    <s v="Profit"/>
  </r>
  <r>
    <s v="CA-2016-102981"/>
    <d v="2016-06-09T00:00:00"/>
    <x v="0"/>
    <x v="2"/>
    <x v="1153"/>
    <n v="31.86"/>
    <n v="2"/>
    <n v="11.151"/>
    <n v="0.35"/>
    <n v="2016"/>
    <x v="5"/>
    <n v="6"/>
    <n v="15.93"/>
    <s v="Profit"/>
  </r>
  <r>
    <s v="CA-2016-102981"/>
    <d v="2016-06-09T00:00:00"/>
    <x v="0"/>
    <x v="0"/>
    <x v="505"/>
    <n v="722.35199999999998"/>
    <n v="3"/>
    <n v="90.293999999999997"/>
    <n v="0.125"/>
    <n v="2016"/>
    <x v="5"/>
    <n v="6"/>
    <n v="240.78399999999999"/>
    <s v="Profit"/>
  </r>
  <r>
    <s v="CA-2016-133123"/>
    <d v="2016-06-09T00:00:00"/>
    <x v="3"/>
    <x v="1"/>
    <x v="1154"/>
    <n v="95.951999999999998"/>
    <n v="3"/>
    <n v="29.984999999999999"/>
    <n v="0.3125"/>
    <n v="2016"/>
    <x v="5"/>
    <n v="6"/>
    <n v="31.983999999999998"/>
    <s v="Profit"/>
  </r>
  <r>
    <s v="CA-2016-133123"/>
    <d v="2016-06-09T00:00:00"/>
    <x v="3"/>
    <x v="1"/>
    <x v="729"/>
    <n v="3.2040000000000002"/>
    <n v="2"/>
    <n v="-2.4563999999999999"/>
    <n v="-0.76666666666666661"/>
    <n v="2016"/>
    <x v="5"/>
    <n v="6"/>
    <n v="1.6020000000000001"/>
    <s v="Loss"/>
  </r>
  <r>
    <s v="CA-2016-145240"/>
    <d v="2016-06-09T00:00:00"/>
    <x v="2"/>
    <x v="1"/>
    <x v="1155"/>
    <n v="10.784000000000001"/>
    <n v="1"/>
    <n v="0.80879999999999996"/>
    <n v="7.4999999999999997E-2"/>
    <n v="2016"/>
    <x v="5"/>
    <n v="6"/>
    <n v="10.784000000000001"/>
    <s v="Profit"/>
  </r>
  <r>
    <s v="CA-2016-123932"/>
    <d v="2016-06-09T00:00:00"/>
    <x v="2"/>
    <x v="1"/>
    <x v="1156"/>
    <n v="41.92"/>
    <n v="4"/>
    <n v="15.196"/>
    <n v="0.36249999999999999"/>
    <n v="2016"/>
    <x v="5"/>
    <n v="6"/>
    <n v="10.48"/>
    <s v="Profit"/>
  </r>
  <r>
    <s v="CA-2016-123932"/>
    <d v="2016-06-09T00:00:00"/>
    <x v="2"/>
    <x v="2"/>
    <x v="1157"/>
    <n v="329.584"/>
    <n v="2"/>
    <n v="37.078200000000002"/>
    <n v="0.1125"/>
    <n v="2016"/>
    <x v="5"/>
    <n v="6"/>
    <n v="164.792"/>
    <s v="Profit"/>
  </r>
  <r>
    <s v="US-2016-115952"/>
    <d v="2016-06-10T00:00:00"/>
    <x v="2"/>
    <x v="1"/>
    <x v="1158"/>
    <n v="28.85"/>
    <n v="5"/>
    <n v="14.425000000000001"/>
    <n v="0.5"/>
    <n v="2016"/>
    <x v="5"/>
    <n v="6"/>
    <n v="5.7700000000000005"/>
    <s v="Profit"/>
  </r>
  <r>
    <s v="US-2016-157490"/>
    <d v="2016-06-10T00:00:00"/>
    <x v="1"/>
    <x v="2"/>
    <x v="1159"/>
    <n v="703.71"/>
    <n v="6"/>
    <n v="-938.28"/>
    <n v="-1.3333333333333333"/>
    <n v="2016"/>
    <x v="5"/>
    <n v="6"/>
    <n v="117.28500000000001"/>
    <s v="Loss"/>
  </r>
  <r>
    <s v="US-2016-157490"/>
    <d v="2016-06-10T00:00:00"/>
    <x v="1"/>
    <x v="1"/>
    <x v="1120"/>
    <n v="17.904"/>
    <n v="4"/>
    <n v="-14.92"/>
    <n v="-0.83333333333333337"/>
    <n v="2016"/>
    <x v="5"/>
    <n v="6"/>
    <n v="4.476"/>
    <s v="Loss"/>
  </r>
  <r>
    <s v="US-2016-157490"/>
    <d v="2016-06-10T00:00:00"/>
    <x v="1"/>
    <x v="1"/>
    <x v="471"/>
    <n v="11.976000000000001"/>
    <n v="4"/>
    <n v="-9.1815999999999995"/>
    <n v="-0.76666666666666661"/>
    <n v="2016"/>
    <x v="5"/>
    <n v="6"/>
    <n v="2.9940000000000002"/>
    <s v="Loss"/>
  </r>
  <r>
    <s v="US-2016-157490"/>
    <d v="2016-06-10T00:00:00"/>
    <x v="1"/>
    <x v="2"/>
    <x v="339"/>
    <n v="67.959999999999994"/>
    <n v="5"/>
    <n v="0.84950000000000003"/>
    <n v="1.2500000000000002E-2"/>
    <n v="2016"/>
    <x v="5"/>
    <n v="6"/>
    <n v="13.591999999999999"/>
    <s v="Profit"/>
  </r>
  <r>
    <s v="US-2016-125969"/>
    <d v="2016-06-11T00:00:00"/>
    <x v="1"/>
    <x v="0"/>
    <x v="526"/>
    <n v="81.424000000000007"/>
    <n v="2"/>
    <n v="-9.1601999999999997"/>
    <n v="-0.11249999999999999"/>
    <n v="2016"/>
    <x v="5"/>
    <n v="6"/>
    <n v="40.712000000000003"/>
    <s v="Loss"/>
  </r>
  <r>
    <s v="US-2016-125969"/>
    <d v="2016-06-11T00:00:00"/>
    <x v="1"/>
    <x v="0"/>
    <x v="1140"/>
    <n v="238.56"/>
    <n v="3"/>
    <n v="26.241599999999998"/>
    <n v="0.10999999999999999"/>
    <n v="2016"/>
    <x v="5"/>
    <n v="6"/>
    <n v="79.52"/>
    <s v="Profit"/>
  </r>
  <r>
    <s v="US-2016-153815"/>
    <d v="2016-06-11T00:00:00"/>
    <x v="3"/>
    <x v="0"/>
    <x v="1160"/>
    <n v="207.98400000000001"/>
    <n v="2"/>
    <n v="-28.597799999999999"/>
    <n v="-0.13749999999999998"/>
    <n v="2016"/>
    <x v="5"/>
    <n v="6"/>
    <n v="103.992"/>
    <s v="Loss"/>
  </r>
  <r>
    <s v="US-2016-153815"/>
    <d v="2016-06-11T00:00:00"/>
    <x v="3"/>
    <x v="1"/>
    <x v="1161"/>
    <n v="36.112000000000002"/>
    <n v="2"/>
    <n v="12.639200000000001"/>
    <n v="0.35"/>
    <n v="2016"/>
    <x v="5"/>
    <n v="6"/>
    <n v="18.056000000000001"/>
    <s v="Profit"/>
  </r>
  <r>
    <s v="US-2016-153815"/>
    <d v="2016-06-11T00:00:00"/>
    <x v="3"/>
    <x v="0"/>
    <x v="855"/>
    <n v="35.567999999999998"/>
    <n v="2"/>
    <n v="5.7797999999999998"/>
    <n v="0.16250000000000001"/>
    <n v="2016"/>
    <x v="5"/>
    <n v="6"/>
    <n v="17.783999999999999"/>
    <s v="Profit"/>
  </r>
  <r>
    <s v="US-2016-153815"/>
    <d v="2016-06-11T00:00:00"/>
    <x v="3"/>
    <x v="1"/>
    <x v="485"/>
    <n v="88.768000000000001"/>
    <n v="2"/>
    <n v="31.0688"/>
    <n v="0.35"/>
    <n v="2016"/>
    <x v="5"/>
    <n v="6"/>
    <n v="44.384"/>
    <s v="Profit"/>
  </r>
  <r>
    <s v="CA-2016-109925"/>
    <d v="2016-06-11T00:00:00"/>
    <x v="1"/>
    <x v="1"/>
    <x v="1085"/>
    <n v="84.84"/>
    <n v="3"/>
    <n v="22.9068"/>
    <n v="0.27"/>
    <n v="2016"/>
    <x v="5"/>
    <n v="6"/>
    <n v="28.28"/>
    <s v="Profit"/>
  </r>
  <r>
    <s v="US-2016-114776"/>
    <d v="2016-06-12T00:00:00"/>
    <x v="1"/>
    <x v="1"/>
    <x v="571"/>
    <n v="19.440000000000001"/>
    <n v="3"/>
    <n v="9.3312000000000008"/>
    <n v="0.48000000000000004"/>
    <n v="2016"/>
    <x v="5"/>
    <n v="6"/>
    <n v="6.48"/>
    <s v="Profit"/>
  </r>
  <r>
    <s v="US-2016-169040"/>
    <d v="2016-06-12T00:00:00"/>
    <x v="1"/>
    <x v="2"/>
    <x v="1162"/>
    <n v="156.792"/>
    <n v="1"/>
    <n v="13.7193"/>
    <n v="8.7500000000000008E-2"/>
    <n v="2016"/>
    <x v="5"/>
    <n v="6"/>
    <n v="156.792"/>
    <s v="Profit"/>
  </r>
  <r>
    <s v="US-2016-169040"/>
    <d v="2016-06-12T00:00:00"/>
    <x v="1"/>
    <x v="2"/>
    <x v="1163"/>
    <n v="431.976"/>
    <n v="3"/>
    <n v="26.9985"/>
    <n v="6.25E-2"/>
    <n v="2016"/>
    <x v="5"/>
    <n v="6"/>
    <n v="143.99199999999999"/>
    <s v="Profit"/>
  </r>
  <r>
    <s v="US-2016-169040"/>
    <d v="2016-06-12T00:00:00"/>
    <x v="1"/>
    <x v="1"/>
    <x v="1164"/>
    <n v="35.89"/>
    <n v="1"/>
    <n v="16.150500000000001"/>
    <n v="0.45"/>
    <n v="2016"/>
    <x v="5"/>
    <n v="6"/>
    <n v="35.89"/>
    <s v="Profit"/>
  </r>
  <r>
    <s v="US-2016-169040"/>
    <d v="2016-06-12T00:00:00"/>
    <x v="1"/>
    <x v="1"/>
    <x v="746"/>
    <n v="47.207999999999998"/>
    <n v="7"/>
    <n v="15.342599999999999"/>
    <n v="0.32500000000000001"/>
    <n v="2016"/>
    <x v="5"/>
    <n v="6"/>
    <n v="6.7439999999999998"/>
    <s v="Profit"/>
  </r>
  <r>
    <s v="US-2016-169040"/>
    <d v="2016-06-12T00:00:00"/>
    <x v="1"/>
    <x v="1"/>
    <x v="1165"/>
    <n v="248.08"/>
    <n v="7"/>
    <n v="116.5976"/>
    <n v="0.47"/>
    <n v="2016"/>
    <x v="5"/>
    <n v="6"/>
    <n v="35.440000000000005"/>
    <s v="Profit"/>
  </r>
  <r>
    <s v="US-2016-169040"/>
    <d v="2016-06-12T00:00:00"/>
    <x v="1"/>
    <x v="1"/>
    <x v="1053"/>
    <n v="189.7"/>
    <n v="5"/>
    <n v="89.159000000000006"/>
    <n v="0.47000000000000008"/>
    <n v="2016"/>
    <x v="5"/>
    <n v="6"/>
    <n v="37.94"/>
    <s v="Profit"/>
  </r>
  <r>
    <s v="US-2016-169040"/>
    <d v="2016-06-12T00:00:00"/>
    <x v="1"/>
    <x v="1"/>
    <x v="1166"/>
    <n v="59.808"/>
    <n v="3"/>
    <n v="19.4376"/>
    <n v="0.32500000000000001"/>
    <n v="2016"/>
    <x v="5"/>
    <n v="6"/>
    <n v="19.936"/>
    <s v="Profit"/>
  </r>
  <r>
    <s v="CA-2016-162390"/>
    <d v="2016-06-12T00:00:00"/>
    <x v="0"/>
    <x v="1"/>
    <x v="1000"/>
    <n v="968.74400000000003"/>
    <n v="7"/>
    <n v="314.84179999999998"/>
    <n v="0.32499999999999996"/>
    <n v="2016"/>
    <x v="5"/>
    <n v="6"/>
    <n v="138.392"/>
    <s v="Profit"/>
  </r>
  <r>
    <s v="CA-2016-162390"/>
    <d v="2016-06-12T00:00:00"/>
    <x v="0"/>
    <x v="1"/>
    <x v="1145"/>
    <n v="222.352"/>
    <n v="13"/>
    <n v="77.8232"/>
    <n v="0.35"/>
    <n v="2016"/>
    <x v="5"/>
    <n v="6"/>
    <n v="17.103999999999999"/>
    <s v="Profit"/>
  </r>
  <r>
    <s v="CA-2016-162390"/>
    <d v="2016-06-12T00:00:00"/>
    <x v="0"/>
    <x v="2"/>
    <x v="1167"/>
    <n v="479.98399999999998"/>
    <n v="2"/>
    <n v="89.997"/>
    <n v="0.1875"/>
    <n v="2016"/>
    <x v="5"/>
    <n v="6"/>
    <n v="239.99199999999999"/>
    <s v="Profit"/>
  </r>
  <r>
    <s v="US-2016-103674"/>
    <d v="2016-06-12T00:00:00"/>
    <x v="1"/>
    <x v="2"/>
    <x v="1168"/>
    <n v="271.95999999999998"/>
    <n v="5"/>
    <n v="27.196000000000002"/>
    <n v="0.10000000000000002"/>
    <n v="2016"/>
    <x v="5"/>
    <n v="6"/>
    <n v="54.391999999999996"/>
    <s v="Profit"/>
  </r>
  <r>
    <s v="US-2016-103674"/>
    <d v="2016-06-12T00:00:00"/>
    <x v="1"/>
    <x v="1"/>
    <x v="516"/>
    <n v="18.690000000000001"/>
    <n v="7"/>
    <n v="5.2332000000000001"/>
    <n v="0.27999999999999997"/>
    <n v="2016"/>
    <x v="5"/>
    <n v="6"/>
    <n v="2.6700000000000004"/>
    <s v="Profit"/>
  </r>
  <r>
    <s v="US-2016-103674"/>
    <d v="2016-06-12T00:00:00"/>
    <x v="1"/>
    <x v="1"/>
    <x v="141"/>
    <n v="13.36"/>
    <n v="2"/>
    <n v="6.4127999999999998"/>
    <n v="0.48"/>
    <n v="2016"/>
    <x v="5"/>
    <n v="6"/>
    <n v="6.68"/>
    <s v="Profit"/>
  </r>
  <r>
    <s v="US-2016-103674"/>
    <d v="2016-06-12T00:00:00"/>
    <x v="1"/>
    <x v="2"/>
    <x v="609"/>
    <n v="249.584"/>
    <n v="2"/>
    <n v="31.198"/>
    <n v="0.125"/>
    <n v="2016"/>
    <x v="5"/>
    <n v="6"/>
    <n v="124.792"/>
    <s v="Profit"/>
  </r>
  <r>
    <s v="US-2016-103674"/>
    <d v="2016-06-12T00:00:00"/>
    <x v="1"/>
    <x v="1"/>
    <x v="1169"/>
    <n v="13.86"/>
    <n v="7"/>
    <n v="0"/>
    <n v="0"/>
    <n v="2016"/>
    <x v="5"/>
    <n v="6"/>
    <n v="1.98"/>
    <s v="Loss"/>
  </r>
  <r>
    <s v="US-2016-103674"/>
    <d v="2016-06-12T00:00:00"/>
    <x v="1"/>
    <x v="1"/>
    <x v="1170"/>
    <n v="13.375999999999999"/>
    <n v="4"/>
    <n v="4.6816000000000004"/>
    <n v="0.35000000000000003"/>
    <n v="2016"/>
    <x v="5"/>
    <n v="6"/>
    <n v="3.3439999999999999"/>
    <s v="Profit"/>
  </r>
  <r>
    <s v="US-2016-103674"/>
    <d v="2016-06-12T00:00:00"/>
    <x v="1"/>
    <x v="1"/>
    <x v="454"/>
    <n v="437.47199999999998"/>
    <n v="14"/>
    <n v="153.11519999999999"/>
    <n v="0.35"/>
    <n v="2016"/>
    <x v="5"/>
    <n v="6"/>
    <n v="31.247999999999998"/>
    <s v="Profit"/>
  </r>
  <r>
    <s v="CA-2016-101938"/>
    <d v="2016-07-01T00:00:00"/>
    <x v="1"/>
    <x v="1"/>
    <x v="1171"/>
    <n v="34.58"/>
    <n v="1"/>
    <n v="10.0282"/>
    <n v="0.29000000000000004"/>
    <n v="2016"/>
    <x v="6"/>
    <n v="7"/>
    <n v="34.58"/>
    <s v="Profit"/>
  </r>
  <r>
    <s v="CA-2016-158806"/>
    <d v="2016-07-01T00:00:00"/>
    <x v="2"/>
    <x v="0"/>
    <x v="1172"/>
    <n v="23.076000000000001"/>
    <n v="3"/>
    <n v="-10.9611"/>
    <n v="-0.47499999999999998"/>
    <n v="2016"/>
    <x v="6"/>
    <n v="7"/>
    <n v="7.6920000000000002"/>
    <s v="Loss"/>
  </r>
  <r>
    <s v="CA-2016-158806"/>
    <d v="2016-07-01T00:00:00"/>
    <x v="2"/>
    <x v="1"/>
    <x v="694"/>
    <n v="25.92"/>
    <n v="5"/>
    <n v="9.0719999999999992"/>
    <n v="0.34999999999999992"/>
    <n v="2016"/>
    <x v="6"/>
    <n v="7"/>
    <n v="5.1840000000000002"/>
    <s v="Profit"/>
  </r>
  <r>
    <s v="CA-2016-106894"/>
    <d v="2016-07-02T00:00:00"/>
    <x v="3"/>
    <x v="2"/>
    <x v="643"/>
    <n v="100"/>
    <n v="4"/>
    <n v="21"/>
    <n v="0.21"/>
    <n v="2016"/>
    <x v="6"/>
    <n v="7"/>
    <n v="25"/>
    <s v="Profit"/>
  </r>
  <r>
    <s v="CA-2016-106894"/>
    <d v="2016-07-02T00:00:00"/>
    <x v="3"/>
    <x v="1"/>
    <x v="850"/>
    <n v="7.83"/>
    <n v="3"/>
    <n v="3.6017999999999999"/>
    <n v="0.45999999999999996"/>
    <n v="2016"/>
    <x v="6"/>
    <n v="7"/>
    <n v="2.61"/>
    <s v="Profit"/>
  </r>
  <r>
    <s v="CA-2016-161662"/>
    <d v="2016-07-02T00:00:00"/>
    <x v="0"/>
    <x v="1"/>
    <x v="1173"/>
    <n v="30.352"/>
    <n v="2"/>
    <n v="10.623200000000001"/>
    <n v="0.35000000000000003"/>
    <n v="2016"/>
    <x v="6"/>
    <n v="7"/>
    <n v="15.176"/>
    <s v="Profit"/>
  </r>
  <r>
    <s v="CA-2016-135461"/>
    <d v="2016-07-02T00:00:00"/>
    <x v="1"/>
    <x v="2"/>
    <x v="736"/>
    <n v="623.96"/>
    <n v="5"/>
    <n v="38.997500000000002"/>
    <n v="6.25E-2"/>
    <n v="2016"/>
    <x v="6"/>
    <n v="7"/>
    <n v="124.792"/>
    <s v="Profit"/>
  </r>
  <r>
    <s v="US-2016-137547"/>
    <d v="2016-07-03T00:00:00"/>
    <x v="2"/>
    <x v="2"/>
    <x v="932"/>
    <n v="21.071999999999999"/>
    <n v="3"/>
    <n v="1.5804"/>
    <n v="7.5000000000000011E-2"/>
    <n v="2016"/>
    <x v="6"/>
    <n v="7"/>
    <n v="7.024"/>
    <s v="Profit"/>
  </r>
  <r>
    <s v="CA-2016-110499"/>
    <d v="2016-07-04T00:00:00"/>
    <x v="1"/>
    <x v="2"/>
    <x v="989"/>
    <n v="1199.9760000000001"/>
    <n v="3"/>
    <n v="374.99250000000001"/>
    <n v="0.3125"/>
    <n v="2016"/>
    <x v="6"/>
    <n v="7"/>
    <n v="399.99200000000002"/>
    <s v="Profit"/>
  </r>
  <r>
    <s v="CA-2016-120530"/>
    <d v="2016-07-04T00:00:00"/>
    <x v="0"/>
    <x v="0"/>
    <x v="207"/>
    <n v="658.74599999999998"/>
    <n v="3"/>
    <n v="146.38800000000001"/>
    <n v="0.22222222222222224"/>
    <n v="2016"/>
    <x v="6"/>
    <n v="7"/>
    <n v="219.58199999999999"/>
    <s v="Profit"/>
  </r>
  <r>
    <s v="CA-2016-132899"/>
    <d v="2016-07-04T00:00:00"/>
    <x v="0"/>
    <x v="1"/>
    <x v="1174"/>
    <n v="3.64"/>
    <n v="2"/>
    <n v="0.98280000000000001"/>
    <n v="0.27"/>
    <n v="2016"/>
    <x v="6"/>
    <n v="7"/>
    <n v="1.82"/>
    <s v="Profit"/>
  </r>
  <r>
    <s v="CA-2016-154998"/>
    <d v="2016-07-04T00:00:00"/>
    <x v="0"/>
    <x v="1"/>
    <x v="68"/>
    <n v="37.94"/>
    <n v="2"/>
    <n v="18.211200000000002"/>
    <n v="0.48000000000000009"/>
    <n v="2016"/>
    <x v="6"/>
    <n v="7"/>
    <n v="18.97"/>
    <s v="Profit"/>
  </r>
  <r>
    <s v="CA-2016-114405"/>
    <d v="2016-07-04T00:00:00"/>
    <x v="0"/>
    <x v="1"/>
    <x v="166"/>
    <n v="33.527999999999999"/>
    <n v="3"/>
    <n v="2.5146000000000002"/>
    <n v="7.5000000000000011E-2"/>
    <n v="2016"/>
    <x v="6"/>
    <n v="7"/>
    <n v="11.176"/>
    <s v="Profit"/>
  </r>
  <r>
    <s v="CA-2016-114405"/>
    <d v="2016-07-04T00:00:00"/>
    <x v="0"/>
    <x v="1"/>
    <x v="1175"/>
    <n v="36.744"/>
    <n v="3"/>
    <n v="3.6743999999999999"/>
    <n v="9.9999999999999992E-2"/>
    <n v="2016"/>
    <x v="6"/>
    <n v="7"/>
    <n v="12.247999999999999"/>
    <s v="Profit"/>
  </r>
  <r>
    <s v="CA-2016-128818"/>
    <d v="2016-07-05T00:00:00"/>
    <x v="0"/>
    <x v="1"/>
    <x v="634"/>
    <n v="85.231999999999999"/>
    <n v="7"/>
    <n v="30.896599999999999"/>
    <n v="0.36249999999999999"/>
    <n v="2016"/>
    <x v="6"/>
    <n v="7"/>
    <n v="12.176"/>
    <s v="Profit"/>
  </r>
  <r>
    <s v="CA-2016-128818"/>
    <d v="2016-07-05T00:00:00"/>
    <x v="0"/>
    <x v="1"/>
    <x v="420"/>
    <n v="44.4"/>
    <n v="3"/>
    <n v="22.2"/>
    <n v="0.5"/>
    <n v="2016"/>
    <x v="6"/>
    <n v="7"/>
    <n v="14.799999999999999"/>
    <s v="Profit"/>
  </r>
  <r>
    <s v="CA-2016-128818"/>
    <d v="2016-07-05T00:00:00"/>
    <x v="0"/>
    <x v="0"/>
    <x v="1176"/>
    <n v="442.76400000000001"/>
    <n v="4"/>
    <n v="59.035200000000003"/>
    <n v="0.13333333333333333"/>
    <n v="2016"/>
    <x v="6"/>
    <n v="7"/>
    <n v="110.691"/>
    <s v="Profit"/>
  </r>
  <r>
    <s v="CA-2016-128818"/>
    <d v="2016-07-05T00:00:00"/>
    <x v="0"/>
    <x v="2"/>
    <x v="44"/>
    <n v="3999.95"/>
    <n v="5"/>
    <n v="1159.9855"/>
    <n v="0.29000000000000004"/>
    <n v="2016"/>
    <x v="6"/>
    <n v="7"/>
    <n v="799.99"/>
    <s v="Profit"/>
  </r>
  <r>
    <s v="CA-2016-128818"/>
    <d v="2016-07-05T00:00:00"/>
    <x v="0"/>
    <x v="2"/>
    <x v="818"/>
    <n v="199.95"/>
    <n v="5"/>
    <n v="21.994499999999999"/>
    <n v="0.11"/>
    <n v="2016"/>
    <x v="6"/>
    <n v="7"/>
    <n v="39.989999999999995"/>
    <s v="Profit"/>
  </r>
  <r>
    <s v="CA-2016-128818"/>
    <d v="2016-07-05T00:00:00"/>
    <x v="0"/>
    <x v="0"/>
    <x v="263"/>
    <n v="63.68"/>
    <n v="8"/>
    <n v="28.019200000000001"/>
    <n v="0.44"/>
    <n v="2016"/>
    <x v="6"/>
    <n v="7"/>
    <n v="7.96"/>
    <s v="Profit"/>
  </r>
  <r>
    <s v="CA-2016-120558"/>
    <d v="2016-07-06T00:00:00"/>
    <x v="0"/>
    <x v="1"/>
    <x v="41"/>
    <n v="32.4"/>
    <n v="5"/>
    <n v="15.552"/>
    <n v="0.48"/>
    <n v="2016"/>
    <x v="6"/>
    <n v="7"/>
    <n v="6.4799999999999995"/>
    <s v="Profit"/>
  </r>
  <r>
    <s v="CA-2016-103163"/>
    <d v="2016-07-06T00:00:00"/>
    <x v="1"/>
    <x v="1"/>
    <x v="934"/>
    <n v="4.7839999999999998"/>
    <n v="1"/>
    <n v="1.5548"/>
    <n v="0.32500000000000001"/>
    <n v="2016"/>
    <x v="6"/>
    <n v="7"/>
    <n v="4.7839999999999998"/>
    <s v="Profit"/>
  </r>
  <r>
    <s v="CA-2016-103163"/>
    <d v="2016-07-06T00:00:00"/>
    <x v="1"/>
    <x v="1"/>
    <x v="1177"/>
    <n v="4.7300000000000004"/>
    <n v="1"/>
    <n v="2.3176999999999999"/>
    <n v="0.48999999999999994"/>
    <n v="2016"/>
    <x v="6"/>
    <n v="7"/>
    <n v="4.7300000000000004"/>
    <s v="Profit"/>
  </r>
  <r>
    <s v="CA-2016-107475"/>
    <d v="2016-07-06T00:00:00"/>
    <x v="0"/>
    <x v="1"/>
    <x v="1178"/>
    <n v="9.6479999999999997"/>
    <n v="6"/>
    <n v="3.4973999999999998"/>
    <n v="0.36249999999999999"/>
    <n v="2016"/>
    <x v="6"/>
    <n v="7"/>
    <n v="1.6079999999999999"/>
    <s v="Profit"/>
  </r>
  <r>
    <s v="CA-2016-114713"/>
    <d v="2016-07-07T00:00:00"/>
    <x v="3"/>
    <x v="1"/>
    <x v="194"/>
    <n v="45.584000000000003"/>
    <n v="7"/>
    <n v="5.1281999999999996"/>
    <n v="0.11249999999999999"/>
    <n v="2016"/>
    <x v="6"/>
    <n v="7"/>
    <n v="6.5120000000000005"/>
    <s v="Profit"/>
  </r>
  <r>
    <s v="CA-2016-100965"/>
    <d v="2016-07-07T00:00:00"/>
    <x v="1"/>
    <x v="0"/>
    <x v="112"/>
    <n v="215.65"/>
    <n v="5"/>
    <n v="73.320999999999998"/>
    <n v="0.33999999999999997"/>
    <n v="2016"/>
    <x v="6"/>
    <n v="7"/>
    <n v="43.13"/>
    <s v="Profit"/>
  </r>
  <r>
    <s v="CA-2016-159940"/>
    <d v="2016-07-07T00:00:00"/>
    <x v="2"/>
    <x v="0"/>
    <x v="872"/>
    <n v="60.287999999999997"/>
    <n v="8"/>
    <n v="-27.1296"/>
    <n v="-0.45"/>
    <n v="2016"/>
    <x v="6"/>
    <n v="7"/>
    <n v="7.5359999999999996"/>
    <s v="Loss"/>
  </r>
  <r>
    <s v="CA-2016-159940"/>
    <d v="2016-07-07T00:00:00"/>
    <x v="2"/>
    <x v="1"/>
    <x v="840"/>
    <n v="2.6320000000000001"/>
    <n v="1"/>
    <n v="0.82250000000000001"/>
    <n v="0.3125"/>
    <n v="2016"/>
    <x v="6"/>
    <n v="7"/>
    <n v="2.6320000000000001"/>
    <s v="Profit"/>
  </r>
  <r>
    <s v="CA-2016-159940"/>
    <d v="2016-07-07T00:00:00"/>
    <x v="2"/>
    <x v="1"/>
    <x v="1179"/>
    <n v="23.687999999999999"/>
    <n v="9"/>
    <n v="7.6985999999999999"/>
    <n v="0.32500000000000001"/>
    <n v="2016"/>
    <x v="6"/>
    <n v="7"/>
    <n v="2.6319999999999997"/>
    <s v="Profit"/>
  </r>
  <r>
    <s v="CA-2016-159940"/>
    <d v="2016-07-07T00:00:00"/>
    <x v="2"/>
    <x v="0"/>
    <x v="258"/>
    <n v="253.37200000000001"/>
    <n v="2"/>
    <n v="-14.478400000000001"/>
    <n v="-5.7142857142857141E-2"/>
    <n v="2016"/>
    <x v="6"/>
    <n v="7"/>
    <n v="126.68600000000001"/>
    <s v="Loss"/>
  </r>
  <r>
    <s v="CA-2016-135265"/>
    <d v="2016-07-07T00:00:00"/>
    <x v="1"/>
    <x v="0"/>
    <x v="171"/>
    <n v="287.96800000000002"/>
    <n v="4"/>
    <n v="-3.5996000000000001"/>
    <n v="-1.2499999999999999E-2"/>
    <n v="2016"/>
    <x v="6"/>
    <n v="7"/>
    <n v="71.992000000000004"/>
    <s v="Loss"/>
  </r>
  <r>
    <s v="CA-2016-135265"/>
    <d v="2016-07-07T00:00:00"/>
    <x v="1"/>
    <x v="2"/>
    <x v="1073"/>
    <n v="2799.96"/>
    <n v="5"/>
    <n v="944.98649999999998"/>
    <n v="0.33749999999999997"/>
    <n v="2016"/>
    <x v="6"/>
    <n v="7"/>
    <n v="559.99199999999996"/>
    <s v="Profit"/>
  </r>
  <r>
    <s v="CA-2016-135265"/>
    <d v="2016-07-07T00:00:00"/>
    <x v="1"/>
    <x v="1"/>
    <x v="625"/>
    <n v="48.94"/>
    <n v="1"/>
    <n v="24.47"/>
    <n v="0.5"/>
    <n v="2016"/>
    <x v="6"/>
    <n v="7"/>
    <n v="48.94"/>
    <s v="Profit"/>
  </r>
  <r>
    <s v="CA-2016-129308"/>
    <d v="2016-07-07T00:00:00"/>
    <x v="0"/>
    <x v="1"/>
    <x v="1180"/>
    <n v="10.08"/>
    <n v="2"/>
    <n v="3.2759999999999998"/>
    <n v="0.32499999999999996"/>
    <n v="2016"/>
    <x v="6"/>
    <n v="7"/>
    <n v="5.04"/>
    <s v="Profit"/>
  </r>
  <r>
    <s v="CA-2016-129308"/>
    <d v="2016-07-07T00:00:00"/>
    <x v="0"/>
    <x v="2"/>
    <x v="1181"/>
    <n v="59.994"/>
    <n v="1"/>
    <n v="-12.998699999999999"/>
    <n v="-0.21666666666666665"/>
    <n v="2016"/>
    <x v="6"/>
    <n v="7"/>
    <n v="59.994"/>
    <s v="Loss"/>
  </r>
  <r>
    <s v="CA-2016-129308"/>
    <d v="2016-07-07T00:00:00"/>
    <x v="0"/>
    <x v="1"/>
    <x v="831"/>
    <n v="5.7149999999999999"/>
    <n v="5"/>
    <n v="-4.7625000000000002"/>
    <n v="-0.83333333333333337"/>
    <n v="2016"/>
    <x v="6"/>
    <n v="7"/>
    <n v="1.143"/>
    <s v="Loss"/>
  </r>
  <r>
    <s v="CA-2016-129308"/>
    <d v="2016-07-07T00:00:00"/>
    <x v="0"/>
    <x v="1"/>
    <x v="66"/>
    <n v="9.42"/>
    <n v="5"/>
    <n v="-7.85"/>
    <n v="-0.83333333333333326"/>
    <n v="2016"/>
    <x v="6"/>
    <n v="7"/>
    <n v="1.8839999999999999"/>
    <s v="Loss"/>
  </r>
  <r>
    <s v="CA-2016-106397"/>
    <d v="2016-07-07T00:00:00"/>
    <x v="1"/>
    <x v="1"/>
    <x v="41"/>
    <n v="12.96"/>
    <n v="2"/>
    <n v="6.2207999999999997"/>
    <n v="0.47999999999999993"/>
    <n v="2016"/>
    <x v="6"/>
    <n v="7"/>
    <n v="6.48"/>
    <s v="Profit"/>
  </r>
  <r>
    <s v="CA-2016-106397"/>
    <d v="2016-07-07T00:00:00"/>
    <x v="1"/>
    <x v="1"/>
    <x v="1182"/>
    <n v="45.98"/>
    <n v="2"/>
    <n v="12.8744"/>
    <n v="0.28000000000000003"/>
    <n v="2016"/>
    <x v="6"/>
    <n v="7"/>
    <n v="22.99"/>
    <s v="Profit"/>
  </r>
  <r>
    <s v="CA-2016-148516"/>
    <d v="2016-07-08T00:00:00"/>
    <x v="1"/>
    <x v="2"/>
    <x v="663"/>
    <n v="179.97"/>
    <n v="3"/>
    <n v="86.385599999999997"/>
    <n v="0.48"/>
    <n v="2016"/>
    <x v="6"/>
    <n v="7"/>
    <n v="59.99"/>
    <s v="Profit"/>
  </r>
  <r>
    <s v="CA-2016-162614"/>
    <d v="2016-07-10T00:00:00"/>
    <x v="1"/>
    <x v="1"/>
    <x v="401"/>
    <n v="27.263999999999999"/>
    <n v="2"/>
    <n v="8.8607999999999993"/>
    <n v="0.32500000000000001"/>
    <n v="2016"/>
    <x v="6"/>
    <n v="7"/>
    <n v="13.632"/>
    <s v="Profit"/>
  </r>
  <r>
    <s v="CA-2016-127649"/>
    <d v="2016-07-10T00:00:00"/>
    <x v="1"/>
    <x v="2"/>
    <x v="1183"/>
    <n v="837.6"/>
    <n v="3"/>
    <n v="62.82"/>
    <n v="7.4999999999999997E-2"/>
    <n v="2016"/>
    <x v="6"/>
    <n v="7"/>
    <n v="279.2"/>
    <s v="Profit"/>
  </r>
  <r>
    <s v="CA-2016-155033"/>
    <d v="2016-07-10T00:00:00"/>
    <x v="1"/>
    <x v="1"/>
    <x v="548"/>
    <n v="10.56"/>
    <n v="2"/>
    <n v="5.0688000000000004"/>
    <n v="0.48000000000000004"/>
    <n v="2016"/>
    <x v="6"/>
    <n v="7"/>
    <n v="5.28"/>
    <s v="Profit"/>
  </r>
  <r>
    <s v="CA-2016-163216"/>
    <d v="2016-07-10T00:00:00"/>
    <x v="0"/>
    <x v="1"/>
    <x v="513"/>
    <n v="4.9279999999999999"/>
    <n v="2"/>
    <n v="1.7248000000000001"/>
    <n v="0.35000000000000003"/>
    <n v="2016"/>
    <x v="6"/>
    <n v="7"/>
    <n v="2.464"/>
    <s v="Profit"/>
  </r>
  <r>
    <s v="CA-2016-139808"/>
    <d v="2016-07-10T00:00:00"/>
    <x v="1"/>
    <x v="1"/>
    <x v="1184"/>
    <n v="93.36"/>
    <n v="12"/>
    <n v="0.93359999999999999"/>
    <n v="0.01"/>
    <n v="2016"/>
    <x v="6"/>
    <n v="7"/>
    <n v="7.78"/>
    <s v="Profit"/>
  </r>
  <r>
    <s v="CA-2016-113817"/>
    <d v="2016-07-11T00:00:00"/>
    <x v="1"/>
    <x v="1"/>
    <x v="1185"/>
    <n v="27.68"/>
    <n v="2"/>
    <n v="9.6880000000000006"/>
    <n v="0.35000000000000003"/>
    <n v="2016"/>
    <x v="6"/>
    <n v="7"/>
    <n v="13.84"/>
    <s v="Profit"/>
  </r>
  <r>
    <s v="CA-2016-161669"/>
    <d v="2016-07-11T00:00:00"/>
    <x v="1"/>
    <x v="1"/>
    <x v="13"/>
    <n v="37.44"/>
    <n v="4"/>
    <n v="11.7"/>
    <n v="0.3125"/>
    <n v="2016"/>
    <x v="6"/>
    <n v="7"/>
    <n v="9.36"/>
    <s v="Profit"/>
  </r>
  <r>
    <s v="CA-2016-161669"/>
    <d v="2016-07-11T00:00:00"/>
    <x v="1"/>
    <x v="1"/>
    <x v="746"/>
    <n v="26.975999999999999"/>
    <n v="4"/>
    <n v="8.7672000000000008"/>
    <n v="0.32500000000000007"/>
    <n v="2016"/>
    <x v="6"/>
    <n v="7"/>
    <n v="6.7439999999999998"/>
    <s v="Profit"/>
  </r>
  <r>
    <s v="CA-2016-161669"/>
    <d v="2016-07-11T00:00:00"/>
    <x v="1"/>
    <x v="1"/>
    <x v="1070"/>
    <n v="11.36"/>
    <n v="2"/>
    <n v="3.2944"/>
    <n v="0.29000000000000004"/>
    <n v="2016"/>
    <x v="6"/>
    <n v="7"/>
    <n v="5.68"/>
    <s v="Profit"/>
  </r>
  <r>
    <s v="CA-2016-161669"/>
    <d v="2016-07-11T00:00:00"/>
    <x v="1"/>
    <x v="1"/>
    <x v="1027"/>
    <n v="14.62"/>
    <n v="2"/>
    <n v="6.8714000000000004"/>
    <n v="0.47000000000000003"/>
    <n v="2016"/>
    <x v="6"/>
    <n v="7"/>
    <n v="7.31"/>
    <s v="Profit"/>
  </r>
  <r>
    <s v="CA-2016-147585"/>
    <d v="2016-07-11T00:00:00"/>
    <x v="1"/>
    <x v="0"/>
    <x v="592"/>
    <n v="14.82"/>
    <n v="3"/>
    <n v="6.2244000000000002"/>
    <n v="0.42"/>
    <n v="2016"/>
    <x v="6"/>
    <n v="7"/>
    <n v="4.9400000000000004"/>
    <s v="Profit"/>
  </r>
  <r>
    <s v="CA-2016-144554"/>
    <d v="2016-07-11T00:00:00"/>
    <x v="0"/>
    <x v="2"/>
    <x v="1186"/>
    <n v="119.976"/>
    <n v="3"/>
    <n v="22.4955"/>
    <n v="0.1875"/>
    <n v="2016"/>
    <x v="6"/>
    <n v="7"/>
    <n v="39.991999999999997"/>
    <s v="Profit"/>
  </r>
  <r>
    <s v="US-2016-139388"/>
    <d v="2016-07-11T00:00:00"/>
    <x v="0"/>
    <x v="1"/>
    <x v="1187"/>
    <n v="14.96"/>
    <n v="4"/>
    <n v="0.29920000000000002"/>
    <n v="0.02"/>
    <n v="2016"/>
    <x v="6"/>
    <n v="7"/>
    <n v="3.74"/>
    <s v="Profit"/>
  </r>
  <r>
    <s v="CA-2016-164896"/>
    <d v="2016-07-11T00:00:00"/>
    <x v="1"/>
    <x v="1"/>
    <x v="294"/>
    <n v="12.9"/>
    <n v="2"/>
    <n v="6.3209999999999997"/>
    <n v="0.49"/>
    <n v="2016"/>
    <x v="6"/>
    <n v="7"/>
    <n v="6.45"/>
    <s v="Profit"/>
  </r>
  <r>
    <s v="CA-2016-152247"/>
    <d v="2016-07-11T00:00:00"/>
    <x v="1"/>
    <x v="0"/>
    <x v="1188"/>
    <n v="1603.136"/>
    <n v="4"/>
    <n v="100.196"/>
    <n v="6.25E-2"/>
    <n v="2016"/>
    <x v="6"/>
    <n v="7"/>
    <n v="400.78399999999999"/>
    <s v="Profit"/>
  </r>
  <r>
    <s v="CA-2016-132997"/>
    <d v="2016-07-11T00:00:00"/>
    <x v="0"/>
    <x v="2"/>
    <x v="78"/>
    <n v="263.95999999999998"/>
    <n v="4"/>
    <n v="71.269199999999998"/>
    <n v="0.27"/>
    <n v="2016"/>
    <x v="6"/>
    <n v="7"/>
    <n v="65.989999999999995"/>
    <s v="Profit"/>
  </r>
  <r>
    <s v="CA-2016-132997"/>
    <d v="2016-07-11T00:00:00"/>
    <x v="0"/>
    <x v="2"/>
    <x v="604"/>
    <n v="359.97"/>
    <n v="3"/>
    <n v="100.7916"/>
    <n v="0.27999999999999997"/>
    <n v="2016"/>
    <x v="6"/>
    <n v="7"/>
    <n v="119.99000000000001"/>
    <s v="Profit"/>
  </r>
  <r>
    <s v="CA-2016-132997"/>
    <d v="2016-07-11T00:00:00"/>
    <x v="0"/>
    <x v="1"/>
    <x v="379"/>
    <n v="12.96"/>
    <n v="2"/>
    <n v="6.2207999999999997"/>
    <n v="0.47999999999999993"/>
    <n v="2016"/>
    <x v="6"/>
    <n v="7"/>
    <n v="6.48"/>
    <s v="Profit"/>
  </r>
  <r>
    <s v="CA-2016-132997"/>
    <d v="2016-07-11T00:00:00"/>
    <x v="0"/>
    <x v="1"/>
    <x v="1109"/>
    <n v="116.82"/>
    <n v="3"/>
    <n v="5.8410000000000002"/>
    <n v="0.05"/>
    <n v="2016"/>
    <x v="6"/>
    <n v="7"/>
    <n v="38.94"/>
    <s v="Profit"/>
  </r>
  <r>
    <s v="CA-2016-132997"/>
    <d v="2016-07-11T00:00:00"/>
    <x v="0"/>
    <x v="1"/>
    <x v="1000"/>
    <n v="276.78399999999999"/>
    <n v="2"/>
    <n v="89.954800000000006"/>
    <n v="0.32500000000000001"/>
    <n v="2016"/>
    <x v="6"/>
    <n v="7"/>
    <n v="138.392"/>
    <s v="Profit"/>
  </r>
  <r>
    <s v="CA-2016-116337"/>
    <d v="2016-07-11T00:00:00"/>
    <x v="2"/>
    <x v="0"/>
    <x v="1189"/>
    <n v="44.46"/>
    <n v="5"/>
    <n v="-17.783999999999999"/>
    <n v="-0.39999999999999997"/>
    <n v="2016"/>
    <x v="6"/>
    <n v="7"/>
    <n v="8.8919999999999995"/>
    <s v="Loss"/>
  </r>
  <r>
    <s v="CA-2016-116337"/>
    <d v="2016-07-11T00:00:00"/>
    <x v="2"/>
    <x v="1"/>
    <x v="1190"/>
    <n v="314.08800000000002"/>
    <n v="3"/>
    <n v="19.630500000000001"/>
    <n v="6.25E-2"/>
    <n v="2016"/>
    <x v="6"/>
    <n v="7"/>
    <n v="104.69600000000001"/>
    <s v="Profit"/>
  </r>
  <r>
    <s v="CA-2016-168830"/>
    <d v="2016-07-11T00:00:00"/>
    <x v="1"/>
    <x v="2"/>
    <x v="480"/>
    <n v="479.97"/>
    <n v="3"/>
    <n v="163.18979999999999"/>
    <n v="0.33999999999999997"/>
    <n v="2016"/>
    <x v="6"/>
    <n v="7"/>
    <n v="159.99"/>
    <s v="Profit"/>
  </r>
  <r>
    <s v="CA-2016-116379"/>
    <d v="2016-07-11T00:00:00"/>
    <x v="1"/>
    <x v="1"/>
    <x v="501"/>
    <n v="57.584000000000003"/>
    <n v="2"/>
    <n v="20.154399999999999"/>
    <n v="0.35"/>
    <n v="2016"/>
    <x v="6"/>
    <n v="7"/>
    <n v="28.792000000000002"/>
    <s v="Profit"/>
  </r>
  <r>
    <s v="US-2016-100461"/>
    <d v="2016-08-01T00:00:00"/>
    <x v="2"/>
    <x v="0"/>
    <x v="1191"/>
    <n v="1565.88"/>
    <n v="6"/>
    <n v="407.12880000000001"/>
    <n v="0.26"/>
    <n v="2016"/>
    <x v="7"/>
    <n v="8"/>
    <n v="260.98"/>
    <s v="Profit"/>
  </r>
  <r>
    <s v="US-2016-100461"/>
    <d v="2016-08-01T00:00:00"/>
    <x v="2"/>
    <x v="1"/>
    <x v="1069"/>
    <n v="106.05"/>
    <n v="7"/>
    <n v="49.843499999999999"/>
    <n v="0.47000000000000003"/>
    <n v="2016"/>
    <x v="7"/>
    <n v="8"/>
    <n v="15.15"/>
    <s v="Profit"/>
  </r>
  <r>
    <s v="US-2016-137295"/>
    <d v="2016-08-01T00:00:00"/>
    <x v="3"/>
    <x v="1"/>
    <x v="752"/>
    <n v="30.827999999999999"/>
    <n v="7"/>
    <n v="-24.662400000000002"/>
    <n v="-0.8"/>
    <n v="2016"/>
    <x v="7"/>
    <n v="8"/>
    <n v="4.4039999999999999"/>
    <s v="Loss"/>
  </r>
  <r>
    <s v="US-2016-137295"/>
    <d v="2016-08-01T00:00:00"/>
    <x v="3"/>
    <x v="1"/>
    <x v="104"/>
    <n v="47.616"/>
    <n v="3"/>
    <n v="5.952"/>
    <n v="0.125"/>
    <n v="2016"/>
    <x v="7"/>
    <n v="8"/>
    <n v="15.872"/>
    <s v="Profit"/>
  </r>
  <r>
    <s v="US-2016-137295"/>
    <d v="2016-08-01T00:00:00"/>
    <x v="3"/>
    <x v="2"/>
    <x v="1168"/>
    <n v="108.78400000000001"/>
    <n v="2"/>
    <n v="10.878399999999999"/>
    <n v="9.9999999999999992E-2"/>
    <n v="2016"/>
    <x v="7"/>
    <n v="8"/>
    <n v="54.392000000000003"/>
    <s v="Profit"/>
  </r>
  <r>
    <s v="CA-2016-109344"/>
    <d v="2016-08-02T00:00:00"/>
    <x v="3"/>
    <x v="2"/>
    <x v="1192"/>
    <n v="1127.9760000000001"/>
    <n v="3"/>
    <n v="126.8973"/>
    <n v="0.11249999999999999"/>
    <n v="2016"/>
    <x v="7"/>
    <n v="8"/>
    <n v="375.99200000000002"/>
    <s v="Profit"/>
  </r>
  <r>
    <s v="CA-2016-163048"/>
    <d v="2016-08-02T00:00:00"/>
    <x v="2"/>
    <x v="0"/>
    <x v="702"/>
    <n v="241.5"/>
    <n v="4"/>
    <n v="0"/>
    <n v="0"/>
    <n v="2016"/>
    <x v="7"/>
    <n v="8"/>
    <n v="60.375"/>
    <s v="Loss"/>
  </r>
  <r>
    <s v="CA-2016-169103"/>
    <d v="2016-08-03T00:00:00"/>
    <x v="3"/>
    <x v="2"/>
    <x v="993"/>
    <n v="1363.96"/>
    <n v="5"/>
    <n v="85.247500000000002"/>
    <n v="6.25E-2"/>
    <n v="2016"/>
    <x v="7"/>
    <n v="8"/>
    <n v="272.79200000000003"/>
    <s v="Profit"/>
  </r>
  <r>
    <s v="CA-2016-169103"/>
    <d v="2016-08-03T00:00:00"/>
    <x v="3"/>
    <x v="0"/>
    <x v="21"/>
    <n v="102.36"/>
    <n v="3"/>
    <n v="-3.8384999999999998"/>
    <n v="-3.7499999999999999E-2"/>
    <n v="2016"/>
    <x v="7"/>
    <n v="8"/>
    <n v="34.119999999999997"/>
    <s v="Loss"/>
  </r>
  <r>
    <s v="CA-2016-106306"/>
    <d v="2016-08-03T00:00:00"/>
    <x v="1"/>
    <x v="1"/>
    <x v="32"/>
    <n v="9.702"/>
    <n v="3"/>
    <n v="-7.1147999999999998"/>
    <n v="-0.73333333333333328"/>
    <n v="2016"/>
    <x v="7"/>
    <n v="8"/>
    <n v="3.234"/>
    <s v="Loss"/>
  </r>
  <r>
    <s v="CA-2016-111976"/>
    <d v="2016-08-03T00:00:00"/>
    <x v="0"/>
    <x v="2"/>
    <x v="1003"/>
    <n v="108.57599999999999"/>
    <n v="4"/>
    <n v="-25.334399999999999"/>
    <n v="-0.23333333333333334"/>
    <n v="2016"/>
    <x v="7"/>
    <n v="8"/>
    <n v="27.143999999999998"/>
    <s v="Loss"/>
  </r>
  <r>
    <s v="CA-2016-111976"/>
    <d v="2016-08-03T00:00:00"/>
    <x v="0"/>
    <x v="1"/>
    <x v="1187"/>
    <n v="5.984"/>
    <n v="2"/>
    <n v="-1.3464"/>
    <n v="-0.22500000000000001"/>
    <n v="2016"/>
    <x v="7"/>
    <n v="8"/>
    <n v="2.992"/>
    <s v="Loss"/>
  </r>
  <r>
    <s v="CA-2016-137337"/>
    <d v="2016-08-03T00:00:00"/>
    <x v="0"/>
    <x v="0"/>
    <x v="1072"/>
    <n v="113.6"/>
    <n v="8"/>
    <n v="44.304000000000002"/>
    <n v="0.39"/>
    <n v="2016"/>
    <x v="7"/>
    <n v="8"/>
    <n v="14.2"/>
    <s v="Profit"/>
  </r>
  <r>
    <s v="CA-2016-137337"/>
    <d v="2016-08-03T00:00:00"/>
    <x v="0"/>
    <x v="1"/>
    <x v="911"/>
    <n v="12.96"/>
    <n v="2"/>
    <n v="6.3503999999999996"/>
    <n v="0.48999999999999994"/>
    <n v="2016"/>
    <x v="7"/>
    <n v="8"/>
    <n v="6.48"/>
    <s v="Profit"/>
  </r>
  <r>
    <s v="CA-2016-137337"/>
    <d v="2016-08-03T00:00:00"/>
    <x v="0"/>
    <x v="1"/>
    <x v="226"/>
    <n v="69.456000000000003"/>
    <n v="2"/>
    <n v="22.5732"/>
    <n v="0.32500000000000001"/>
    <n v="2016"/>
    <x v="7"/>
    <n v="8"/>
    <n v="34.728000000000002"/>
    <s v="Profit"/>
  </r>
  <r>
    <s v="CA-2016-130400"/>
    <d v="2016-08-03T00:00:00"/>
    <x v="2"/>
    <x v="1"/>
    <x v="414"/>
    <n v="8.8559999999999999"/>
    <n v="9"/>
    <n v="-14.169600000000001"/>
    <n v="-1.6"/>
    <n v="2016"/>
    <x v="7"/>
    <n v="8"/>
    <n v="0.98399999999999999"/>
    <s v="Loss"/>
  </r>
  <r>
    <s v="CA-2016-130400"/>
    <d v="2016-08-03T00:00:00"/>
    <x v="2"/>
    <x v="2"/>
    <x v="1193"/>
    <n v="27.96"/>
    <n v="5"/>
    <n v="8.3879999999999999"/>
    <n v="0.3"/>
    <n v="2016"/>
    <x v="7"/>
    <n v="8"/>
    <n v="5.5920000000000005"/>
    <s v="Profit"/>
  </r>
  <r>
    <s v="CA-2016-130400"/>
    <d v="2016-08-03T00:00:00"/>
    <x v="2"/>
    <x v="1"/>
    <x v="1194"/>
    <n v="146.352"/>
    <n v="3"/>
    <n v="49.393799999999999"/>
    <n v="0.33749999999999997"/>
    <n v="2016"/>
    <x v="7"/>
    <n v="8"/>
    <n v="48.783999999999999"/>
    <s v="Profit"/>
  </r>
  <r>
    <s v="US-2016-140172"/>
    <d v="2016-08-03T00:00:00"/>
    <x v="2"/>
    <x v="1"/>
    <x v="1195"/>
    <n v="207.14400000000001"/>
    <n v="3"/>
    <n v="48.333599999999997"/>
    <n v="0.23333333333333331"/>
    <n v="2016"/>
    <x v="7"/>
    <n v="8"/>
    <n v="69.048000000000002"/>
    <s v="Profit"/>
  </r>
  <r>
    <s v="US-2016-140172"/>
    <d v="2016-08-03T00:00:00"/>
    <x v="2"/>
    <x v="1"/>
    <x v="315"/>
    <n v="13.9"/>
    <n v="5"/>
    <n v="3.7530000000000001"/>
    <n v="0.27"/>
    <n v="2016"/>
    <x v="7"/>
    <n v="8"/>
    <n v="2.7800000000000002"/>
    <s v="Profit"/>
  </r>
  <r>
    <s v="CA-2016-138520"/>
    <d v="2016-08-04T00:00:00"/>
    <x v="0"/>
    <x v="0"/>
    <x v="1196"/>
    <n v="388.70400000000001"/>
    <n v="6"/>
    <n v="-4.8587999999999996"/>
    <n v="-1.2499999999999999E-2"/>
    <n v="2016"/>
    <x v="7"/>
    <n v="8"/>
    <n v="64.784000000000006"/>
    <s v="Loss"/>
  </r>
  <r>
    <s v="CA-2016-138520"/>
    <d v="2016-08-04T00:00:00"/>
    <x v="0"/>
    <x v="1"/>
    <x v="1197"/>
    <n v="8.26"/>
    <n v="2"/>
    <n v="3.7995999999999999"/>
    <n v="0.46"/>
    <n v="2016"/>
    <x v="7"/>
    <n v="8"/>
    <n v="4.13"/>
    <s v="Profit"/>
  </r>
  <r>
    <s v="CA-2016-138520"/>
    <d v="2016-08-04T00:00:00"/>
    <x v="0"/>
    <x v="1"/>
    <x v="1152"/>
    <n v="17.04"/>
    <n v="4"/>
    <n v="6.9863999999999997"/>
    <n v="0.41000000000000003"/>
    <n v="2016"/>
    <x v="7"/>
    <n v="8"/>
    <n v="4.26"/>
    <s v="Profit"/>
  </r>
  <r>
    <s v="CA-2016-138520"/>
    <d v="2016-08-04T00:00:00"/>
    <x v="0"/>
    <x v="1"/>
    <x v="135"/>
    <n v="34.4"/>
    <n v="5"/>
    <n v="15.824"/>
    <n v="0.46"/>
    <n v="2016"/>
    <x v="7"/>
    <n v="8"/>
    <n v="6.88"/>
    <s v="Profit"/>
  </r>
  <r>
    <s v="CA-2016-130477"/>
    <d v="2016-08-04T00:00:00"/>
    <x v="1"/>
    <x v="1"/>
    <x v="348"/>
    <n v="20.04"/>
    <n v="3"/>
    <n v="9.6191999999999993"/>
    <n v="0.48"/>
    <n v="2016"/>
    <x v="7"/>
    <n v="8"/>
    <n v="6.68"/>
    <s v="Profit"/>
  </r>
  <r>
    <s v="CA-2016-130477"/>
    <d v="2016-08-04T00:00:00"/>
    <x v="1"/>
    <x v="1"/>
    <x v="919"/>
    <n v="64.959999999999994"/>
    <n v="2"/>
    <n v="2.5983999999999998"/>
    <n v="0.04"/>
    <n v="2016"/>
    <x v="7"/>
    <n v="8"/>
    <n v="32.479999999999997"/>
    <s v="Profit"/>
  </r>
  <r>
    <s v="CA-2016-130477"/>
    <d v="2016-08-04T00:00:00"/>
    <x v="1"/>
    <x v="1"/>
    <x v="1198"/>
    <n v="12.96"/>
    <n v="2"/>
    <n v="6.2207999999999997"/>
    <n v="0.47999999999999993"/>
    <n v="2016"/>
    <x v="7"/>
    <n v="8"/>
    <n v="6.48"/>
    <s v="Profit"/>
  </r>
  <r>
    <s v="CA-2016-130946"/>
    <d v="2016-08-04T00:00:00"/>
    <x v="2"/>
    <x v="2"/>
    <x v="354"/>
    <n v="431.928"/>
    <n v="9"/>
    <n v="64.789199999999994"/>
    <n v="0.15"/>
    <n v="2016"/>
    <x v="7"/>
    <n v="8"/>
    <n v="47.991999999999997"/>
    <s v="Profit"/>
  </r>
  <r>
    <s v="CA-2016-130946"/>
    <d v="2016-08-04T00:00:00"/>
    <x v="2"/>
    <x v="0"/>
    <x v="432"/>
    <n v="95.983999999999995"/>
    <n v="4"/>
    <n v="-4.1135999999999999"/>
    <n v="-4.2857142857142858E-2"/>
    <n v="2016"/>
    <x v="7"/>
    <n v="8"/>
    <n v="23.995999999999999"/>
    <s v="Loss"/>
  </r>
  <r>
    <s v="CA-2016-130946"/>
    <d v="2016-08-04T00:00:00"/>
    <x v="2"/>
    <x v="1"/>
    <x v="945"/>
    <n v="1088.7919999999999"/>
    <n v="4"/>
    <n v="-1850.9464"/>
    <n v="-1.7000000000000002"/>
    <n v="2016"/>
    <x v="7"/>
    <n v="8"/>
    <n v="272.19799999999998"/>
    <s v="Loss"/>
  </r>
  <r>
    <s v="CA-2016-104969"/>
    <d v="2016-08-04T00:00:00"/>
    <x v="0"/>
    <x v="1"/>
    <x v="838"/>
    <n v="8.8719999999999999"/>
    <n v="1"/>
    <n v="3.2161"/>
    <n v="0.36249999999999999"/>
    <n v="2016"/>
    <x v="7"/>
    <n v="8"/>
    <n v="8.8719999999999999"/>
    <s v="Profit"/>
  </r>
  <r>
    <s v="CA-2016-104969"/>
    <d v="2016-08-04T00:00:00"/>
    <x v="0"/>
    <x v="1"/>
    <x v="126"/>
    <n v="121.104"/>
    <n v="6"/>
    <n v="-100.92"/>
    <n v="-0.83333333333333337"/>
    <n v="2016"/>
    <x v="7"/>
    <n v="8"/>
    <n v="20.184000000000001"/>
    <s v="Loss"/>
  </r>
  <r>
    <s v="CA-2016-124233"/>
    <d v="2016-08-04T00:00:00"/>
    <x v="1"/>
    <x v="0"/>
    <x v="592"/>
    <n v="24.7"/>
    <n v="5"/>
    <n v="10.374000000000001"/>
    <n v="0.42000000000000004"/>
    <n v="2016"/>
    <x v="7"/>
    <n v="8"/>
    <n v="4.9399999999999995"/>
    <s v="Profit"/>
  </r>
  <r>
    <s v="CA-2016-150000"/>
    <d v="2016-08-04T00:00:00"/>
    <x v="3"/>
    <x v="1"/>
    <x v="1199"/>
    <n v="17.920000000000002"/>
    <n v="4"/>
    <n v="8.6015999999999995"/>
    <n v="0.47999999999999993"/>
    <n v="2016"/>
    <x v="7"/>
    <n v="8"/>
    <n v="4.4800000000000004"/>
    <s v="Profit"/>
  </r>
  <r>
    <s v="US-2016-106600"/>
    <d v="2016-08-04T00:00:00"/>
    <x v="3"/>
    <x v="0"/>
    <x v="1200"/>
    <n v="354.9"/>
    <n v="5"/>
    <n v="88.724999999999994"/>
    <n v="0.25"/>
    <n v="2016"/>
    <x v="7"/>
    <n v="8"/>
    <n v="70.97999999999999"/>
    <s v="Profit"/>
  </r>
  <r>
    <s v="CA-2016-134789"/>
    <d v="2016-08-04T00:00:00"/>
    <x v="3"/>
    <x v="1"/>
    <x v="165"/>
    <n v="30"/>
    <n v="6"/>
    <n v="14.4"/>
    <n v="0.48000000000000004"/>
    <n v="2016"/>
    <x v="7"/>
    <n v="8"/>
    <n v="5"/>
    <s v="Profit"/>
  </r>
  <r>
    <s v="CA-2016-134789"/>
    <d v="2016-08-04T00:00:00"/>
    <x v="3"/>
    <x v="1"/>
    <x v="911"/>
    <n v="25.92"/>
    <n v="4"/>
    <n v="12.700799999999999"/>
    <n v="0.48999999999999994"/>
    <n v="2016"/>
    <x v="7"/>
    <n v="8"/>
    <n v="6.48"/>
    <s v="Profit"/>
  </r>
  <r>
    <s v="CA-2016-134789"/>
    <d v="2016-08-04T00:00:00"/>
    <x v="3"/>
    <x v="0"/>
    <x v="499"/>
    <n v="159.91999999999999"/>
    <n v="4"/>
    <n v="31.984000000000002"/>
    <n v="0.20000000000000004"/>
    <n v="2016"/>
    <x v="7"/>
    <n v="8"/>
    <n v="39.979999999999997"/>
    <s v="Profit"/>
  </r>
  <r>
    <s v="CA-2016-164672"/>
    <d v="2016-08-05T00:00:00"/>
    <x v="0"/>
    <x v="0"/>
    <x v="242"/>
    <n v="211.96"/>
    <n v="2"/>
    <n v="42.392000000000003"/>
    <n v="0.2"/>
    <n v="2016"/>
    <x v="7"/>
    <n v="8"/>
    <n v="105.98"/>
    <s v="Profit"/>
  </r>
  <r>
    <s v="CA-2016-106530"/>
    <d v="2016-08-05T00:00:00"/>
    <x v="0"/>
    <x v="1"/>
    <x v="1201"/>
    <n v="1006.056"/>
    <n v="3"/>
    <n v="88.029899999999998"/>
    <n v="8.7499999999999994E-2"/>
    <n v="2016"/>
    <x v="7"/>
    <n v="8"/>
    <n v="335.35200000000003"/>
    <s v="Profit"/>
  </r>
  <r>
    <s v="CA-2016-106530"/>
    <d v="2016-08-05T00:00:00"/>
    <x v="0"/>
    <x v="1"/>
    <x v="1202"/>
    <n v="10.688000000000001"/>
    <n v="2"/>
    <n v="3.7408000000000001"/>
    <n v="0.35"/>
    <n v="2016"/>
    <x v="7"/>
    <n v="8"/>
    <n v="5.3440000000000003"/>
    <s v="Profit"/>
  </r>
  <r>
    <s v="CA-2016-106530"/>
    <d v="2016-08-05T00:00:00"/>
    <x v="0"/>
    <x v="1"/>
    <x v="58"/>
    <n v="10.368"/>
    <n v="2"/>
    <n v="3.6288"/>
    <n v="0.35"/>
    <n v="2016"/>
    <x v="7"/>
    <n v="8"/>
    <n v="5.1840000000000002"/>
    <s v="Profit"/>
  </r>
  <r>
    <s v="CA-2016-106530"/>
    <d v="2016-08-05T00:00:00"/>
    <x v="0"/>
    <x v="1"/>
    <x v="10"/>
    <n v="25.12"/>
    <n v="2"/>
    <n v="1.57"/>
    <n v="6.25E-2"/>
    <n v="2016"/>
    <x v="7"/>
    <n v="8"/>
    <n v="12.56"/>
    <s v="Profit"/>
  </r>
  <r>
    <s v="CA-2016-106530"/>
    <d v="2016-08-05T00:00:00"/>
    <x v="0"/>
    <x v="2"/>
    <x v="552"/>
    <n v="58.112000000000002"/>
    <n v="2"/>
    <n v="7.2640000000000002"/>
    <n v="0.125"/>
    <n v="2016"/>
    <x v="7"/>
    <n v="8"/>
    <n v="29.056000000000001"/>
    <s v="Profit"/>
  </r>
  <r>
    <s v="CA-2016-111696"/>
    <d v="2016-08-05T00:00:00"/>
    <x v="1"/>
    <x v="1"/>
    <x v="1203"/>
    <n v="17.940000000000001"/>
    <n v="3"/>
    <n v="8.0730000000000004"/>
    <n v="0.45"/>
    <n v="2016"/>
    <x v="7"/>
    <n v="8"/>
    <n v="5.98"/>
    <s v="Profit"/>
  </r>
  <r>
    <s v="CA-2016-156685"/>
    <d v="2016-08-07T00:00:00"/>
    <x v="2"/>
    <x v="2"/>
    <x v="370"/>
    <n v="863.64"/>
    <n v="9"/>
    <n v="107.955"/>
    <n v="0.125"/>
    <n v="2016"/>
    <x v="7"/>
    <n v="8"/>
    <n v="95.96"/>
    <s v="Profit"/>
  </r>
  <r>
    <s v="CA-2016-156685"/>
    <d v="2016-08-07T00:00:00"/>
    <x v="2"/>
    <x v="1"/>
    <x v="514"/>
    <n v="47.616"/>
    <n v="3"/>
    <n v="3.5712000000000002"/>
    <n v="7.4999999999999997E-2"/>
    <n v="2016"/>
    <x v="7"/>
    <n v="8"/>
    <n v="15.872"/>
    <s v="Profit"/>
  </r>
  <r>
    <s v="CA-2016-112109"/>
    <d v="2016-08-07T00:00:00"/>
    <x v="1"/>
    <x v="1"/>
    <x v="903"/>
    <n v="19.968"/>
    <n v="2"/>
    <n v="-13.311999999999999"/>
    <n v="-0.66666666666666663"/>
    <n v="2016"/>
    <x v="7"/>
    <n v="8"/>
    <n v="9.984"/>
    <s v="Loss"/>
  </r>
  <r>
    <s v="CA-2016-112109"/>
    <d v="2016-08-07T00:00:00"/>
    <x v="1"/>
    <x v="1"/>
    <x v="1104"/>
    <n v="33.488"/>
    <n v="7"/>
    <n v="-1.2558"/>
    <n v="-3.7499999999999999E-2"/>
    <n v="2016"/>
    <x v="7"/>
    <n v="8"/>
    <n v="4.7839999999999998"/>
    <s v="Loss"/>
  </r>
  <r>
    <s v="CA-2016-112109"/>
    <d v="2016-08-07T00:00:00"/>
    <x v="1"/>
    <x v="1"/>
    <x v="402"/>
    <n v="8.7360000000000007"/>
    <n v="4"/>
    <n v="-6.1151999999999997"/>
    <n v="-0.7"/>
    <n v="2016"/>
    <x v="7"/>
    <n v="8"/>
    <n v="2.1840000000000002"/>
    <s v="Loss"/>
  </r>
  <r>
    <s v="CA-2016-112109"/>
    <d v="2016-08-07T00:00:00"/>
    <x v="1"/>
    <x v="0"/>
    <x v="1204"/>
    <n v="662.88"/>
    <n v="3"/>
    <n v="74.573999999999998"/>
    <n v="0.1125"/>
    <n v="2016"/>
    <x v="7"/>
    <n v="8"/>
    <n v="220.96"/>
    <s v="Profit"/>
  </r>
  <r>
    <s v="CA-2016-155474"/>
    <d v="2016-08-07T00:00:00"/>
    <x v="1"/>
    <x v="2"/>
    <x v="1205"/>
    <n v="107.98399999999999"/>
    <n v="1"/>
    <n v="9.4486000000000008"/>
    <n v="8.7500000000000008E-2"/>
    <n v="2016"/>
    <x v="7"/>
    <n v="8"/>
    <n v="107.98399999999999"/>
    <s v="Profit"/>
  </r>
  <r>
    <s v="CA-2016-155474"/>
    <d v="2016-08-07T00:00:00"/>
    <x v="1"/>
    <x v="1"/>
    <x v="836"/>
    <n v="19.295999999999999"/>
    <n v="3"/>
    <n v="6.03"/>
    <n v="0.3125"/>
    <n v="2016"/>
    <x v="7"/>
    <n v="8"/>
    <n v="6.4319999999999995"/>
    <s v="Profit"/>
  </r>
  <r>
    <s v="CA-2016-152471"/>
    <d v="2016-08-07T00:00:00"/>
    <x v="3"/>
    <x v="2"/>
    <x v="914"/>
    <n v="823.96"/>
    <n v="5"/>
    <n v="51.497500000000002"/>
    <n v="6.25E-2"/>
    <n v="2016"/>
    <x v="7"/>
    <n v="8"/>
    <n v="164.792"/>
    <s v="Profit"/>
  </r>
  <r>
    <s v="CA-2016-152471"/>
    <d v="2016-08-07T00:00:00"/>
    <x v="3"/>
    <x v="1"/>
    <x v="747"/>
    <n v="15.984"/>
    <n v="2"/>
    <n v="4.9950000000000001"/>
    <n v="0.3125"/>
    <n v="2016"/>
    <x v="7"/>
    <n v="8"/>
    <n v="7.992"/>
    <s v="Profit"/>
  </r>
  <r>
    <s v="CA-2016-152520"/>
    <d v="2016-08-07T00:00:00"/>
    <x v="0"/>
    <x v="1"/>
    <x v="412"/>
    <n v="12.96"/>
    <n v="2"/>
    <n v="6.2207999999999997"/>
    <n v="0.47999999999999993"/>
    <n v="2016"/>
    <x v="7"/>
    <n v="8"/>
    <n v="6.48"/>
    <s v="Profit"/>
  </r>
  <r>
    <s v="CA-2016-121034"/>
    <d v="2016-08-08T00:00:00"/>
    <x v="2"/>
    <x v="1"/>
    <x v="1206"/>
    <n v="11.167999999999999"/>
    <n v="4"/>
    <n v="3.6295999999999999"/>
    <n v="0.32500000000000001"/>
    <n v="2016"/>
    <x v="7"/>
    <n v="8"/>
    <n v="2.7919999999999998"/>
    <s v="Profit"/>
  </r>
  <r>
    <s v="CA-2016-121034"/>
    <d v="2016-08-08T00:00:00"/>
    <x v="2"/>
    <x v="1"/>
    <x v="1207"/>
    <n v="53.951999999999998"/>
    <n v="3"/>
    <n v="17.534400000000002"/>
    <n v="0.32500000000000007"/>
    <n v="2016"/>
    <x v="7"/>
    <n v="8"/>
    <n v="17.983999999999998"/>
    <s v="Profit"/>
  </r>
  <r>
    <s v="CA-2016-169026"/>
    <d v="2016-08-08T00:00:00"/>
    <x v="3"/>
    <x v="1"/>
    <x v="1184"/>
    <n v="23.34"/>
    <n v="3"/>
    <n v="0.2334"/>
    <n v="0.01"/>
    <n v="2016"/>
    <x v="7"/>
    <n v="8"/>
    <n v="7.78"/>
    <s v="Profit"/>
  </r>
  <r>
    <s v="CA-2016-107328"/>
    <d v="2016-08-08T00:00:00"/>
    <x v="1"/>
    <x v="0"/>
    <x v="281"/>
    <n v="513.024"/>
    <n v="2"/>
    <n v="12.8256"/>
    <n v="2.4999999999999998E-2"/>
    <n v="2016"/>
    <x v="7"/>
    <n v="8"/>
    <n v="256.512"/>
    <s v="Profit"/>
  </r>
  <r>
    <s v="CA-2016-107328"/>
    <d v="2016-08-08T00:00:00"/>
    <x v="1"/>
    <x v="1"/>
    <x v="841"/>
    <n v="487.92"/>
    <n v="6"/>
    <n v="136.61760000000001"/>
    <n v="0.28000000000000003"/>
    <n v="2016"/>
    <x v="7"/>
    <n v="8"/>
    <n v="81.320000000000007"/>
    <s v="Profit"/>
  </r>
  <r>
    <s v="CA-2016-107328"/>
    <d v="2016-08-08T00:00:00"/>
    <x v="1"/>
    <x v="1"/>
    <x v="944"/>
    <n v="15.24"/>
    <n v="5"/>
    <n v="5.3339999999999996"/>
    <n v="0.35"/>
    <n v="2016"/>
    <x v="7"/>
    <n v="8"/>
    <n v="3.048"/>
    <s v="Profit"/>
  </r>
  <r>
    <s v="CA-2016-130078"/>
    <d v="2016-08-08T00:00:00"/>
    <x v="2"/>
    <x v="1"/>
    <x v="1208"/>
    <n v="10.56"/>
    <n v="2"/>
    <n v="4.7519999999999998"/>
    <n v="0.44999999999999996"/>
    <n v="2016"/>
    <x v="7"/>
    <n v="8"/>
    <n v="5.28"/>
    <s v="Profit"/>
  </r>
  <r>
    <s v="CA-2016-108987"/>
    <d v="2016-08-09T00:00:00"/>
    <x v="2"/>
    <x v="1"/>
    <x v="209"/>
    <n v="35.951999999999998"/>
    <n v="3"/>
    <n v="3.5952000000000002"/>
    <n v="0.1"/>
    <n v="2016"/>
    <x v="7"/>
    <n v="8"/>
    <n v="11.984"/>
    <s v="Profit"/>
  </r>
  <r>
    <s v="CA-2016-108987"/>
    <d v="2016-08-09T00:00:00"/>
    <x v="2"/>
    <x v="0"/>
    <x v="635"/>
    <n v="2396.2656000000002"/>
    <n v="4"/>
    <n v="-317.15280000000001"/>
    <n v="-0.13235294117647059"/>
    <n v="2016"/>
    <x v="7"/>
    <n v="8"/>
    <n v="599.06640000000004"/>
    <s v="Loss"/>
  </r>
  <r>
    <s v="CA-2016-108987"/>
    <d v="2016-08-09T00:00:00"/>
    <x v="2"/>
    <x v="1"/>
    <x v="1209"/>
    <n v="131.136"/>
    <n v="4"/>
    <n v="-32.783999999999999"/>
    <n v="-0.25"/>
    <n v="2016"/>
    <x v="7"/>
    <n v="8"/>
    <n v="32.783999999999999"/>
    <s v="Loss"/>
  </r>
  <r>
    <s v="CA-2016-108987"/>
    <d v="2016-08-09T00:00:00"/>
    <x v="2"/>
    <x v="2"/>
    <x v="667"/>
    <n v="57.584000000000003"/>
    <n v="2"/>
    <n v="0.7198"/>
    <n v="1.2499999999999999E-2"/>
    <n v="2016"/>
    <x v="7"/>
    <n v="8"/>
    <n v="28.792000000000002"/>
    <s v="Profit"/>
  </r>
  <r>
    <s v="CA-2016-113516"/>
    <d v="2016-08-09T00:00:00"/>
    <x v="1"/>
    <x v="1"/>
    <x v="311"/>
    <n v="33.024000000000001"/>
    <n v="2"/>
    <n v="11.558400000000001"/>
    <n v="0.35000000000000003"/>
    <n v="2016"/>
    <x v="7"/>
    <n v="8"/>
    <n v="16.512"/>
    <s v="Profit"/>
  </r>
  <r>
    <s v="CA-2016-113516"/>
    <d v="2016-08-09T00:00:00"/>
    <x v="1"/>
    <x v="1"/>
    <x v="466"/>
    <n v="67.135999999999996"/>
    <n v="4"/>
    <n v="23.497599999999998"/>
    <n v="0.35"/>
    <n v="2016"/>
    <x v="7"/>
    <n v="8"/>
    <n v="16.783999999999999"/>
    <s v="Profit"/>
  </r>
  <r>
    <s v="US-2016-114174"/>
    <d v="2016-08-09T00:00:00"/>
    <x v="0"/>
    <x v="0"/>
    <x v="1210"/>
    <n v="173.94"/>
    <n v="3"/>
    <n v="13.9152"/>
    <n v="0.08"/>
    <n v="2016"/>
    <x v="7"/>
    <n v="8"/>
    <n v="57.98"/>
    <s v="Profit"/>
  </r>
  <r>
    <s v="US-2016-114174"/>
    <d v="2016-08-09T00:00:00"/>
    <x v="0"/>
    <x v="1"/>
    <x v="502"/>
    <n v="14.76"/>
    <n v="4"/>
    <n v="6.9371999999999998"/>
    <n v="0.47"/>
    <n v="2016"/>
    <x v="7"/>
    <n v="8"/>
    <n v="3.69"/>
    <s v="Profit"/>
  </r>
  <r>
    <s v="US-2016-115455"/>
    <d v="2016-08-09T00:00:00"/>
    <x v="2"/>
    <x v="0"/>
    <x v="545"/>
    <n v="14.135999999999999"/>
    <n v="2"/>
    <n v="-7.7747999999999999"/>
    <n v="-0.55000000000000004"/>
    <n v="2016"/>
    <x v="7"/>
    <n v="8"/>
    <n v="7.0679999999999996"/>
    <s v="Loss"/>
  </r>
  <r>
    <s v="US-2016-115455"/>
    <d v="2016-08-09T00:00:00"/>
    <x v="2"/>
    <x v="0"/>
    <x v="1211"/>
    <n v="601.47"/>
    <n v="3"/>
    <n v="-300.73500000000001"/>
    <n v="-0.5"/>
    <n v="2016"/>
    <x v="7"/>
    <n v="8"/>
    <n v="200.49"/>
    <s v="Loss"/>
  </r>
  <r>
    <s v="CA-2016-131499"/>
    <d v="2016-08-09T00:00:00"/>
    <x v="0"/>
    <x v="1"/>
    <x v="1212"/>
    <n v="207.48"/>
    <n v="1"/>
    <n v="62.244"/>
    <n v="0.3"/>
    <n v="2016"/>
    <x v="7"/>
    <n v="8"/>
    <n v="207.48"/>
    <s v="Profit"/>
  </r>
  <r>
    <s v="CA-2016-108868"/>
    <d v="2016-08-09T00:00:00"/>
    <x v="2"/>
    <x v="1"/>
    <x v="895"/>
    <n v="70.367999999999995"/>
    <n v="2"/>
    <n v="6.1571999999999996"/>
    <n v="8.7499999999999994E-2"/>
    <n v="2016"/>
    <x v="7"/>
    <n v="8"/>
    <n v="35.183999999999997"/>
    <s v="Profit"/>
  </r>
  <r>
    <s v="CA-2016-108868"/>
    <d v="2016-08-09T00:00:00"/>
    <x v="2"/>
    <x v="2"/>
    <x v="83"/>
    <n v="59.96"/>
    <n v="5"/>
    <n v="21.735499999999998"/>
    <n v="0.36249999999999999"/>
    <n v="2016"/>
    <x v="7"/>
    <n v="8"/>
    <n v="11.992000000000001"/>
    <s v="Profit"/>
  </r>
  <r>
    <s v="CA-2016-155138"/>
    <d v="2016-08-09T00:00:00"/>
    <x v="3"/>
    <x v="2"/>
    <x v="1213"/>
    <n v="35.167999999999999"/>
    <n v="4"/>
    <n v="8.3523999999999994"/>
    <n v="0.23749999999999999"/>
    <n v="2016"/>
    <x v="7"/>
    <n v="8"/>
    <n v="8.7919999999999998"/>
    <s v="Profit"/>
  </r>
  <r>
    <s v="CA-2016-155138"/>
    <d v="2016-08-09T00:00:00"/>
    <x v="3"/>
    <x v="1"/>
    <x v="1214"/>
    <n v="64.703999999999994"/>
    <n v="3"/>
    <n v="23.455200000000001"/>
    <n v="0.36250000000000004"/>
    <n v="2016"/>
    <x v="7"/>
    <n v="8"/>
    <n v="21.567999999999998"/>
    <s v="Profit"/>
  </r>
  <r>
    <s v="CA-2016-153101"/>
    <d v="2016-08-09T00:00:00"/>
    <x v="1"/>
    <x v="0"/>
    <x v="1215"/>
    <n v="146.04"/>
    <n v="1"/>
    <n v="-12.778499999999999"/>
    <n v="-8.7499999999999994E-2"/>
    <n v="2016"/>
    <x v="7"/>
    <n v="8"/>
    <n v="146.04"/>
    <s v="Loss"/>
  </r>
  <r>
    <s v="CA-2016-110009"/>
    <d v="2016-08-09T00:00:00"/>
    <x v="1"/>
    <x v="0"/>
    <x v="112"/>
    <n v="43.13"/>
    <n v="1"/>
    <n v="14.664199999999999"/>
    <n v="0.33999999999999997"/>
    <n v="2016"/>
    <x v="7"/>
    <n v="8"/>
    <n v="43.13"/>
    <s v="Profit"/>
  </r>
  <r>
    <s v="CA-2016-110009"/>
    <d v="2016-08-09T00:00:00"/>
    <x v="1"/>
    <x v="1"/>
    <x v="487"/>
    <n v="30.87"/>
    <n v="7"/>
    <n v="14.200200000000001"/>
    <n v="0.46"/>
    <n v="2016"/>
    <x v="7"/>
    <n v="8"/>
    <n v="4.41"/>
    <s v="Profit"/>
  </r>
  <r>
    <s v="CA-2016-103709"/>
    <d v="2016-08-09T00:00:00"/>
    <x v="1"/>
    <x v="1"/>
    <x v="786"/>
    <n v="14.88"/>
    <n v="2"/>
    <n v="3.72"/>
    <n v="0.25"/>
    <n v="2016"/>
    <x v="7"/>
    <n v="8"/>
    <n v="7.44"/>
    <s v="Profit"/>
  </r>
  <r>
    <s v="CA-2016-103709"/>
    <d v="2016-08-09T00:00:00"/>
    <x v="1"/>
    <x v="1"/>
    <x v="1029"/>
    <n v="34.24"/>
    <n v="8"/>
    <n v="15.407999999999999"/>
    <n v="0.44999999999999996"/>
    <n v="2016"/>
    <x v="7"/>
    <n v="8"/>
    <n v="4.28"/>
    <s v="Profit"/>
  </r>
  <r>
    <s v="CA-2016-103709"/>
    <d v="2016-08-09T00:00:00"/>
    <x v="1"/>
    <x v="1"/>
    <x v="1190"/>
    <n v="261.74"/>
    <n v="2"/>
    <n v="65.435000000000002"/>
    <n v="0.25"/>
    <n v="2016"/>
    <x v="7"/>
    <n v="8"/>
    <n v="130.87"/>
    <s v="Profit"/>
  </r>
  <r>
    <s v="US-2016-126844"/>
    <d v="2016-08-10T00:00:00"/>
    <x v="2"/>
    <x v="0"/>
    <x v="1216"/>
    <n v="51.712000000000003"/>
    <n v="8"/>
    <n v="-32.32"/>
    <n v="-0.625"/>
    <n v="2016"/>
    <x v="7"/>
    <n v="8"/>
    <n v="6.4640000000000004"/>
    <s v="Loss"/>
  </r>
  <r>
    <s v="US-2016-162026"/>
    <d v="2016-08-10T00:00:00"/>
    <x v="1"/>
    <x v="1"/>
    <x v="1025"/>
    <n v="61.96"/>
    <n v="2"/>
    <n v="27.882000000000001"/>
    <n v="0.45"/>
    <n v="2016"/>
    <x v="7"/>
    <n v="8"/>
    <n v="30.98"/>
    <s v="Profit"/>
  </r>
  <r>
    <s v="CA-2016-149685"/>
    <d v="2016-08-10T00:00:00"/>
    <x v="2"/>
    <x v="1"/>
    <x v="821"/>
    <n v="60.143999999999998"/>
    <n v="6"/>
    <n v="20.2986"/>
    <n v="0.33750000000000002"/>
    <n v="2016"/>
    <x v="7"/>
    <n v="8"/>
    <n v="10.023999999999999"/>
    <s v="Profit"/>
  </r>
  <r>
    <s v="CA-2016-135636"/>
    <d v="2016-08-10T00:00:00"/>
    <x v="3"/>
    <x v="1"/>
    <x v="1093"/>
    <n v="387.72"/>
    <n v="5"/>
    <n v="-67.850999999999999"/>
    <n v="-0.17499999999999999"/>
    <n v="2016"/>
    <x v="7"/>
    <n v="8"/>
    <n v="77.544000000000011"/>
    <s v="Loss"/>
  </r>
  <r>
    <s v="CA-2016-152156"/>
    <d v="2016-08-11T00:00:00"/>
    <x v="3"/>
    <x v="0"/>
    <x v="26"/>
    <n v="261.95999999999998"/>
    <n v="2"/>
    <n v="41.913600000000002"/>
    <n v="0.16000000000000003"/>
    <n v="2016"/>
    <x v="7"/>
    <n v="8"/>
    <n v="130.97999999999999"/>
    <s v="Profit"/>
  </r>
  <r>
    <s v="CA-2016-152156"/>
    <d v="2016-08-11T00:00:00"/>
    <x v="3"/>
    <x v="0"/>
    <x v="207"/>
    <n v="731.94"/>
    <n v="3"/>
    <n v="219.58199999999999"/>
    <n v="0.3"/>
    <n v="2016"/>
    <x v="7"/>
    <n v="8"/>
    <n v="243.98000000000002"/>
    <s v="Profit"/>
  </r>
  <r>
    <s v="CA-2016-117590"/>
    <d v="2016-08-12T00:00:00"/>
    <x v="2"/>
    <x v="2"/>
    <x v="77"/>
    <n v="1097.5440000000001"/>
    <n v="7"/>
    <n v="123.47369999999999"/>
    <n v="0.11249999999999999"/>
    <n v="2016"/>
    <x v="7"/>
    <n v="8"/>
    <n v="156.792"/>
    <s v="Profit"/>
  </r>
  <r>
    <s v="CA-2016-117590"/>
    <d v="2016-08-12T00:00:00"/>
    <x v="2"/>
    <x v="0"/>
    <x v="1217"/>
    <n v="190.92"/>
    <n v="5"/>
    <n v="-147.96299999999999"/>
    <n v="-0.77500000000000002"/>
    <n v="2016"/>
    <x v="7"/>
    <n v="8"/>
    <n v="38.183999999999997"/>
    <s v="Loss"/>
  </r>
  <r>
    <s v="CA-2016-134425"/>
    <d v="2016-08-12T00:00:00"/>
    <x v="2"/>
    <x v="2"/>
    <x v="470"/>
    <n v="114.95"/>
    <n v="5"/>
    <n v="2.2989999999999999"/>
    <n v="0.02"/>
    <n v="2016"/>
    <x v="7"/>
    <n v="8"/>
    <n v="22.990000000000002"/>
    <s v="Profit"/>
  </r>
  <r>
    <s v="CA-2016-124562"/>
    <d v="2016-08-12T00:00:00"/>
    <x v="0"/>
    <x v="1"/>
    <x v="1218"/>
    <n v="12.957000000000001"/>
    <n v="7"/>
    <n v="-9.5017999999999994"/>
    <n v="-0.73333333333333328"/>
    <n v="2016"/>
    <x v="7"/>
    <n v="8"/>
    <n v="1.8510000000000002"/>
    <s v="Loss"/>
  </r>
  <r>
    <s v="CA-2016-131289"/>
    <d v="2016-08-12T00:00:00"/>
    <x v="1"/>
    <x v="1"/>
    <x v="1219"/>
    <n v="8.56"/>
    <n v="2"/>
    <n v="2.4824000000000002"/>
    <n v="0.28999999999999998"/>
    <n v="2016"/>
    <x v="7"/>
    <n v="8"/>
    <n v="4.28"/>
    <s v="Profit"/>
  </r>
  <r>
    <s v="CA-2016-131289"/>
    <d v="2016-08-12T00:00:00"/>
    <x v="1"/>
    <x v="1"/>
    <x v="1220"/>
    <n v="45.36"/>
    <n v="7"/>
    <n v="21.7728"/>
    <n v="0.48"/>
    <n v="2016"/>
    <x v="7"/>
    <n v="8"/>
    <n v="6.4799999999999995"/>
    <s v="Profit"/>
  </r>
  <r>
    <s v="CA-2016-131289"/>
    <d v="2016-08-12T00:00:00"/>
    <x v="1"/>
    <x v="0"/>
    <x v="67"/>
    <n v="1421.664"/>
    <n v="6"/>
    <n v="-195.47880000000001"/>
    <n v="-0.13750000000000001"/>
    <n v="2016"/>
    <x v="7"/>
    <n v="8"/>
    <n v="236.94399999999999"/>
    <s v="Loss"/>
  </r>
  <r>
    <s v="CA-2016-115224"/>
    <d v="2016-08-12T00:00:00"/>
    <x v="1"/>
    <x v="1"/>
    <x v="553"/>
    <n v="34.049999999999997"/>
    <n v="3"/>
    <n v="9.5340000000000007"/>
    <n v="0.28000000000000003"/>
    <n v="2016"/>
    <x v="7"/>
    <n v="8"/>
    <n v="11.35"/>
    <s v="Profit"/>
  </r>
  <r>
    <s v="CA-2016-115224"/>
    <d v="2016-08-12T00:00:00"/>
    <x v="1"/>
    <x v="1"/>
    <x v="147"/>
    <n v="352.38"/>
    <n v="2"/>
    <n v="81.047399999999996"/>
    <n v="0.22999999999999998"/>
    <n v="2016"/>
    <x v="7"/>
    <n v="8"/>
    <n v="176.19"/>
    <s v="Profit"/>
  </r>
  <r>
    <s v="CA-2016-113733"/>
    <d v="2016-08-12T00:00:00"/>
    <x v="3"/>
    <x v="2"/>
    <x v="609"/>
    <n v="249.584"/>
    <n v="2"/>
    <n v="31.198"/>
    <n v="0.125"/>
    <n v="2016"/>
    <x v="7"/>
    <n v="8"/>
    <n v="124.792"/>
    <s v="Profit"/>
  </r>
  <r>
    <s v="CA-2016-113733"/>
    <d v="2016-08-12T00:00:00"/>
    <x v="3"/>
    <x v="2"/>
    <x v="593"/>
    <n v="68.111999999999995"/>
    <n v="3"/>
    <n v="17.8794"/>
    <n v="0.26250000000000001"/>
    <n v="2016"/>
    <x v="7"/>
    <n v="8"/>
    <n v="22.703999999999997"/>
    <s v="Profit"/>
  </r>
  <r>
    <s v="CA-2016-113733"/>
    <d v="2016-08-12T00:00:00"/>
    <x v="3"/>
    <x v="2"/>
    <x v="1221"/>
    <n v="16.559999999999999"/>
    <n v="3"/>
    <n v="-2.484"/>
    <n v="-0.15000000000000002"/>
    <n v="2016"/>
    <x v="7"/>
    <n v="8"/>
    <n v="5.52"/>
    <s v="Loss"/>
  </r>
  <r>
    <s v="CA-2016-158302"/>
    <d v="2016-08-12T00:00:00"/>
    <x v="0"/>
    <x v="1"/>
    <x v="487"/>
    <n v="10.584"/>
    <n v="3"/>
    <n v="3.4398"/>
    <n v="0.32500000000000001"/>
    <n v="2016"/>
    <x v="7"/>
    <n v="8"/>
    <n v="3.528"/>
    <s v="Profit"/>
  </r>
  <r>
    <s v="CA-2016-160108"/>
    <d v="2016-08-12T00:00:00"/>
    <x v="2"/>
    <x v="0"/>
    <x v="1210"/>
    <n v="405.86"/>
    <n v="7"/>
    <n v="32.468800000000002"/>
    <n v="0.08"/>
    <n v="2016"/>
    <x v="7"/>
    <n v="8"/>
    <n v="57.980000000000004"/>
    <s v="Profit"/>
  </r>
  <r>
    <s v="CA-2016-160108"/>
    <d v="2016-08-12T00:00:00"/>
    <x v="2"/>
    <x v="0"/>
    <x v="244"/>
    <n v="680.01"/>
    <n v="3"/>
    <n v="176.80260000000001"/>
    <n v="0.26"/>
    <n v="2016"/>
    <x v="7"/>
    <n v="8"/>
    <n v="226.67"/>
    <s v="Profit"/>
  </r>
  <r>
    <s v="CA-2016-108882"/>
    <d v="2016-09-01T00:00:00"/>
    <x v="1"/>
    <x v="2"/>
    <x v="1222"/>
    <n v="349.95"/>
    <n v="5"/>
    <n v="118.983"/>
    <n v="0.34"/>
    <n v="2016"/>
    <x v="8"/>
    <n v="9"/>
    <n v="69.989999999999995"/>
    <s v="Profit"/>
  </r>
  <r>
    <s v="CA-2016-108882"/>
    <d v="2016-09-01T00:00:00"/>
    <x v="1"/>
    <x v="2"/>
    <x v="288"/>
    <n v="377.928"/>
    <n v="9"/>
    <n v="141.72300000000001"/>
    <n v="0.37500000000000006"/>
    <n v="2016"/>
    <x v="8"/>
    <n v="9"/>
    <n v="41.991999999999997"/>
    <s v="Profit"/>
  </r>
  <r>
    <s v="CA-2016-126543"/>
    <d v="2016-09-01T00:00:00"/>
    <x v="0"/>
    <x v="0"/>
    <x v="1089"/>
    <n v="15.167999999999999"/>
    <n v="2"/>
    <n v="3.7919999999999998"/>
    <n v="0.25"/>
    <n v="2016"/>
    <x v="8"/>
    <n v="9"/>
    <n v="7.5839999999999996"/>
    <s v="Profit"/>
  </r>
  <r>
    <s v="US-2016-112396"/>
    <d v="2016-09-02T00:00:00"/>
    <x v="1"/>
    <x v="2"/>
    <x v="295"/>
    <n v="89.97"/>
    <n v="3"/>
    <n v="39.586799999999997"/>
    <n v="0.43999999999999995"/>
    <n v="2016"/>
    <x v="8"/>
    <n v="9"/>
    <n v="29.99"/>
    <s v="Profit"/>
  </r>
  <r>
    <s v="US-2016-112396"/>
    <d v="2016-09-02T00:00:00"/>
    <x v="1"/>
    <x v="2"/>
    <x v="1153"/>
    <n v="31.86"/>
    <n v="2"/>
    <n v="11.151"/>
    <n v="0.35"/>
    <n v="2016"/>
    <x v="8"/>
    <n v="9"/>
    <n v="15.93"/>
    <s v="Profit"/>
  </r>
  <r>
    <s v="CA-2016-120803"/>
    <d v="2016-09-03T00:00:00"/>
    <x v="0"/>
    <x v="2"/>
    <x v="340"/>
    <n v="199.75"/>
    <n v="5"/>
    <n v="87.89"/>
    <n v="0.44"/>
    <n v="2016"/>
    <x v="8"/>
    <n v="9"/>
    <n v="39.950000000000003"/>
    <s v="Profit"/>
  </r>
  <r>
    <s v="CA-2016-153269"/>
    <d v="2016-09-03T00:00:00"/>
    <x v="0"/>
    <x v="1"/>
    <x v="1043"/>
    <n v="11.21"/>
    <n v="1"/>
    <n v="3.363"/>
    <n v="0.3"/>
    <n v="2016"/>
    <x v="8"/>
    <n v="9"/>
    <n v="11.21"/>
    <s v="Profit"/>
  </r>
  <r>
    <s v="CA-2016-153269"/>
    <d v="2016-09-03T00:00:00"/>
    <x v="0"/>
    <x v="0"/>
    <x v="959"/>
    <n v="354.9"/>
    <n v="5"/>
    <n v="88.724999999999994"/>
    <n v="0.25"/>
    <n v="2016"/>
    <x v="8"/>
    <n v="9"/>
    <n v="70.97999999999999"/>
    <s v="Profit"/>
  </r>
  <r>
    <s v="CA-2016-153269"/>
    <d v="2016-09-03T00:00:00"/>
    <x v="0"/>
    <x v="1"/>
    <x v="1223"/>
    <n v="17.940000000000001"/>
    <n v="3"/>
    <n v="8.7905999999999995"/>
    <n v="0.48999999999999994"/>
    <n v="2016"/>
    <x v="8"/>
    <n v="9"/>
    <n v="5.98"/>
    <s v="Profit"/>
  </r>
  <r>
    <s v="CA-2016-153269"/>
    <d v="2016-09-03T00:00:00"/>
    <x v="0"/>
    <x v="1"/>
    <x v="1224"/>
    <n v="51.8"/>
    <n v="4"/>
    <n v="23.31"/>
    <n v="0.45"/>
    <n v="2016"/>
    <x v="8"/>
    <n v="9"/>
    <n v="12.95"/>
    <s v="Profit"/>
  </r>
  <r>
    <s v="CA-2016-126809"/>
    <d v="2016-09-04T00:00:00"/>
    <x v="1"/>
    <x v="1"/>
    <x v="767"/>
    <n v="35.351999999999997"/>
    <n v="9"/>
    <n v="12.815099999999999"/>
    <n v="0.36249999999999999"/>
    <n v="2016"/>
    <x v="8"/>
    <n v="9"/>
    <n v="3.9279999999999995"/>
    <s v="Profit"/>
  </r>
  <r>
    <s v="CA-2016-128517"/>
    <d v="2016-09-04T00:00:00"/>
    <x v="2"/>
    <x v="2"/>
    <x v="814"/>
    <n v="517.9"/>
    <n v="2"/>
    <n v="134.654"/>
    <n v="0.26"/>
    <n v="2016"/>
    <x v="8"/>
    <n v="9"/>
    <n v="258.95"/>
    <s v="Profit"/>
  </r>
  <r>
    <s v="CA-2016-128517"/>
    <d v="2016-09-04T00:00:00"/>
    <x v="2"/>
    <x v="1"/>
    <x v="1225"/>
    <n v="5.28"/>
    <n v="2"/>
    <n v="2.4287999999999998"/>
    <n v="0.45999999999999996"/>
    <n v="2016"/>
    <x v="8"/>
    <n v="9"/>
    <n v="2.64"/>
    <s v="Profit"/>
  </r>
  <r>
    <s v="CA-2016-117681"/>
    <d v="2016-09-04T00:00:00"/>
    <x v="1"/>
    <x v="0"/>
    <x v="26"/>
    <n v="556.66499999999996"/>
    <n v="5"/>
    <n v="6.5490000000000004"/>
    <n v="1.1764705882352943E-2"/>
    <n v="2016"/>
    <x v="8"/>
    <n v="9"/>
    <n v="111.333"/>
    <s v="Profit"/>
  </r>
  <r>
    <s v="CA-2016-169166"/>
    <d v="2016-09-05T00:00:00"/>
    <x v="1"/>
    <x v="2"/>
    <x v="1226"/>
    <n v="93.98"/>
    <n v="2"/>
    <n v="13.1572"/>
    <n v="0.13999999999999999"/>
    <n v="2016"/>
    <x v="8"/>
    <n v="9"/>
    <n v="46.99"/>
    <s v="Profit"/>
  </r>
  <r>
    <s v="CA-2016-109176"/>
    <d v="2016-09-05T00:00:00"/>
    <x v="0"/>
    <x v="1"/>
    <x v="11"/>
    <n v="9.3439999999999994"/>
    <n v="1"/>
    <n v="3.504"/>
    <n v="0.375"/>
    <n v="2016"/>
    <x v="8"/>
    <n v="9"/>
    <n v="9.3439999999999994"/>
    <s v="Profit"/>
  </r>
  <r>
    <s v="CA-2016-109176"/>
    <d v="2016-09-05T00:00:00"/>
    <x v="0"/>
    <x v="1"/>
    <x v="104"/>
    <n v="79.36"/>
    <n v="5"/>
    <n v="9.92"/>
    <n v="0.125"/>
    <n v="2016"/>
    <x v="8"/>
    <n v="9"/>
    <n v="15.872"/>
    <s v="Profit"/>
  </r>
  <r>
    <s v="CA-2016-161158"/>
    <d v="2016-09-05T00:00:00"/>
    <x v="0"/>
    <x v="1"/>
    <x v="1227"/>
    <n v="8"/>
    <n v="5"/>
    <n v="3.44"/>
    <n v="0.43"/>
    <n v="2016"/>
    <x v="8"/>
    <n v="9"/>
    <n v="1.6"/>
    <s v="Profit"/>
  </r>
  <r>
    <s v="US-2016-159093"/>
    <d v="2016-09-05T00:00:00"/>
    <x v="1"/>
    <x v="1"/>
    <x v="1228"/>
    <n v="32.04"/>
    <n v="4"/>
    <n v="14.417999999999999"/>
    <n v="0.45"/>
    <n v="2016"/>
    <x v="8"/>
    <n v="9"/>
    <n v="8.01"/>
    <s v="Profit"/>
  </r>
  <r>
    <s v="CA-2016-112382"/>
    <d v="2016-09-05T00:00:00"/>
    <x v="2"/>
    <x v="2"/>
    <x v="1229"/>
    <n v="19.135999999999999"/>
    <n v="2"/>
    <n v="1.9136"/>
    <n v="0.1"/>
    <n v="2016"/>
    <x v="8"/>
    <n v="9"/>
    <n v="9.5679999999999996"/>
    <s v="Profit"/>
  </r>
  <r>
    <s v="CA-2016-159765"/>
    <d v="2016-09-05T00:00:00"/>
    <x v="3"/>
    <x v="1"/>
    <x v="287"/>
    <n v="27.86"/>
    <n v="7"/>
    <n v="9.1937999999999995"/>
    <n v="0.33"/>
    <n v="2016"/>
    <x v="8"/>
    <n v="9"/>
    <n v="3.98"/>
    <s v="Profit"/>
  </r>
  <r>
    <s v="US-2016-144057"/>
    <d v="2016-09-05T00:00:00"/>
    <x v="2"/>
    <x v="1"/>
    <x v="251"/>
    <n v="856.65599999999995"/>
    <n v="6"/>
    <n v="107.08199999999999"/>
    <n v="0.125"/>
    <n v="2016"/>
    <x v="8"/>
    <n v="9"/>
    <n v="142.77599999999998"/>
    <s v="Profit"/>
  </r>
  <r>
    <s v="US-2016-144057"/>
    <d v="2016-09-05T00:00:00"/>
    <x v="2"/>
    <x v="1"/>
    <x v="1230"/>
    <n v="13.183999999999999"/>
    <n v="4"/>
    <n v="-20.435199999999998"/>
    <n v="-1.55"/>
    <n v="2016"/>
    <x v="8"/>
    <n v="9"/>
    <n v="3.2959999999999998"/>
    <s v="Loss"/>
  </r>
  <r>
    <s v="US-2016-144057"/>
    <d v="2016-09-05T00:00:00"/>
    <x v="2"/>
    <x v="1"/>
    <x v="760"/>
    <n v="48.783999999999999"/>
    <n v="4"/>
    <n v="-131.71680000000001"/>
    <n v="-2.7"/>
    <n v="2016"/>
    <x v="8"/>
    <n v="9"/>
    <n v="12.196"/>
    <s v="Loss"/>
  </r>
  <r>
    <s v="US-2016-144057"/>
    <d v="2016-09-05T00:00:00"/>
    <x v="2"/>
    <x v="1"/>
    <x v="1231"/>
    <n v="76.64"/>
    <n v="2"/>
    <n v="26.824000000000002"/>
    <n v="0.35000000000000003"/>
    <n v="2016"/>
    <x v="8"/>
    <n v="9"/>
    <n v="38.32"/>
    <s v="Profit"/>
  </r>
  <r>
    <s v="US-2016-144057"/>
    <d v="2016-09-05T00:00:00"/>
    <x v="2"/>
    <x v="1"/>
    <x v="125"/>
    <n v="18.527999999999999"/>
    <n v="6"/>
    <n v="-27.792000000000002"/>
    <n v="-1.5000000000000002"/>
    <n v="2016"/>
    <x v="8"/>
    <n v="9"/>
    <n v="3.0879999999999996"/>
    <s v="Loss"/>
  </r>
  <r>
    <s v="US-2016-139710"/>
    <d v="2016-09-06T00:00:00"/>
    <x v="1"/>
    <x v="2"/>
    <x v="1062"/>
    <n v="177.48"/>
    <n v="3"/>
    <n v="19.9665"/>
    <n v="0.1125"/>
    <n v="2016"/>
    <x v="8"/>
    <n v="9"/>
    <n v="59.16"/>
    <s v="Profit"/>
  </r>
  <r>
    <s v="CA-2016-147368"/>
    <d v="2016-09-06T00:00:00"/>
    <x v="3"/>
    <x v="2"/>
    <x v="101"/>
    <n v="695.7"/>
    <n v="2"/>
    <n v="-27.827999999999999"/>
    <n v="-3.9999999999999994E-2"/>
    <n v="2016"/>
    <x v="8"/>
    <n v="9"/>
    <n v="347.85"/>
    <s v="Loss"/>
  </r>
  <r>
    <s v="CA-2016-122448"/>
    <d v="2016-09-06T00:00:00"/>
    <x v="1"/>
    <x v="0"/>
    <x v="1232"/>
    <n v="122.352"/>
    <n v="3"/>
    <n v="13.7646"/>
    <n v="0.11249999999999999"/>
    <n v="2016"/>
    <x v="8"/>
    <n v="9"/>
    <n v="40.783999999999999"/>
    <s v="Profit"/>
  </r>
  <r>
    <s v="CA-2016-154662"/>
    <d v="2016-09-06T00:00:00"/>
    <x v="2"/>
    <x v="0"/>
    <x v="409"/>
    <n v="692.94"/>
    <n v="3"/>
    <n v="173.23500000000001"/>
    <n v="0.25"/>
    <n v="2016"/>
    <x v="8"/>
    <n v="9"/>
    <n v="230.98000000000002"/>
    <s v="Profit"/>
  </r>
  <r>
    <s v="CA-2016-136329"/>
    <d v="2016-09-07T00:00:00"/>
    <x v="0"/>
    <x v="0"/>
    <x v="244"/>
    <n v="408.00599999999997"/>
    <n v="2"/>
    <n v="72.534400000000005"/>
    <n v="0.17777777777777781"/>
    <n v="2016"/>
    <x v="8"/>
    <n v="9"/>
    <n v="204.00299999999999"/>
    <s v="Profit"/>
  </r>
  <r>
    <s v="CA-2016-136329"/>
    <d v="2016-09-07T00:00:00"/>
    <x v="0"/>
    <x v="0"/>
    <x v="305"/>
    <n v="165.28"/>
    <n v="4"/>
    <n v="14.8752"/>
    <n v="0.09"/>
    <n v="2016"/>
    <x v="8"/>
    <n v="9"/>
    <n v="41.32"/>
    <s v="Profit"/>
  </r>
  <r>
    <s v="US-2016-113649"/>
    <d v="2016-09-08T00:00:00"/>
    <x v="3"/>
    <x v="1"/>
    <x v="1233"/>
    <n v="30.815999999999999"/>
    <n v="9"/>
    <n v="9.6300000000000008"/>
    <n v="0.31250000000000006"/>
    <n v="2016"/>
    <x v="8"/>
    <n v="9"/>
    <n v="3.4239999999999999"/>
    <s v="Profit"/>
  </r>
  <r>
    <s v="US-2016-113649"/>
    <d v="2016-09-08T00:00:00"/>
    <x v="3"/>
    <x v="2"/>
    <x v="1234"/>
    <n v="44.783999999999999"/>
    <n v="2"/>
    <n v="4.4783999999999997"/>
    <n v="9.9999999999999992E-2"/>
    <n v="2016"/>
    <x v="8"/>
    <n v="9"/>
    <n v="22.391999999999999"/>
    <s v="Profit"/>
  </r>
  <r>
    <s v="US-2016-113649"/>
    <d v="2016-09-08T00:00:00"/>
    <x v="3"/>
    <x v="1"/>
    <x v="1235"/>
    <n v="569.53599999999994"/>
    <n v="4"/>
    <n v="64.072800000000001"/>
    <n v="0.11250000000000002"/>
    <n v="2016"/>
    <x v="8"/>
    <n v="9"/>
    <n v="142.38399999999999"/>
    <s v="Profit"/>
  </r>
  <r>
    <s v="CA-2016-118934"/>
    <d v="2016-09-08T00:00:00"/>
    <x v="3"/>
    <x v="1"/>
    <x v="1082"/>
    <n v="4.3380000000000001"/>
    <n v="3"/>
    <n v="-3.0366"/>
    <n v="-0.7"/>
    <n v="2016"/>
    <x v="8"/>
    <n v="9"/>
    <n v="1.446"/>
    <s v="Loss"/>
  </r>
  <r>
    <s v="CA-2016-118934"/>
    <d v="2016-09-08T00:00:00"/>
    <x v="3"/>
    <x v="1"/>
    <x v="1236"/>
    <n v="11.88"/>
    <n v="5"/>
    <n v="-7.92"/>
    <n v="-0.66666666666666663"/>
    <n v="2016"/>
    <x v="8"/>
    <n v="9"/>
    <n v="2.3760000000000003"/>
    <s v="Loss"/>
  </r>
  <r>
    <s v="CA-2016-110023"/>
    <d v="2016-09-09T00:00:00"/>
    <x v="0"/>
    <x v="1"/>
    <x v="791"/>
    <n v="14.624000000000001"/>
    <n v="2"/>
    <n v="5.484"/>
    <n v="0.375"/>
    <n v="2016"/>
    <x v="8"/>
    <n v="9"/>
    <n v="7.3120000000000003"/>
    <s v="Profit"/>
  </r>
  <r>
    <s v="CA-2016-112893"/>
    <d v="2016-09-09T00:00:00"/>
    <x v="1"/>
    <x v="1"/>
    <x v="1237"/>
    <n v="55.36"/>
    <n v="4"/>
    <n v="18.684000000000001"/>
    <n v="0.33750000000000002"/>
    <n v="2016"/>
    <x v="8"/>
    <n v="9"/>
    <n v="13.84"/>
    <s v="Profit"/>
  </r>
  <r>
    <s v="CA-2016-137176"/>
    <d v="2016-09-09T00:00:00"/>
    <x v="2"/>
    <x v="0"/>
    <x v="623"/>
    <n v="15.007999999999999"/>
    <n v="4"/>
    <n v="-12.006399999999999"/>
    <n v="-0.8"/>
    <n v="2016"/>
    <x v="8"/>
    <n v="9"/>
    <n v="3.7519999999999998"/>
    <s v="Loss"/>
  </r>
  <r>
    <s v="CA-2016-116974"/>
    <d v="2016-09-10T00:00:00"/>
    <x v="0"/>
    <x v="2"/>
    <x v="17"/>
    <n v="23.975999999999999"/>
    <n v="4"/>
    <n v="-15.5844"/>
    <n v="-0.65"/>
    <n v="2016"/>
    <x v="8"/>
    <n v="9"/>
    <n v="5.9939999999999998"/>
    <s v="Loss"/>
  </r>
  <r>
    <s v="US-2016-128909"/>
    <d v="2016-09-10T00:00:00"/>
    <x v="0"/>
    <x v="1"/>
    <x v="93"/>
    <n v="19.135999999999999"/>
    <n v="4"/>
    <n v="5.98"/>
    <n v="0.31250000000000006"/>
    <n v="2016"/>
    <x v="8"/>
    <n v="9"/>
    <n v="4.7839999999999998"/>
    <s v="Profit"/>
  </r>
  <r>
    <s v="US-2016-128909"/>
    <d v="2016-09-10T00:00:00"/>
    <x v="0"/>
    <x v="0"/>
    <x v="1238"/>
    <n v="332.83199999999999"/>
    <n v="4"/>
    <n v="-24.962399999999999"/>
    <n v="-7.4999999999999997E-2"/>
    <n v="2016"/>
    <x v="8"/>
    <n v="9"/>
    <n v="83.207999999999998"/>
    <s v="Loss"/>
  </r>
  <r>
    <s v="CA-2016-114748"/>
    <d v="2016-09-10T00:00:00"/>
    <x v="1"/>
    <x v="1"/>
    <x v="437"/>
    <n v="1.4079999999999999"/>
    <n v="1"/>
    <n v="0.15840000000000001"/>
    <n v="0.11250000000000002"/>
    <n v="2016"/>
    <x v="8"/>
    <n v="9"/>
    <n v="1.4079999999999999"/>
    <s v="Profit"/>
  </r>
  <r>
    <s v="CA-2016-114748"/>
    <d v="2016-09-10T00:00:00"/>
    <x v="1"/>
    <x v="0"/>
    <x v="242"/>
    <n v="169.56800000000001"/>
    <n v="2"/>
    <n v="0"/>
    <n v="0"/>
    <n v="2016"/>
    <x v="8"/>
    <n v="9"/>
    <n v="84.784000000000006"/>
    <s v="Loss"/>
  </r>
  <r>
    <s v="CA-2016-138233"/>
    <d v="2016-09-11T00:00:00"/>
    <x v="1"/>
    <x v="2"/>
    <x v="1239"/>
    <n v="479.97"/>
    <n v="3"/>
    <n v="177.5889"/>
    <n v="0.37"/>
    <n v="2016"/>
    <x v="8"/>
    <n v="9"/>
    <n v="159.99"/>
    <s v="Profit"/>
  </r>
  <r>
    <s v="CA-2016-137330"/>
    <d v="2016-09-12T00:00:00"/>
    <x v="2"/>
    <x v="1"/>
    <x v="131"/>
    <n v="19.46"/>
    <n v="7"/>
    <n v="5.0595999999999997"/>
    <n v="0.25999999999999995"/>
    <n v="2016"/>
    <x v="8"/>
    <n v="9"/>
    <n v="2.7800000000000002"/>
    <s v="Profit"/>
  </r>
  <r>
    <s v="CA-2016-137330"/>
    <d v="2016-09-12T00:00:00"/>
    <x v="2"/>
    <x v="1"/>
    <x v="174"/>
    <n v="60.34"/>
    <n v="7"/>
    <n v="15.6884"/>
    <n v="0.25999999999999995"/>
    <n v="2016"/>
    <x v="8"/>
    <n v="9"/>
    <n v="8.620000000000001"/>
    <s v="Profit"/>
  </r>
  <r>
    <s v="CA-2016-141082"/>
    <d v="2016-09-12T00:00:00"/>
    <x v="0"/>
    <x v="1"/>
    <x v="1240"/>
    <n v="3.69"/>
    <n v="1"/>
    <n v="1.7343"/>
    <n v="0.47"/>
    <n v="2016"/>
    <x v="8"/>
    <n v="9"/>
    <n v="3.69"/>
    <s v="Profit"/>
  </r>
  <r>
    <s v="CA-2016-141082"/>
    <d v="2016-09-12T00:00:00"/>
    <x v="0"/>
    <x v="1"/>
    <x v="939"/>
    <n v="122.12"/>
    <n v="4"/>
    <n v="56.175199999999997"/>
    <n v="0.45999999999999996"/>
    <n v="2016"/>
    <x v="8"/>
    <n v="9"/>
    <n v="30.53"/>
    <s v="Profit"/>
  </r>
  <r>
    <s v="CA-2016-128923"/>
    <d v="2016-09-12T00:00:00"/>
    <x v="2"/>
    <x v="1"/>
    <x v="376"/>
    <n v="9.3919999999999995"/>
    <n v="2"/>
    <n v="3.2871999999999999"/>
    <n v="0.35000000000000003"/>
    <n v="2016"/>
    <x v="8"/>
    <n v="9"/>
    <n v="4.6959999999999997"/>
    <s v="Profit"/>
  </r>
  <r>
    <s v="CA-2016-128923"/>
    <d v="2016-09-12T00:00:00"/>
    <x v="2"/>
    <x v="1"/>
    <x v="1241"/>
    <n v="9.3279999999999994"/>
    <n v="1"/>
    <n v="0.81620000000000004"/>
    <n v="8.7500000000000008E-2"/>
    <n v="2016"/>
    <x v="8"/>
    <n v="9"/>
    <n v="9.3279999999999994"/>
    <s v="Profit"/>
  </r>
  <r>
    <s v="US-2016-161844"/>
    <d v="2016-09-12T00:00:00"/>
    <x v="3"/>
    <x v="0"/>
    <x v="728"/>
    <n v="79.974000000000004"/>
    <n v="3"/>
    <n v="-29.323799999999999"/>
    <n v="-0.36666666666666664"/>
    <n v="2016"/>
    <x v="8"/>
    <n v="9"/>
    <n v="26.658000000000001"/>
    <s v="Loss"/>
  </r>
  <r>
    <s v="US-2016-161844"/>
    <d v="2016-09-12T00:00:00"/>
    <x v="3"/>
    <x v="1"/>
    <x v="767"/>
    <n v="2.9460000000000002"/>
    <n v="2"/>
    <n v="-2.0621999999999998"/>
    <n v="-0.69999999999999984"/>
    <n v="2016"/>
    <x v="8"/>
    <n v="9"/>
    <n v="1.4730000000000001"/>
    <s v="Loss"/>
  </r>
  <r>
    <s v="CA-2016-133340"/>
    <d v="2016-09-12T00:00:00"/>
    <x v="2"/>
    <x v="2"/>
    <x v="955"/>
    <n v="10.9"/>
    <n v="1"/>
    <n v="3.052"/>
    <n v="0.27999999999999997"/>
    <n v="2016"/>
    <x v="8"/>
    <n v="9"/>
    <n v="10.9"/>
    <s v="Profit"/>
  </r>
  <r>
    <s v="CA-2016-133340"/>
    <d v="2016-09-12T00:00:00"/>
    <x v="2"/>
    <x v="2"/>
    <x v="1052"/>
    <n v="59.98"/>
    <n v="2"/>
    <n v="25.191600000000001"/>
    <n v="0.42000000000000004"/>
    <n v="2016"/>
    <x v="8"/>
    <n v="9"/>
    <n v="29.99"/>
    <s v="Profit"/>
  </r>
  <r>
    <s v="CA-2016-133340"/>
    <d v="2016-09-12T00:00:00"/>
    <x v="2"/>
    <x v="1"/>
    <x v="1242"/>
    <n v="61.929000000000002"/>
    <n v="1"/>
    <n v="23.395399999999999"/>
    <n v="0.37777777777777777"/>
    <n v="2016"/>
    <x v="8"/>
    <n v="9"/>
    <n v="61.929000000000002"/>
    <s v="Profit"/>
  </r>
  <r>
    <s v="CA-2016-159989"/>
    <d v="2016-09-12T00:00:00"/>
    <x v="3"/>
    <x v="2"/>
    <x v="1243"/>
    <n v="40.68"/>
    <n v="3"/>
    <n v="-9.1530000000000005"/>
    <n v="-0.22500000000000001"/>
    <n v="2016"/>
    <x v="8"/>
    <n v="9"/>
    <n v="13.56"/>
    <s v="Loss"/>
  </r>
  <r>
    <s v="US-2016-131114"/>
    <d v="2016-09-12T00:00:00"/>
    <x v="2"/>
    <x v="1"/>
    <x v="1244"/>
    <n v="20.568000000000001"/>
    <n v="3"/>
    <n v="1.5426"/>
    <n v="7.4999999999999997E-2"/>
    <n v="2016"/>
    <x v="8"/>
    <n v="9"/>
    <n v="6.8560000000000008"/>
    <s v="Profit"/>
  </r>
  <r>
    <s v="US-2016-131114"/>
    <d v="2016-09-12T00:00:00"/>
    <x v="2"/>
    <x v="1"/>
    <x v="364"/>
    <n v="4.3559999999999999"/>
    <n v="2"/>
    <n v="-11.761200000000001"/>
    <n v="-2.7"/>
    <n v="2016"/>
    <x v="8"/>
    <n v="9"/>
    <n v="2.1779999999999999"/>
    <s v="Loss"/>
  </r>
  <r>
    <s v="US-2016-131114"/>
    <d v="2016-09-12T00:00:00"/>
    <x v="2"/>
    <x v="2"/>
    <x v="407"/>
    <n v="19.04"/>
    <n v="4"/>
    <n v="-1.4279999999999999"/>
    <n v="-7.4999999999999997E-2"/>
    <n v="2016"/>
    <x v="8"/>
    <n v="9"/>
    <n v="4.76"/>
    <s v="Loss"/>
  </r>
  <r>
    <s v="CA-2016-149503"/>
    <d v="2016-09-12T00:00:00"/>
    <x v="1"/>
    <x v="1"/>
    <x v="270"/>
    <n v="273.92"/>
    <n v="8"/>
    <n v="99.296000000000006"/>
    <n v="0.36249999999999999"/>
    <n v="2016"/>
    <x v="8"/>
    <n v="9"/>
    <n v="34.24"/>
    <s v="Profit"/>
  </r>
  <r>
    <s v="CA-2016-102092"/>
    <d v="2016-09-12T00:00:00"/>
    <x v="3"/>
    <x v="0"/>
    <x v="884"/>
    <n v="1056.8599999999999"/>
    <n v="7"/>
    <n v="158.529"/>
    <n v="0.15000000000000002"/>
    <n v="2016"/>
    <x v="8"/>
    <n v="9"/>
    <n v="150.97999999999999"/>
    <s v="Profit"/>
  </r>
  <r>
    <s v="CA-2016-116547"/>
    <d v="2016-10-01T00:00:00"/>
    <x v="1"/>
    <x v="0"/>
    <x v="416"/>
    <n v="79.92"/>
    <n v="4"/>
    <n v="34.365600000000001"/>
    <n v="0.43"/>
    <n v="2016"/>
    <x v="9"/>
    <n v="10"/>
    <n v="19.98"/>
    <s v="Profit"/>
  </r>
  <r>
    <s v="CA-2016-116547"/>
    <d v="2016-10-01T00:00:00"/>
    <x v="1"/>
    <x v="2"/>
    <x v="1245"/>
    <n v="69.98"/>
    <n v="2"/>
    <n v="13.296200000000001"/>
    <n v="0.19"/>
    <n v="2016"/>
    <x v="9"/>
    <n v="10"/>
    <n v="34.99"/>
    <s v="Profit"/>
  </r>
  <r>
    <s v="CA-2016-163937"/>
    <d v="2016-10-01T00:00:00"/>
    <x v="1"/>
    <x v="0"/>
    <x v="1246"/>
    <n v="24.85"/>
    <n v="5"/>
    <n v="7.7035"/>
    <n v="0.31"/>
    <n v="2016"/>
    <x v="9"/>
    <n v="10"/>
    <n v="4.9700000000000006"/>
    <s v="Profit"/>
  </r>
  <r>
    <s v="US-2016-112977"/>
    <d v="2016-10-03T00:00:00"/>
    <x v="0"/>
    <x v="0"/>
    <x v="1247"/>
    <n v="176.78399999999999"/>
    <n v="1"/>
    <n v="-22.097999999999999"/>
    <n v="-0.125"/>
    <n v="2016"/>
    <x v="9"/>
    <n v="10"/>
    <n v="176.78399999999999"/>
    <s v="Loss"/>
  </r>
  <r>
    <s v="US-2016-122182"/>
    <d v="2016-10-03T00:00:00"/>
    <x v="0"/>
    <x v="2"/>
    <x v="1186"/>
    <n v="39.991999999999997"/>
    <n v="1"/>
    <n v="7.4984999999999999"/>
    <n v="0.1875"/>
    <n v="2016"/>
    <x v="9"/>
    <n v="10"/>
    <n v="39.991999999999997"/>
    <s v="Profit"/>
  </r>
  <r>
    <s v="CA-2016-159016"/>
    <d v="2016-10-03T00:00:00"/>
    <x v="1"/>
    <x v="1"/>
    <x v="1248"/>
    <n v="14.9"/>
    <n v="5"/>
    <n v="7.1520000000000001"/>
    <n v="0.48"/>
    <n v="2016"/>
    <x v="9"/>
    <n v="10"/>
    <n v="2.98"/>
    <s v="Profit"/>
  </r>
  <r>
    <s v="CA-2016-159016"/>
    <d v="2016-10-03T00:00:00"/>
    <x v="1"/>
    <x v="2"/>
    <x v="942"/>
    <n v="4158.9120000000003"/>
    <n v="8"/>
    <n v="363.90480000000002"/>
    <n v="8.7499999999999994E-2"/>
    <n v="2016"/>
    <x v="9"/>
    <n v="10"/>
    <n v="519.86400000000003"/>
    <s v="Profit"/>
  </r>
  <r>
    <s v="CA-2016-169663"/>
    <d v="2016-10-03T00:00:00"/>
    <x v="1"/>
    <x v="2"/>
    <x v="272"/>
    <n v="26.85"/>
    <n v="3"/>
    <n v="5.1014999999999997"/>
    <n v="0.18999999999999997"/>
    <n v="2016"/>
    <x v="9"/>
    <n v="10"/>
    <n v="8.9500000000000011"/>
    <s v="Profit"/>
  </r>
  <r>
    <s v="CA-2016-169663"/>
    <d v="2016-10-03T00:00:00"/>
    <x v="1"/>
    <x v="2"/>
    <x v="1249"/>
    <n v="3357.6"/>
    <n v="3"/>
    <n v="377.73"/>
    <n v="0.1125"/>
    <n v="2016"/>
    <x v="9"/>
    <n v="10"/>
    <n v="1119.2"/>
    <s v="Profit"/>
  </r>
  <r>
    <s v="CA-2016-108959"/>
    <d v="2016-10-03T00:00:00"/>
    <x v="1"/>
    <x v="1"/>
    <x v="1190"/>
    <n v="104.696"/>
    <n v="1"/>
    <n v="6.5434999999999999"/>
    <n v="6.25E-2"/>
    <n v="2016"/>
    <x v="9"/>
    <n v="10"/>
    <n v="104.696"/>
    <s v="Profit"/>
  </r>
  <r>
    <s v="US-2016-114622"/>
    <d v="2016-10-04T00:00:00"/>
    <x v="0"/>
    <x v="1"/>
    <x v="1250"/>
    <n v="8.9039999999999999"/>
    <n v="2"/>
    <n v="-6.5296000000000003"/>
    <n v="-0.73333333333333339"/>
    <n v="2016"/>
    <x v="9"/>
    <n v="10"/>
    <n v="4.452"/>
    <s v="Loss"/>
  </r>
  <r>
    <s v="CA-2016-124814"/>
    <d v="2016-10-04T00:00:00"/>
    <x v="1"/>
    <x v="1"/>
    <x v="460"/>
    <n v="12.96"/>
    <n v="2"/>
    <n v="6.2207999999999997"/>
    <n v="0.47999999999999993"/>
    <n v="2016"/>
    <x v="9"/>
    <n v="10"/>
    <n v="6.48"/>
    <s v="Profit"/>
  </r>
  <r>
    <s v="CA-2016-124814"/>
    <d v="2016-10-04T00:00:00"/>
    <x v="1"/>
    <x v="1"/>
    <x v="1251"/>
    <n v="23.2"/>
    <n v="5"/>
    <n v="8.1199999999999992"/>
    <n v="0.35"/>
    <n v="2016"/>
    <x v="9"/>
    <n v="10"/>
    <n v="4.6399999999999997"/>
    <s v="Profit"/>
  </r>
  <r>
    <s v="CA-2016-123358"/>
    <d v="2016-10-04T00:00:00"/>
    <x v="1"/>
    <x v="1"/>
    <x v="1252"/>
    <n v="113.76"/>
    <n v="3"/>
    <n v="44.366399999999999"/>
    <n v="0.38999999999999996"/>
    <n v="2016"/>
    <x v="9"/>
    <n v="10"/>
    <n v="37.92"/>
    <s v="Profit"/>
  </r>
  <r>
    <s v="CA-2016-123358"/>
    <d v="2016-10-04T00:00:00"/>
    <x v="1"/>
    <x v="1"/>
    <x v="520"/>
    <n v="579.51"/>
    <n v="3"/>
    <n v="81.131399999999999"/>
    <n v="0.14000000000000001"/>
    <n v="2016"/>
    <x v="9"/>
    <n v="10"/>
    <n v="193.17"/>
    <s v="Profit"/>
  </r>
  <r>
    <s v="CA-2016-123358"/>
    <d v="2016-10-04T00:00:00"/>
    <x v="1"/>
    <x v="1"/>
    <x v="705"/>
    <n v="150.66"/>
    <n v="9"/>
    <n v="6.0263999999999998"/>
    <n v="0.04"/>
    <n v="2016"/>
    <x v="9"/>
    <n v="10"/>
    <n v="16.739999999999998"/>
    <s v="Profit"/>
  </r>
  <r>
    <s v="CA-2016-123358"/>
    <d v="2016-10-04T00:00:00"/>
    <x v="1"/>
    <x v="1"/>
    <x v="714"/>
    <n v="48.031999999999996"/>
    <n v="4"/>
    <n v="15.6104"/>
    <n v="0.32500000000000001"/>
    <n v="2016"/>
    <x v="9"/>
    <n v="10"/>
    <n v="12.007999999999999"/>
    <s v="Profit"/>
  </r>
  <r>
    <s v="CA-2016-109652"/>
    <d v="2016-10-04T00:00:00"/>
    <x v="2"/>
    <x v="1"/>
    <x v="1134"/>
    <n v="13.568"/>
    <n v="4"/>
    <n v="3.2223999999999999"/>
    <n v="0.23749999999999999"/>
    <n v="2016"/>
    <x v="9"/>
    <n v="10"/>
    <n v="3.3919999999999999"/>
    <s v="Profit"/>
  </r>
  <r>
    <s v="CA-2016-161543"/>
    <d v="2016-10-05T00:00:00"/>
    <x v="1"/>
    <x v="1"/>
    <x v="1103"/>
    <n v="11.96"/>
    <n v="2"/>
    <n v="5.8604000000000003"/>
    <n v="0.49"/>
    <n v="2016"/>
    <x v="9"/>
    <n v="10"/>
    <n v="5.98"/>
    <s v="Profit"/>
  </r>
  <r>
    <s v="CA-2016-133816"/>
    <d v="2016-10-05T00:00:00"/>
    <x v="0"/>
    <x v="2"/>
    <x v="231"/>
    <n v="743.98800000000006"/>
    <n v="2"/>
    <n v="-123.998"/>
    <n v="-0.16666666666666666"/>
    <n v="2016"/>
    <x v="9"/>
    <n v="10"/>
    <n v="371.99400000000003"/>
    <s v="Loss"/>
  </r>
  <r>
    <s v="CA-2016-117625"/>
    <d v="2016-10-05T00:00:00"/>
    <x v="2"/>
    <x v="1"/>
    <x v="1253"/>
    <n v="7.0720000000000001"/>
    <n v="2"/>
    <n v="2.3868"/>
    <n v="0.33750000000000002"/>
    <n v="2016"/>
    <x v="9"/>
    <n v="10"/>
    <n v="3.536"/>
    <s v="Profit"/>
  </r>
  <r>
    <s v="CA-2016-113243"/>
    <d v="2016-10-06T00:00:00"/>
    <x v="1"/>
    <x v="1"/>
    <x v="304"/>
    <n v="20.7"/>
    <n v="2"/>
    <n v="9.9359999999999999"/>
    <n v="0.48000000000000004"/>
    <n v="2016"/>
    <x v="9"/>
    <n v="10"/>
    <n v="10.35"/>
    <s v="Profit"/>
  </r>
  <r>
    <s v="CA-2016-113243"/>
    <d v="2016-10-06T00:00:00"/>
    <x v="1"/>
    <x v="0"/>
    <x v="802"/>
    <n v="1335.68"/>
    <n v="4"/>
    <n v="-217.048"/>
    <n v="-0.16250000000000001"/>
    <n v="2016"/>
    <x v="9"/>
    <n v="10"/>
    <n v="333.92"/>
    <s v="Loss"/>
  </r>
  <r>
    <s v="CA-2016-113243"/>
    <d v="2016-10-06T00:00:00"/>
    <x v="1"/>
    <x v="1"/>
    <x v="41"/>
    <n v="32.4"/>
    <n v="5"/>
    <n v="15.552"/>
    <n v="0.48"/>
    <n v="2016"/>
    <x v="9"/>
    <n v="10"/>
    <n v="6.4799999999999995"/>
    <s v="Profit"/>
  </r>
  <r>
    <s v="CA-2016-121993"/>
    <d v="2016-10-06T00:00:00"/>
    <x v="0"/>
    <x v="1"/>
    <x v="1254"/>
    <n v="23.616"/>
    <n v="8"/>
    <n v="7.9703999999999997"/>
    <n v="0.33749999999999997"/>
    <n v="2016"/>
    <x v="9"/>
    <n v="10"/>
    <n v="2.952"/>
    <s v="Profit"/>
  </r>
  <r>
    <s v="CA-2016-126613"/>
    <d v="2016-10-07T00:00:00"/>
    <x v="1"/>
    <x v="1"/>
    <x v="332"/>
    <n v="16.768000000000001"/>
    <n v="2"/>
    <n v="1.4672000000000001"/>
    <n v="8.7499999999999994E-2"/>
    <n v="2016"/>
    <x v="9"/>
    <n v="10"/>
    <n v="8.3840000000000003"/>
    <s v="Profit"/>
  </r>
  <r>
    <s v="US-2016-131149"/>
    <d v="2016-10-07T00:00:00"/>
    <x v="2"/>
    <x v="1"/>
    <x v="1255"/>
    <n v="338.04"/>
    <n v="3"/>
    <n v="-33.804000000000002"/>
    <n v="-0.1"/>
    <n v="2016"/>
    <x v="9"/>
    <n v="10"/>
    <n v="112.68"/>
    <s v="Loss"/>
  </r>
  <r>
    <s v="US-2016-131149"/>
    <d v="2016-10-07T00:00:00"/>
    <x v="2"/>
    <x v="1"/>
    <x v="1077"/>
    <n v="154.24"/>
    <n v="4"/>
    <n v="17.352"/>
    <n v="0.11249999999999999"/>
    <n v="2016"/>
    <x v="9"/>
    <n v="10"/>
    <n v="38.56"/>
    <s v="Profit"/>
  </r>
  <r>
    <s v="CA-2016-134222"/>
    <d v="2016-10-07T00:00:00"/>
    <x v="1"/>
    <x v="1"/>
    <x v="1166"/>
    <n v="44.856000000000002"/>
    <n v="6"/>
    <n v="-35.884799999999998"/>
    <n v="-0.79999999999999993"/>
    <n v="2016"/>
    <x v="9"/>
    <n v="10"/>
    <n v="7.476"/>
    <s v="Loss"/>
  </r>
  <r>
    <s v="CA-2016-164924"/>
    <d v="2016-10-07T00:00:00"/>
    <x v="0"/>
    <x v="2"/>
    <x v="1256"/>
    <n v="341.99099999999999"/>
    <n v="3"/>
    <n v="-319.19159999999999"/>
    <n v="-0.93333333333333335"/>
    <n v="2016"/>
    <x v="9"/>
    <n v="10"/>
    <n v="113.997"/>
    <s v="Loss"/>
  </r>
  <r>
    <s v="US-2016-118780"/>
    <d v="2016-10-09T00:00:00"/>
    <x v="0"/>
    <x v="1"/>
    <x v="1257"/>
    <n v="59.48"/>
    <n v="2"/>
    <n v="8.9220000000000006"/>
    <n v="0.15000000000000002"/>
    <n v="2016"/>
    <x v="9"/>
    <n v="10"/>
    <n v="29.74"/>
    <s v="Profit"/>
  </r>
  <r>
    <s v="US-2016-118780"/>
    <d v="2016-10-09T00:00:00"/>
    <x v="0"/>
    <x v="1"/>
    <x v="743"/>
    <n v="6.69"/>
    <n v="1"/>
    <n v="3.0773999999999999"/>
    <n v="0.45999999999999996"/>
    <n v="2016"/>
    <x v="9"/>
    <n v="10"/>
    <n v="6.69"/>
    <s v="Profit"/>
  </r>
  <r>
    <s v="CA-2016-164350"/>
    <d v="2016-10-09T00:00:00"/>
    <x v="3"/>
    <x v="1"/>
    <x v="1112"/>
    <n v="67.56"/>
    <n v="3"/>
    <n v="8.4450000000000003"/>
    <n v="0.125"/>
    <n v="2016"/>
    <x v="9"/>
    <n v="10"/>
    <n v="22.52"/>
    <s v="Profit"/>
  </r>
  <r>
    <s v="CA-2016-146206"/>
    <d v="2016-10-09T00:00:00"/>
    <x v="2"/>
    <x v="0"/>
    <x v="479"/>
    <n v="300.93"/>
    <n v="5"/>
    <n v="-34.392000000000003"/>
    <n v="-0.1142857142857143"/>
    <n v="2016"/>
    <x v="9"/>
    <n v="10"/>
    <n v="60.186"/>
    <s v="Loss"/>
  </r>
  <r>
    <s v="CA-2016-146206"/>
    <d v="2016-10-09T00:00:00"/>
    <x v="2"/>
    <x v="2"/>
    <x v="1013"/>
    <n v="719.96"/>
    <n v="5"/>
    <n v="53.997"/>
    <n v="7.4999999999999997E-2"/>
    <n v="2016"/>
    <x v="9"/>
    <n v="10"/>
    <n v="143.99200000000002"/>
    <s v="Profit"/>
  </r>
  <r>
    <s v="CA-2016-112277"/>
    <d v="2016-10-09T00:00:00"/>
    <x v="3"/>
    <x v="2"/>
    <x v="445"/>
    <n v="519.67999999999995"/>
    <n v="7"/>
    <n v="58.463999999999999"/>
    <n v="0.1125"/>
    <n v="2016"/>
    <x v="9"/>
    <n v="10"/>
    <n v="74.239999999999995"/>
    <s v="Profit"/>
  </r>
  <r>
    <s v="CA-2016-165918"/>
    <d v="2016-10-09T00:00:00"/>
    <x v="1"/>
    <x v="1"/>
    <x v="1254"/>
    <n v="7.38"/>
    <n v="2"/>
    <n v="3.4685999999999999"/>
    <n v="0.47"/>
    <n v="2016"/>
    <x v="9"/>
    <n v="10"/>
    <n v="3.69"/>
    <s v="Profit"/>
  </r>
  <r>
    <s v="CA-2016-165918"/>
    <d v="2016-10-09T00:00:00"/>
    <x v="1"/>
    <x v="1"/>
    <x v="60"/>
    <n v="14.256"/>
    <n v="3"/>
    <n v="4.4550000000000001"/>
    <n v="0.3125"/>
    <n v="2016"/>
    <x v="9"/>
    <n v="10"/>
    <n v="4.7519999999999998"/>
    <s v="Profit"/>
  </r>
  <r>
    <s v="CA-2016-165918"/>
    <d v="2016-10-09T00:00:00"/>
    <x v="1"/>
    <x v="1"/>
    <x v="1258"/>
    <n v="81.98"/>
    <n v="2"/>
    <n v="40.170200000000001"/>
    <n v="0.49"/>
    <n v="2016"/>
    <x v="9"/>
    <n v="10"/>
    <n v="40.99"/>
    <s v="Profit"/>
  </r>
  <r>
    <s v="CA-2016-165918"/>
    <d v="2016-10-09T00:00:00"/>
    <x v="1"/>
    <x v="1"/>
    <x v="1259"/>
    <n v="39.624000000000002"/>
    <n v="3"/>
    <n v="13.868399999999999"/>
    <n v="0.35"/>
    <n v="2016"/>
    <x v="9"/>
    <n v="10"/>
    <n v="13.208"/>
    <s v="Profit"/>
  </r>
  <r>
    <s v="CA-2016-126102"/>
    <d v="2016-10-09T00:00:00"/>
    <x v="1"/>
    <x v="1"/>
    <x v="1000"/>
    <n v="276.78399999999999"/>
    <n v="2"/>
    <n v="89.954800000000006"/>
    <n v="0.32500000000000001"/>
    <n v="2016"/>
    <x v="9"/>
    <n v="10"/>
    <n v="138.392"/>
    <s v="Profit"/>
  </r>
  <r>
    <s v="US-2016-150357"/>
    <d v="2016-10-10T00:00:00"/>
    <x v="3"/>
    <x v="1"/>
    <x v="1260"/>
    <n v="20.608000000000001"/>
    <n v="2"/>
    <n v="-4.3792"/>
    <n v="-0.21249999999999999"/>
    <n v="2016"/>
    <x v="9"/>
    <n v="10"/>
    <n v="10.304"/>
    <s v="Loss"/>
  </r>
  <r>
    <s v="US-2016-150357"/>
    <d v="2016-10-10T00:00:00"/>
    <x v="3"/>
    <x v="1"/>
    <x v="387"/>
    <n v="4.0949999999999998"/>
    <n v="3"/>
    <n v="-2.73"/>
    <n v="-0.66666666666666674"/>
    <n v="2016"/>
    <x v="9"/>
    <n v="10"/>
    <n v="1.365"/>
    <s v="Loss"/>
  </r>
  <r>
    <s v="CA-2016-157707"/>
    <d v="2016-10-10T00:00:00"/>
    <x v="1"/>
    <x v="0"/>
    <x v="1261"/>
    <n v="90.882000000000005"/>
    <n v="3"/>
    <n v="-190.85220000000001"/>
    <n v="-2.1"/>
    <n v="2016"/>
    <x v="9"/>
    <n v="10"/>
    <n v="30.294"/>
    <s v="Loss"/>
  </r>
  <r>
    <s v="CA-2016-157707"/>
    <d v="2016-10-10T00:00:00"/>
    <x v="1"/>
    <x v="2"/>
    <x v="1262"/>
    <n v="15.992000000000001"/>
    <n v="1"/>
    <n v="-2.9984999999999999"/>
    <n v="-0.18749999999999997"/>
    <n v="2016"/>
    <x v="9"/>
    <n v="10"/>
    <n v="15.992000000000001"/>
    <s v="Loss"/>
  </r>
  <r>
    <s v="CA-2016-157707"/>
    <d v="2016-10-10T00:00:00"/>
    <x v="1"/>
    <x v="0"/>
    <x v="1263"/>
    <n v="120.78400000000001"/>
    <n v="1"/>
    <n v="13.588200000000001"/>
    <n v="0.1125"/>
    <n v="2016"/>
    <x v="9"/>
    <n v="10"/>
    <n v="120.78400000000001"/>
    <s v="Profit"/>
  </r>
  <r>
    <s v="CA-2016-126627"/>
    <d v="2016-10-10T00:00:00"/>
    <x v="2"/>
    <x v="0"/>
    <x v="1264"/>
    <n v="14"/>
    <n v="4"/>
    <n v="-6.3"/>
    <n v="-0.45"/>
    <n v="2016"/>
    <x v="9"/>
    <n v="10"/>
    <n v="3.5"/>
    <s v="Loss"/>
  </r>
  <r>
    <s v="CA-2016-126627"/>
    <d v="2016-10-10T00:00:00"/>
    <x v="2"/>
    <x v="1"/>
    <x v="801"/>
    <n v="16.391999999999999"/>
    <n v="2"/>
    <n v="-26.2272"/>
    <n v="-1.6"/>
    <n v="2016"/>
    <x v="9"/>
    <n v="10"/>
    <n v="8.1959999999999997"/>
    <s v="Loss"/>
  </r>
  <r>
    <s v="CA-2016-105494"/>
    <d v="2016-10-11T00:00:00"/>
    <x v="1"/>
    <x v="1"/>
    <x v="1265"/>
    <n v="155.82"/>
    <n v="7"/>
    <n v="42.071399999999997"/>
    <n v="0.27"/>
    <n v="2016"/>
    <x v="9"/>
    <n v="10"/>
    <n v="22.259999999999998"/>
    <s v="Profit"/>
  </r>
  <r>
    <s v="CA-2016-105494"/>
    <d v="2016-10-11T00:00:00"/>
    <x v="1"/>
    <x v="1"/>
    <x v="938"/>
    <n v="70.007999999999996"/>
    <n v="3"/>
    <n v="24.502800000000001"/>
    <n v="0.35000000000000003"/>
    <n v="2016"/>
    <x v="9"/>
    <n v="10"/>
    <n v="23.335999999999999"/>
    <s v="Profit"/>
  </r>
  <r>
    <s v="CA-2016-163384"/>
    <d v="2016-10-11T00:00:00"/>
    <x v="1"/>
    <x v="1"/>
    <x v="152"/>
    <n v="13.215999999999999"/>
    <n v="4"/>
    <n v="4.4603999999999999"/>
    <n v="0.33750000000000002"/>
    <n v="2016"/>
    <x v="9"/>
    <n v="10"/>
    <n v="3.3039999999999998"/>
    <s v="Profit"/>
  </r>
  <r>
    <s v="CA-2016-163384"/>
    <d v="2016-10-11T00:00:00"/>
    <x v="1"/>
    <x v="1"/>
    <x v="187"/>
    <n v="32.4"/>
    <n v="5"/>
    <n v="15.552"/>
    <n v="0.48"/>
    <n v="2016"/>
    <x v="9"/>
    <n v="10"/>
    <n v="6.4799999999999995"/>
    <s v="Profit"/>
  </r>
  <r>
    <s v="CA-2016-137736"/>
    <d v="2016-10-11T00:00:00"/>
    <x v="3"/>
    <x v="1"/>
    <x v="950"/>
    <n v="41.86"/>
    <n v="7"/>
    <n v="10.465"/>
    <n v="0.25"/>
    <n v="2016"/>
    <x v="9"/>
    <n v="10"/>
    <n v="5.9799999999999995"/>
    <s v="Profit"/>
  </r>
  <r>
    <s v="CA-2016-115588"/>
    <d v="2016-10-11T00:00:00"/>
    <x v="0"/>
    <x v="1"/>
    <x v="118"/>
    <n v="14.72"/>
    <n v="5"/>
    <n v="-3.3119999999999998"/>
    <n v="-0.22499999999999998"/>
    <n v="2016"/>
    <x v="9"/>
    <n v="10"/>
    <n v="2.944"/>
    <s v="Loss"/>
  </r>
  <r>
    <s v="CA-2016-115588"/>
    <d v="2016-10-11T00:00:00"/>
    <x v="0"/>
    <x v="1"/>
    <x v="995"/>
    <n v="38.975999999999999"/>
    <n v="3"/>
    <n v="-2.4359999999999999"/>
    <n v="-6.25E-2"/>
    <n v="2016"/>
    <x v="9"/>
    <n v="10"/>
    <n v="12.991999999999999"/>
    <s v="Loss"/>
  </r>
  <r>
    <s v="CA-2016-145177"/>
    <d v="2016-10-11T00:00:00"/>
    <x v="0"/>
    <x v="1"/>
    <x v="696"/>
    <n v="9.2159999999999993"/>
    <n v="4"/>
    <n v="3.3408000000000002"/>
    <n v="0.36250000000000004"/>
    <n v="2016"/>
    <x v="9"/>
    <n v="10"/>
    <n v="2.3039999999999998"/>
    <s v="Profit"/>
  </r>
  <r>
    <s v="CA-2016-145177"/>
    <d v="2016-10-11T00:00:00"/>
    <x v="0"/>
    <x v="2"/>
    <x v="1266"/>
    <n v="41.957999999999998"/>
    <n v="7"/>
    <n v="-9.7902000000000005"/>
    <n v="-0.23333333333333336"/>
    <n v="2016"/>
    <x v="9"/>
    <n v="10"/>
    <n v="5.9939999999999998"/>
    <s v="Loss"/>
  </r>
  <r>
    <s v="CA-2016-145177"/>
    <d v="2016-10-11T00:00:00"/>
    <x v="0"/>
    <x v="1"/>
    <x v="1267"/>
    <n v="89.567999999999998"/>
    <n v="2"/>
    <n v="32.468400000000003"/>
    <n v="0.36250000000000004"/>
    <n v="2016"/>
    <x v="9"/>
    <n v="10"/>
    <n v="44.783999999999999"/>
    <s v="Profit"/>
  </r>
  <r>
    <s v="CA-2016-145177"/>
    <d v="2016-10-11T00:00:00"/>
    <x v="0"/>
    <x v="1"/>
    <x v="835"/>
    <n v="22.248000000000001"/>
    <n v="3"/>
    <n v="7.5087000000000002"/>
    <n v="0.33749999999999997"/>
    <n v="2016"/>
    <x v="9"/>
    <n v="10"/>
    <n v="7.4160000000000004"/>
    <s v="Profit"/>
  </r>
  <r>
    <s v="CA-2016-145177"/>
    <d v="2016-10-11T00:00:00"/>
    <x v="0"/>
    <x v="1"/>
    <x v="418"/>
    <n v="334.88"/>
    <n v="4"/>
    <n v="29.302"/>
    <n v="8.7499999999999994E-2"/>
    <n v="2016"/>
    <x v="9"/>
    <n v="10"/>
    <n v="83.72"/>
    <s v="Profit"/>
  </r>
  <r>
    <s v="CA-2016-145177"/>
    <d v="2016-10-11T00:00:00"/>
    <x v="0"/>
    <x v="0"/>
    <x v="1268"/>
    <n v="148.28800000000001"/>
    <n v="7"/>
    <n v="29.657599999999999"/>
    <n v="0.19999999999999998"/>
    <n v="2016"/>
    <x v="9"/>
    <n v="10"/>
    <n v="21.184000000000001"/>
    <s v="Profit"/>
  </r>
  <r>
    <s v="CA-2016-145177"/>
    <d v="2016-10-11T00:00:00"/>
    <x v="0"/>
    <x v="1"/>
    <x v="30"/>
    <n v="4.6239999999999997"/>
    <n v="1"/>
    <n v="1.6761999999999999"/>
    <n v="0.36249999999999999"/>
    <n v="2016"/>
    <x v="9"/>
    <n v="10"/>
    <n v="4.6239999999999997"/>
    <s v="Profit"/>
  </r>
  <r>
    <s v="CA-2016-145177"/>
    <d v="2016-10-11T00:00:00"/>
    <x v="0"/>
    <x v="2"/>
    <x v="1269"/>
    <n v="178.92"/>
    <n v="7"/>
    <n v="-29.0745"/>
    <n v="-0.16250000000000001"/>
    <n v="2016"/>
    <x v="9"/>
    <n v="10"/>
    <n v="25.56"/>
    <s v="Loss"/>
  </r>
  <r>
    <s v="CA-2016-145177"/>
    <d v="2016-10-11T00:00:00"/>
    <x v="0"/>
    <x v="1"/>
    <x v="903"/>
    <n v="69.888000000000005"/>
    <n v="7"/>
    <n v="-46.591999999999999"/>
    <n v="-0.66666666666666663"/>
    <n v="2016"/>
    <x v="9"/>
    <n v="10"/>
    <n v="9.984"/>
    <s v="Loss"/>
  </r>
  <r>
    <s v="US-2016-144547"/>
    <d v="2016-10-11T00:00:00"/>
    <x v="2"/>
    <x v="2"/>
    <x v="1270"/>
    <n v="279.94400000000002"/>
    <n v="7"/>
    <n v="48.990200000000002"/>
    <n v="0.17499999999999999"/>
    <n v="2016"/>
    <x v="9"/>
    <n v="10"/>
    <n v="39.992000000000004"/>
    <s v="Profit"/>
  </r>
  <r>
    <s v="CA-2016-119935"/>
    <d v="2016-10-11T00:00:00"/>
    <x v="2"/>
    <x v="0"/>
    <x v="1048"/>
    <n v="37.299999999999997"/>
    <n v="2"/>
    <n v="17.158000000000001"/>
    <n v="0.46000000000000008"/>
    <n v="2016"/>
    <x v="9"/>
    <n v="10"/>
    <n v="18.649999999999999"/>
    <s v="Profit"/>
  </r>
  <r>
    <s v="CA-2016-119935"/>
    <d v="2016-10-11T00:00:00"/>
    <x v="2"/>
    <x v="1"/>
    <x v="801"/>
    <n v="81.96"/>
    <n v="2"/>
    <n v="39.340800000000002"/>
    <n v="0.48000000000000004"/>
    <n v="2016"/>
    <x v="9"/>
    <n v="10"/>
    <n v="40.98"/>
    <s v="Profit"/>
  </r>
  <r>
    <s v="CA-2016-125164"/>
    <d v="2016-10-11T00:00:00"/>
    <x v="0"/>
    <x v="1"/>
    <x v="905"/>
    <n v="20.367999999999999"/>
    <n v="1"/>
    <n v="7.3834"/>
    <n v="0.36250000000000004"/>
    <n v="2016"/>
    <x v="9"/>
    <n v="10"/>
    <n v="20.367999999999999"/>
    <s v="Profit"/>
  </r>
  <r>
    <s v="CA-2016-125164"/>
    <d v="2016-10-11T00:00:00"/>
    <x v="0"/>
    <x v="1"/>
    <x v="521"/>
    <n v="49.847999999999999"/>
    <n v="3"/>
    <n v="16.823699999999999"/>
    <n v="0.33749999999999997"/>
    <n v="2016"/>
    <x v="9"/>
    <n v="10"/>
    <n v="16.616"/>
    <s v="Profit"/>
  </r>
  <r>
    <s v="CA-2016-158694"/>
    <d v="2016-10-11T00:00:00"/>
    <x v="1"/>
    <x v="1"/>
    <x v="1161"/>
    <n v="67.709999999999994"/>
    <n v="3"/>
    <n v="32.500799999999998"/>
    <n v="0.48000000000000004"/>
    <n v="2016"/>
    <x v="9"/>
    <n v="10"/>
    <n v="22.569999999999997"/>
    <s v="Profit"/>
  </r>
  <r>
    <s v="CA-2016-158694"/>
    <d v="2016-10-11T00:00:00"/>
    <x v="1"/>
    <x v="1"/>
    <x v="689"/>
    <n v="129.91999999999999"/>
    <n v="4"/>
    <n v="38.975999999999999"/>
    <n v="0.30000000000000004"/>
    <n v="2016"/>
    <x v="9"/>
    <n v="10"/>
    <n v="32.479999999999997"/>
    <s v="Profit"/>
  </r>
  <r>
    <s v="CA-2016-158694"/>
    <d v="2016-10-11T00:00:00"/>
    <x v="1"/>
    <x v="0"/>
    <x v="1271"/>
    <n v="467.46"/>
    <n v="9"/>
    <n v="191.65860000000001"/>
    <n v="0.41000000000000003"/>
    <n v="2016"/>
    <x v="9"/>
    <n v="10"/>
    <n v="51.94"/>
    <s v="Profit"/>
  </r>
  <r>
    <s v="CA-2016-158694"/>
    <d v="2016-10-11T00:00:00"/>
    <x v="1"/>
    <x v="1"/>
    <x v="1272"/>
    <n v="61.4"/>
    <n v="5"/>
    <n v="28.858000000000001"/>
    <n v="0.47000000000000003"/>
    <n v="2016"/>
    <x v="9"/>
    <n v="10"/>
    <n v="12.28"/>
    <s v="Profit"/>
  </r>
  <r>
    <s v="CA-2016-158694"/>
    <d v="2016-10-11T00:00:00"/>
    <x v="1"/>
    <x v="1"/>
    <x v="709"/>
    <n v="720.76"/>
    <n v="4"/>
    <n v="187.39760000000001"/>
    <n v="0.26"/>
    <n v="2016"/>
    <x v="9"/>
    <n v="10"/>
    <n v="180.19"/>
    <s v="Profit"/>
  </r>
  <r>
    <s v="CA-2016-158694"/>
    <d v="2016-10-11T00:00:00"/>
    <x v="1"/>
    <x v="1"/>
    <x v="1091"/>
    <n v="5.1840000000000002"/>
    <n v="3"/>
    <n v="1.8144"/>
    <n v="0.35"/>
    <n v="2016"/>
    <x v="9"/>
    <n v="10"/>
    <n v="1.728"/>
    <s v="Profit"/>
  </r>
  <r>
    <s v="CA-2016-158694"/>
    <d v="2016-10-11T00:00:00"/>
    <x v="1"/>
    <x v="1"/>
    <x v="1273"/>
    <n v="14.7"/>
    <n v="5"/>
    <n v="3.9689999999999999"/>
    <n v="0.27"/>
    <n v="2016"/>
    <x v="9"/>
    <n v="10"/>
    <n v="2.94"/>
    <s v="Profit"/>
  </r>
  <r>
    <s v="CA-2016-162348"/>
    <d v="2016-10-11T00:00:00"/>
    <x v="1"/>
    <x v="0"/>
    <x v="1274"/>
    <n v="9.98"/>
    <n v="1"/>
    <n v="2.7944"/>
    <n v="0.27999999999999997"/>
    <n v="2016"/>
    <x v="9"/>
    <n v="10"/>
    <n v="9.98"/>
    <s v="Profit"/>
  </r>
  <r>
    <s v="CA-2016-152940"/>
    <d v="2016-10-11T00:00:00"/>
    <x v="1"/>
    <x v="1"/>
    <x v="1257"/>
    <n v="29.74"/>
    <n v="1"/>
    <n v="4.4610000000000003"/>
    <n v="0.15000000000000002"/>
    <n v="2016"/>
    <x v="9"/>
    <n v="10"/>
    <n v="29.74"/>
    <s v="Profit"/>
  </r>
  <r>
    <s v="US-2016-136581"/>
    <d v="2016-10-11T00:00:00"/>
    <x v="0"/>
    <x v="1"/>
    <x v="460"/>
    <n v="31.103999999999999"/>
    <n v="6"/>
    <n v="10.8864"/>
    <n v="0.35000000000000003"/>
    <n v="2016"/>
    <x v="9"/>
    <n v="10"/>
    <n v="5.1840000000000002"/>
    <s v="Profit"/>
  </r>
  <r>
    <s v="CA-2016-140935"/>
    <d v="2016-10-11T00:00:00"/>
    <x v="2"/>
    <x v="2"/>
    <x v="1275"/>
    <n v="221.98"/>
    <n v="2"/>
    <n v="62.154400000000003"/>
    <n v="0.28000000000000003"/>
    <n v="2016"/>
    <x v="9"/>
    <n v="10"/>
    <n v="110.99"/>
    <s v="Profit"/>
  </r>
  <r>
    <s v="CA-2016-140935"/>
    <d v="2016-10-11T00:00:00"/>
    <x v="2"/>
    <x v="0"/>
    <x v="1276"/>
    <n v="341.96"/>
    <n v="2"/>
    <n v="54.7136"/>
    <n v="0.16"/>
    <n v="2016"/>
    <x v="9"/>
    <n v="10"/>
    <n v="170.98"/>
    <s v="Profit"/>
  </r>
  <r>
    <s v="CA-2016-127761"/>
    <d v="2016-10-11T00:00:00"/>
    <x v="0"/>
    <x v="1"/>
    <x v="387"/>
    <n v="3.64"/>
    <n v="1"/>
    <n v="1.365"/>
    <n v="0.375"/>
    <n v="2016"/>
    <x v="9"/>
    <n v="10"/>
    <n v="3.64"/>
    <s v="Profit"/>
  </r>
  <r>
    <s v="CA-2016-127761"/>
    <d v="2016-10-11T00:00:00"/>
    <x v="0"/>
    <x v="2"/>
    <x v="1277"/>
    <n v="881.93"/>
    <n v="7"/>
    <n v="220.48249999999999"/>
    <n v="0.25"/>
    <n v="2016"/>
    <x v="9"/>
    <n v="10"/>
    <n v="125.99"/>
    <s v="Profit"/>
  </r>
  <r>
    <s v="CA-2016-154739"/>
    <d v="2016-10-12T00:00:00"/>
    <x v="1"/>
    <x v="0"/>
    <x v="1044"/>
    <n v="321.56799999999998"/>
    <n v="2"/>
    <n v="28.1372"/>
    <n v="8.7500000000000008E-2"/>
    <n v="2016"/>
    <x v="9"/>
    <n v="10"/>
    <n v="160.78399999999999"/>
    <s v="Profit"/>
  </r>
  <r>
    <s v="CA-2016-146941"/>
    <d v="2016-10-12T00:00:00"/>
    <x v="0"/>
    <x v="1"/>
    <x v="1278"/>
    <n v="80.58"/>
    <n v="6"/>
    <n v="22.5624"/>
    <n v="0.28000000000000003"/>
    <n v="2016"/>
    <x v="9"/>
    <n v="10"/>
    <n v="13.43"/>
    <s v="Profit"/>
  </r>
  <r>
    <s v="CA-2016-146941"/>
    <d v="2016-10-12T00:00:00"/>
    <x v="0"/>
    <x v="1"/>
    <x v="1279"/>
    <n v="361.92"/>
    <n v="4"/>
    <n v="162.864"/>
    <n v="0.45"/>
    <n v="2016"/>
    <x v="9"/>
    <n v="10"/>
    <n v="90.48"/>
    <s v="Profit"/>
  </r>
  <r>
    <s v="CA-2016-128412"/>
    <d v="2016-10-12T00:00:00"/>
    <x v="1"/>
    <x v="1"/>
    <x v="1280"/>
    <n v="153.55199999999999"/>
    <n v="3"/>
    <n v="51.823799999999999"/>
    <n v="0.33750000000000002"/>
    <n v="2016"/>
    <x v="9"/>
    <n v="10"/>
    <n v="51.183999999999997"/>
    <s v="Profit"/>
  </r>
  <r>
    <s v="CA-2016-128412"/>
    <d v="2016-10-12T00:00:00"/>
    <x v="1"/>
    <x v="1"/>
    <x v="1281"/>
    <n v="65.34"/>
    <n v="3"/>
    <n v="22.869"/>
    <n v="0.35"/>
    <n v="2016"/>
    <x v="9"/>
    <n v="10"/>
    <n v="21.78"/>
    <s v="Profit"/>
  </r>
  <r>
    <s v="CA-2016-128412"/>
    <d v="2016-10-12T00:00:00"/>
    <x v="1"/>
    <x v="1"/>
    <x v="1282"/>
    <n v="123.92"/>
    <n v="4"/>
    <n v="55.764000000000003"/>
    <n v="0.45"/>
    <n v="2016"/>
    <x v="9"/>
    <n v="10"/>
    <n v="30.98"/>
    <s v="Profit"/>
  </r>
  <r>
    <s v="CA-2016-128412"/>
    <d v="2016-10-12T00:00:00"/>
    <x v="1"/>
    <x v="1"/>
    <x v="114"/>
    <n v="35.1"/>
    <n v="3"/>
    <n v="12.285"/>
    <n v="0.35"/>
    <n v="2016"/>
    <x v="9"/>
    <n v="10"/>
    <n v="11.700000000000001"/>
    <s v="Profit"/>
  </r>
  <r>
    <s v="CA-2016-128412"/>
    <d v="2016-10-12T00:00:00"/>
    <x v="1"/>
    <x v="2"/>
    <x v="272"/>
    <n v="44.75"/>
    <n v="5"/>
    <n v="8.5024999999999995"/>
    <n v="0.19"/>
    <n v="2016"/>
    <x v="9"/>
    <n v="10"/>
    <n v="8.9499999999999993"/>
    <s v="Profit"/>
  </r>
  <r>
    <s v="US-2016-143448"/>
    <d v="2016-10-12T00:00:00"/>
    <x v="2"/>
    <x v="0"/>
    <x v="100"/>
    <n v="1424.9"/>
    <n v="5"/>
    <n v="356.22500000000002"/>
    <n v="0.25"/>
    <n v="2016"/>
    <x v="9"/>
    <n v="10"/>
    <n v="284.98"/>
    <s v="Profit"/>
  </r>
  <r>
    <s v="CA-2016-147123"/>
    <d v="2016-10-12T00:00:00"/>
    <x v="1"/>
    <x v="1"/>
    <x v="743"/>
    <n v="80.28"/>
    <n v="12"/>
    <n v="36.928800000000003"/>
    <n v="0.46"/>
    <n v="2016"/>
    <x v="9"/>
    <n v="10"/>
    <n v="6.69"/>
    <s v="Profit"/>
  </r>
  <r>
    <s v="CA-2016-144309"/>
    <d v="2016-10-12T00:00:00"/>
    <x v="0"/>
    <x v="1"/>
    <x v="835"/>
    <n v="18.54"/>
    <n v="2"/>
    <n v="8.7138000000000009"/>
    <n v="0.47000000000000008"/>
    <n v="2016"/>
    <x v="9"/>
    <n v="10"/>
    <n v="9.27"/>
    <s v="Profit"/>
  </r>
  <r>
    <s v="CA-2016-144309"/>
    <d v="2016-10-12T00:00:00"/>
    <x v="0"/>
    <x v="1"/>
    <x v="40"/>
    <n v="679.96"/>
    <n v="5"/>
    <n v="220.98699999999999"/>
    <n v="0.32499999999999996"/>
    <n v="2016"/>
    <x v="9"/>
    <n v="10"/>
    <n v="135.99200000000002"/>
    <s v="Profit"/>
  </r>
  <r>
    <s v="CA-2016-127194"/>
    <d v="2016-10-12T00:00:00"/>
    <x v="0"/>
    <x v="1"/>
    <x v="1283"/>
    <n v="62.82"/>
    <n v="9"/>
    <n v="29.525400000000001"/>
    <n v="0.47000000000000003"/>
    <n v="2016"/>
    <x v="9"/>
    <n v="10"/>
    <n v="6.98"/>
    <s v="Profit"/>
  </r>
  <r>
    <s v="CA-2016-100587"/>
    <d v="2016-10-12T00:00:00"/>
    <x v="0"/>
    <x v="1"/>
    <x v="1284"/>
    <n v="6.48"/>
    <n v="1"/>
    <n v="3.1103999999999998"/>
    <n v="0.47999999999999993"/>
    <n v="2016"/>
    <x v="9"/>
    <n v="10"/>
    <n v="6.48"/>
    <s v="Profit"/>
  </r>
  <r>
    <s v="CA-2016-126529"/>
    <d v="2016-11-01T00:00:00"/>
    <x v="0"/>
    <x v="1"/>
    <x v="253"/>
    <n v="15.552"/>
    <n v="3"/>
    <n v="5.4432"/>
    <n v="0.35000000000000003"/>
    <n v="2016"/>
    <x v="10"/>
    <n v="11"/>
    <n v="5.1840000000000002"/>
    <s v="Profit"/>
  </r>
  <r>
    <s v="CA-2016-126529"/>
    <d v="2016-11-01T00:00:00"/>
    <x v="0"/>
    <x v="1"/>
    <x v="837"/>
    <n v="63.311999999999998"/>
    <n v="3"/>
    <n v="20.5764"/>
    <n v="0.32500000000000001"/>
    <n v="2016"/>
    <x v="10"/>
    <n v="11"/>
    <n v="21.103999999999999"/>
    <s v="Profit"/>
  </r>
  <r>
    <s v="CA-2016-126529"/>
    <d v="2016-11-01T00:00:00"/>
    <x v="0"/>
    <x v="2"/>
    <x v="500"/>
    <n v="15.587999999999999"/>
    <n v="2"/>
    <n v="-9.8724000000000007"/>
    <n v="-0.63333333333333341"/>
    <n v="2016"/>
    <x v="10"/>
    <n v="11"/>
    <n v="7.7939999999999996"/>
    <s v="Loss"/>
  </r>
  <r>
    <s v="CA-2016-141887"/>
    <d v="2016-11-01T00:00:00"/>
    <x v="0"/>
    <x v="0"/>
    <x v="1285"/>
    <n v="54.991999999999997"/>
    <n v="14"/>
    <n v="8.9361999999999995"/>
    <n v="0.16250000000000001"/>
    <n v="2016"/>
    <x v="10"/>
    <n v="11"/>
    <n v="3.9279999999999999"/>
    <s v="Profit"/>
  </r>
  <r>
    <s v="CA-2016-164938"/>
    <d v="2016-11-02T00:00:00"/>
    <x v="2"/>
    <x v="2"/>
    <x v="17"/>
    <n v="69.930000000000007"/>
    <n v="7"/>
    <n v="0.69930000000000003"/>
    <n v="0.01"/>
    <n v="2016"/>
    <x v="10"/>
    <n v="11"/>
    <n v="9.99"/>
    <s v="Profit"/>
  </r>
  <r>
    <s v="CA-2016-118255"/>
    <d v="2016-11-03T00:00:00"/>
    <x v="2"/>
    <x v="2"/>
    <x v="395"/>
    <n v="45.98"/>
    <n v="2"/>
    <n v="19.7714"/>
    <n v="0.43000000000000005"/>
    <n v="2016"/>
    <x v="10"/>
    <n v="11"/>
    <n v="22.99"/>
    <s v="Profit"/>
  </r>
  <r>
    <s v="CA-2016-118255"/>
    <d v="2016-11-03T00:00:00"/>
    <x v="2"/>
    <x v="1"/>
    <x v="119"/>
    <n v="17.46"/>
    <n v="2"/>
    <n v="8.2062000000000008"/>
    <n v="0.47000000000000003"/>
    <n v="2016"/>
    <x v="10"/>
    <n v="11"/>
    <n v="8.73"/>
    <s v="Profit"/>
  </r>
  <r>
    <s v="US-2016-128902"/>
    <d v="2016-11-03T00:00:00"/>
    <x v="0"/>
    <x v="0"/>
    <x v="341"/>
    <n v="244.006"/>
    <n v="2"/>
    <n v="-31.372199999999999"/>
    <n v="-0.12857142857142856"/>
    <n v="2016"/>
    <x v="10"/>
    <n v="11"/>
    <n v="122.003"/>
    <s v="Loss"/>
  </r>
  <r>
    <s v="CA-2016-146171"/>
    <d v="2016-11-03T00:00:00"/>
    <x v="3"/>
    <x v="0"/>
    <x v="1172"/>
    <n v="76.92"/>
    <n v="4"/>
    <n v="31.537199999999999"/>
    <n v="0.41"/>
    <n v="2016"/>
    <x v="10"/>
    <n v="11"/>
    <n v="19.23"/>
    <s v="Profit"/>
  </r>
  <r>
    <s v="CA-2016-146171"/>
    <d v="2016-11-03T00:00:00"/>
    <x v="3"/>
    <x v="1"/>
    <x v="1286"/>
    <n v="481.32"/>
    <n v="4"/>
    <n v="125.14319999999999"/>
    <n v="0.26"/>
    <n v="2016"/>
    <x v="10"/>
    <n v="11"/>
    <n v="120.33"/>
    <s v="Profit"/>
  </r>
  <r>
    <s v="CA-2016-122511"/>
    <d v="2016-11-03T00:00:00"/>
    <x v="0"/>
    <x v="0"/>
    <x v="1287"/>
    <n v="30.335999999999999"/>
    <n v="4"/>
    <n v="9.48"/>
    <n v="0.31250000000000006"/>
    <n v="2016"/>
    <x v="10"/>
    <n v="11"/>
    <n v="7.5839999999999996"/>
    <s v="Profit"/>
  </r>
  <r>
    <s v="CA-2016-162733"/>
    <d v="2016-11-05T00:00:00"/>
    <x v="1"/>
    <x v="1"/>
    <x v="1203"/>
    <n v="5.98"/>
    <n v="1"/>
    <n v="2.6909999999999998"/>
    <n v="0.44999999999999996"/>
    <n v="2016"/>
    <x v="10"/>
    <n v="11"/>
    <n v="5.98"/>
    <s v="Profit"/>
  </r>
  <r>
    <s v="CA-2016-169922"/>
    <d v="2016-11-06T00:00:00"/>
    <x v="2"/>
    <x v="1"/>
    <x v="1106"/>
    <n v="1.3440000000000001"/>
    <n v="4"/>
    <n v="-2.1503999999999999"/>
    <n v="-1.5999999999999999"/>
    <n v="2016"/>
    <x v="10"/>
    <n v="11"/>
    <n v="0.33600000000000002"/>
    <s v="Loss"/>
  </r>
  <r>
    <s v="CA-2016-169922"/>
    <d v="2016-11-06T00:00:00"/>
    <x v="2"/>
    <x v="1"/>
    <x v="496"/>
    <n v="8.2720000000000002"/>
    <n v="4"/>
    <n v="-13.6488"/>
    <n v="-1.65"/>
    <n v="2016"/>
    <x v="10"/>
    <n v="11"/>
    <n v="2.0680000000000001"/>
    <s v="Loss"/>
  </r>
  <r>
    <s v="CA-2016-169922"/>
    <d v="2016-11-06T00:00:00"/>
    <x v="2"/>
    <x v="0"/>
    <x v="1288"/>
    <n v="12.544"/>
    <n v="7"/>
    <n v="-9.0944000000000003"/>
    <n v="-0.72499999999999998"/>
    <n v="2016"/>
    <x v="10"/>
    <n v="11"/>
    <n v="1.792"/>
    <s v="Loss"/>
  </r>
  <r>
    <s v="CA-2016-127775"/>
    <d v="2016-11-06T00:00:00"/>
    <x v="0"/>
    <x v="2"/>
    <x v="687"/>
    <n v="239.97"/>
    <n v="3"/>
    <n v="71.991"/>
    <n v="0.3"/>
    <n v="2016"/>
    <x v="10"/>
    <n v="11"/>
    <n v="79.989999999999995"/>
    <s v="Profit"/>
  </r>
  <r>
    <s v="CA-2016-142405"/>
    <d v="2016-11-06T00:00:00"/>
    <x v="1"/>
    <x v="1"/>
    <x v="1027"/>
    <n v="14.62"/>
    <n v="2"/>
    <n v="6.8714000000000004"/>
    <n v="0.47000000000000003"/>
    <n v="2016"/>
    <x v="10"/>
    <n v="11"/>
    <n v="7.31"/>
    <s v="Profit"/>
  </r>
  <r>
    <s v="CA-2016-142405"/>
    <d v="2016-11-06T00:00:00"/>
    <x v="1"/>
    <x v="1"/>
    <x v="503"/>
    <n v="53.984000000000002"/>
    <n v="14"/>
    <n v="17.544799999999999"/>
    <n v="0.32499999999999996"/>
    <n v="2016"/>
    <x v="10"/>
    <n v="11"/>
    <n v="3.8560000000000003"/>
    <s v="Profit"/>
  </r>
  <r>
    <s v="CA-2016-142405"/>
    <d v="2016-11-06T00:00:00"/>
    <x v="1"/>
    <x v="2"/>
    <x v="1289"/>
    <n v="389.97"/>
    <n v="3"/>
    <n v="132.5898"/>
    <n v="0.33999999999999997"/>
    <n v="2016"/>
    <x v="10"/>
    <n v="11"/>
    <n v="129.99"/>
    <s v="Profit"/>
  </r>
  <r>
    <s v="CA-2016-118745"/>
    <d v="2016-11-06T00:00:00"/>
    <x v="1"/>
    <x v="0"/>
    <x v="377"/>
    <n v="902.71199999999999"/>
    <n v="3"/>
    <n v="33.851700000000001"/>
    <n v="3.7499999999999999E-2"/>
    <n v="2016"/>
    <x v="10"/>
    <n v="11"/>
    <n v="300.904"/>
    <s v="Profit"/>
  </r>
  <r>
    <s v="CA-2016-128671"/>
    <d v="2016-11-08T00:00:00"/>
    <x v="2"/>
    <x v="1"/>
    <x v="484"/>
    <n v="32.4"/>
    <n v="5"/>
    <n v="15.552"/>
    <n v="0.48"/>
    <n v="2016"/>
    <x v="10"/>
    <n v="11"/>
    <n v="6.4799999999999995"/>
    <s v="Profit"/>
  </r>
  <r>
    <s v="CA-2016-128671"/>
    <d v="2016-11-08T00:00:00"/>
    <x v="2"/>
    <x v="1"/>
    <x v="934"/>
    <n v="41.86"/>
    <n v="7"/>
    <n v="19.255600000000001"/>
    <n v="0.46"/>
    <n v="2016"/>
    <x v="10"/>
    <n v="11"/>
    <n v="5.9799999999999995"/>
    <s v="Profit"/>
  </r>
  <r>
    <s v="CA-2016-128671"/>
    <d v="2016-11-08T00:00:00"/>
    <x v="2"/>
    <x v="1"/>
    <x v="1290"/>
    <n v="77.56"/>
    <n v="2"/>
    <n v="35.677599999999998"/>
    <n v="0.45999999999999996"/>
    <n v="2016"/>
    <x v="10"/>
    <n v="11"/>
    <n v="38.78"/>
    <s v="Profit"/>
  </r>
  <r>
    <s v="CA-2016-145625"/>
    <d v="2016-11-09T00:00:00"/>
    <x v="1"/>
    <x v="1"/>
    <x v="763"/>
    <n v="7.61"/>
    <n v="1"/>
    <n v="3.5767000000000002"/>
    <n v="0.47000000000000003"/>
    <n v="2016"/>
    <x v="10"/>
    <n v="11"/>
    <n v="7.61"/>
    <s v="Profit"/>
  </r>
  <r>
    <s v="CA-2016-145625"/>
    <d v="2016-11-09T00:00:00"/>
    <x v="1"/>
    <x v="2"/>
    <x v="276"/>
    <n v="3347.37"/>
    <n v="13"/>
    <n v="636.00030000000004"/>
    <n v="0.19000000000000003"/>
    <n v="2016"/>
    <x v="10"/>
    <n v="11"/>
    <n v="257.49"/>
    <s v="Profit"/>
  </r>
  <r>
    <s v="CA-2016-121223"/>
    <d v="2016-11-09T00:00:00"/>
    <x v="0"/>
    <x v="1"/>
    <x v="1291"/>
    <n v="8.4480000000000004"/>
    <n v="2"/>
    <n v="2.64"/>
    <n v="0.3125"/>
    <n v="2016"/>
    <x v="10"/>
    <n v="11"/>
    <n v="4.2240000000000002"/>
    <s v="Profit"/>
  </r>
  <r>
    <s v="CA-2016-121223"/>
    <d v="2016-11-09T00:00:00"/>
    <x v="0"/>
    <x v="2"/>
    <x v="1292"/>
    <n v="728.94600000000003"/>
    <n v="9"/>
    <n v="-157.9383"/>
    <n v="-0.21666666666666665"/>
    <n v="2016"/>
    <x v="10"/>
    <n v="11"/>
    <n v="80.994"/>
    <s v="Loss"/>
  </r>
  <r>
    <s v="CA-2016-164154"/>
    <d v="2016-11-09T00:00:00"/>
    <x v="0"/>
    <x v="1"/>
    <x v="1166"/>
    <n v="22.428000000000001"/>
    <n v="3"/>
    <n v="-17.942399999999999"/>
    <n v="-0.79999999999999993"/>
    <n v="2016"/>
    <x v="10"/>
    <n v="11"/>
    <n v="7.476"/>
    <s v="Loss"/>
  </r>
  <r>
    <s v="CA-2016-164154"/>
    <d v="2016-11-09T00:00:00"/>
    <x v="0"/>
    <x v="1"/>
    <x v="554"/>
    <n v="37.520000000000003"/>
    <n v="5"/>
    <n v="3.7519999999999998"/>
    <n v="9.9999999999999992E-2"/>
    <n v="2016"/>
    <x v="10"/>
    <n v="11"/>
    <n v="7.5040000000000004"/>
    <s v="Profit"/>
  </r>
  <r>
    <s v="CA-2016-102162"/>
    <d v="2016-11-09T00:00:00"/>
    <x v="3"/>
    <x v="2"/>
    <x v="655"/>
    <n v="1599.92"/>
    <n v="8"/>
    <n v="751.9624"/>
    <n v="0.47"/>
    <n v="2016"/>
    <x v="10"/>
    <n v="11"/>
    <n v="199.99"/>
    <s v="Profit"/>
  </r>
  <r>
    <s v="CA-2016-102162"/>
    <d v="2016-11-09T00:00:00"/>
    <x v="3"/>
    <x v="1"/>
    <x v="838"/>
    <n v="11.09"/>
    <n v="1"/>
    <n v="5.4340999999999999"/>
    <n v="0.49"/>
    <n v="2016"/>
    <x v="10"/>
    <n v="11"/>
    <n v="11.09"/>
    <s v="Profit"/>
  </r>
  <r>
    <s v="CA-2016-116561"/>
    <d v="2016-11-09T00:00:00"/>
    <x v="1"/>
    <x v="1"/>
    <x v="1293"/>
    <n v="332.94"/>
    <n v="3"/>
    <n v="6.6588000000000003"/>
    <n v="0.02"/>
    <n v="2016"/>
    <x v="10"/>
    <n v="11"/>
    <n v="110.98"/>
    <s v="Profit"/>
  </r>
  <r>
    <s v="CA-2016-116561"/>
    <d v="2016-11-09T00:00:00"/>
    <x v="1"/>
    <x v="1"/>
    <x v="1166"/>
    <n v="39.872"/>
    <n v="2"/>
    <n v="12.958399999999999"/>
    <n v="0.32499999999999996"/>
    <n v="2016"/>
    <x v="10"/>
    <n v="11"/>
    <n v="19.936"/>
    <s v="Profit"/>
  </r>
  <r>
    <s v="CA-2016-153157"/>
    <d v="2016-11-09T00:00:00"/>
    <x v="2"/>
    <x v="2"/>
    <x v="1007"/>
    <n v="224.75"/>
    <n v="5"/>
    <n v="62.93"/>
    <n v="0.27999999999999997"/>
    <n v="2016"/>
    <x v="10"/>
    <n v="11"/>
    <n v="44.95"/>
    <s v="Profit"/>
  </r>
  <r>
    <s v="CA-2016-150007"/>
    <d v="2016-11-09T00:00:00"/>
    <x v="2"/>
    <x v="1"/>
    <x v="1294"/>
    <n v="6"/>
    <n v="2"/>
    <n v="2.1"/>
    <n v="0.35000000000000003"/>
    <n v="2016"/>
    <x v="10"/>
    <n v="11"/>
    <n v="3"/>
    <s v="Profit"/>
  </r>
  <r>
    <s v="CA-2016-150007"/>
    <d v="2016-11-09T00:00:00"/>
    <x v="2"/>
    <x v="1"/>
    <x v="388"/>
    <n v="1.9079999999999999"/>
    <n v="3"/>
    <n v="-3.2435999999999998"/>
    <n v="-1.7"/>
    <n v="2016"/>
    <x v="10"/>
    <n v="11"/>
    <n v="0.63600000000000001"/>
    <s v="Loss"/>
  </r>
  <r>
    <s v="CA-2016-143476"/>
    <d v="2016-11-09T00:00:00"/>
    <x v="1"/>
    <x v="1"/>
    <x v="392"/>
    <n v="2.9119999999999999"/>
    <n v="2"/>
    <n v="0.91"/>
    <n v="0.3125"/>
    <n v="2016"/>
    <x v="10"/>
    <n v="11"/>
    <n v="1.456"/>
    <s v="Profit"/>
  </r>
  <r>
    <s v="CA-2016-143476"/>
    <d v="2016-11-09T00:00:00"/>
    <x v="1"/>
    <x v="1"/>
    <x v="1295"/>
    <n v="20.736000000000001"/>
    <n v="4"/>
    <n v="7.2576000000000001"/>
    <n v="0.35"/>
    <n v="2016"/>
    <x v="10"/>
    <n v="11"/>
    <n v="5.1840000000000002"/>
    <s v="Profit"/>
  </r>
  <r>
    <s v="CA-2016-143476"/>
    <d v="2016-11-09T00:00:00"/>
    <x v="1"/>
    <x v="1"/>
    <x v="1296"/>
    <n v="9.5679999999999996"/>
    <n v="2"/>
    <n v="2.99"/>
    <n v="0.31250000000000006"/>
    <n v="2016"/>
    <x v="10"/>
    <n v="11"/>
    <n v="4.7839999999999998"/>
    <s v="Profit"/>
  </r>
  <r>
    <s v="CA-2016-130225"/>
    <d v="2016-11-09T00:00:00"/>
    <x v="2"/>
    <x v="1"/>
    <x v="1100"/>
    <n v="99.567999999999998"/>
    <n v="2"/>
    <n v="33.604199999999999"/>
    <n v="0.33750000000000002"/>
    <n v="2016"/>
    <x v="10"/>
    <n v="11"/>
    <n v="49.783999999999999"/>
    <s v="Profit"/>
  </r>
  <r>
    <s v="CA-2016-113390"/>
    <d v="2016-11-10T00:00:00"/>
    <x v="2"/>
    <x v="1"/>
    <x v="1297"/>
    <n v="5.3440000000000003"/>
    <n v="2"/>
    <n v="0.66800000000000004"/>
    <n v="0.125"/>
    <n v="2016"/>
    <x v="10"/>
    <n v="11"/>
    <n v="2.6720000000000002"/>
    <s v="Profit"/>
  </r>
  <r>
    <s v="CA-2016-113390"/>
    <d v="2016-11-10T00:00:00"/>
    <x v="2"/>
    <x v="1"/>
    <x v="221"/>
    <n v="27.72"/>
    <n v="3"/>
    <n v="3.4649999999999999"/>
    <n v="0.125"/>
    <n v="2016"/>
    <x v="10"/>
    <n v="11"/>
    <n v="9.24"/>
    <s v="Profit"/>
  </r>
  <r>
    <s v="CA-2016-124667"/>
    <d v="2016-11-11T00:00:00"/>
    <x v="0"/>
    <x v="2"/>
    <x v="1298"/>
    <n v="59.97"/>
    <n v="3"/>
    <n v="14.9925"/>
    <n v="0.25"/>
    <n v="2016"/>
    <x v="10"/>
    <n v="11"/>
    <n v="19.989999999999998"/>
    <s v="Profit"/>
  </r>
  <r>
    <s v="CA-2016-124667"/>
    <d v="2016-11-11T00:00:00"/>
    <x v="0"/>
    <x v="1"/>
    <x v="1299"/>
    <n v="83.36"/>
    <n v="1"/>
    <n v="20.84"/>
    <n v="0.25"/>
    <n v="2016"/>
    <x v="10"/>
    <n v="11"/>
    <n v="83.36"/>
    <s v="Profit"/>
  </r>
  <r>
    <s v="CA-2016-124506"/>
    <d v="2016-11-11T00:00:00"/>
    <x v="2"/>
    <x v="2"/>
    <x v="1300"/>
    <n v="95.968000000000004"/>
    <n v="4"/>
    <n v="1.1996"/>
    <n v="1.2499999999999999E-2"/>
    <n v="2016"/>
    <x v="10"/>
    <n v="11"/>
    <n v="23.992000000000001"/>
    <s v="Profit"/>
  </r>
  <r>
    <s v="CA-2016-124506"/>
    <d v="2016-11-11T00:00:00"/>
    <x v="2"/>
    <x v="0"/>
    <x v="432"/>
    <n v="47.991999999999997"/>
    <n v="2"/>
    <n v="-2.0568"/>
    <n v="-4.2857142857142858E-2"/>
    <n v="2016"/>
    <x v="10"/>
    <n v="11"/>
    <n v="23.995999999999999"/>
    <s v="Loss"/>
  </r>
  <r>
    <s v="CA-2016-139878"/>
    <d v="2016-11-11T00:00:00"/>
    <x v="2"/>
    <x v="2"/>
    <x v="512"/>
    <n v="257.98"/>
    <n v="2"/>
    <n v="74.8142"/>
    <n v="0.28999999999999998"/>
    <n v="2016"/>
    <x v="10"/>
    <n v="11"/>
    <n v="128.99"/>
    <s v="Profit"/>
  </r>
  <r>
    <s v="CA-2016-130799"/>
    <d v="2016-11-11T00:00:00"/>
    <x v="1"/>
    <x v="0"/>
    <x v="1301"/>
    <n v="6.96"/>
    <n v="4"/>
    <n v="2.2271999999999998"/>
    <n v="0.32"/>
    <n v="2016"/>
    <x v="10"/>
    <n v="11"/>
    <n v="1.74"/>
    <s v="Profit"/>
  </r>
  <r>
    <s v="CA-2016-131968"/>
    <d v="2016-11-11T00:00:00"/>
    <x v="3"/>
    <x v="1"/>
    <x v="1230"/>
    <n v="9.8879999999999999"/>
    <n v="2"/>
    <n v="-6.9215999999999998"/>
    <n v="-0.7"/>
    <n v="2016"/>
    <x v="10"/>
    <n v="11"/>
    <n v="4.944"/>
    <s v="Loss"/>
  </r>
  <r>
    <s v="CA-2016-131968"/>
    <d v="2016-11-11T00:00:00"/>
    <x v="3"/>
    <x v="1"/>
    <x v="1302"/>
    <n v="671.54399999999998"/>
    <n v="3"/>
    <n v="50.3658"/>
    <n v="7.4999999999999997E-2"/>
    <n v="2016"/>
    <x v="10"/>
    <n v="11"/>
    <n v="223.84799999999998"/>
    <s v="Profit"/>
  </r>
  <r>
    <s v="CA-2016-145548"/>
    <d v="2016-11-11T00:00:00"/>
    <x v="0"/>
    <x v="1"/>
    <x v="554"/>
    <n v="28.14"/>
    <n v="3"/>
    <n v="7.8792"/>
    <n v="0.27999999999999997"/>
    <n v="2016"/>
    <x v="10"/>
    <n v="11"/>
    <n v="9.3800000000000008"/>
    <s v="Profit"/>
  </r>
  <r>
    <s v="CA-2016-145548"/>
    <d v="2016-11-11T00:00:00"/>
    <x v="0"/>
    <x v="2"/>
    <x v="662"/>
    <n v="36"/>
    <n v="2"/>
    <n v="6.48"/>
    <n v="0.18000000000000002"/>
    <n v="2016"/>
    <x v="10"/>
    <n v="11"/>
    <n v="18"/>
    <s v="Profit"/>
  </r>
  <r>
    <s v="CA-2016-145548"/>
    <d v="2016-11-11T00:00:00"/>
    <x v="0"/>
    <x v="1"/>
    <x v="1303"/>
    <n v="92.94"/>
    <n v="3"/>
    <n v="25.093800000000002"/>
    <n v="0.27"/>
    <n v="2016"/>
    <x v="10"/>
    <n v="11"/>
    <n v="30.98"/>
    <s v="Profit"/>
  </r>
  <r>
    <s v="CA-2016-145548"/>
    <d v="2016-11-11T00:00:00"/>
    <x v="0"/>
    <x v="0"/>
    <x v="20"/>
    <n v="245.64599999999999"/>
    <n v="3"/>
    <n v="8.1882000000000001"/>
    <n v="3.3333333333333333E-2"/>
    <n v="2016"/>
    <x v="10"/>
    <n v="11"/>
    <n v="81.881999999999991"/>
    <s v="Profit"/>
  </r>
  <r>
    <s v="CA-2016-145548"/>
    <d v="2016-11-11T00:00:00"/>
    <x v="0"/>
    <x v="1"/>
    <x v="851"/>
    <n v="55.008000000000003"/>
    <n v="3"/>
    <n v="17.190000000000001"/>
    <n v="0.3125"/>
    <n v="2016"/>
    <x v="10"/>
    <n v="11"/>
    <n v="18.336000000000002"/>
    <s v="Profit"/>
  </r>
  <r>
    <s v="CA-2016-145548"/>
    <d v="2016-11-11T00:00:00"/>
    <x v="0"/>
    <x v="1"/>
    <x v="752"/>
    <n v="35.231999999999999"/>
    <n v="3"/>
    <n v="11.4504"/>
    <n v="0.32500000000000001"/>
    <n v="2016"/>
    <x v="10"/>
    <n v="11"/>
    <n v="11.744"/>
    <s v="Profit"/>
  </r>
  <r>
    <s v="CA-2016-116722"/>
    <d v="2016-11-11T00:00:00"/>
    <x v="1"/>
    <x v="0"/>
    <x v="324"/>
    <n v="41.96"/>
    <n v="2"/>
    <n v="10.909599999999999"/>
    <n v="0.25999999999999995"/>
    <n v="2016"/>
    <x v="10"/>
    <n v="11"/>
    <n v="20.98"/>
    <s v="Profit"/>
  </r>
  <r>
    <s v="CA-2016-116722"/>
    <d v="2016-11-11T00:00:00"/>
    <x v="1"/>
    <x v="0"/>
    <x v="59"/>
    <n v="451.15199999999999"/>
    <n v="3"/>
    <n v="0"/>
    <n v="0"/>
    <n v="2016"/>
    <x v="10"/>
    <n v="11"/>
    <n v="150.38399999999999"/>
    <s v="Loss"/>
  </r>
  <r>
    <s v="CA-2016-116722"/>
    <d v="2016-11-11T00:00:00"/>
    <x v="1"/>
    <x v="1"/>
    <x v="1107"/>
    <n v="31.504000000000001"/>
    <n v="11"/>
    <n v="11.026400000000001"/>
    <n v="0.35000000000000003"/>
    <n v="2016"/>
    <x v="10"/>
    <n v="11"/>
    <n v="2.8640000000000003"/>
    <s v="Profit"/>
  </r>
  <r>
    <s v="US-2016-164196"/>
    <d v="2016-11-11T00:00:00"/>
    <x v="2"/>
    <x v="0"/>
    <x v="618"/>
    <n v="2678.94"/>
    <n v="6"/>
    <n v="241.1046"/>
    <n v="0.09"/>
    <n v="2016"/>
    <x v="10"/>
    <n v="11"/>
    <n v="446.49"/>
    <s v="Profit"/>
  </r>
  <r>
    <s v="CA-2016-103128"/>
    <d v="2016-11-11T00:00:00"/>
    <x v="2"/>
    <x v="1"/>
    <x v="1031"/>
    <n v="14.112"/>
    <n v="6"/>
    <n v="1.2347999999999999"/>
    <n v="8.7499999999999994E-2"/>
    <n v="2016"/>
    <x v="10"/>
    <n v="11"/>
    <n v="2.3519999999999999"/>
    <s v="Profit"/>
  </r>
  <r>
    <s v="CA-2016-105816"/>
    <d v="2016-11-12T00:00:00"/>
    <x v="0"/>
    <x v="1"/>
    <x v="1117"/>
    <n v="15.26"/>
    <n v="7"/>
    <n v="6.2565999999999997"/>
    <n v="0.41"/>
    <n v="2016"/>
    <x v="10"/>
    <n v="11"/>
    <n v="2.1800000000000002"/>
    <s v="Profit"/>
  </r>
  <r>
    <s v="CA-2016-105816"/>
    <d v="2016-11-12T00:00:00"/>
    <x v="0"/>
    <x v="2"/>
    <x v="1157"/>
    <n v="1029.95"/>
    <n v="5"/>
    <n v="298.68549999999999"/>
    <n v="0.28999999999999998"/>
    <n v="2016"/>
    <x v="10"/>
    <n v="11"/>
    <n v="205.99"/>
    <s v="Profit"/>
  </r>
  <r>
    <s v="US-2016-135720"/>
    <d v="2016-11-12T00:00:00"/>
    <x v="1"/>
    <x v="1"/>
    <x v="1304"/>
    <n v="243.38399999999999"/>
    <n v="3"/>
    <n v="-51.719099999999997"/>
    <n v="-0.21249999999999999"/>
    <n v="2016"/>
    <x v="10"/>
    <n v="11"/>
    <n v="81.128"/>
    <s v="Loss"/>
  </r>
  <r>
    <s v="US-2016-135720"/>
    <d v="2016-11-12T00:00:00"/>
    <x v="1"/>
    <x v="2"/>
    <x v="1305"/>
    <n v="119.8"/>
    <n v="5"/>
    <n v="29.95"/>
    <n v="0.25"/>
    <n v="2016"/>
    <x v="10"/>
    <n v="11"/>
    <n v="23.96"/>
    <s v="Profit"/>
  </r>
  <r>
    <s v="US-2016-135720"/>
    <d v="2016-11-12T00:00:00"/>
    <x v="1"/>
    <x v="2"/>
    <x v="1306"/>
    <n v="300.76799999999997"/>
    <n v="4"/>
    <n v="30.076799999999999"/>
    <n v="0.1"/>
    <n v="2016"/>
    <x v="10"/>
    <n v="11"/>
    <n v="75.191999999999993"/>
    <s v="Profit"/>
  </r>
  <r>
    <s v="CA-2016-160745"/>
    <d v="2016-11-12T00:00:00"/>
    <x v="1"/>
    <x v="0"/>
    <x v="1307"/>
    <n v="14.8"/>
    <n v="4"/>
    <n v="6.0679999999999996"/>
    <n v="0.41"/>
    <n v="2016"/>
    <x v="10"/>
    <n v="11"/>
    <n v="3.7"/>
    <s v="Profit"/>
  </r>
  <r>
    <s v="CA-2016-160745"/>
    <d v="2016-11-12T00:00:00"/>
    <x v="1"/>
    <x v="2"/>
    <x v="1308"/>
    <n v="302.37599999999998"/>
    <n v="3"/>
    <n v="22.6782"/>
    <n v="7.5000000000000011E-2"/>
    <n v="2016"/>
    <x v="10"/>
    <n v="11"/>
    <n v="100.79199999999999"/>
    <s v="Profit"/>
  </r>
  <r>
    <s v="CA-2016-160745"/>
    <d v="2016-11-12T00:00:00"/>
    <x v="1"/>
    <x v="2"/>
    <x v="1309"/>
    <n v="316"/>
    <n v="4"/>
    <n v="31.6"/>
    <n v="0.1"/>
    <n v="2016"/>
    <x v="10"/>
    <n v="11"/>
    <n v="79"/>
    <s v="Profit"/>
  </r>
  <r>
    <s v="US-2016-148803"/>
    <d v="2016-11-12T00:00:00"/>
    <x v="3"/>
    <x v="1"/>
    <x v="1310"/>
    <n v="85.224000000000004"/>
    <n v="3"/>
    <n v="7.4570999999999996"/>
    <n v="8.7499999999999994E-2"/>
    <n v="2016"/>
    <x v="10"/>
    <n v="11"/>
    <n v="28.408000000000001"/>
    <s v="Profit"/>
  </r>
  <r>
    <s v="US-2016-132857"/>
    <d v="2016-11-12T00:00:00"/>
    <x v="3"/>
    <x v="1"/>
    <x v="315"/>
    <n v="6.6719999999999997"/>
    <n v="3"/>
    <n v="1.6679999999999999"/>
    <n v="0.25"/>
    <n v="2016"/>
    <x v="10"/>
    <n v="11"/>
    <n v="2.2239999999999998"/>
    <s v="Profit"/>
  </r>
  <r>
    <s v="CA-2016-162187"/>
    <d v="2016-11-12T00:00:00"/>
    <x v="0"/>
    <x v="1"/>
    <x v="995"/>
    <n v="64.959999999999994"/>
    <n v="5"/>
    <n v="-4.0599999999999996"/>
    <n v="-6.25E-2"/>
    <n v="2016"/>
    <x v="10"/>
    <n v="11"/>
    <n v="12.991999999999999"/>
    <s v="Loss"/>
  </r>
  <r>
    <s v="CA-2016-162187"/>
    <d v="2016-11-12T00:00:00"/>
    <x v="0"/>
    <x v="1"/>
    <x v="361"/>
    <n v="13.52"/>
    <n v="2"/>
    <n v="1.69"/>
    <n v="0.125"/>
    <n v="2016"/>
    <x v="10"/>
    <n v="11"/>
    <n v="6.76"/>
    <s v="Profit"/>
  </r>
  <r>
    <s v="CA-2016-162187"/>
    <d v="2016-11-12T00:00:00"/>
    <x v="0"/>
    <x v="0"/>
    <x v="971"/>
    <n v="458.43"/>
    <n v="5"/>
    <n v="-137.529"/>
    <n v="-0.3"/>
    <n v="2016"/>
    <x v="10"/>
    <n v="11"/>
    <n v="91.686000000000007"/>
    <s v="Loss"/>
  </r>
  <r>
    <s v="CA-2016-162187"/>
    <d v="2016-11-12T00:00:00"/>
    <x v="0"/>
    <x v="1"/>
    <x v="61"/>
    <n v="387.13600000000002"/>
    <n v="4"/>
    <n v="24.196000000000002"/>
    <n v="6.25E-2"/>
    <n v="2016"/>
    <x v="10"/>
    <n v="11"/>
    <n v="96.784000000000006"/>
    <s v="Profit"/>
  </r>
  <r>
    <s v="CA-2016-162187"/>
    <d v="2016-11-12T00:00:00"/>
    <x v="0"/>
    <x v="0"/>
    <x v="1215"/>
    <n v="328.59"/>
    <n v="3"/>
    <n v="-147.8655"/>
    <n v="-0.45"/>
    <n v="2016"/>
    <x v="10"/>
    <n v="11"/>
    <n v="109.52999999999999"/>
    <s v="Loss"/>
  </r>
  <r>
    <s v="CA-2016-143609"/>
    <d v="2016-11-12T00:00:00"/>
    <x v="1"/>
    <x v="0"/>
    <x v="1311"/>
    <n v="403.92"/>
    <n v="5"/>
    <n v="25.245000000000001"/>
    <n v="6.25E-2"/>
    <n v="2016"/>
    <x v="10"/>
    <n v="11"/>
    <n v="80.784000000000006"/>
    <s v="Profit"/>
  </r>
  <r>
    <s v="CA-2016-165330"/>
    <d v="2016-11-12T00:00:00"/>
    <x v="1"/>
    <x v="1"/>
    <x v="1312"/>
    <n v="209.6"/>
    <n v="5"/>
    <n v="68.12"/>
    <n v="0.32500000000000001"/>
    <n v="2016"/>
    <x v="10"/>
    <n v="11"/>
    <n v="41.92"/>
    <s v="Profit"/>
  </r>
  <r>
    <s v="CA-2016-165330"/>
    <d v="2016-11-12T00:00:00"/>
    <x v="1"/>
    <x v="1"/>
    <x v="1313"/>
    <n v="23.32"/>
    <n v="2"/>
    <n v="6.0632000000000001"/>
    <n v="0.26"/>
    <n v="2016"/>
    <x v="10"/>
    <n v="11"/>
    <n v="11.66"/>
    <s v="Profit"/>
  </r>
  <r>
    <s v="CA-2016-165330"/>
    <d v="2016-11-12T00:00:00"/>
    <x v="1"/>
    <x v="1"/>
    <x v="441"/>
    <n v="30.98"/>
    <n v="1"/>
    <n v="13.941000000000001"/>
    <n v="0.45"/>
    <n v="2016"/>
    <x v="10"/>
    <n v="11"/>
    <n v="30.98"/>
    <s v="Profit"/>
  </r>
  <r>
    <s v="CA-2016-165330"/>
    <d v="2016-11-12T00:00:00"/>
    <x v="1"/>
    <x v="2"/>
    <x v="1131"/>
    <n v="119.96"/>
    <n v="4"/>
    <n v="25.191600000000001"/>
    <n v="0.21000000000000002"/>
    <n v="2016"/>
    <x v="10"/>
    <n v="11"/>
    <n v="29.99"/>
    <s v="Profit"/>
  </r>
  <r>
    <s v="CA-2016-165330"/>
    <d v="2016-11-12T00:00:00"/>
    <x v="1"/>
    <x v="0"/>
    <x v="20"/>
    <n v="363.92"/>
    <n v="5"/>
    <n v="-31.843"/>
    <n v="-8.7499999999999994E-2"/>
    <n v="2016"/>
    <x v="10"/>
    <n v="11"/>
    <n v="72.784000000000006"/>
    <s v="Loss"/>
  </r>
  <r>
    <s v="CA-2016-165330"/>
    <d v="2016-11-12T00:00:00"/>
    <x v="1"/>
    <x v="1"/>
    <x v="1120"/>
    <n v="35.808"/>
    <n v="3"/>
    <n v="11.19"/>
    <n v="0.3125"/>
    <n v="2016"/>
    <x v="10"/>
    <n v="11"/>
    <n v="11.936"/>
    <s v="Profit"/>
  </r>
  <r>
    <s v="CA-2016-165330"/>
    <d v="2016-11-12T00:00:00"/>
    <x v="1"/>
    <x v="1"/>
    <x v="401"/>
    <n v="122.688"/>
    <n v="9"/>
    <n v="39.873600000000003"/>
    <n v="0.32500000000000001"/>
    <n v="2016"/>
    <x v="10"/>
    <n v="11"/>
    <n v="13.632"/>
    <s v="Profit"/>
  </r>
  <r>
    <s v="CA-2016-165330"/>
    <d v="2016-11-12T00:00:00"/>
    <x v="1"/>
    <x v="0"/>
    <x v="1314"/>
    <n v="892.13599999999997"/>
    <n v="7"/>
    <n v="111.517"/>
    <n v="0.125"/>
    <n v="2016"/>
    <x v="10"/>
    <n v="11"/>
    <n v="127.44799999999999"/>
    <s v="Profit"/>
  </r>
  <r>
    <s v="CA-2016-165330"/>
    <d v="2016-11-12T00:00:00"/>
    <x v="1"/>
    <x v="1"/>
    <x v="705"/>
    <n v="50.22"/>
    <n v="3"/>
    <n v="2.0087999999999999"/>
    <n v="0.04"/>
    <n v="2016"/>
    <x v="10"/>
    <n v="11"/>
    <n v="16.739999999999998"/>
    <s v="Profit"/>
  </r>
  <r>
    <s v="CA-2016-165330"/>
    <d v="2016-11-12T00:00:00"/>
    <x v="1"/>
    <x v="1"/>
    <x v="1315"/>
    <n v="83.42"/>
    <n v="2"/>
    <n v="24.191800000000001"/>
    <n v="0.28999999999999998"/>
    <n v="2016"/>
    <x v="10"/>
    <n v="11"/>
    <n v="41.71"/>
    <s v="Profit"/>
  </r>
  <r>
    <s v="CA-2016-165330"/>
    <d v="2016-11-12T00:00:00"/>
    <x v="1"/>
    <x v="1"/>
    <x v="382"/>
    <n v="5.8719999999999999"/>
    <n v="2"/>
    <n v="2.1286"/>
    <n v="0.36249999999999999"/>
    <n v="2016"/>
    <x v="10"/>
    <n v="11"/>
    <n v="2.9359999999999999"/>
    <s v="Profit"/>
  </r>
  <r>
    <s v="US-2016-151260"/>
    <d v="2016-11-12T00:00:00"/>
    <x v="0"/>
    <x v="1"/>
    <x v="943"/>
    <n v="73.536000000000001"/>
    <n v="4"/>
    <n v="9.1920000000000002"/>
    <n v="0.125"/>
    <n v="2016"/>
    <x v="10"/>
    <n v="11"/>
    <n v="18.384"/>
    <s v="Profit"/>
  </r>
  <r>
    <s v="CA-2016-110492"/>
    <d v="2016-12-02T00:00:00"/>
    <x v="3"/>
    <x v="1"/>
    <x v="184"/>
    <n v="1350.12"/>
    <n v="6"/>
    <n v="175.51560000000001"/>
    <n v="0.13"/>
    <n v="2016"/>
    <x v="11"/>
    <n v="12"/>
    <n v="225.01999999999998"/>
    <s v="Profit"/>
  </r>
  <r>
    <s v="CA-2016-110492"/>
    <d v="2016-12-02T00:00:00"/>
    <x v="3"/>
    <x v="1"/>
    <x v="71"/>
    <n v="15.92"/>
    <n v="4"/>
    <n v="7.4824000000000002"/>
    <n v="0.47000000000000003"/>
    <n v="2016"/>
    <x v="11"/>
    <n v="12"/>
    <n v="3.98"/>
    <s v="Profit"/>
  </r>
  <r>
    <s v="CA-2016-115504"/>
    <d v="2016-12-03T00:00:00"/>
    <x v="3"/>
    <x v="1"/>
    <x v="1316"/>
    <n v="12.96"/>
    <n v="2"/>
    <n v="6.2207999999999997"/>
    <n v="0.47999999999999993"/>
    <n v="2016"/>
    <x v="11"/>
    <n v="12"/>
    <n v="6.48"/>
    <s v="Profit"/>
  </r>
  <r>
    <s v="CA-2016-119683"/>
    <d v="2016-12-03T00:00:00"/>
    <x v="0"/>
    <x v="1"/>
    <x v="11"/>
    <n v="29.34"/>
    <n v="3"/>
    <n v="13.4964"/>
    <n v="0.45999999999999996"/>
    <n v="2016"/>
    <x v="11"/>
    <n v="12"/>
    <n v="9.7799999999999994"/>
    <s v="Profit"/>
  </r>
  <r>
    <s v="CA-2016-127138"/>
    <d v="2016-12-03T00:00:00"/>
    <x v="1"/>
    <x v="1"/>
    <x v="33"/>
    <n v="676.55"/>
    <n v="5"/>
    <n v="6.7655000000000003"/>
    <n v="1.0000000000000002E-2"/>
    <n v="2016"/>
    <x v="11"/>
    <n v="12"/>
    <n v="135.31"/>
    <s v="Profit"/>
  </r>
  <r>
    <s v="CA-2016-127138"/>
    <d v="2016-12-03T00:00:00"/>
    <x v="1"/>
    <x v="1"/>
    <x v="1317"/>
    <n v="154.9"/>
    <n v="5"/>
    <n v="40.274000000000001"/>
    <n v="0.26"/>
    <n v="2016"/>
    <x v="11"/>
    <n v="12"/>
    <n v="30.98"/>
    <s v="Profit"/>
  </r>
  <r>
    <s v="CA-2016-127138"/>
    <d v="2016-12-03T00:00:00"/>
    <x v="1"/>
    <x v="1"/>
    <x v="1318"/>
    <n v="30.56"/>
    <n v="4"/>
    <n v="14.974399999999999"/>
    <n v="0.49"/>
    <n v="2016"/>
    <x v="11"/>
    <n v="12"/>
    <n v="7.64"/>
    <s v="Profit"/>
  </r>
  <r>
    <s v="CA-2016-127138"/>
    <d v="2016-12-03T00:00:00"/>
    <x v="1"/>
    <x v="0"/>
    <x v="34"/>
    <n v="770.35199999999998"/>
    <n v="3"/>
    <n v="77.035200000000003"/>
    <n v="0.1"/>
    <n v="2016"/>
    <x v="11"/>
    <n v="12"/>
    <n v="256.78399999999999"/>
    <s v="Profit"/>
  </r>
  <r>
    <s v="US-2016-119270"/>
    <d v="2016-12-03T00:00:00"/>
    <x v="1"/>
    <x v="1"/>
    <x v="1319"/>
    <n v="19.98"/>
    <n v="2"/>
    <n v="8.9909999999999997"/>
    <n v="0.44999999999999996"/>
    <n v="2016"/>
    <x v="11"/>
    <n v="12"/>
    <n v="9.99"/>
    <s v="Profit"/>
  </r>
  <r>
    <s v="CA-2016-112102"/>
    <d v="2016-12-04T00:00:00"/>
    <x v="3"/>
    <x v="0"/>
    <x v="479"/>
    <n v="343.92"/>
    <n v="4"/>
    <n v="75.662400000000005"/>
    <n v="0.22"/>
    <n v="2016"/>
    <x v="11"/>
    <n v="12"/>
    <n v="85.98"/>
    <s v="Profit"/>
  </r>
  <r>
    <s v="CA-2016-112102"/>
    <d v="2016-12-04T00:00:00"/>
    <x v="3"/>
    <x v="1"/>
    <x v="1258"/>
    <n v="40.99"/>
    <n v="1"/>
    <n v="20.085100000000001"/>
    <n v="0.49"/>
    <n v="2016"/>
    <x v="11"/>
    <n v="12"/>
    <n v="40.99"/>
    <s v="Profit"/>
  </r>
  <r>
    <s v="CA-2016-112102"/>
    <d v="2016-12-04T00:00:00"/>
    <x v="3"/>
    <x v="1"/>
    <x v="951"/>
    <n v="63.9"/>
    <n v="5"/>
    <n v="28.754999999999999"/>
    <n v="0.45"/>
    <n v="2016"/>
    <x v="11"/>
    <n v="12"/>
    <n v="12.78"/>
    <s v="Profit"/>
  </r>
  <r>
    <s v="CA-2016-142398"/>
    <d v="2016-12-04T00:00:00"/>
    <x v="1"/>
    <x v="0"/>
    <x v="790"/>
    <n v="638.28800000000001"/>
    <n v="7"/>
    <n v="-31.914400000000001"/>
    <n v="-0.05"/>
    <n v="2016"/>
    <x v="11"/>
    <n v="12"/>
    <n v="91.183999999999997"/>
    <s v="Loss"/>
  </r>
  <r>
    <s v="CA-2016-142398"/>
    <d v="2016-12-04T00:00:00"/>
    <x v="1"/>
    <x v="1"/>
    <x v="1259"/>
    <n v="13.208"/>
    <n v="1"/>
    <n v="4.6227999999999998"/>
    <n v="0.35"/>
    <n v="2016"/>
    <x v="11"/>
    <n v="12"/>
    <n v="13.208"/>
    <s v="Profit"/>
  </r>
  <r>
    <s v="CA-2016-163594"/>
    <d v="2016-12-04T00:00:00"/>
    <x v="1"/>
    <x v="1"/>
    <x v="277"/>
    <n v="19.440000000000001"/>
    <n v="3"/>
    <n v="9.3312000000000008"/>
    <n v="0.48000000000000004"/>
    <n v="2016"/>
    <x v="11"/>
    <n v="12"/>
    <n v="6.48"/>
    <s v="Profit"/>
  </r>
  <r>
    <s v="CA-2016-163594"/>
    <d v="2016-12-04T00:00:00"/>
    <x v="1"/>
    <x v="0"/>
    <x v="868"/>
    <n v="194.352"/>
    <n v="3"/>
    <n v="-36.441000000000003"/>
    <n v="-0.1875"/>
    <n v="2016"/>
    <x v="11"/>
    <n v="12"/>
    <n v="64.784000000000006"/>
    <s v="Loss"/>
  </r>
  <r>
    <s v="CA-2016-163594"/>
    <d v="2016-12-04T00:00:00"/>
    <x v="1"/>
    <x v="1"/>
    <x v="239"/>
    <n v="36.624000000000002"/>
    <n v="3"/>
    <n v="13.734"/>
    <n v="0.375"/>
    <n v="2016"/>
    <x v="11"/>
    <n v="12"/>
    <n v="12.208"/>
    <s v="Profit"/>
  </r>
  <r>
    <s v="CA-2016-124254"/>
    <d v="2016-12-04T00:00:00"/>
    <x v="3"/>
    <x v="1"/>
    <x v="930"/>
    <n v="129.55199999999999"/>
    <n v="3"/>
    <n v="-22.671600000000002"/>
    <n v="-0.17500000000000002"/>
    <n v="2016"/>
    <x v="11"/>
    <n v="12"/>
    <n v="43.183999999999997"/>
    <s v="Loss"/>
  </r>
  <r>
    <s v="CA-2016-124254"/>
    <d v="2016-12-04T00:00:00"/>
    <x v="3"/>
    <x v="1"/>
    <x v="806"/>
    <n v="51.984000000000002"/>
    <n v="1"/>
    <n v="-5.1984000000000004"/>
    <n v="-0.1"/>
    <n v="2016"/>
    <x v="11"/>
    <n v="12"/>
    <n v="51.984000000000002"/>
    <s v="Loss"/>
  </r>
  <r>
    <s v="CA-2016-124254"/>
    <d v="2016-12-04T00:00:00"/>
    <x v="3"/>
    <x v="1"/>
    <x v="1320"/>
    <n v="10.272"/>
    <n v="3"/>
    <n v="3.4668000000000001"/>
    <n v="0.33750000000000002"/>
    <n v="2016"/>
    <x v="11"/>
    <n v="12"/>
    <n v="3.4239999999999999"/>
    <s v="Profit"/>
  </r>
  <r>
    <s v="CA-2016-109911"/>
    <d v="2016-12-05T00:00:00"/>
    <x v="3"/>
    <x v="1"/>
    <x v="246"/>
    <n v="10.96"/>
    <n v="4"/>
    <n v="2.9592000000000001"/>
    <n v="0.26999999999999996"/>
    <n v="2016"/>
    <x v="11"/>
    <n v="12"/>
    <n v="2.74"/>
    <s v="Profit"/>
  </r>
  <r>
    <s v="US-2016-101196"/>
    <d v="2016-12-05T00:00:00"/>
    <x v="0"/>
    <x v="1"/>
    <x v="830"/>
    <n v="82.367999999999995"/>
    <n v="2"/>
    <n v="-19.5624"/>
    <n v="-0.23750000000000002"/>
    <n v="2016"/>
    <x v="11"/>
    <n v="12"/>
    <n v="41.183999999999997"/>
    <s v="Loss"/>
  </r>
  <r>
    <s v="CA-2016-167416"/>
    <d v="2016-12-05T00:00:00"/>
    <x v="1"/>
    <x v="1"/>
    <x v="139"/>
    <n v="54.9"/>
    <n v="5"/>
    <n v="26.901"/>
    <n v="0.49"/>
    <n v="2016"/>
    <x v="11"/>
    <n v="12"/>
    <n v="10.98"/>
    <s v="Profit"/>
  </r>
  <r>
    <s v="CA-2016-100510"/>
    <d v="2016-12-05T00:00:00"/>
    <x v="0"/>
    <x v="0"/>
    <x v="1321"/>
    <n v="10.02"/>
    <n v="3"/>
    <n v="4.4088000000000003"/>
    <n v="0.44000000000000006"/>
    <n v="2016"/>
    <x v="11"/>
    <n v="12"/>
    <n v="3.34"/>
    <s v="Profit"/>
  </r>
  <r>
    <s v="CA-2016-100510"/>
    <d v="2016-12-05T00:00:00"/>
    <x v="0"/>
    <x v="2"/>
    <x v="1322"/>
    <n v="631.96"/>
    <n v="4"/>
    <n v="303.3408"/>
    <n v="0.48"/>
    <n v="2016"/>
    <x v="11"/>
    <n v="12"/>
    <n v="157.99"/>
    <s v="Profit"/>
  </r>
  <r>
    <s v="US-2016-123610"/>
    <d v="2016-12-05T00:00:00"/>
    <x v="1"/>
    <x v="2"/>
    <x v="1323"/>
    <n v="120"/>
    <n v="6"/>
    <n v="46.8"/>
    <n v="0.38999999999999996"/>
    <n v="2016"/>
    <x v="11"/>
    <n v="12"/>
    <n v="20"/>
    <s v="Profit"/>
  </r>
  <r>
    <s v="US-2016-123610"/>
    <d v="2016-12-05T00:00:00"/>
    <x v="1"/>
    <x v="1"/>
    <x v="19"/>
    <n v="8.67"/>
    <n v="1"/>
    <n v="2.3409"/>
    <n v="0.27"/>
    <n v="2016"/>
    <x v="11"/>
    <n v="12"/>
    <n v="8.67"/>
    <s v="Profit"/>
  </r>
  <r>
    <s v="CA-2016-138688"/>
    <d v="2016-12-06T00:00:00"/>
    <x v="1"/>
    <x v="1"/>
    <x v="985"/>
    <n v="14.62"/>
    <n v="2"/>
    <n v="6.8714000000000004"/>
    <n v="0.47000000000000003"/>
    <n v="2016"/>
    <x v="11"/>
    <n v="12"/>
    <n v="7.31"/>
    <s v="Profit"/>
  </r>
  <r>
    <s v="CA-2016-127208"/>
    <d v="2016-12-06T00:00:00"/>
    <x v="3"/>
    <x v="1"/>
    <x v="544"/>
    <n v="208.16"/>
    <n v="1"/>
    <n v="56.203200000000002"/>
    <n v="0.27"/>
    <n v="2016"/>
    <x v="11"/>
    <n v="12"/>
    <n v="208.16"/>
    <s v="Profit"/>
  </r>
  <r>
    <s v="CA-2016-127208"/>
    <d v="2016-12-06T00:00:00"/>
    <x v="3"/>
    <x v="1"/>
    <x v="1324"/>
    <n v="16.739999999999998"/>
    <n v="3"/>
    <n v="8.0351999999999997"/>
    <n v="0.48000000000000004"/>
    <n v="2016"/>
    <x v="11"/>
    <n v="12"/>
    <n v="5.5799999999999992"/>
    <s v="Profit"/>
  </r>
  <r>
    <s v="CA-2016-103730"/>
    <d v="2016-12-06T00:00:00"/>
    <x v="0"/>
    <x v="0"/>
    <x v="1325"/>
    <n v="47.04"/>
    <n v="3"/>
    <n v="18.345600000000001"/>
    <n v="0.39"/>
    <n v="2016"/>
    <x v="11"/>
    <n v="12"/>
    <n v="15.68"/>
    <s v="Profit"/>
  </r>
  <r>
    <s v="CA-2016-103730"/>
    <d v="2016-12-06T00:00:00"/>
    <x v="0"/>
    <x v="1"/>
    <x v="381"/>
    <n v="30.84"/>
    <n v="4"/>
    <n v="13.878"/>
    <n v="0.45"/>
    <n v="2016"/>
    <x v="11"/>
    <n v="12"/>
    <n v="7.71"/>
    <s v="Profit"/>
  </r>
  <r>
    <s v="CA-2016-103730"/>
    <d v="2016-12-06T00:00:00"/>
    <x v="0"/>
    <x v="1"/>
    <x v="1326"/>
    <n v="226.56"/>
    <n v="6"/>
    <n v="63.436799999999998"/>
    <n v="0.27999999999999997"/>
    <n v="2016"/>
    <x v="11"/>
    <n v="12"/>
    <n v="37.76"/>
    <s v="Profit"/>
  </r>
  <r>
    <s v="CA-2016-103730"/>
    <d v="2016-12-06T00:00:00"/>
    <x v="0"/>
    <x v="1"/>
    <x v="951"/>
    <n v="115.02"/>
    <n v="9"/>
    <n v="51.759"/>
    <n v="0.45"/>
    <n v="2016"/>
    <x v="11"/>
    <n v="12"/>
    <n v="12.78"/>
    <s v="Profit"/>
  </r>
  <r>
    <s v="CA-2016-103730"/>
    <d v="2016-12-06T00:00:00"/>
    <x v="0"/>
    <x v="2"/>
    <x v="1327"/>
    <n v="68.040000000000006"/>
    <n v="7"/>
    <n v="19.7316"/>
    <n v="0.28999999999999998"/>
    <n v="2016"/>
    <x v="11"/>
    <n v="12"/>
    <n v="9.7200000000000006"/>
    <s v="Profit"/>
  </r>
  <r>
    <s v="CA-2016-147375"/>
    <d v="2016-12-06T00:00:00"/>
    <x v="2"/>
    <x v="2"/>
    <x v="1328"/>
    <n v="1007.979"/>
    <n v="3"/>
    <n v="43.199100000000001"/>
    <n v="4.2857142857142858E-2"/>
    <n v="2016"/>
    <x v="11"/>
    <n v="12"/>
    <n v="335.99299999999999"/>
    <s v="Profit"/>
  </r>
  <r>
    <s v="CA-2016-147375"/>
    <d v="2016-12-06T00:00:00"/>
    <x v="2"/>
    <x v="1"/>
    <x v="670"/>
    <n v="313.488"/>
    <n v="7"/>
    <n v="113.63939999999999"/>
    <n v="0.36249999999999999"/>
    <n v="2016"/>
    <x v="11"/>
    <n v="12"/>
    <n v="44.783999999999999"/>
    <s v="Profit"/>
  </r>
  <r>
    <s v="CA-2016-164035"/>
    <d v="2016-12-06T00:00:00"/>
    <x v="2"/>
    <x v="1"/>
    <x v="915"/>
    <n v="23.12"/>
    <n v="5"/>
    <n v="8.3810000000000002"/>
    <n v="0.36249999999999999"/>
    <n v="2016"/>
    <x v="11"/>
    <n v="12"/>
    <n v="4.6240000000000006"/>
    <s v="Profit"/>
  </r>
  <r>
    <s v="CA-2016-139941"/>
    <d v="2016-12-06T00:00:00"/>
    <x v="0"/>
    <x v="1"/>
    <x v="441"/>
    <n v="92.94"/>
    <n v="3"/>
    <n v="41.823"/>
    <n v="0.45"/>
    <n v="2016"/>
    <x v="11"/>
    <n v="12"/>
    <n v="30.98"/>
    <s v="Profit"/>
  </r>
  <r>
    <s v="CA-2016-139941"/>
    <d v="2016-12-06T00:00:00"/>
    <x v="0"/>
    <x v="1"/>
    <x v="1329"/>
    <n v="52.56"/>
    <n v="3"/>
    <n v="18.396000000000001"/>
    <n v="0.35"/>
    <n v="2016"/>
    <x v="11"/>
    <n v="12"/>
    <n v="17.52"/>
    <s v="Profit"/>
  </r>
  <r>
    <s v="CA-2016-104633"/>
    <d v="2016-12-06T00:00:00"/>
    <x v="1"/>
    <x v="1"/>
    <x v="441"/>
    <n v="185.88"/>
    <n v="6"/>
    <n v="83.646000000000001"/>
    <n v="0.45"/>
    <n v="2016"/>
    <x v="11"/>
    <n v="12"/>
    <n v="30.98"/>
    <s v="Profit"/>
  </r>
  <r>
    <s v="CA-2016-104633"/>
    <d v="2016-12-06T00:00:00"/>
    <x v="1"/>
    <x v="1"/>
    <x v="1330"/>
    <n v="12.96"/>
    <n v="2"/>
    <n v="6.2207999999999997"/>
    <n v="0.47999999999999993"/>
    <n v="2016"/>
    <x v="11"/>
    <n v="12"/>
    <n v="6.48"/>
    <s v="Profit"/>
  </r>
  <r>
    <s v="CA-2016-120824"/>
    <d v="2016-12-06T00:00:00"/>
    <x v="2"/>
    <x v="1"/>
    <x v="1331"/>
    <n v="64.384"/>
    <n v="4"/>
    <n v="-160.96"/>
    <n v="-2.5"/>
    <n v="2016"/>
    <x v="11"/>
    <n v="12"/>
    <n v="16.096"/>
    <s v="Loss"/>
  </r>
  <r>
    <s v="CA-2016-120824"/>
    <d v="2016-12-06T00:00:00"/>
    <x v="2"/>
    <x v="0"/>
    <x v="196"/>
    <n v="6.984"/>
    <n v="2"/>
    <n v="-4.5396000000000001"/>
    <n v="-0.65"/>
    <n v="2016"/>
    <x v="11"/>
    <n v="12"/>
    <n v="3.492"/>
    <s v="Loss"/>
  </r>
  <r>
    <s v="CA-2016-120824"/>
    <d v="2016-12-06T00:00:00"/>
    <x v="2"/>
    <x v="1"/>
    <x v="201"/>
    <n v="11.263999999999999"/>
    <n v="8"/>
    <n v="3.9424000000000001"/>
    <n v="0.35000000000000003"/>
    <n v="2016"/>
    <x v="11"/>
    <n v="12"/>
    <n v="1.4079999999999999"/>
    <s v="Profit"/>
  </r>
  <r>
    <s v="CA-2016-120824"/>
    <d v="2016-12-06T00:00:00"/>
    <x v="2"/>
    <x v="1"/>
    <x v="462"/>
    <n v="15.552"/>
    <n v="3"/>
    <n v="5.6375999999999999"/>
    <n v="0.36249999999999999"/>
    <n v="2016"/>
    <x v="11"/>
    <n v="12"/>
    <n v="5.1840000000000002"/>
    <s v="Profit"/>
  </r>
  <r>
    <s v="CA-2016-120824"/>
    <d v="2016-12-06T00:00:00"/>
    <x v="2"/>
    <x v="0"/>
    <x v="1080"/>
    <n v="379.37200000000001"/>
    <n v="2"/>
    <n v="-119.2312"/>
    <n v="-0.31428571428571428"/>
    <n v="2016"/>
    <x v="11"/>
    <n v="12"/>
    <n v="189.68600000000001"/>
    <s v="Loss"/>
  </r>
  <r>
    <s v="CA-2016-120824"/>
    <d v="2016-12-06T00:00:00"/>
    <x v="2"/>
    <x v="1"/>
    <x v="554"/>
    <n v="67.536000000000001"/>
    <n v="9"/>
    <n v="6.7535999999999996"/>
    <n v="9.9999999999999992E-2"/>
    <n v="2016"/>
    <x v="11"/>
    <n v="12"/>
    <n v="7.5040000000000004"/>
    <s v="Profit"/>
  </r>
  <r>
    <s v="CA-2016-120824"/>
    <d v="2016-12-06T00:00:00"/>
    <x v="2"/>
    <x v="1"/>
    <x v="831"/>
    <n v="1.524"/>
    <n v="2"/>
    <n v="-2.6669999999999998"/>
    <n v="-1.7499999999999998"/>
    <n v="2016"/>
    <x v="11"/>
    <n v="12"/>
    <n v="0.76200000000000001"/>
    <s v="Loss"/>
  </r>
  <r>
    <s v="CA-2016-103891"/>
    <d v="2016-12-07T00:00:00"/>
    <x v="1"/>
    <x v="2"/>
    <x v="758"/>
    <n v="95.76"/>
    <n v="6"/>
    <n v="7.1820000000000004"/>
    <n v="7.4999999999999997E-2"/>
    <n v="2016"/>
    <x v="11"/>
    <n v="12"/>
    <n v="15.96"/>
    <s v="Profit"/>
  </r>
  <r>
    <s v="CA-2016-167584"/>
    <d v="2016-12-08T00:00:00"/>
    <x v="2"/>
    <x v="1"/>
    <x v="1332"/>
    <n v="6.48"/>
    <n v="1"/>
    <n v="3.1103999999999998"/>
    <n v="0.47999999999999993"/>
    <n v="2016"/>
    <x v="11"/>
    <n v="12"/>
    <n v="6.48"/>
    <s v="Profit"/>
  </r>
  <r>
    <s v="CA-2016-155845"/>
    <d v="2016-12-08T00:00:00"/>
    <x v="2"/>
    <x v="2"/>
    <x v="208"/>
    <n v="1399.944"/>
    <n v="7"/>
    <n v="52.497900000000001"/>
    <n v="3.7499999999999999E-2"/>
    <n v="2016"/>
    <x v="11"/>
    <n v="12"/>
    <n v="199.99199999999999"/>
    <s v="Profit"/>
  </r>
  <r>
    <s v="CA-2016-143910"/>
    <d v="2016-12-08T00:00:00"/>
    <x v="0"/>
    <x v="0"/>
    <x v="868"/>
    <n v="145.76400000000001"/>
    <n v="2"/>
    <n v="-8.0980000000000008"/>
    <n v="-5.5555555555555559E-2"/>
    <n v="2016"/>
    <x v="11"/>
    <n v="12"/>
    <n v="72.882000000000005"/>
    <s v="Loss"/>
  </r>
  <r>
    <s v="CA-2016-118073"/>
    <d v="2016-12-08T00:00:00"/>
    <x v="3"/>
    <x v="0"/>
    <x v="1086"/>
    <n v="562.29250000000002"/>
    <n v="7"/>
    <n v="-255.58750000000001"/>
    <n v="-0.45454545454545453"/>
    <n v="2016"/>
    <x v="11"/>
    <n v="12"/>
    <n v="80.327500000000001"/>
    <s v="Loss"/>
  </r>
  <r>
    <s v="CA-2016-105459"/>
    <d v="2016-12-08T00:00:00"/>
    <x v="0"/>
    <x v="0"/>
    <x v="341"/>
    <n v="209.148"/>
    <n v="2"/>
    <n v="-66.230199999999996"/>
    <n v="-0.31666666666666665"/>
    <n v="2016"/>
    <x v="11"/>
    <n v="12"/>
    <n v="104.574"/>
    <s v="Loss"/>
  </r>
  <r>
    <s v="CA-2016-105459"/>
    <d v="2016-12-08T00:00:00"/>
    <x v="0"/>
    <x v="1"/>
    <x v="1333"/>
    <n v="1591.02"/>
    <n v="6"/>
    <n v="286.3836"/>
    <n v="0.18"/>
    <n v="2016"/>
    <x v="11"/>
    <n v="12"/>
    <n v="265.17"/>
    <s v="Profit"/>
  </r>
  <r>
    <s v="US-2016-144477"/>
    <d v="2016-12-08T00:00:00"/>
    <x v="0"/>
    <x v="1"/>
    <x v="1313"/>
    <n v="37.311999999999998"/>
    <n v="4"/>
    <n v="2.7984"/>
    <n v="7.5000000000000011E-2"/>
    <n v="2016"/>
    <x v="11"/>
    <n v="12"/>
    <n v="9.3279999999999994"/>
    <s v="Profit"/>
  </r>
  <r>
    <s v="CA-2016-142902"/>
    <d v="2016-12-09T00:00:00"/>
    <x v="1"/>
    <x v="0"/>
    <x v="443"/>
    <n v="15.135999999999999"/>
    <n v="4"/>
    <n v="3.5948000000000002"/>
    <n v="0.23750000000000002"/>
    <n v="2016"/>
    <x v="11"/>
    <n v="12"/>
    <n v="3.7839999999999998"/>
    <s v="Profit"/>
  </r>
  <r>
    <s v="CA-2016-142902"/>
    <d v="2016-12-09T00:00:00"/>
    <x v="1"/>
    <x v="0"/>
    <x v="564"/>
    <n v="466.76799999999997"/>
    <n v="2"/>
    <n v="52.511400000000002"/>
    <n v="0.11250000000000002"/>
    <n v="2016"/>
    <x v="11"/>
    <n v="12"/>
    <n v="233.38399999999999"/>
    <s v="Profit"/>
  </r>
  <r>
    <s v="CA-2016-142902"/>
    <d v="2016-12-09T00:00:00"/>
    <x v="1"/>
    <x v="0"/>
    <x v="921"/>
    <n v="15.231999999999999"/>
    <n v="1"/>
    <n v="1.7136"/>
    <n v="0.1125"/>
    <n v="2016"/>
    <x v="11"/>
    <n v="12"/>
    <n v="15.231999999999999"/>
    <s v="Profit"/>
  </r>
  <r>
    <s v="CA-2016-142902"/>
    <d v="2016-12-09T00:00:00"/>
    <x v="1"/>
    <x v="1"/>
    <x v="1334"/>
    <n v="6.2640000000000002"/>
    <n v="3"/>
    <n v="2.0358000000000001"/>
    <n v="0.32500000000000001"/>
    <n v="2016"/>
    <x v="11"/>
    <n v="12"/>
    <n v="2.0880000000000001"/>
    <s v="Profit"/>
  </r>
  <r>
    <s v="CA-2016-128811"/>
    <d v="2016-12-09T00:00:00"/>
    <x v="1"/>
    <x v="1"/>
    <x v="1206"/>
    <n v="10.47"/>
    <n v="3"/>
    <n v="4.8162000000000003"/>
    <n v="0.46"/>
    <n v="2016"/>
    <x v="11"/>
    <n v="12"/>
    <n v="3.49"/>
    <s v="Profit"/>
  </r>
  <r>
    <s v="CA-2016-128811"/>
    <d v="2016-12-09T00:00:00"/>
    <x v="1"/>
    <x v="1"/>
    <x v="1254"/>
    <n v="11.07"/>
    <n v="3"/>
    <n v="5.2028999999999996"/>
    <n v="0.47"/>
    <n v="2016"/>
    <x v="11"/>
    <n v="12"/>
    <n v="3.69"/>
    <s v="Profit"/>
  </r>
  <r>
    <s v="CA-2016-128811"/>
    <d v="2016-12-09T00:00:00"/>
    <x v="1"/>
    <x v="1"/>
    <x v="7"/>
    <n v="20.704000000000001"/>
    <n v="4"/>
    <n v="7.7640000000000002"/>
    <n v="0.375"/>
    <n v="2016"/>
    <x v="11"/>
    <n v="12"/>
    <n v="5.1760000000000002"/>
    <s v="Profit"/>
  </r>
  <r>
    <s v="CA-2016-123946"/>
    <d v="2016-12-09T00:00:00"/>
    <x v="3"/>
    <x v="2"/>
    <x v="1221"/>
    <n v="20.7"/>
    <n v="3"/>
    <n v="1.6559999999999999"/>
    <n v="0.08"/>
    <n v="2016"/>
    <x v="11"/>
    <n v="12"/>
    <n v="6.8999999999999995"/>
    <s v="Profit"/>
  </r>
  <r>
    <s v="CA-2016-123946"/>
    <d v="2016-12-09T00:00:00"/>
    <x v="3"/>
    <x v="1"/>
    <x v="111"/>
    <n v="11.34"/>
    <n v="3"/>
    <n v="5.2164000000000001"/>
    <n v="0.46"/>
    <n v="2016"/>
    <x v="11"/>
    <n v="12"/>
    <n v="3.78"/>
    <s v="Profit"/>
  </r>
  <r>
    <s v="CA-2016-123946"/>
    <d v="2016-12-09T00:00:00"/>
    <x v="3"/>
    <x v="1"/>
    <x v="408"/>
    <n v="67.900000000000006"/>
    <n v="5"/>
    <n v="0.67900000000000005"/>
    <n v="0.01"/>
    <n v="2016"/>
    <x v="11"/>
    <n v="12"/>
    <n v="13.580000000000002"/>
    <s v="Profit"/>
  </r>
  <r>
    <s v="CA-2016-123946"/>
    <d v="2016-12-09T00:00:00"/>
    <x v="3"/>
    <x v="0"/>
    <x v="1335"/>
    <n v="1059.1199999999999"/>
    <n v="4"/>
    <n v="307.14479999999998"/>
    <n v="0.28999999999999998"/>
    <n v="2016"/>
    <x v="11"/>
    <n v="12"/>
    <n v="264.77999999999997"/>
    <s v="Profit"/>
  </r>
  <r>
    <s v="CA-2016-152457"/>
    <d v="2016-12-09T00:00:00"/>
    <x v="2"/>
    <x v="1"/>
    <x v="1336"/>
    <n v="68.52"/>
    <n v="3"/>
    <n v="31.519200000000001"/>
    <n v="0.46"/>
    <n v="2016"/>
    <x v="11"/>
    <n v="12"/>
    <n v="22.84"/>
    <s v="Profit"/>
  </r>
  <r>
    <s v="CA-2016-151148"/>
    <d v="2016-12-09T00:00:00"/>
    <x v="1"/>
    <x v="2"/>
    <x v="1337"/>
    <n v="146.952"/>
    <n v="3"/>
    <n v="9.1844999999999999"/>
    <n v="6.25E-2"/>
    <n v="2016"/>
    <x v="11"/>
    <n v="12"/>
    <n v="48.984000000000002"/>
    <s v="Profit"/>
  </r>
  <r>
    <s v="CA-2016-151148"/>
    <d v="2016-12-09T00:00:00"/>
    <x v="1"/>
    <x v="0"/>
    <x v="901"/>
    <n v="83.135999999999996"/>
    <n v="4"/>
    <n v="5.1959999999999997"/>
    <n v="6.25E-2"/>
    <n v="2016"/>
    <x v="11"/>
    <n v="12"/>
    <n v="20.783999999999999"/>
    <s v="Profit"/>
  </r>
  <r>
    <s v="CA-2016-113082"/>
    <d v="2016-12-09T00:00:00"/>
    <x v="0"/>
    <x v="0"/>
    <x v="1338"/>
    <n v="40.479999999999997"/>
    <n v="2"/>
    <n v="14.572800000000001"/>
    <n v="0.36000000000000004"/>
    <n v="2016"/>
    <x v="11"/>
    <n v="12"/>
    <n v="20.239999999999998"/>
    <s v="Profit"/>
  </r>
  <r>
    <s v="CA-2016-134348"/>
    <d v="2016-12-11T00:00:00"/>
    <x v="1"/>
    <x v="1"/>
    <x v="1170"/>
    <n v="6.27"/>
    <n v="5"/>
    <n v="-4.5979999999999999"/>
    <n v="-0.73333333333333339"/>
    <n v="2016"/>
    <x v="11"/>
    <n v="12"/>
    <n v="1.254"/>
    <s v="Loss"/>
  </r>
  <r>
    <s v="CA-2016-134348"/>
    <d v="2016-12-11T00:00:00"/>
    <x v="1"/>
    <x v="1"/>
    <x v="1339"/>
    <n v="4.3680000000000003"/>
    <n v="7"/>
    <n v="-3.3488000000000002"/>
    <n v="-0.76666666666666661"/>
    <n v="2016"/>
    <x v="11"/>
    <n v="12"/>
    <n v="0.624"/>
    <s v="Loss"/>
  </r>
  <r>
    <s v="CA-2016-134348"/>
    <d v="2016-12-11T00:00:00"/>
    <x v="1"/>
    <x v="2"/>
    <x v="1298"/>
    <n v="31.984000000000002"/>
    <n v="2"/>
    <n v="1.9990000000000001"/>
    <n v="6.25E-2"/>
    <n v="2016"/>
    <x v="11"/>
    <n v="12"/>
    <n v="15.992000000000001"/>
    <s v="Profit"/>
  </r>
  <r>
    <s v="CA-2016-152170"/>
    <d v="2016-12-11T00:00:00"/>
    <x v="2"/>
    <x v="1"/>
    <x v="1340"/>
    <n v="287.52"/>
    <n v="8"/>
    <n v="129.38399999999999"/>
    <n v="0.44999999999999996"/>
    <n v="2016"/>
    <x v="11"/>
    <n v="12"/>
    <n v="35.94"/>
    <s v="Profit"/>
  </r>
  <r>
    <s v="CA-2016-152170"/>
    <d v="2016-12-11T00:00:00"/>
    <x v="2"/>
    <x v="1"/>
    <x v="355"/>
    <n v="37.68"/>
    <n v="2"/>
    <n v="10.5504"/>
    <n v="0.27999999999999997"/>
    <n v="2016"/>
    <x v="11"/>
    <n v="12"/>
    <n v="18.84"/>
    <s v="Profit"/>
  </r>
  <r>
    <s v="CA-2016-152170"/>
    <d v="2016-12-11T00:00:00"/>
    <x v="2"/>
    <x v="1"/>
    <x v="1341"/>
    <n v="19.98"/>
    <n v="2"/>
    <n v="8.9909999999999997"/>
    <n v="0.44999999999999996"/>
    <n v="2016"/>
    <x v="11"/>
    <n v="12"/>
    <n v="9.99"/>
    <s v="Profit"/>
  </r>
  <r>
    <s v="CA-2016-152170"/>
    <d v="2016-12-11T00:00:00"/>
    <x v="2"/>
    <x v="1"/>
    <x v="1031"/>
    <n v="20.58"/>
    <n v="7"/>
    <n v="5.5566000000000004"/>
    <n v="0.27"/>
    <n v="2016"/>
    <x v="11"/>
    <n v="12"/>
    <n v="2.94"/>
    <s v="Profit"/>
  </r>
  <r>
    <s v="CA-2016-152170"/>
    <d v="2016-12-11T00:00:00"/>
    <x v="2"/>
    <x v="1"/>
    <x v="38"/>
    <n v="17.38"/>
    <n v="2"/>
    <n v="8.69"/>
    <n v="0.5"/>
    <n v="2016"/>
    <x v="11"/>
    <n v="12"/>
    <n v="8.69"/>
    <s v="Profit"/>
  </r>
  <r>
    <s v="CA-2016-124590"/>
    <d v="2016-12-11T00:00:00"/>
    <x v="0"/>
    <x v="0"/>
    <x v="812"/>
    <n v="1474.8019999999999"/>
    <n v="7"/>
    <n v="-21.0686"/>
    <n v="-1.4285714285714287E-2"/>
    <n v="2016"/>
    <x v="11"/>
    <n v="12"/>
    <n v="210.68599999999998"/>
    <s v="Loss"/>
  </r>
  <r>
    <s v="CA-2016-124590"/>
    <d v="2016-12-11T00:00:00"/>
    <x v="0"/>
    <x v="1"/>
    <x v="1242"/>
    <n v="110.096"/>
    <n v="2"/>
    <n v="33.028799999999997"/>
    <n v="0.3"/>
    <n v="2016"/>
    <x v="11"/>
    <n v="12"/>
    <n v="55.048000000000002"/>
    <s v="Profit"/>
  </r>
  <r>
    <s v="CA-2016-124590"/>
    <d v="2016-12-11T00:00:00"/>
    <x v="0"/>
    <x v="1"/>
    <x v="1206"/>
    <n v="16.751999999999999"/>
    <n v="6"/>
    <n v="5.4443999999999999"/>
    <n v="0.32500000000000001"/>
    <n v="2016"/>
    <x v="11"/>
    <n v="12"/>
    <n v="2.7919999999999998"/>
    <s v="Profit"/>
  </r>
  <r>
    <s v="CA-2016-124590"/>
    <d v="2016-12-11T00:00:00"/>
    <x v="0"/>
    <x v="0"/>
    <x v="207"/>
    <n v="1537.0740000000001"/>
    <n v="9"/>
    <n v="0"/>
    <n v="0"/>
    <n v="2016"/>
    <x v="11"/>
    <n v="12"/>
    <n v="170.786"/>
    <s v="Loss"/>
  </r>
  <r>
    <s v="CA-2016-124590"/>
    <d v="2016-12-11T00:00:00"/>
    <x v="0"/>
    <x v="0"/>
    <x v="34"/>
    <n v="449.37200000000001"/>
    <n v="2"/>
    <n v="-12.8392"/>
    <n v="-2.8571428571428571E-2"/>
    <n v="2016"/>
    <x v="11"/>
    <n v="12"/>
    <n v="224.68600000000001"/>
    <s v="Loss"/>
  </r>
  <r>
    <s v="CA-2016-164399"/>
    <d v="2016-12-11T00:00:00"/>
    <x v="1"/>
    <x v="2"/>
    <x v="920"/>
    <n v="203.976"/>
    <n v="3"/>
    <n v="25.497"/>
    <n v="0.125"/>
    <n v="2016"/>
    <x v="11"/>
    <n v="12"/>
    <n v="67.992000000000004"/>
    <s v="Profit"/>
  </r>
  <r>
    <s v="CA-2016-164399"/>
    <d v="2016-12-11T00:00:00"/>
    <x v="1"/>
    <x v="0"/>
    <x v="1035"/>
    <n v="674.35199999999998"/>
    <n v="3"/>
    <n v="-8.4293999999999993"/>
    <n v="-1.2499999999999999E-2"/>
    <n v="2016"/>
    <x v="11"/>
    <n v="12"/>
    <n v="224.78399999999999"/>
    <s v="Loss"/>
  </r>
  <r>
    <s v="CA-2016-149349"/>
    <d v="2016-12-11T00:00:00"/>
    <x v="2"/>
    <x v="0"/>
    <x v="1287"/>
    <n v="22.751999999999999"/>
    <n v="6"/>
    <n v="-8.532"/>
    <n v="-0.375"/>
    <n v="2016"/>
    <x v="11"/>
    <n v="12"/>
    <n v="3.7919999999999998"/>
    <s v="Loss"/>
  </r>
  <r>
    <s v="US-2016-108777"/>
    <d v="2016-12-12T00:00:00"/>
    <x v="0"/>
    <x v="1"/>
    <x v="521"/>
    <n v="18.693000000000001"/>
    <n v="3"/>
    <n v="-14.331300000000001"/>
    <n v="-0.76666666666666661"/>
    <n v="2016"/>
    <x v="11"/>
    <n v="12"/>
    <n v="6.2310000000000008"/>
    <s v="Loss"/>
  </r>
  <r>
    <s v="US-2016-108777"/>
    <d v="2016-12-12T00:00:00"/>
    <x v="0"/>
    <x v="2"/>
    <x v="612"/>
    <n v="383.952"/>
    <n v="6"/>
    <n v="76.790400000000005"/>
    <n v="0.2"/>
    <n v="2016"/>
    <x v="11"/>
    <n v="12"/>
    <n v="63.991999999999997"/>
    <s v="Profit"/>
  </r>
  <r>
    <s v="CA-2016-139395"/>
    <d v="2016-12-12T00:00:00"/>
    <x v="2"/>
    <x v="2"/>
    <x v="1306"/>
    <n v="657.93"/>
    <n v="7"/>
    <n v="184.22040000000001"/>
    <n v="0.28000000000000003"/>
    <n v="2016"/>
    <x v="11"/>
    <n v="12"/>
    <n v="93.99"/>
    <s v="Profit"/>
  </r>
  <r>
    <s v="CA-2016-139395"/>
    <d v="2016-12-12T00:00:00"/>
    <x v="2"/>
    <x v="0"/>
    <x v="128"/>
    <n v="33.479999999999997"/>
    <n v="4"/>
    <n v="8.7048000000000005"/>
    <n v="0.26000000000000006"/>
    <n v="2016"/>
    <x v="11"/>
    <n v="12"/>
    <n v="8.3699999999999992"/>
    <s v="Profit"/>
  </r>
  <r>
    <s v="CA-2016-139395"/>
    <d v="2016-12-12T00:00:00"/>
    <x v="2"/>
    <x v="1"/>
    <x v="468"/>
    <n v="13.9"/>
    <n v="5"/>
    <n v="3.6139999999999999"/>
    <n v="0.26"/>
    <n v="2016"/>
    <x v="11"/>
    <n v="12"/>
    <n v="2.7800000000000002"/>
    <s v="Profit"/>
  </r>
  <r>
    <s v="CA-2016-139395"/>
    <d v="2016-12-12T00:00:00"/>
    <x v="2"/>
    <x v="1"/>
    <x v="1342"/>
    <n v="26.86"/>
    <n v="2"/>
    <n v="6.7149999999999999"/>
    <n v="0.25"/>
    <n v="2016"/>
    <x v="11"/>
    <n v="12"/>
    <n v="13.43"/>
    <s v="Profit"/>
  </r>
  <r>
    <s v="US-2016-169369"/>
    <d v="2016-12-12T00:00:00"/>
    <x v="3"/>
    <x v="2"/>
    <x v="793"/>
    <n v="249.95"/>
    <n v="5"/>
    <n v="19.995999999999999"/>
    <n v="0.08"/>
    <n v="2016"/>
    <x v="11"/>
    <n v="12"/>
    <n v="49.989999999999995"/>
    <s v="Profit"/>
  </r>
  <r>
    <s v="US-2016-169369"/>
    <d v="2016-12-12T00:00:00"/>
    <x v="3"/>
    <x v="1"/>
    <x v="180"/>
    <n v="49.12"/>
    <n v="4"/>
    <n v="23.086400000000001"/>
    <n v="0.47000000000000003"/>
    <n v="2016"/>
    <x v="11"/>
    <n v="12"/>
    <n v="12.28"/>
    <s v="Profit"/>
  </r>
  <r>
    <s v="CA-2016-136686"/>
    <d v="2016-12-12T00:00:00"/>
    <x v="1"/>
    <x v="0"/>
    <x v="948"/>
    <n v="383.64"/>
    <n v="6"/>
    <n v="122.76479999999999"/>
    <n v="0.32"/>
    <n v="2016"/>
    <x v="11"/>
    <n v="12"/>
    <n v="63.94"/>
    <s v="Profit"/>
  </r>
  <r>
    <s v="CA-2016-136686"/>
    <d v="2016-12-12T00:00:00"/>
    <x v="1"/>
    <x v="1"/>
    <x v="355"/>
    <n v="56.52"/>
    <n v="3"/>
    <n v="15.8256"/>
    <n v="0.27999999999999997"/>
    <n v="2016"/>
    <x v="11"/>
    <n v="12"/>
    <n v="18.84"/>
    <s v="Profit"/>
  </r>
  <r>
    <s v="CA-2016-169824"/>
    <d v="2016-12-12T00:00:00"/>
    <x v="0"/>
    <x v="0"/>
    <x v="186"/>
    <n v="60.35"/>
    <n v="5"/>
    <n v="19.915500000000002"/>
    <n v="0.33"/>
    <n v="2016"/>
    <x v="11"/>
    <n v="12"/>
    <n v="12.07"/>
    <s v="Profit"/>
  </r>
  <r>
    <s v="CA-2016-169824"/>
    <d v="2016-12-12T00:00:00"/>
    <x v="0"/>
    <x v="1"/>
    <x v="1343"/>
    <n v="35.520000000000003"/>
    <n v="4"/>
    <n v="9.9456000000000007"/>
    <n v="0.27999999999999997"/>
    <n v="2016"/>
    <x v="11"/>
    <n v="12"/>
    <n v="8.8800000000000008"/>
    <s v="Profit"/>
  </r>
  <r>
    <s v="CA-2016-169824"/>
    <d v="2016-12-12T00:00:00"/>
    <x v="0"/>
    <x v="1"/>
    <x v="1227"/>
    <n v="11.2"/>
    <n v="7"/>
    <n v="4.8159999999999998"/>
    <n v="0.43"/>
    <n v="2016"/>
    <x v="11"/>
    <n v="12"/>
    <n v="1.5999999999999999"/>
    <s v="Profit"/>
  </r>
  <r>
    <s v="CA-2015-153325"/>
    <d v="2015-01-03T00:00:00"/>
    <x v="3"/>
    <x v="1"/>
    <x v="752"/>
    <n v="58.72"/>
    <n v="4"/>
    <n v="27.011199999999999"/>
    <n v="0.45999999999999996"/>
    <n v="2015"/>
    <x v="0"/>
    <n v="1"/>
    <n v="14.68"/>
    <s v="Profit"/>
  </r>
  <r>
    <s v="CA-2015-102316"/>
    <d v="2015-01-03T00:00:00"/>
    <x v="1"/>
    <x v="2"/>
    <x v="1266"/>
    <n v="15.984"/>
    <n v="2"/>
    <n v="1.1988000000000001"/>
    <n v="7.5000000000000011E-2"/>
    <n v="2015"/>
    <x v="0"/>
    <n v="1"/>
    <n v="7.992"/>
    <s v="Profit"/>
  </r>
  <r>
    <s v="CA-2015-102316"/>
    <d v="2015-01-03T00:00:00"/>
    <x v="1"/>
    <x v="0"/>
    <x v="684"/>
    <n v="184.75200000000001"/>
    <n v="3"/>
    <n v="-20.784600000000001"/>
    <n v="-0.1125"/>
    <n v="2015"/>
    <x v="0"/>
    <n v="1"/>
    <n v="61.584000000000003"/>
    <s v="Loss"/>
  </r>
  <r>
    <s v="CA-2015-133494"/>
    <d v="2015-01-03T00:00:00"/>
    <x v="0"/>
    <x v="1"/>
    <x v="1344"/>
    <n v="3.552"/>
    <n v="2"/>
    <n v="0.44400000000000001"/>
    <n v="0.125"/>
    <n v="2015"/>
    <x v="0"/>
    <n v="1"/>
    <n v="1.776"/>
    <s v="Profit"/>
  </r>
  <r>
    <s v="CA-2015-133585"/>
    <d v="2015-01-03T00:00:00"/>
    <x v="2"/>
    <x v="1"/>
    <x v="1171"/>
    <n v="55.328000000000003"/>
    <n v="2"/>
    <n v="6.2244000000000002"/>
    <n v="0.1125"/>
    <n v="2015"/>
    <x v="0"/>
    <n v="1"/>
    <n v="27.664000000000001"/>
    <s v="Profit"/>
  </r>
  <r>
    <s v="CA-2015-133585"/>
    <d v="2015-01-03T00:00:00"/>
    <x v="2"/>
    <x v="0"/>
    <x v="505"/>
    <n v="1227.9983999999999"/>
    <n v="6"/>
    <n v="-36.117600000000003"/>
    <n v="-2.9411764705882356E-2"/>
    <n v="2015"/>
    <x v="0"/>
    <n v="1"/>
    <n v="204.66639999999998"/>
    <s v="Loss"/>
  </r>
  <r>
    <s v="CA-2015-104052"/>
    <d v="2015-01-03T00:00:00"/>
    <x v="2"/>
    <x v="2"/>
    <x v="809"/>
    <n v="95.84"/>
    <n v="4"/>
    <n v="34.741999999999997"/>
    <n v="0.36249999999999993"/>
    <n v="2015"/>
    <x v="0"/>
    <n v="1"/>
    <n v="23.96"/>
    <s v="Profit"/>
  </r>
  <r>
    <s v="CA-2015-145821"/>
    <d v="2015-01-05T00:00:00"/>
    <x v="1"/>
    <x v="2"/>
    <x v="1345"/>
    <n v="88.751999999999995"/>
    <n v="3"/>
    <n v="11.093999999999999"/>
    <n v="0.125"/>
    <n v="2015"/>
    <x v="0"/>
    <n v="1"/>
    <n v="29.584"/>
    <s v="Profit"/>
  </r>
  <r>
    <s v="CA-2015-161998"/>
    <d v="2015-01-05T00:00:00"/>
    <x v="3"/>
    <x v="0"/>
    <x v="657"/>
    <n v="63.552"/>
    <n v="3"/>
    <n v="14.299200000000001"/>
    <n v="0.22500000000000001"/>
    <n v="2015"/>
    <x v="0"/>
    <n v="1"/>
    <n v="21.184000000000001"/>
    <s v="Profit"/>
  </r>
  <r>
    <s v="CA-2015-161998"/>
    <d v="2015-01-05T00:00:00"/>
    <x v="3"/>
    <x v="1"/>
    <x v="1346"/>
    <n v="41.375999999999998"/>
    <n v="3"/>
    <n v="4.6547999999999998"/>
    <n v="0.1125"/>
    <n v="2015"/>
    <x v="0"/>
    <n v="1"/>
    <n v="13.792"/>
    <s v="Profit"/>
  </r>
  <r>
    <s v="CA-2015-161998"/>
    <d v="2015-01-05T00:00:00"/>
    <x v="3"/>
    <x v="1"/>
    <x v="234"/>
    <n v="172.70400000000001"/>
    <n v="6"/>
    <n v="10.794"/>
    <n v="6.25E-2"/>
    <n v="2015"/>
    <x v="0"/>
    <n v="1"/>
    <n v="28.784000000000002"/>
    <s v="Profit"/>
  </r>
  <r>
    <s v="CA-2015-104486"/>
    <d v="2015-01-05T00:00:00"/>
    <x v="1"/>
    <x v="1"/>
    <x v="634"/>
    <n v="12.176"/>
    <n v="1"/>
    <n v="4.4138000000000002"/>
    <n v="0.36249999999999999"/>
    <n v="2015"/>
    <x v="0"/>
    <n v="1"/>
    <n v="12.176"/>
    <s v="Profit"/>
  </r>
  <r>
    <s v="CA-2015-104486"/>
    <d v="2015-01-05T00:00:00"/>
    <x v="1"/>
    <x v="1"/>
    <x v="1347"/>
    <n v="37.32"/>
    <n v="3"/>
    <n v="10.4496"/>
    <n v="0.28000000000000003"/>
    <n v="2015"/>
    <x v="0"/>
    <n v="1"/>
    <n v="12.44"/>
    <s v="Profit"/>
  </r>
  <r>
    <s v="CA-2015-104486"/>
    <d v="2015-01-05T00:00:00"/>
    <x v="1"/>
    <x v="1"/>
    <x v="530"/>
    <n v="35.06"/>
    <n v="2"/>
    <n v="10.518000000000001"/>
    <n v="0.3"/>
    <n v="2015"/>
    <x v="0"/>
    <n v="1"/>
    <n v="17.53"/>
    <s v="Profit"/>
  </r>
  <r>
    <s v="US-2015-163685"/>
    <d v="2015-01-06T00:00:00"/>
    <x v="2"/>
    <x v="1"/>
    <x v="1107"/>
    <n v="5.7279999999999998"/>
    <n v="8"/>
    <n v="-9.1647999999999996"/>
    <n v="-1.6"/>
    <n v="2015"/>
    <x v="0"/>
    <n v="1"/>
    <n v="0.71599999999999997"/>
    <s v="Loss"/>
  </r>
  <r>
    <s v="US-2015-163685"/>
    <d v="2015-01-06T00:00:00"/>
    <x v="2"/>
    <x v="1"/>
    <x v="1348"/>
    <n v="42.24"/>
    <n v="10"/>
    <n v="13.2"/>
    <n v="0.31249999999999994"/>
    <n v="2015"/>
    <x v="0"/>
    <n v="1"/>
    <n v="4.2240000000000002"/>
    <s v="Profit"/>
  </r>
  <r>
    <s v="US-2015-132836"/>
    <d v="2015-01-06T00:00:00"/>
    <x v="2"/>
    <x v="2"/>
    <x v="1349"/>
    <n v="299.98"/>
    <n v="2"/>
    <n v="83.994399999999999"/>
    <n v="0.27999999999999997"/>
    <n v="2015"/>
    <x v="0"/>
    <n v="1"/>
    <n v="149.99"/>
    <s v="Profit"/>
  </r>
  <r>
    <s v="US-2015-132836"/>
    <d v="2015-01-06T00:00:00"/>
    <x v="2"/>
    <x v="1"/>
    <x v="126"/>
    <n v="403.68"/>
    <n v="6"/>
    <n v="181.65600000000001"/>
    <n v="0.45"/>
    <n v="2015"/>
    <x v="0"/>
    <n v="1"/>
    <n v="67.28"/>
    <s v="Profit"/>
  </r>
  <r>
    <s v="US-2015-132836"/>
    <d v="2015-01-06T00:00:00"/>
    <x v="2"/>
    <x v="2"/>
    <x v="1350"/>
    <n v="41.9"/>
    <n v="2"/>
    <n v="11.731999999999999"/>
    <n v="0.27999999999999997"/>
    <n v="2015"/>
    <x v="0"/>
    <n v="1"/>
    <n v="20.95"/>
    <s v="Profit"/>
  </r>
  <r>
    <s v="US-2015-132836"/>
    <d v="2015-01-06T00:00:00"/>
    <x v="2"/>
    <x v="1"/>
    <x v="1351"/>
    <n v="28.91"/>
    <n v="7"/>
    <n v="13.2986"/>
    <n v="0.46"/>
    <n v="2015"/>
    <x v="0"/>
    <n v="1"/>
    <n v="4.13"/>
    <s v="Profit"/>
  </r>
  <r>
    <s v="CA-2015-161242"/>
    <d v="2015-01-06T00:00:00"/>
    <x v="1"/>
    <x v="1"/>
    <x v="218"/>
    <n v="11.76"/>
    <n v="2"/>
    <n v="5.7624000000000004"/>
    <n v="0.49000000000000005"/>
    <n v="2015"/>
    <x v="0"/>
    <n v="1"/>
    <n v="5.88"/>
    <s v="Profit"/>
  </r>
  <r>
    <s v="CA-2015-153388"/>
    <d v="2015-01-08T00:00:00"/>
    <x v="1"/>
    <x v="1"/>
    <x v="229"/>
    <n v="6.72"/>
    <n v="4"/>
    <n v="3.36"/>
    <n v="0.5"/>
    <n v="2015"/>
    <x v="0"/>
    <n v="1"/>
    <n v="1.68"/>
    <s v="Profit"/>
  </r>
  <r>
    <s v="CA-2015-153388"/>
    <d v="2015-01-08T00:00:00"/>
    <x v="1"/>
    <x v="0"/>
    <x v="1352"/>
    <n v="1004.976"/>
    <n v="6"/>
    <n v="-175.8708"/>
    <n v="-0.17500000000000002"/>
    <n v="2015"/>
    <x v="0"/>
    <n v="1"/>
    <n v="167.49600000000001"/>
    <s v="Loss"/>
  </r>
  <r>
    <s v="CA-2015-137946"/>
    <d v="2015-01-09T00:00:00"/>
    <x v="1"/>
    <x v="1"/>
    <x v="60"/>
    <n v="4.7519999999999998"/>
    <n v="1"/>
    <n v="1.6037999999999999"/>
    <n v="0.33749999999999997"/>
    <n v="2015"/>
    <x v="0"/>
    <n v="1"/>
    <n v="4.7519999999999998"/>
    <s v="Profit"/>
  </r>
  <r>
    <s v="CA-2015-137946"/>
    <d v="2015-01-09T00:00:00"/>
    <x v="1"/>
    <x v="2"/>
    <x v="1074"/>
    <n v="959.98400000000004"/>
    <n v="2"/>
    <n v="335.99439999999998"/>
    <n v="0.35"/>
    <n v="2015"/>
    <x v="0"/>
    <n v="1"/>
    <n v="479.99200000000002"/>
    <s v="Profit"/>
  </r>
  <r>
    <s v="CA-2015-137946"/>
    <d v="2015-01-09T00:00:00"/>
    <x v="1"/>
    <x v="1"/>
    <x v="778"/>
    <n v="14.368"/>
    <n v="4"/>
    <n v="4.49"/>
    <n v="0.3125"/>
    <n v="2015"/>
    <x v="0"/>
    <n v="1"/>
    <n v="3.5920000000000001"/>
    <s v="Profit"/>
  </r>
  <r>
    <s v="CA-2015-104626"/>
    <d v="2015-01-09T00:00:00"/>
    <x v="0"/>
    <x v="1"/>
    <x v="851"/>
    <n v="114.6"/>
    <n v="5"/>
    <n v="51.57"/>
    <n v="0.45"/>
    <n v="2015"/>
    <x v="0"/>
    <n v="1"/>
    <n v="22.919999999999998"/>
    <s v="Profit"/>
  </r>
  <r>
    <s v="CA-2015-104626"/>
    <d v="2015-01-09T00:00:00"/>
    <x v="0"/>
    <x v="0"/>
    <x v="411"/>
    <n v="60.74"/>
    <n v="1"/>
    <n v="15.185"/>
    <n v="0.25"/>
    <n v="2015"/>
    <x v="0"/>
    <n v="1"/>
    <n v="60.74"/>
    <s v="Profit"/>
  </r>
  <r>
    <s v="CA-2015-104626"/>
    <d v="2015-01-09T00:00:00"/>
    <x v="0"/>
    <x v="0"/>
    <x v="1353"/>
    <n v="124.36"/>
    <n v="2"/>
    <n v="27.359200000000001"/>
    <n v="0.22"/>
    <n v="2015"/>
    <x v="0"/>
    <n v="1"/>
    <n v="62.18"/>
    <s v="Profit"/>
  </r>
  <r>
    <s v="CA-2015-104626"/>
    <d v="2015-01-09T00:00:00"/>
    <x v="0"/>
    <x v="1"/>
    <x v="538"/>
    <n v="1088.76"/>
    <n v="6"/>
    <n v="315.74040000000002"/>
    <n v="0.29000000000000004"/>
    <n v="2015"/>
    <x v="0"/>
    <n v="1"/>
    <n v="181.46"/>
    <s v="Profit"/>
  </r>
  <r>
    <s v="CA-2015-166135"/>
    <d v="2015-01-10T00:00:00"/>
    <x v="1"/>
    <x v="1"/>
    <x v="406"/>
    <n v="139.42400000000001"/>
    <n v="4"/>
    <n v="17.428000000000001"/>
    <n v="0.125"/>
    <n v="2015"/>
    <x v="0"/>
    <n v="1"/>
    <n v="34.856000000000002"/>
    <s v="Profit"/>
  </r>
  <r>
    <s v="CA-2015-115392"/>
    <d v="2015-01-10T00:00:00"/>
    <x v="0"/>
    <x v="2"/>
    <x v="609"/>
    <n v="311.98"/>
    <n v="2"/>
    <n v="93.593999999999994"/>
    <n v="0.3"/>
    <n v="2015"/>
    <x v="0"/>
    <n v="1"/>
    <n v="155.99"/>
    <s v="Profit"/>
  </r>
  <r>
    <s v="CA-2015-115392"/>
    <d v="2015-01-10T00:00:00"/>
    <x v="0"/>
    <x v="1"/>
    <x v="778"/>
    <n v="22.45"/>
    <n v="5"/>
    <n v="10.327"/>
    <n v="0.46"/>
    <n v="2015"/>
    <x v="0"/>
    <n v="1"/>
    <n v="4.49"/>
    <s v="Profit"/>
  </r>
  <r>
    <s v="CA-2015-148873"/>
    <d v="2015-01-10T00:00:00"/>
    <x v="2"/>
    <x v="1"/>
    <x v="1354"/>
    <n v="2.992"/>
    <n v="4"/>
    <n v="-4.4880000000000004"/>
    <n v="-1.5000000000000002"/>
    <n v="2015"/>
    <x v="0"/>
    <n v="1"/>
    <n v="0.748"/>
    <s v="Loss"/>
  </r>
  <r>
    <s v="CA-2015-148873"/>
    <d v="2015-01-10T00:00:00"/>
    <x v="2"/>
    <x v="2"/>
    <x v="1355"/>
    <n v="108.768"/>
    <n v="4"/>
    <n v="2.7191999999999998"/>
    <n v="2.4999999999999998E-2"/>
    <n v="2015"/>
    <x v="0"/>
    <n v="1"/>
    <n v="27.192"/>
    <s v="Profit"/>
  </r>
  <r>
    <s v="CA-2015-156566"/>
    <d v="2015-01-10T00:00:00"/>
    <x v="1"/>
    <x v="2"/>
    <x v="213"/>
    <n v="572.79999999999995"/>
    <n v="2"/>
    <n v="50.12"/>
    <n v="8.7500000000000008E-2"/>
    <n v="2015"/>
    <x v="0"/>
    <n v="1"/>
    <n v="286.39999999999998"/>
    <s v="Profit"/>
  </r>
  <r>
    <s v="CA-2015-105221"/>
    <d v="2015-01-11T00:00:00"/>
    <x v="0"/>
    <x v="2"/>
    <x v="428"/>
    <n v="35.36"/>
    <n v="2"/>
    <n v="-3.0939999999999999"/>
    <n v="-8.7499999999999994E-2"/>
    <n v="2015"/>
    <x v="0"/>
    <n v="1"/>
    <n v="17.68"/>
    <s v="Loss"/>
  </r>
  <r>
    <s v="CA-2015-105221"/>
    <d v="2015-01-11T00:00:00"/>
    <x v="0"/>
    <x v="1"/>
    <x v="576"/>
    <n v="3.1680000000000001"/>
    <n v="2"/>
    <n v="-0.71279999999999999"/>
    <n v="-0.22499999999999998"/>
    <n v="2015"/>
    <x v="0"/>
    <n v="1"/>
    <n v="1.5840000000000001"/>
    <s v="Loss"/>
  </r>
  <r>
    <s v="CA-2015-130995"/>
    <d v="2015-01-11T00:00:00"/>
    <x v="0"/>
    <x v="2"/>
    <x v="136"/>
    <n v="4.95"/>
    <n v="1"/>
    <n v="1.3365"/>
    <n v="0.27"/>
    <n v="2015"/>
    <x v="0"/>
    <n v="1"/>
    <n v="4.95"/>
    <s v="Profit"/>
  </r>
  <r>
    <s v="CA-2015-113145"/>
    <d v="2015-01-11T00:00:00"/>
    <x v="0"/>
    <x v="1"/>
    <x v="597"/>
    <n v="13.52"/>
    <n v="4"/>
    <n v="6.2191999999999998"/>
    <n v="0.46"/>
    <n v="2015"/>
    <x v="0"/>
    <n v="1"/>
    <n v="3.38"/>
    <s v="Profit"/>
  </r>
  <r>
    <s v="CA-2015-113145"/>
    <d v="2015-01-11T00:00:00"/>
    <x v="0"/>
    <x v="0"/>
    <x v="1271"/>
    <n v="259.7"/>
    <n v="5"/>
    <n v="106.477"/>
    <n v="0.41000000000000003"/>
    <n v="2015"/>
    <x v="0"/>
    <n v="1"/>
    <n v="51.94"/>
    <s v="Profit"/>
  </r>
  <r>
    <s v="CA-2015-113145"/>
    <d v="2015-01-11T00:00:00"/>
    <x v="0"/>
    <x v="2"/>
    <x v="862"/>
    <n v="42.95"/>
    <n v="1"/>
    <n v="1.2885"/>
    <n v="0.03"/>
    <n v="2015"/>
    <x v="0"/>
    <n v="1"/>
    <n v="42.95"/>
    <s v="Profit"/>
  </r>
  <r>
    <s v="CA-2015-113145"/>
    <d v="2015-01-11T00:00:00"/>
    <x v="0"/>
    <x v="2"/>
    <x v="808"/>
    <n v="1399.93"/>
    <n v="7"/>
    <n v="601.96990000000005"/>
    <n v="0.43"/>
    <n v="2015"/>
    <x v="0"/>
    <n v="1"/>
    <n v="199.99"/>
    <s v="Profit"/>
  </r>
  <r>
    <s v="CA-2015-113145"/>
    <d v="2015-01-11T00:00:00"/>
    <x v="0"/>
    <x v="2"/>
    <x v="1356"/>
    <n v="503.96"/>
    <n v="4"/>
    <n v="125.99"/>
    <n v="0.25"/>
    <n v="2015"/>
    <x v="0"/>
    <n v="1"/>
    <n v="125.99"/>
    <s v="Profit"/>
  </r>
  <r>
    <s v="US-2015-110163"/>
    <d v="2015-01-11T00:00:00"/>
    <x v="1"/>
    <x v="1"/>
    <x v="1357"/>
    <n v="7.88"/>
    <n v="1"/>
    <n v="1.7729999999999999"/>
    <n v="0.22499999999999998"/>
    <n v="2015"/>
    <x v="0"/>
    <n v="1"/>
    <n v="7.88"/>
    <s v="Profit"/>
  </r>
  <r>
    <s v="CA-2015-108119"/>
    <d v="2015-01-11T00:00:00"/>
    <x v="3"/>
    <x v="0"/>
    <x v="884"/>
    <n v="301.95999999999998"/>
    <n v="2"/>
    <n v="45.293999999999997"/>
    <n v="0.15"/>
    <n v="2015"/>
    <x v="0"/>
    <n v="1"/>
    <n v="150.97999999999999"/>
    <s v="Profit"/>
  </r>
  <r>
    <s v="CA-2015-126739"/>
    <d v="2015-01-11T00:00:00"/>
    <x v="0"/>
    <x v="0"/>
    <x v="608"/>
    <n v="327.56400000000002"/>
    <n v="4"/>
    <n v="21.837599999999998"/>
    <n v="6.6666666666666652E-2"/>
    <n v="2015"/>
    <x v="0"/>
    <n v="1"/>
    <n v="81.891000000000005"/>
    <s v="Profit"/>
  </r>
  <r>
    <s v="CA-2015-141740"/>
    <d v="2015-01-11T00:00:00"/>
    <x v="0"/>
    <x v="0"/>
    <x v="790"/>
    <n v="205.16399999999999"/>
    <n v="2"/>
    <n v="13.6776"/>
    <n v="6.6666666666666666E-2"/>
    <n v="2015"/>
    <x v="0"/>
    <n v="1"/>
    <n v="102.58199999999999"/>
    <s v="Profit"/>
  </r>
  <r>
    <s v="CA-2015-119907"/>
    <d v="2015-01-12T00:00:00"/>
    <x v="1"/>
    <x v="1"/>
    <x v="1358"/>
    <n v="55.423999999999999"/>
    <n v="2"/>
    <n v="19.398399999999999"/>
    <n v="0.35"/>
    <n v="2015"/>
    <x v="0"/>
    <n v="1"/>
    <n v="27.712"/>
    <s v="Profit"/>
  </r>
  <r>
    <s v="US-2015-105676"/>
    <d v="2015-01-12T00:00:00"/>
    <x v="2"/>
    <x v="0"/>
    <x v="362"/>
    <n v="6.6879999999999997"/>
    <n v="4"/>
    <n v="-4.0128000000000004"/>
    <n v="-0.60000000000000009"/>
    <n v="2015"/>
    <x v="0"/>
    <n v="1"/>
    <n v="1.6719999999999999"/>
    <s v="Loss"/>
  </r>
  <r>
    <s v="CA-2015-103723"/>
    <d v="2015-01-12T00:00:00"/>
    <x v="1"/>
    <x v="1"/>
    <x v="315"/>
    <n v="13.9"/>
    <n v="5"/>
    <n v="5.56"/>
    <n v="0.39999999999999997"/>
    <n v="2015"/>
    <x v="0"/>
    <n v="1"/>
    <n v="2.7800000000000002"/>
    <s v="Profit"/>
  </r>
  <r>
    <s v="US-2015-148817"/>
    <d v="2015-01-12T00:00:00"/>
    <x v="3"/>
    <x v="1"/>
    <x v="659"/>
    <n v="61.68"/>
    <n v="4"/>
    <n v="16.653600000000001"/>
    <n v="0.27"/>
    <n v="2015"/>
    <x v="0"/>
    <n v="1"/>
    <n v="15.42"/>
    <s v="Profit"/>
  </r>
  <r>
    <s v="US-2015-148817"/>
    <d v="2015-01-12T00:00:00"/>
    <x v="3"/>
    <x v="1"/>
    <x v="356"/>
    <n v="63.96"/>
    <n v="4"/>
    <n v="30.700800000000001"/>
    <n v="0.48"/>
    <n v="2015"/>
    <x v="0"/>
    <n v="1"/>
    <n v="15.99"/>
    <s v="Profit"/>
  </r>
  <r>
    <s v="CA-2015-137113"/>
    <d v="2015-01-12T00:00:00"/>
    <x v="1"/>
    <x v="0"/>
    <x v="1188"/>
    <n v="2003.92"/>
    <n v="5"/>
    <n v="125.245"/>
    <n v="6.25E-2"/>
    <n v="2015"/>
    <x v="0"/>
    <n v="1"/>
    <n v="400.78399999999999"/>
    <s v="Profit"/>
  </r>
  <r>
    <s v="CA-2015-137113"/>
    <d v="2015-01-12T00:00:00"/>
    <x v="1"/>
    <x v="1"/>
    <x v="1359"/>
    <n v="32.4"/>
    <n v="5"/>
    <n v="15.552"/>
    <n v="0.48"/>
    <n v="2015"/>
    <x v="0"/>
    <n v="1"/>
    <n v="6.4799999999999995"/>
    <s v="Profit"/>
  </r>
  <r>
    <s v="CA-2015-137113"/>
    <d v="2015-01-12T00:00:00"/>
    <x v="1"/>
    <x v="0"/>
    <x v="560"/>
    <n v="1913.4"/>
    <n v="9"/>
    <n v="401.81400000000002"/>
    <n v="0.21"/>
    <n v="2015"/>
    <x v="0"/>
    <n v="1"/>
    <n v="212.60000000000002"/>
    <s v="Profit"/>
  </r>
  <r>
    <s v="CA-2015-137113"/>
    <d v="2015-01-12T00:00:00"/>
    <x v="1"/>
    <x v="1"/>
    <x v="712"/>
    <n v="146.72999999999999"/>
    <n v="3"/>
    <n v="2.9346000000000001"/>
    <n v="0.02"/>
    <n v="2015"/>
    <x v="0"/>
    <n v="1"/>
    <n v="48.91"/>
    <s v="Profit"/>
  </r>
  <r>
    <s v="CA-2015-137113"/>
    <d v="2015-01-12T00:00:00"/>
    <x v="1"/>
    <x v="1"/>
    <x v="1115"/>
    <n v="114.2"/>
    <n v="5"/>
    <n v="52.531999999999996"/>
    <n v="0.45999999999999996"/>
    <n v="2015"/>
    <x v="0"/>
    <n v="1"/>
    <n v="22.84"/>
    <s v="Profit"/>
  </r>
  <r>
    <s v="CA-2015-111038"/>
    <d v="2015-01-12T00:00:00"/>
    <x v="1"/>
    <x v="0"/>
    <x v="861"/>
    <n v="2676.672"/>
    <n v="9"/>
    <n v="267.66719999999998"/>
    <n v="9.9999999999999992E-2"/>
    <n v="2015"/>
    <x v="0"/>
    <n v="1"/>
    <n v="297.40800000000002"/>
    <s v="Profit"/>
  </r>
  <r>
    <s v="CA-2015-110324"/>
    <d v="2015-01-12T00:00:00"/>
    <x v="2"/>
    <x v="1"/>
    <x v="1360"/>
    <n v="19.440000000000001"/>
    <n v="3"/>
    <n v="9.3312000000000008"/>
    <n v="0.48000000000000004"/>
    <n v="2015"/>
    <x v="0"/>
    <n v="1"/>
    <n v="6.48"/>
    <s v="Profit"/>
  </r>
  <r>
    <s v="CA-2015-110324"/>
    <d v="2015-01-12T00:00:00"/>
    <x v="2"/>
    <x v="1"/>
    <x v="1361"/>
    <n v="3.64"/>
    <n v="2"/>
    <n v="1.0192000000000001"/>
    <n v="0.28000000000000003"/>
    <n v="2015"/>
    <x v="0"/>
    <n v="1"/>
    <n v="1.82"/>
    <s v="Profit"/>
  </r>
  <r>
    <s v="CA-2015-110324"/>
    <d v="2015-01-12T00:00:00"/>
    <x v="2"/>
    <x v="1"/>
    <x v="835"/>
    <n v="18.54"/>
    <n v="2"/>
    <n v="8.7138000000000009"/>
    <n v="0.47000000000000008"/>
    <n v="2015"/>
    <x v="0"/>
    <n v="1"/>
    <n v="9.27"/>
    <s v="Profit"/>
  </r>
  <r>
    <s v="CA-2015-146262"/>
    <d v="2015-02-01T00:00:00"/>
    <x v="0"/>
    <x v="1"/>
    <x v="160"/>
    <n v="23.68"/>
    <n v="2"/>
    <n v="8.8800000000000008"/>
    <n v="0.37500000000000006"/>
    <n v="2015"/>
    <x v="1"/>
    <n v="2"/>
    <n v="11.84"/>
    <s v="Profit"/>
  </r>
  <r>
    <s v="CA-2015-146262"/>
    <d v="2015-02-01T00:00:00"/>
    <x v="0"/>
    <x v="0"/>
    <x v="1362"/>
    <n v="452.45"/>
    <n v="5"/>
    <n v="-244.32300000000001"/>
    <n v="-0.54"/>
    <n v="2015"/>
    <x v="1"/>
    <n v="2"/>
    <n v="90.49"/>
    <s v="Loss"/>
  </r>
  <r>
    <s v="CA-2015-146262"/>
    <d v="2015-02-01T00:00:00"/>
    <x v="0"/>
    <x v="2"/>
    <x v="1363"/>
    <n v="62.981999999999999"/>
    <n v="3"/>
    <n v="-14.6958"/>
    <n v="-0.23333333333333334"/>
    <n v="2015"/>
    <x v="1"/>
    <n v="2"/>
    <n v="20.994"/>
    <s v="Loss"/>
  </r>
  <r>
    <s v="CA-2015-146262"/>
    <d v="2015-02-01T00:00:00"/>
    <x v="0"/>
    <x v="2"/>
    <x v="1364"/>
    <n v="1188"/>
    <n v="9"/>
    <n v="-950.4"/>
    <n v="-0.79999999999999993"/>
    <n v="2015"/>
    <x v="1"/>
    <n v="2"/>
    <n v="132"/>
    <s v="Loss"/>
  </r>
  <r>
    <s v="CA-2015-146262"/>
    <d v="2015-02-01T00:00:00"/>
    <x v="0"/>
    <x v="2"/>
    <x v="157"/>
    <n v="89.584000000000003"/>
    <n v="2"/>
    <n v="4.4791999999999996"/>
    <n v="4.9999999999999996E-2"/>
    <n v="2015"/>
    <x v="1"/>
    <n v="2"/>
    <n v="44.792000000000002"/>
    <s v="Profit"/>
  </r>
  <r>
    <s v="CA-2015-104514"/>
    <d v="2015-02-01T00:00:00"/>
    <x v="0"/>
    <x v="1"/>
    <x v="601"/>
    <n v="85.52"/>
    <n v="2"/>
    <n v="22.235199999999999"/>
    <n v="0.26"/>
    <n v="2015"/>
    <x v="1"/>
    <n v="2"/>
    <n v="42.76"/>
    <s v="Profit"/>
  </r>
  <r>
    <s v="CA-2015-104514"/>
    <d v="2015-02-01T00:00:00"/>
    <x v="0"/>
    <x v="1"/>
    <x v="1365"/>
    <n v="9.84"/>
    <n v="3"/>
    <n v="2.6568000000000001"/>
    <n v="0.27"/>
    <n v="2015"/>
    <x v="1"/>
    <n v="2"/>
    <n v="3.28"/>
    <s v="Profit"/>
  </r>
  <r>
    <s v="CA-2015-104514"/>
    <d v="2015-02-01T00:00:00"/>
    <x v="0"/>
    <x v="1"/>
    <x v="1366"/>
    <n v="20.04"/>
    <n v="3"/>
    <n v="9.6191999999999993"/>
    <n v="0.48"/>
    <n v="2015"/>
    <x v="1"/>
    <n v="2"/>
    <n v="6.68"/>
    <s v="Profit"/>
  </r>
  <r>
    <s v="CA-2015-110457"/>
    <d v="2015-02-03T00:00:00"/>
    <x v="1"/>
    <x v="0"/>
    <x v="987"/>
    <n v="787.53"/>
    <n v="3"/>
    <n v="165.38130000000001"/>
    <n v="0.21000000000000002"/>
    <n v="2015"/>
    <x v="1"/>
    <n v="2"/>
    <n v="262.51"/>
    <s v="Profit"/>
  </r>
  <r>
    <s v="CA-2015-105970"/>
    <d v="2015-02-03T00:00:00"/>
    <x v="2"/>
    <x v="1"/>
    <x v="563"/>
    <n v="10.16"/>
    <n v="1"/>
    <n v="2.6415999999999999"/>
    <n v="0.26"/>
    <n v="2015"/>
    <x v="1"/>
    <n v="2"/>
    <n v="10.16"/>
    <s v="Profit"/>
  </r>
  <r>
    <s v="CA-2015-105970"/>
    <d v="2015-02-03T00:00:00"/>
    <x v="2"/>
    <x v="1"/>
    <x v="373"/>
    <n v="101.88"/>
    <n v="6"/>
    <n v="50.94"/>
    <n v="0.5"/>
    <n v="2015"/>
    <x v="1"/>
    <n v="2"/>
    <n v="16.98"/>
    <s v="Profit"/>
  </r>
  <r>
    <s v="US-2015-122140"/>
    <d v="2015-02-04T00:00:00"/>
    <x v="2"/>
    <x v="1"/>
    <x v="1331"/>
    <n v="32.192"/>
    <n v="2"/>
    <n v="-80.48"/>
    <n v="-2.5"/>
    <n v="2015"/>
    <x v="1"/>
    <n v="2"/>
    <n v="16.096"/>
    <s v="Loss"/>
  </r>
  <r>
    <s v="US-2015-122140"/>
    <d v="2015-02-04T00:00:00"/>
    <x v="2"/>
    <x v="2"/>
    <x v="272"/>
    <n v="50.12"/>
    <n v="7"/>
    <n v="-0.62649999999999995"/>
    <n v="-1.2499999999999999E-2"/>
    <n v="2015"/>
    <x v="1"/>
    <n v="2"/>
    <n v="7.1599999999999993"/>
    <s v="Loss"/>
  </r>
  <r>
    <s v="US-2015-122140"/>
    <d v="2015-02-04T00:00:00"/>
    <x v="2"/>
    <x v="2"/>
    <x v="602"/>
    <n v="47.975999999999999"/>
    <n v="3"/>
    <n v="1.7990999999999999"/>
    <n v="3.7499999999999999E-2"/>
    <n v="2015"/>
    <x v="1"/>
    <n v="2"/>
    <n v="15.991999999999999"/>
    <s v="Profit"/>
  </r>
  <r>
    <s v="CA-2015-136378"/>
    <d v="2015-02-04T00:00:00"/>
    <x v="2"/>
    <x v="1"/>
    <x v="239"/>
    <n v="9.1560000000000006"/>
    <n v="3"/>
    <n v="-13.734"/>
    <n v="-1.5"/>
    <n v="2015"/>
    <x v="1"/>
    <n v="2"/>
    <n v="3.052"/>
    <s v="Loss"/>
  </r>
  <r>
    <s v="US-2015-159513"/>
    <d v="2015-02-04T00:00:00"/>
    <x v="1"/>
    <x v="2"/>
    <x v="1367"/>
    <n v="71.975999999999999"/>
    <n v="3"/>
    <n v="24.291899999999998"/>
    <n v="0.33749999999999997"/>
    <n v="2015"/>
    <x v="1"/>
    <n v="2"/>
    <n v="23.992000000000001"/>
    <s v="Profit"/>
  </r>
  <r>
    <s v="US-2015-142811"/>
    <d v="2015-02-04T00:00:00"/>
    <x v="1"/>
    <x v="2"/>
    <x v="473"/>
    <n v="87.8"/>
    <n v="5"/>
    <n v="32.924999999999997"/>
    <n v="0.375"/>
    <n v="2015"/>
    <x v="1"/>
    <n v="2"/>
    <n v="17.559999999999999"/>
    <s v="Profit"/>
  </r>
  <r>
    <s v="CA-2015-116687"/>
    <d v="2015-02-05T00:00:00"/>
    <x v="2"/>
    <x v="1"/>
    <x v="726"/>
    <n v="8.8559999999999999"/>
    <n v="3"/>
    <n v="2.9889000000000001"/>
    <n v="0.33750000000000002"/>
    <n v="2015"/>
    <x v="1"/>
    <n v="2"/>
    <n v="2.952"/>
    <s v="Profit"/>
  </r>
  <r>
    <s v="CA-2015-116687"/>
    <d v="2015-02-05T00:00:00"/>
    <x v="2"/>
    <x v="2"/>
    <x v="660"/>
    <n v="158.376"/>
    <n v="3"/>
    <n v="13.857900000000001"/>
    <n v="8.7500000000000008E-2"/>
    <n v="2015"/>
    <x v="1"/>
    <n v="2"/>
    <n v="52.792000000000002"/>
    <s v="Profit"/>
  </r>
  <r>
    <s v="CA-2015-120397"/>
    <d v="2015-02-07T00:00:00"/>
    <x v="2"/>
    <x v="1"/>
    <x v="248"/>
    <n v="32.783999999999999"/>
    <n v="4"/>
    <n v="-85.238399999999999"/>
    <n v="-2.6"/>
    <n v="2015"/>
    <x v="1"/>
    <n v="2"/>
    <n v="8.1959999999999997"/>
    <s v="Loss"/>
  </r>
  <r>
    <s v="CA-2015-157322"/>
    <d v="2015-02-07T00:00:00"/>
    <x v="2"/>
    <x v="0"/>
    <x v="564"/>
    <n v="408.42200000000003"/>
    <n v="2"/>
    <n v="-5.8346"/>
    <n v="-1.4285714285714285E-2"/>
    <n v="2015"/>
    <x v="1"/>
    <n v="2"/>
    <n v="204.21100000000001"/>
    <s v="Loss"/>
  </r>
  <r>
    <s v="CA-2015-157322"/>
    <d v="2015-02-07T00:00:00"/>
    <x v="2"/>
    <x v="0"/>
    <x v="20"/>
    <n v="382.11599999999999"/>
    <n v="6"/>
    <n v="-92.799599999999998"/>
    <n v="-0.24285714285714285"/>
    <n v="2015"/>
    <x v="1"/>
    <n v="2"/>
    <n v="63.686"/>
    <s v="Loss"/>
  </r>
  <r>
    <s v="CA-2015-157322"/>
    <d v="2015-02-07T00:00:00"/>
    <x v="2"/>
    <x v="1"/>
    <x v="137"/>
    <n v="68.599999999999994"/>
    <n v="5"/>
    <n v="6.0025000000000004"/>
    <n v="8.7500000000000008E-2"/>
    <n v="2015"/>
    <x v="1"/>
    <n v="2"/>
    <n v="13.719999999999999"/>
    <s v="Profit"/>
  </r>
  <r>
    <s v="CA-2015-157322"/>
    <d v="2015-02-07T00:00:00"/>
    <x v="2"/>
    <x v="1"/>
    <x v="538"/>
    <n v="435.50400000000002"/>
    <n v="3"/>
    <n v="48.994199999999999"/>
    <n v="0.11249999999999999"/>
    <n v="2015"/>
    <x v="1"/>
    <n v="2"/>
    <n v="145.16800000000001"/>
    <s v="Profit"/>
  </r>
  <r>
    <s v="CA-2015-157322"/>
    <d v="2015-02-07T00:00:00"/>
    <x v="2"/>
    <x v="1"/>
    <x v="1283"/>
    <n v="11.167999999999999"/>
    <n v="2"/>
    <n v="3.7692000000000001"/>
    <n v="0.33750000000000002"/>
    <n v="2015"/>
    <x v="1"/>
    <n v="2"/>
    <n v="5.5839999999999996"/>
    <s v="Profit"/>
  </r>
  <r>
    <s v="CA-2015-111703"/>
    <d v="2015-02-07T00:00:00"/>
    <x v="3"/>
    <x v="1"/>
    <x v="124"/>
    <n v="11.952"/>
    <n v="3"/>
    <n v="4.0338000000000003"/>
    <n v="0.33750000000000002"/>
    <n v="2015"/>
    <x v="1"/>
    <n v="2"/>
    <n v="3.984"/>
    <s v="Profit"/>
  </r>
  <r>
    <s v="CA-2015-111703"/>
    <d v="2015-02-07T00:00:00"/>
    <x v="3"/>
    <x v="1"/>
    <x v="1054"/>
    <n v="15.552"/>
    <n v="3"/>
    <n v="5.6375999999999999"/>
    <n v="0.36249999999999999"/>
    <n v="2015"/>
    <x v="1"/>
    <n v="2"/>
    <n v="5.1840000000000002"/>
    <s v="Profit"/>
  </r>
  <r>
    <s v="CA-2015-150196"/>
    <d v="2015-02-07T00:00:00"/>
    <x v="0"/>
    <x v="1"/>
    <x v="900"/>
    <n v="19.440000000000001"/>
    <n v="3"/>
    <n v="9.3312000000000008"/>
    <n v="0.48000000000000004"/>
    <n v="2015"/>
    <x v="1"/>
    <n v="2"/>
    <n v="6.48"/>
    <s v="Profit"/>
  </r>
  <r>
    <s v="CA-2015-140718"/>
    <d v="2015-02-07T00:00:00"/>
    <x v="3"/>
    <x v="2"/>
    <x v="445"/>
    <n v="74.239999999999995"/>
    <n v="1"/>
    <n v="8.3520000000000003"/>
    <n v="0.11250000000000002"/>
    <n v="2015"/>
    <x v="1"/>
    <n v="2"/>
    <n v="74.239999999999995"/>
    <s v="Profit"/>
  </r>
  <r>
    <s v="CA-2015-140718"/>
    <d v="2015-02-07T00:00:00"/>
    <x v="3"/>
    <x v="0"/>
    <x v="416"/>
    <n v="159.84"/>
    <n v="10"/>
    <n v="45.954000000000001"/>
    <n v="0.28749999999999998"/>
    <n v="2015"/>
    <x v="1"/>
    <n v="2"/>
    <n v="15.984"/>
    <s v="Profit"/>
  </r>
  <r>
    <s v="CA-2015-140718"/>
    <d v="2015-02-07T00:00:00"/>
    <x v="3"/>
    <x v="1"/>
    <x v="503"/>
    <n v="2.8919999999999999"/>
    <n v="2"/>
    <n v="-2.3136000000000001"/>
    <n v="-0.8"/>
    <n v="2015"/>
    <x v="1"/>
    <n v="2"/>
    <n v="1.446"/>
    <s v="Loss"/>
  </r>
  <r>
    <s v="CA-2015-140718"/>
    <d v="2015-02-07T00:00:00"/>
    <x v="3"/>
    <x v="1"/>
    <x v="376"/>
    <n v="9.3919999999999995"/>
    <n v="2"/>
    <n v="3.2871999999999999"/>
    <n v="0.35000000000000003"/>
    <n v="2015"/>
    <x v="1"/>
    <n v="2"/>
    <n v="4.6959999999999997"/>
    <s v="Profit"/>
  </r>
  <r>
    <s v="CA-2015-147501"/>
    <d v="2015-02-08T00:00:00"/>
    <x v="1"/>
    <x v="1"/>
    <x v="95"/>
    <n v="6.3680000000000003"/>
    <n v="2"/>
    <n v="2.1492"/>
    <n v="0.33749999999999997"/>
    <n v="2015"/>
    <x v="1"/>
    <n v="2"/>
    <n v="3.1840000000000002"/>
    <s v="Profit"/>
  </r>
  <r>
    <s v="CA-2015-147501"/>
    <d v="2015-02-08T00:00:00"/>
    <x v="1"/>
    <x v="2"/>
    <x v="1183"/>
    <n v="558.4"/>
    <n v="2"/>
    <n v="41.88"/>
    <n v="7.5000000000000011E-2"/>
    <n v="2015"/>
    <x v="1"/>
    <n v="2"/>
    <n v="279.2"/>
    <s v="Profit"/>
  </r>
  <r>
    <s v="CA-2015-122406"/>
    <d v="2015-02-08T00:00:00"/>
    <x v="0"/>
    <x v="2"/>
    <x v="862"/>
    <n v="128.85"/>
    <n v="3"/>
    <n v="3.8654999999999999"/>
    <n v="3.0000000000000002E-2"/>
    <n v="2015"/>
    <x v="1"/>
    <n v="2"/>
    <n v="42.949999999999996"/>
    <s v="Profit"/>
  </r>
  <r>
    <s v="CA-2015-122406"/>
    <d v="2015-02-08T00:00:00"/>
    <x v="0"/>
    <x v="1"/>
    <x v="257"/>
    <n v="8.4"/>
    <n v="2"/>
    <n v="4.1159999999999997"/>
    <n v="0.48999999999999994"/>
    <n v="2015"/>
    <x v="1"/>
    <n v="2"/>
    <n v="4.2"/>
    <s v="Profit"/>
  </r>
  <r>
    <s v="CA-2015-122406"/>
    <d v="2015-02-08T00:00:00"/>
    <x v="0"/>
    <x v="2"/>
    <x v="452"/>
    <n v="199.98"/>
    <n v="2"/>
    <n v="83.991600000000005"/>
    <n v="0.42000000000000004"/>
    <n v="2015"/>
    <x v="1"/>
    <n v="2"/>
    <n v="99.99"/>
    <s v="Profit"/>
  </r>
  <r>
    <s v="CA-2015-122406"/>
    <d v="2015-02-08T00:00:00"/>
    <x v="0"/>
    <x v="0"/>
    <x v="219"/>
    <n v="110.98"/>
    <n v="1"/>
    <n v="15.5372"/>
    <n v="0.13999999999999999"/>
    <n v="2015"/>
    <x v="1"/>
    <n v="2"/>
    <n v="110.98"/>
    <s v="Profit"/>
  </r>
  <r>
    <s v="CA-2015-112767"/>
    <d v="2015-02-08T00:00:00"/>
    <x v="1"/>
    <x v="0"/>
    <x v="483"/>
    <n v="277.5"/>
    <n v="4"/>
    <n v="-188.7"/>
    <n v="-0.67999999999999994"/>
    <n v="2015"/>
    <x v="1"/>
    <n v="2"/>
    <n v="69.375"/>
    <s v="Loss"/>
  </r>
  <r>
    <s v="CA-2015-104493"/>
    <d v="2015-02-10T00:00:00"/>
    <x v="1"/>
    <x v="1"/>
    <x v="1368"/>
    <n v="57.503999999999998"/>
    <n v="6"/>
    <n v="20.1264"/>
    <n v="0.35000000000000003"/>
    <n v="2015"/>
    <x v="1"/>
    <n v="2"/>
    <n v="9.5839999999999996"/>
    <s v="Profit"/>
  </r>
  <r>
    <s v="US-2015-137008"/>
    <d v="2015-02-10T00:00:00"/>
    <x v="0"/>
    <x v="1"/>
    <x v="533"/>
    <n v="94.85"/>
    <n v="5"/>
    <n v="45.527999999999999"/>
    <n v="0.48000000000000004"/>
    <n v="2015"/>
    <x v="1"/>
    <n v="2"/>
    <n v="18.97"/>
    <s v="Profit"/>
  </r>
  <r>
    <s v="US-2015-137008"/>
    <d v="2015-02-10T00:00:00"/>
    <x v="0"/>
    <x v="1"/>
    <x v="951"/>
    <n v="51.12"/>
    <n v="4"/>
    <n v="23.004000000000001"/>
    <n v="0.45000000000000007"/>
    <n v="2015"/>
    <x v="1"/>
    <n v="2"/>
    <n v="12.78"/>
    <s v="Profit"/>
  </r>
  <r>
    <s v="US-2015-137008"/>
    <d v="2015-02-10T00:00:00"/>
    <x v="0"/>
    <x v="2"/>
    <x v="130"/>
    <n v="90"/>
    <n v="1"/>
    <n v="32.4"/>
    <n v="0.36"/>
    <n v="2015"/>
    <x v="1"/>
    <n v="2"/>
    <n v="90"/>
    <s v="Profit"/>
  </r>
  <r>
    <s v="US-2015-119312"/>
    <d v="2015-02-10T00:00:00"/>
    <x v="1"/>
    <x v="1"/>
    <x v="1369"/>
    <n v="270.33999999999997"/>
    <n v="14"/>
    <n v="75.6952"/>
    <n v="0.28000000000000003"/>
    <n v="2015"/>
    <x v="1"/>
    <n v="2"/>
    <n v="19.309999999999999"/>
    <s v="Profit"/>
  </r>
  <r>
    <s v="CA-2015-125696"/>
    <d v="2015-02-10T00:00:00"/>
    <x v="3"/>
    <x v="1"/>
    <x v="414"/>
    <n v="7.38"/>
    <n v="5"/>
    <n v="-5.4119999999999999"/>
    <n v="-0.73333333333333328"/>
    <n v="2015"/>
    <x v="1"/>
    <n v="2"/>
    <n v="1.476"/>
    <s v="Loss"/>
  </r>
  <r>
    <s v="CA-2015-129917"/>
    <d v="2015-02-10T00:00:00"/>
    <x v="1"/>
    <x v="1"/>
    <x v="414"/>
    <n v="11.808"/>
    <n v="3"/>
    <n v="4.1327999999999996"/>
    <n v="0.35"/>
    <n v="2015"/>
    <x v="1"/>
    <n v="2"/>
    <n v="3.9359999999999999"/>
    <s v="Profit"/>
  </r>
  <r>
    <s v="CA-2015-129917"/>
    <d v="2015-02-10T00:00:00"/>
    <x v="1"/>
    <x v="1"/>
    <x v="1370"/>
    <n v="53.567999999999998"/>
    <n v="4"/>
    <n v="19.418399999999998"/>
    <n v="0.36249999999999999"/>
    <n v="2015"/>
    <x v="1"/>
    <n v="2"/>
    <n v="13.391999999999999"/>
    <s v="Profit"/>
  </r>
  <r>
    <s v="CA-2015-129917"/>
    <d v="2015-02-10T00:00:00"/>
    <x v="1"/>
    <x v="2"/>
    <x v="1371"/>
    <n v="503.96"/>
    <n v="5"/>
    <n v="50.396000000000001"/>
    <n v="0.1"/>
    <n v="2015"/>
    <x v="1"/>
    <n v="2"/>
    <n v="100.792"/>
    <s v="Profit"/>
  </r>
  <r>
    <s v="US-2015-145121"/>
    <d v="2015-02-10T00:00:00"/>
    <x v="0"/>
    <x v="1"/>
    <x v="976"/>
    <n v="26.9"/>
    <n v="5"/>
    <n v="13.180999999999999"/>
    <n v="0.49"/>
    <n v="2015"/>
    <x v="1"/>
    <n v="2"/>
    <n v="5.38"/>
    <s v="Profit"/>
  </r>
  <r>
    <s v="CA-2015-140375"/>
    <d v="2015-02-10T00:00:00"/>
    <x v="0"/>
    <x v="1"/>
    <x v="484"/>
    <n v="19.440000000000001"/>
    <n v="3"/>
    <n v="9.3312000000000008"/>
    <n v="0.48000000000000004"/>
    <n v="2015"/>
    <x v="1"/>
    <n v="2"/>
    <n v="6.48"/>
    <s v="Profit"/>
  </r>
  <r>
    <s v="CA-2015-140375"/>
    <d v="2015-02-10T00:00:00"/>
    <x v="0"/>
    <x v="1"/>
    <x v="949"/>
    <n v="7.38"/>
    <n v="1"/>
    <n v="3.6162000000000001"/>
    <n v="0.49"/>
    <n v="2015"/>
    <x v="1"/>
    <n v="2"/>
    <n v="7.38"/>
    <s v="Profit"/>
  </r>
  <r>
    <s v="CA-2015-128356"/>
    <d v="2015-02-10T00:00:00"/>
    <x v="1"/>
    <x v="1"/>
    <x v="1372"/>
    <n v="10.944000000000001"/>
    <n v="2"/>
    <n v="0.95760000000000001"/>
    <n v="8.7499999999999994E-2"/>
    <n v="2015"/>
    <x v="1"/>
    <n v="2"/>
    <n v="5.4720000000000004"/>
    <s v="Profit"/>
  </r>
  <r>
    <s v="US-2015-144771"/>
    <d v="2015-02-10T00:00:00"/>
    <x v="1"/>
    <x v="0"/>
    <x v="330"/>
    <n v="11.032"/>
    <n v="1"/>
    <n v="3.0337999999999998"/>
    <n v="0.27499999999999997"/>
    <n v="2015"/>
    <x v="1"/>
    <n v="2"/>
    <n v="11.032"/>
    <s v="Profit"/>
  </r>
  <r>
    <s v="US-2015-144771"/>
    <d v="2015-02-10T00:00:00"/>
    <x v="1"/>
    <x v="2"/>
    <x v="428"/>
    <n v="53.04"/>
    <n v="3"/>
    <n v="-4.641"/>
    <n v="-8.7500000000000008E-2"/>
    <n v="2015"/>
    <x v="1"/>
    <n v="2"/>
    <n v="17.68"/>
    <s v="Loss"/>
  </r>
  <r>
    <s v="CA-2015-130890"/>
    <d v="2015-02-11T00:00:00"/>
    <x v="1"/>
    <x v="0"/>
    <x v="1373"/>
    <n v="1038.8399999999999"/>
    <n v="5"/>
    <n v="51.942"/>
    <n v="0.05"/>
    <n v="2015"/>
    <x v="1"/>
    <n v="2"/>
    <n v="207.76799999999997"/>
    <s v="Profit"/>
  </r>
  <r>
    <s v="CA-2015-125416"/>
    <d v="2015-02-11T00:00:00"/>
    <x v="1"/>
    <x v="2"/>
    <x v="580"/>
    <n v="447.93"/>
    <n v="9"/>
    <n v="49.272300000000001"/>
    <n v="0.11"/>
    <n v="2015"/>
    <x v="1"/>
    <n v="2"/>
    <n v="49.77"/>
    <s v="Profit"/>
  </r>
  <r>
    <s v="CA-2015-100657"/>
    <d v="2015-02-11T00:00:00"/>
    <x v="0"/>
    <x v="0"/>
    <x v="628"/>
    <n v="109.764"/>
    <n v="2"/>
    <n v="8.5372000000000003"/>
    <n v="7.7777777777777779E-2"/>
    <n v="2015"/>
    <x v="1"/>
    <n v="2"/>
    <n v="54.881999999999998"/>
    <s v="Profit"/>
  </r>
  <r>
    <s v="CA-2015-168207"/>
    <d v="2015-02-11T00:00:00"/>
    <x v="1"/>
    <x v="0"/>
    <x v="1216"/>
    <n v="96.96"/>
    <n v="6"/>
    <n v="33.936"/>
    <n v="0.35000000000000003"/>
    <n v="2015"/>
    <x v="1"/>
    <n v="2"/>
    <n v="16.16"/>
    <s v="Profit"/>
  </r>
  <r>
    <s v="CA-2015-168207"/>
    <d v="2015-02-11T00:00:00"/>
    <x v="1"/>
    <x v="1"/>
    <x v="349"/>
    <n v="117.488"/>
    <n v="7"/>
    <n v="41.120800000000003"/>
    <n v="0.35000000000000003"/>
    <n v="2015"/>
    <x v="1"/>
    <n v="2"/>
    <n v="16.783999999999999"/>
    <s v="Profit"/>
  </r>
  <r>
    <s v="CA-2015-168207"/>
    <d v="2015-02-11T00:00:00"/>
    <x v="1"/>
    <x v="1"/>
    <x v="582"/>
    <n v="11.952"/>
    <n v="3"/>
    <n v="4.1832000000000003"/>
    <n v="0.35000000000000003"/>
    <n v="2015"/>
    <x v="1"/>
    <n v="2"/>
    <n v="3.984"/>
    <s v="Profit"/>
  </r>
  <r>
    <s v="CA-2015-168207"/>
    <d v="2015-02-11T00:00:00"/>
    <x v="1"/>
    <x v="0"/>
    <x v="1374"/>
    <n v="512.49900000000002"/>
    <n v="3"/>
    <n v="-30.146999999999998"/>
    <n v="-5.8823529411764698E-2"/>
    <n v="2015"/>
    <x v="1"/>
    <n v="2"/>
    <n v="170.833"/>
    <s v="Loss"/>
  </r>
  <r>
    <s v="CA-2015-160227"/>
    <d v="2015-02-11T00:00:00"/>
    <x v="0"/>
    <x v="0"/>
    <x v="1335"/>
    <n v="2621.3220000000001"/>
    <n v="11"/>
    <n v="553.39020000000005"/>
    <n v="0.21111111111111111"/>
    <n v="2015"/>
    <x v="1"/>
    <n v="2"/>
    <n v="238.30200000000002"/>
    <s v="Profit"/>
  </r>
  <r>
    <s v="CA-2015-141810"/>
    <d v="2015-02-11T00:00:00"/>
    <x v="2"/>
    <x v="1"/>
    <x v="349"/>
    <n v="29.372"/>
    <n v="7"/>
    <n v="-46.995199999999997"/>
    <n v="-1.5999999999999999"/>
    <n v="2015"/>
    <x v="1"/>
    <n v="2"/>
    <n v="4.1959999999999997"/>
    <s v="Loss"/>
  </r>
  <r>
    <s v="CA-2015-141810"/>
    <d v="2015-02-11T00:00:00"/>
    <x v="2"/>
    <x v="2"/>
    <x v="651"/>
    <n v="344.70400000000001"/>
    <n v="2"/>
    <n v="38.779200000000003"/>
    <n v="0.1125"/>
    <n v="2015"/>
    <x v="1"/>
    <n v="2"/>
    <n v="172.352"/>
    <s v="Profit"/>
  </r>
  <r>
    <s v="CA-2015-138625"/>
    <d v="2015-02-11T00:00:00"/>
    <x v="3"/>
    <x v="1"/>
    <x v="1375"/>
    <n v="197.72"/>
    <n v="4"/>
    <n v="55.361600000000003"/>
    <n v="0.28000000000000003"/>
    <n v="2015"/>
    <x v="1"/>
    <n v="2"/>
    <n v="49.43"/>
    <s v="Profit"/>
  </r>
  <r>
    <s v="CA-2015-121097"/>
    <d v="2015-03-01T00:00:00"/>
    <x v="2"/>
    <x v="1"/>
    <x v="860"/>
    <n v="10.368"/>
    <n v="2"/>
    <n v="3.6288"/>
    <n v="0.35"/>
    <n v="2015"/>
    <x v="2"/>
    <n v="3"/>
    <n v="5.1840000000000002"/>
    <s v="Profit"/>
  </r>
  <r>
    <s v="CA-2015-141243"/>
    <d v="2015-03-01T00:00:00"/>
    <x v="2"/>
    <x v="2"/>
    <x v="1376"/>
    <n v="398.4"/>
    <n v="5"/>
    <n v="84.66"/>
    <n v="0.21249999999999999"/>
    <n v="2015"/>
    <x v="2"/>
    <n v="3"/>
    <n v="79.679999999999993"/>
    <s v="Profit"/>
  </r>
  <r>
    <s v="CA-2015-141243"/>
    <d v="2015-03-01T00:00:00"/>
    <x v="2"/>
    <x v="1"/>
    <x v="1377"/>
    <n v="7.056"/>
    <n v="3"/>
    <n v="0.79379999999999995"/>
    <n v="0.11249999999999999"/>
    <n v="2015"/>
    <x v="2"/>
    <n v="3"/>
    <n v="2.3519999999999999"/>
    <s v="Profit"/>
  </r>
  <r>
    <s v="CA-2015-141243"/>
    <d v="2015-03-01T00:00:00"/>
    <x v="2"/>
    <x v="0"/>
    <x v="1247"/>
    <n v="1352.3976"/>
    <n v="9"/>
    <n v="-437.54039999999998"/>
    <n v="-0.32352941176470584"/>
    <n v="2015"/>
    <x v="2"/>
    <n v="3"/>
    <n v="150.2664"/>
    <s v="Loss"/>
  </r>
  <r>
    <s v="CA-2015-140921"/>
    <d v="2015-03-02T00:00:00"/>
    <x v="2"/>
    <x v="0"/>
    <x v="1072"/>
    <n v="28.4"/>
    <n v="2"/>
    <n v="11.076000000000001"/>
    <n v="0.39"/>
    <n v="2015"/>
    <x v="2"/>
    <n v="3"/>
    <n v="14.2"/>
    <s v="Profit"/>
  </r>
  <r>
    <s v="CA-2015-140921"/>
    <d v="2015-03-02T00:00:00"/>
    <x v="2"/>
    <x v="2"/>
    <x v="1270"/>
    <n v="149.97"/>
    <n v="3"/>
    <n v="50.989800000000002"/>
    <n v="0.34"/>
    <n v="2015"/>
    <x v="2"/>
    <n v="3"/>
    <n v="49.99"/>
    <s v="Profit"/>
  </r>
  <r>
    <s v="CA-2015-157959"/>
    <d v="2015-03-02T00:00:00"/>
    <x v="1"/>
    <x v="0"/>
    <x v="433"/>
    <n v="136.91999999999999"/>
    <n v="4"/>
    <n v="41.076000000000001"/>
    <n v="0.30000000000000004"/>
    <n v="2015"/>
    <x v="2"/>
    <n v="3"/>
    <n v="34.229999999999997"/>
    <s v="Profit"/>
  </r>
  <r>
    <s v="CA-2015-132633"/>
    <d v="2015-03-02T00:00:00"/>
    <x v="1"/>
    <x v="1"/>
    <x v="274"/>
    <n v="12.144"/>
    <n v="3"/>
    <n v="4.0986000000000002"/>
    <n v="0.33750000000000002"/>
    <n v="2015"/>
    <x v="2"/>
    <n v="3"/>
    <n v="4.048"/>
    <s v="Profit"/>
  </r>
  <r>
    <s v="CA-2015-103093"/>
    <d v="2015-03-02T00:00:00"/>
    <x v="3"/>
    <x v="1"/>
    <x v="11"/>
    <n v="74.52"/>
    <n v="9"/>
    <n v="35.0244"/>
    <n v="0.47000000000000003"/>
    <n v="2015"/>
    <x v="2"/>
    <n v="3"/>
    <n v="8.2799999999999994"/>
    <s v="Profit"/>
  </r>
  <r>
    <s v="CA-2015-127327"/>
    <d v="2015-03-02T00:00:00"/>
    <x v="0"/>
    <x v="0"/>
    <x v="1311"/>
    <n v="90.882000000000005"/>
    <n v="1"/>
    <n v="15.147"/>
    <n v="0.16666666666666666"/>
    <n v="2015"/>
    <x v="2"/>
    <n v="3"/>
    <n v="90.882000000000005"/>
    <s v="Profit"/>
  </r>
  <r>
    <s v="CA-2015-107937"/>
    <d v="2015-03-05T00:00:00"/>
    <x v="1"/>
    <x v="0"/>
    <x v="1378"/>
    <n v="665.88"/>
    <n v="6"/>
    <n v="106.5408"/>
    <n v="0.16"/>
    <n v="2015"/>
    <x v="2"/>
    <n v="3"/>
    <n v="110.98"/>
    <s v="Profit"/>
  </r>
  <r>
    <s v="CA-2015-112130"/>
    <d v="2015-03-05T00:00:00"/>
    <x v="0"/>
    <x v="1"/>
    <x v="1379"/>
    <n v="59.904000000000003"/>
    <n v="2"/>
    <n v="14.2272"/>
    <n v="0.23749999999999999"/>
    <n v="2015"/>
    <x v="2"/>
    <n v="3"/>
    <n v="29.952000000000002"/>
    <s v="Profit"/>
  </r>
  <r>
    <s v="CA-2015-112130"/>
    <d v="2015-03-05T00:00:00"/>
    <x v="0"/>
    <x v="1"/>
    <x v="1380"/>
    <n v="23.696000000000002"/>
    <n v="2"/>
    <n v="6.5164"/>
    <n v="0.27499999999999997"/>
    <n v="2015"/>
    <x v="2"/>
    <n v="3"/>
    <n v="11.848000000000001"/>
    <s v="Profit"/>
  </r>
  <r>
    <s v="CA-2015-112130"/>
    <d v="2015-03-05T00:00:00"/>
    <x v="0"/>
    <x v="1"/>
    <x v="1381"/>
    <n v="7.968"/>
    <n v="2"/>
    <n v="2.8883999999999999"/>
    <n v="0.36249999999999999"/>
    <n v="2015"/>
    <x v="2"/>
    <n v="3"/>
    <n v="3.984"/>
    <s v="Profit"/>
  </r>
  <r>
    <s v="CA-2015-112130"/>
    <d v="2015-03-05T00:00:00"/>
    <x v="0"/>
    <x v="1"/>
    <x v="275"/>
    <n v="18.2"/>
    <n v="7"/>
    <n v="2.0474999999999999"/>
    <n v="0.1125"/>
    <n v="2015"/>
    <x v="2"/>
    <n v="3"/>
    <n v="2.6"/>
    <s v="Profit"/>
  </r>
  <r>
    <s v="CA-2015-112130"/>
    <d v="2015-03-05T00:00:00"/>
    <x v="0"/>
    <x v="2"/>
    <x v="1382"/>
    <n v="27.552"/>
    <n v="3"/>
    <n v="-0.34439999999999998"/>
    <n v="-1.2499999999999999E-2"/>
    <n v="2015"/>
    <x v="2"/>
    <n v="3"/>
    <n v="9.1839999999999993"/>
    <s v="Loss"/>
  </r>
  <r>
    <s v="CA-2015-112130"/>
    <d v="2015-03-05T00:00:00"/>
    <x v="0"/>
    <x v="0"/>
    <x v="1044"/>
    <n v="844.11599999999999"/>
    <n v="6"/>
    <n v="-36.176400000000001"/>
    <n v="-4.2857142857142858E-2"/>
    <n v="2015"/>
    <x v="2"/>
    <n v="3"/>
    <n v="140.68600000000001"/>
    <s v="Loss"/>
  </r>
  <r>
    <s v="CA-2015-112130"/>
    <d v="2015-03-05T00:00:00"/>
    <x v="0"/>
    <x v="1"/>
    <x v="876"/>
    <n v="76.751999999999995"/>
    <n v="3"/>
    <n v="-9.5939999999999994"/>
    <n v="-0.125"/>
    <n v="2015"/>
    <x v="2"/>
    <n v="3"/>
    <n v="25.584"/>
    <s v="Loss"/>
  </r>
  <r>
    <s v="CA-2015-150770"/>
    <d v="2015-03-05T00:00:00"/>
    <x v="1"/>
    <x v="1"/>
    <x v="1377"/>
    <n v="8.82"/>
    <n v="3"/>
    <n v="2.5577999999999999"/>
    <n v="0.28999999999999998"/>
    <n v="2015"/>
    <x v="2"/>
    <n v="3"/>
    <n v="2.94"/>
    <s v="Profit"/>
  </r>
  <r>
    <s v="CA-2015-150770"/>
    <d v="2015-03-05T00:00:00"/>
    <x v="1"/>
    <x v="1"/>
    <x v="454"/>
    <n v="62.496000000000002"/>
    <n v="2"/>
    <n v="21.8736"/>
    <n v="0.35"/>
    <n v="2015"/>
    <x v="2"/>
    <n v="3"/>
    <n v="31.248000000000001"/>
    <s v="Profit"/>
  </r>
  <r>
    <s v="CA-2015-150770"/>
    <d v="2015-03-05T00:00:00"/>
    <x v="1"/>
    <x v="2"/>
    <x v="1383"/>
    <n v="339.96"/>
    <n v="4"/>
    <n v="122.3856"/>
    <n v="0.36"/>
    <n v="2015"/>
    <x v="2"/>
    <n v="3"/>
    <n v="84.99"/>
    <s v="Profit"/>
  </r>
  <r>
    <s v="CA-2015-150770"/>
    <d v="2015-03-05T00:00:00"/>
    <x v="1"/>
    <x v="1"/>
    <x v="1384"/>
    <n v="49.567999999999998"/>
    <n v="2"/>
    <n v="17.348800000000001"/>
    <n v="0.35000000000000003"/>
    <n v="2015"/>
    <x v="2"/>
    <n v="3"/>
    <n v="24.783999999999999"/>
    <s v="Profit"/>
  </r>
  <r>
    <s v="CA-2015-160864"/>
    <d v="2015-03-05T00:00:00"/>
    <x v="1"/>
    <x v="1"/>
    <x v="1158"/>
    <n v="13.848000000000001"/>
    <n v="3"/>
    <n v="5.1929999999999996"/>
    <n v="0.37499999999999994"/>
    <n v="2015"/>
    <x v="2"/>
    <n v="3"/>
    <n v="4.6160000000000005"/>
    <s v="Profit"/>
  </r>
  <r>
    <s v="CA-2015-128139"/>
    <d v="2015-03-07T00:00:00"/>
    <x v="3"/>
    <x v="0"/>
    <x v="671"/>
    <n v="70.98"/>
    <n v="1"/>
    <n v="4.9686000000000003"/>
    <n v="7.0000000000000007E-2"/>
    <n v="2015"/>
    <x v="2"/>
    <n v="3"/>
    <n v="70.98"/>
    <s v="Profit"/>
  </r>
  <r>
    <s v="CA-2015-128139"/>
    <d v="2015-03-07T00:00:00"/>
    <x v="3"/>
    <x v="1"/>
    <x v="642"/>
    <n v="294.93"/>
    <n v="3"/>
    <n v="144.51570000000001"/>
    <n v="0.49000000000000005"/>
    <n v="2015"/>
    <x v="2"/>
    <n v="3"/>
    <n v="98.31"/>
    <s v="Profit"/>
  </r>
  <r>
    <s v="US-2015-153500"/>
    <d v="2015-03-07T00:00:00"/>
    <x v="0"/>
    <x v="0"/>
    <x v="115"/>
    <n v="168.464"/>
    <n v="2"/>
    <n v="-29.481200000000001"/>
    <n v="-0.17500000000000002"/>
    <n v="2015"/>
    <x v="2"/>
    <n v="3"/>
    <n v="84.231999999999999"/>
    <s v="Loss"/>
  </r>
  <r>
    <s v="US-2015-153500"/>
    <d v="2015-03-07T00:00:00"/>
    <x v="0"/>
    <x v="1"/>
    <x v="257"/>
    <n v="6.72"/>
    <n v="2"/>
    <n v="2.4359999999999999"/>
    <n v="0.36249999999999999"/>
    <n v="2015"/>
    <x v="2"/>
    <n v="3"/>
    <n v="3.36"/>
    <s v="Profit"/>
  </r>
  <r>
    <s v="US-2015-153500"/>
    <d v="2015-03-07T00:00:00"/>
    <x v="0"/>
    <x v="0"/>
    <x v="1385"/>
    <n v="282.88799999999998"/>
    <n v="9"/>
    <n v="56.577599999999997"/>
    <n v="0.2"/>
    <n v="2015"/>
    <x v="2"/>
    <n v="3"/>
    <n v="31.431999999999999"/>
    <s v="Profit"/>
  </r>
  <r>
    <s v="CA-2015-149734"/>
    <d v="2015-03-09T00:00:00"/>
    <x v="3"/>
    <x v="1"/>
    <x v="1164"/>
    <n v="200.98400000000001"/>
    <n v="7"/>
    <n v="62.807499999999997"/>
    <n v="0.3125"/>
    <n v="2015"/>
    <x v="2"/>
    <n v="3"/>
    <n v="28.712"/>
    <s v="Profit"/>
  </r>
  <r>
    <s v="US-2015-138303"/>
    <d v="2015-03-09T00:00:00"/>
    <x v="0"/>
    <x v="1"/>
    <x v="284"/>
    <n v="36.335999999999999"/>
    <n v="3"/>
    <n v="-7.2671999999999999"/>
    <n v="-0.2"/>
    <n v="2015"/>
    <x v="2"/>
    <n v="3"/>
    <n v="12.112"/>
    <s v="Loss"/>
  </r>
  <r>
    <s v="US-2015-138303"/>
    <d v="2015-03-09T00:00:00"/>
    <x v="0"/>
    <x v="1"/>
    <x v="1386"/>
    <n v="666.24800000000005"/>
    <n v="1"/>
    <n v="-149.9058"/>
    <n v="-0.22499999999999998"/>
    <n v="2015"/>
    <x v="2"/>
    <n v="3"/>
    <n v="666.24800000000005"/>
    <s v="Loss"/>
  </r>
  <r>
    <s v="US-2015-138303"/>
    <d v="2015-03-09T00:00:00"/>
    <x v="0"/>
    <x v="1"/>
    <x v="200"/>
    <n v="52.512"/>
    <n v="6"/>
    <n v="19.692"/>
    <n v="0.375"/>
    <n v="2015"/>
    <x v="2"/>
    <n v="3"/>
    <n v="8.7520000000000007"/>
    <s v="Profit"/>
  </r>
  <r>
    <s v="CA-2015-130204"/>
    <d v="2015-03-09T00:00:00"/>
    <x v="1"/>
    <x v="1"/>
    <x v="332"/>
    <n v="31.44"/>
    <n v="3"/>
    <n v="8.4887999999999995"/>
    <n v="0.26999999999999996"/>
    <n v="2015"/>
    <x v="2"/>
    <n v="3"/>
    <n v="10.48"/>
    <s v="Profit"/>
  </r>
  <r>
    <s v="CA-2015-130204"/>
    <d v="2015-03-09T00:00:00"/>
    <x v="1"/>
    <x v="2"/>
    <x v="272"/>
    <n v="17.899999999999999"/>
    <n v="2"/>
    <n v="3.4009999999999998"/>
    <n v="0.19"/>
    <n v="2015"/>
    <x v="2"/>
    <n v="3"/>
    <n v="8.9499999999999993"/>
    <s v="Profit"/>
  </r>
  <r>
    <s v="CA-2015-130204"/>
    <d v="2015-03-09T00:00:00"/>
    <x v="1"/>
    <x v="2"/>
    <x v="299"/>
    <n v="129.44999999999999"/>
    <n v="5"/>
    <n v="46.601999999999997"/>
    <n v="0.36"/>
    <n v="2015"/>
    <x v="2"/>
    <n v="3"/>
    <n v="25.889999999999997"/>
    <s v="Profit"/>
  </r>
  <r>
    <s v="CA-2015-121608"/>
    <d v="2015-03-09T00:00:00"/>
    <x v="0"/>
    <x v="1"/>
    <x v="1242"/>
    <n v="137.62"/>
    <n v="2"/>
    <n v="60.552799999999998"/>
    <n v="0.43999999999999995"/>
    <n v="2015"/>
    <x v="2"/>
    <n v="3"/>
    <n v="68.81"/>
    <s v="Profit"/>
  </r>
  <r>
    <s v="CA-2015-121608"/>
    <d v="2015-03-09T00:00:00"/>
    <x v="0"/>
    <x v="2"/>
    <x v="1387"/>
    <n v="100.49"/>
    <n v="1"/>
    <n v="25.122499999999999"/>
    <n v="0.25"/>
    <n v="2015"/>
    <x v="2"/>
    <n v="3"/>
    <n v="100.49"/>
    <s v="Profit"/>
  </r>
  <r>
    <s v="US-2015-104185"/>
    <d v="2015-03-09T00:00:00"/>
    <x v="0"/>
    <x v="1"/>
    <x v="1286"/>
    <n v="120.33"/>
    <n v="1"/>
    <n v="31.285799999999998"/>
    <n v="0.26"/>
    <n v="2015"/>
    <x v="2"/>
    <n v="3"/>
    <n v="120.33"/>
    <s v="Profit"/>
  </r>
  <r>
    <s v="US-2015-146745"/>
    <d v="2015-03-09T00:00:00"/>
    <x v="1"/>
    <x v="0"/>
    <x v="664"/>
    <n v="129.56800000000001"/>
    <n v="2"/>
    <n v="-12.956799999999999"/>
    <n v="-9.9999999999999992E-2"/>
    <n v="2015"/>
    <x v="2"/>
    <n v="3"/>
    <n v="64.784000000000006"/>
    <s v="Loss"/>
  </r>
  <r>
    <s v="US-2015-146745"/>
    <d v="2015-03-09T00:00:00"/>
    <x v="1"/>
    <x v="1"/>
    <x v="71"/>
    <n v="6.3680000000000003"/>
    <n v="2"/>
    <n v="2.1492"/>
    <n v="0.33749999999999997"/>
    <n v="2015"/>
    <x v="2"/>
    <n v="3"/>
    <n v="3.1840000000000002"/>
    <s v="Profit"/>
  </r>
  <r>
    <s v="CA-2015-113215"/>
    <d v="2015-03-09T00:00:00"/>
    <x v="1"/>
    <x v="0"/>
    <x v="641"/>
    <n v="238.15199999999999"/>
    <n v="3"/>
    <n v="89.307000000000002"/>
    <n v="0.37500000000000006"/>
    <n v="2015"/>
    <x v="2"/>
    <n v="3"/>
    <n v="79.384"/>
    <s v="Profit"/>
  </r>
  <r>
    <s v="CA-2015-169537"/>
    <d v="2015-03-09T00:00:00"/>
    <x v="2"/>
    <x v="1"/>
    <x v="1294"/>
    <n v="7.5"/>
    <n v="2"/>
    <n v="3.6"/>
    <n v="0.48000000000000004"/>
    <n v="2015"/>
    <x v="2"/>
    <n v="3"/>
    <n v="3.75"/>
    <s v="Profit"/>
  </r>
  <r>
    <s v="US-2015-157014"/>
    <d v="2015-03-10T00:00:00"/>
    <x v="0"/>
    <x v="1"/>
    <x v="1388"/>
    <n v="32.07"/>
    <n v="5"/>
    <n v="-22.449000000000002"/>
    <n v="-0.70000000000000007"/>
    <n v="2015"/>
    <x v="2"/>
    <n v="3"/>
    <n v="6.4139999999999997"/>
    <s v="Loss"/>
  </r>
  <r>
    <s v="US-2015-157014"/>
    <d v="2015-03-10T00:00:00"/>
    <x v="0"/>
    <x v="2"/>
    <x v="302"/>
    <n v="24"/>
    <n v="2"/>
    <n v="-2.7"/>
    <n v="-0.1125"/>
    <n v="2015"/>
    <x v="2"/>
    <n v="3"/>
    <n v="12"/>
    <s v="Loss"/>
  </r>
  <r>
    <s v="US-2015-157014"/>
    <d v="2015-03-10T00:00:00"/>
    <x v="0"/>
    <x v="0"/>
    <x v="1389"/>
    <n v="35.49"/>
    <n v="1"/>
    <n v="-15.615600000000001"/>
    <n v="-0.44"/>
    <n v="2015"/>
    <x v="2"/>
    <n v="3"/>
    <n v="35.49"/>
    <s v="Loss"/>
  </r>
  <r>
    <s v="US-2015-157014"/>
    <d v="2015-03-10T00:00:00"/>
    <x v="0"/>
    <x v="2"/>
    <x v="1131"/>
    <n v="47.984000000000002"/>
    <n v="2"/>
    <n v="0.5998"/>
    <n v="1.2499999999999999E-2"/>
    <n v="2015"/>
    <x v="2"/>
    <n v="3"/>
    <n v="23.992000000000001"/>
    <s v="Profit"/>
  </r>
  <r>
    <s v="CA-2015-125178"/>
    <d v="2015-03-10T00:00:00"/>
    <x v="0"/>
    <x v="1"/>
    <x v="554"/>
    <n v="15.007999999999999"/>
    <n v="2"/>
    <n v="1.5007999999999999"/>
    <n v="0.1"/>
    <n v="2015"/>
    <x v="2"/>
    <n v="3"/>
    <n v="7.5039999999999996"/>
    <s v="Profit"/>
  </r>
  <r>
    <s v="CA-2015-126137"/>
    <d v="2015-03-10T00:00:00"/>
    <x v="1"/>
    <x v="0"/>
    <x v="1389"/>
    <n v="120.666"/>
    <n v="2"/>
    <n v="18.454799999999999"/>
    <n v="0.15294117647058822"/>
    <n v="2015"/>
    <x v="2"/>
    <n v="3"/>
    <n v="60.332999999999998"/>
    <s v="Profit"/>
  </r>
  <r>
    <s v="CA-2015-140410"/>
    <d v="2015-03-11T00:00:00"/>
    <x v="1"/>
    <x v="2"/>
    <x v="789"/>
    <n v="1212.848"/>
    <n v="7"/>
    <n v="106.1242"/>
    <n v="8.7500000000000008E-2"/>
    <n v="2015"/>
    <x v="2"/>
    <n v="3"/>
    <n v="173.26399999999998"/>
    <s v="Profit"/>
  </r>
  <r>
    <s v="CA-2015-140410"/>
    <d v="2015-03-11T00:00:00"/>
    <x v="1"/>
    <x v="2"/>
    <x v="1052"/>
    <n v="89.97"/>
    <n v="3"/>
    <n v="37.787399999999998"/>
    <n v="0.42"/>
    <n v="2015"/>
    <x v="2"/>
    <n v="3"/>
    <n v="29.99"/>
    <s v="Profit"/>
  </r>
  <r>
    <s v="CA-2015-140410"/>
    <d v="2015-03-11T00:00:00"/>
    <x v="1"/>
    <x v="0"/>
    <x v="1072"/>
    <n v="42.6"/>
    <n v="3"/>
    <n v="16.614000000000001"/>
    <n v="0.39"/>
    <n v="2015"/>
    <x v="2"/>
    <n v="3"/>
    <n v="14.200000000000001"/>
    <s v="Profit"/>
  </r>
  <r>
    <s v="CA-2015-121041"/>
    <d v="2015-03-11T00:00:00"/>
    <x v="2"/>
    <x v="1"/>
    <x v="1197"/>
    <n v="6.6079999999999997"/>
    <n v="2"/>
    <n v="2.1476000000000002"/>
    <n v="0.32500000000000007"/>
    <n v="2015"/>
    <x v="2"/>
    <n v="3"/>
    <n v="3.3039999999999998"/>
    <s v="Profit"/>
  </r>
  <r>
    <s v="CA-2015-162047"/>
    <d v="2015-03-11T00:00:00"/>
    <x v="0"/>
    <x v="0"/>
    <x v="233"/>
    <n v="1448.82"/>
    <n v="10"/>
    <n v="209.274"/>
    <n v="0.14444444444444446"/>
    <n v="2015"/>
    <x v="2"/>
    <n v="3"/>
    <n v="144.88200000000001"/>
    <s v="Profit"/>
  </r>
  <r>
    <s v="CA-2015-122756"/>
    <d v="2015-03-12T00:00:00"/>
    <x v="0"/>
    <x v="2"/>
    <x v="1390"/>
    <n v="482.34"/>
    <n v="4"/>
    <n v="-337.63799999999998"/>
    <n v="-0.7"/>
    <n v="2015"/>
    <x v="2"/>
    <n v="3"/>
    <n v="120.58499999999999"/>
    <s v="Loss"/>
  </r>
  <r>
    <s v="CA-2015-122756"/>
    <d v="2015-03-12T00:00:00"/>
    <x v="0"/>
    <x v="0"/>
    <x v="1307"/>
    <n v="2.96"/>
    <n v="1"/>
    <n v="0.77700000000000002"/>
    <n v="0.26250000000000001"/>
    <n v="2015"/>
    <x v="2"/>
    <n v="3"/>
    <n v="2.96"/>
    <s v="Profit"/>
  </r>
  <r>
    <s v="CA-2015-147851"/>
    <d v="2015-03-12T00:00:00"/>
    <x v="0"/>
    <x v="1"/>
    <x v="1391"/>
    <n v="10.752000000000001"/>
    <n v="4"/>
    <n v="3.36"/>
    <n v="0.31249999999999994"/>
    <n v="2015"/>
    <x v="2"/>
    <n v="3"/>
    <n v="2.6880000000000002"/>
    <s v="Profit"/>
  </r>
  <r>
    <s v="CA-2015-110093"/>
    <d v="2015-03-12T00:00:00"/>
    <x v="0"/>
    <x v="1"/>
    <x v="292"/>
    <n v="16.448"/>
    <n v="2"/>
    <n v="5.5511999999999997"/>
    <n v="0.33749999999999997"/>
    <n v="2015"/>
    <x v="2"/>
    <n v="3"/>
    <n v="8.2240000000000002"/>
    <s v="Profit"/>
  </r>
  <r>
    <s v="CA-2015-110093"/>
    <d v="2015-03-12T00:00:00"/>
    <x v="0"/>
    <x v="2"/>
    <x v="395"/>
    <n v="36.783999999999999"/>
    <n v="2"/>
    <n v="10.5754"/>
    <n v="0.28750000000000003"/>
    <n v="2015"/>
    <x v="2"/>
    <n v="3"/>
    <n v="18.391999999999999"/>
    <s v="Profit"/>
  </r>
  <r>
    <s v="CA-2015-142475"/>
    <d v="2015-03-12T00:00:00"/>
    <x v="0"/>
    <x v="1"/>
    <x v="202"/>
    <n v="590.35199999999998"/>
    <n v="6"/>
    <n v="206.6232"/>
    <n v="0.35000000000000003"/>
    <n v="2015"/>
    <x v="2"/>
    <n v="3"/>
    <n v="98.391999999999996"/>
    <s v="Profit"/>
  </r>
  <r>
    <s v="US-2015-145422"/>
    <d v="2015-03-12T00:00:00"/>
    <x v="1"/>
    <x v="0"/>
    <x v="1392"/>
    <n v="359.49900000000002"/>
    <n v="3"/>
    <n v="-29.605799999999999"/>
    <n v="-8.2352941176470573E-2"/>
    <n v="2015"/>
    <x v="2"/>
    <n v="3"/>
    <n v="119.83300000000001"/>
    <s v="Loss"/>
  </r>
  <r>
    <s v="CA-2015-123092"/>
    <d v="2015-03-12T00:00:00"/>
    <x v="3"/>
    <x v="0"/>
    <x v="1393"/>
    <n v="77.951999999999998"/>
    <n v="3"/>
    <n v="12.667199999999999"/>
    <n v="0.16250000000000001"/>
    <n v="2015"/>
    <x v="2"/>
    <n v="3"/>
    <n v="25.983999999999998"/>
    <s v="Profit"/>
  </r>
  <r>
    <s v="CA-2015-123092"/>
    <d v="2015-03-12T00:00:00"/>
    <x v="3"/>
    <x v="1"/>
    <x v="1280"/>
    <n v="95.97"/>
    <n v="5"/>
    <n v="-73.576999999999998"/>
    <n v="-0.76666666666666661"/>
    <n v="2015"/>
    <x v="2"/>
    <n v="3"/>
    <n v="19.193999999999999"/>
    <s v="Loss"/>
  </r>
  <r>
    <s v="CA-2015-123092"/>
    <d v="2015-03-12T00:00:00"/>
    <x v="3"/>
    <x v="2"/>
    <x v="31"/>
    <n v="105.584"/>
    <n v="2"/>
    <n v="9.2385999999999999"/>
    <n v="8.7499999999999994E-2"/>
    <n v="2015"/>
    <x v="2"/>
    <n v="3"/>
    <n v="52.792000000000002"/>
    <s v="Profit"/>
  </r>
  <r>
    <s v="CA-2015-123092"/>
    <d v="2015-03-12T00:00:00"/>
    <x v="3"/>
    <x v="1"/>
    <x v="893"/>
    <n v="9.3439999999999994"/>
    <n v="2"/>
    <n v="1.1679999999999999"/>
    <n v="0.125"/>
    <n v="2015"/>
    <x v="2"/>
    <n v="3"/>
    <n v="4.6719999999999997"/>
    <s v="Profit"/>
  </r>
  <r>
    <s v="CA-2015-156853"/>
    <d v="2015-03-12T00:00:00"/>
    <x v="0"/>
    <x v="1"/>
    <x v="837"/>
    <n v="184.66"/>
    <n v="7"/>
    <n v="84.943600000000004"/>
    <n v="0.46"/>
    <n v="2015"/>
    <x v="2"/>
    <n v="3"/>
    <n v="26.38"/>
    <s v="Profit"/>
  </r>
  <r>
    <s v="CA-2015-149811"/>
    <d v="2015-04-01T00:00:00"/>
    <x v="2"/>
    <x v="1"/>
    <x v="32"/>
    <n v="32.340000000000003"/>
    <n v="3"/>
    <n v="15.523199999999999"/>
    <n v="0.47999999999999993"/>
    <n v="2015"/>
    <x v="3"/>
    <n v="4"/>
    <n v="10.780000000000001"/>
    <s v="Profit"/>
  </r>
  <r>
    <s v="CA-2015-149811"/>
    <d v="2015-04-01T00:00:00"/>
    <x v="2"/>
    <x v="1"/>
    <x v="899"/>
    <n v="39.9"/>
    <n v="5"/>
    <n v="19.95"/>
    <n v="0.5"/>
    <n v="2015"/>
    <x v="3"/>
    <n v="4"/>
    <n v="7.9799999999999995"/>
    <s v="Profit"/>
  </r>
  <r>
    <s v="CA-2015-104241"/>
    <d v="2015-04-01T00:00:00"/>
    <x v="3"/>
    <x v="0"/>
    <x v="892"/>
    <n v="192.22"/>
    <n v="14"/>
    <n v="69.199200000000005"/>
    <n v="0.36000000000000004"/>
    <n v="2015"/>
    <x v="3"/>
    <n v="4"/>
    <n v="13.73"/>
    <s v="Profit"/>
  </r>
  <r>
    <s v="CA-2015-110667"/>
    <d v="2015-04-04T00:00:00"/>
    <x v="0"/>
    <x v="1"/>
    <x v="434"/>
    <n v="11.16"/>
    <n v="2"/>
    <n v="4.3524000000000003"/>
    <n v="0.39"/>
    <n v="2015"/>
    <x v="3"/>
    <n v="4"/>
    <n v="5.58"/>
    <s v="Profit"/>
  </r>
  <r>
    <s v="CA-2015-110667"/>
    <d v="2015-04-04T00:00:00"/>
    <x v="0"/>
    <x v="0"/>
    <x v="317"/>
    <n v="108.4"/>
    <n v="2"/>
    <n v="22.763999999999999"/>
    <n v="0.21"/>
    <n v="2015"/>
    <x v="3"/>
    <n v="4"/>
    <n v="54.2"/>
    <s v="Profit"/>
  </r>
  <r>
    <s v="CA-2015-110667"/>
    <d v="2015-04-04T00:00:00"/>
    <x v="0"/>
    <x v="1"/>
    <x v="46"/>
    <n v="82.343999999999994"/>
    <n v="3"/>
    <n v="27.7911"/>
    <n v="0.33750000000000002"/>
    <n v="2015"/>
    <x v="3"/>
    <n v="4"/>
    <n v="27.447999999999997"/>
    <s v="Profit"/>
  </r>
  <r>
    <s v="CA-2015-110667"/>
    <d v="2015-04-04T00:00:00"/>
    <x v="0"/>
    <x v="1"/>
    <x v="1394"/>
    <n v="9.0879999999999992"/>
    <n v="4"/>
    <n v="3.2944"/>
    <n v="0.36250000000000004"/>
    <n v="2015"/>
    <x v="3"/>
    <n v="4"/>
    <n v="2.2719999999999998"/>
    <s v="Profit"/>
  </r>
  <r>
    <s v="CA-2015-112452"/>
    <d v="2015-04-04T00:00:00"/>
    <x v="2"/>
    <x v="1"/>
    <x v="1395"/>
    <n v="644.07600000000002"/>
    <n v="2"/>
    <n v="107.346"/>
    <n v="0.16666666666666666"/>
    <n v="2015"/>
    <x v="3"/>
    <n v="4"/>
    <n v="322.03800000000001"/>
    <s v="Profit"/>
  </r>
  <r>
    <s v="CA-2015-112452"/>
    <d v="2015-04-04T00:00:00"/>
    <x v="2"/>
    <x v="1"/>
    <x v="111"/>
    <n v="5.84"/>
    <n v="2"/>
    <n v="2.6280000000000001"/>
    <n v="0.45"/>
    <n v="2015"/>
    <x v="3"/>
    <n v="4"/>
    <n v="2.92"/>
    <s v="Profit"/>
  </r>
  <r>
    <s v="CA-2015-112452"/>
    <d v="2015-04-04T00:00:00"/>
    <x v="2"/>
    <x v="1"/>
    <x v="1026"/>
    <n v="12.76"/>
    <n v="2"/>
    <n v="5.8696000000000002"/>
    <n v="0.46"/>
    <n v="2015"/>
    <x v="3"/>
    <n v="4"/>
    <n v="6.38"/>
    <s v="Profit"/>
  </r>
  <r>
    <s v="CA-2015-112452"/>
    <d v="2015-04-04T00:00:00"/>
    <x v="2"/>
    <x v="2"/>
    <x v="636"/>
    <n v="10.95"/>
    <n v="1"/>
    <n v="0.438"/>
    <n v="0.04"/>
    <n v="2015"/>
    <x v="3"/>
    <n v="4"/>
    <n v="10.95"/>
    <s v="Profit"/>
  </r>
  <r>
    <s v="CA-2015-112452"/>
    <d v="2015-04-04T00:00:00"/>
    <x v="2"/>
    <x v="2"/>
    <x v="1167"/>
    <n v="599.98"/>
    <n v="2"/>
    <n v="209.99299999999999"/>
    <n v="0.35"/>
    <n v="2015"/>
    <x v="3"/>
    <n v="4"/>
    <n v="299.99"/>
    <s v="Profit"/>
  </r>
  <r>
    <s v="CA-2015-144253"/>
    <d v="2015-04-05T00:00:00"/>
    <x v="0"/>
    <x v="0"/>
    <x v="1137"/>
    <n v="26.8"/>
    <n v="2"/>
    <n v="12.864000000000001"/>
    <n v="0.48000000000000004"/>
    <n v="2015"/>
    <x v="3"/>
    <n v="4"/>
    <n v="13.4"/>
    <s v="Profit"/>
  </r>
  <r>
    <s v="CA-2015-129700"/>
    <d v="2015-04-05T00:00:00"/>
    <x v="2"/>
    <x v="0"/>
    <x v="263"/>
    <n v="22.288"/>
    <n v="7"/>
    <n v="-8.9152000000000005"/>
    <n v="-0.4"/>
    <n v="2015"/>
    <x v="3"/>
    <n v="4"/>
    <n v="3.1840000000000002"/>
    <s v="Loss"/>
  </r>
  <r>
    <s v="CA-2015-110548"/>
    <d v="2015-04-05T00:00:00"/>
    <x v="2"/>
    <x v="2"/>
    <x v="1396"/>
    <n v="946.34400000000005"/>
    <n v="7"/>
    <n v="118.29300000000001"/>
    <n v="0.125"/>
    <n v="2015"/>
    <x v="3"/>
    <n v="4"/>
    <n v="135.19200000000001"/>
    <s v="Profit"/>
  </r>
  <r>
    <s v="CA-2015-146290"/>
    <d v="2015-04-05T00:00:00"/>
    <x v="2"/>
    <x v="1"/>
    <x v="469"/>
    <n v="125.93"/>
    <n v="7"/>
    <n v="35.260399999999997"/>
    <n v="0.27999999999999997"/>
    <n v="2015"/>
    <x v="3"/>
    <n v="4"/>
    <n v="17.990000000000002"/>
    <s v="Profit"/>
  </r>
  <r>
    <s v="CA-2015-164833"/>
    <d v="2015-04-06T00:00:00"/>
    <x v="1"/>
    <x v="1"/>
    <x v="726"/>
    <n v="7.38"/>
    <n v="2"/>
    <n v="3.4685999999999999"/>
    <n v="0.47"/>
    <n v="2015"/>
    <x v="3"/>
    <n v="4"/>
    <n v="3.69"/>
    <s v="Profit"/>
  </r>
  <r>
    <s v="CA-2015-164833"/>
    <d v="2015-04-06T00:00:00"/>
    <x v="1"/>
    <x v="1"/>
    <x v="199"/>
    <n v="9.26"/>
    <n v="2"/>
    <n v="3.0558000000000001"/>
    <n v="0.33"/>
    <n v="2015"/>
    <x v="3"/>
    <n v="4"/>
    <n v="4.63"/>
    <s v="Profit"/>
  </r>
  <r>
    <s v="US-2015-142020"/>
    <d v="2015-04-06T00:00:00"/>
    <x v="0"/>
    <x v="1"/>
    <x v="763"/>
    <n v="30.44"/>
    <n v="4"/>
    <n v="14.306800000000001"/>
    <n v="0.47000000000000003"/>
    <n v="2015"/>
    <x v="3"/>
    <n v="4"/>
    <n v="7.61"/>
    <s v="Profit"/>
  </r>
  <r>
    <s v="US-2015-142020"/>
    <d v="2015-04-06T00:00:00"/>
    <x v="0"/>
    <x v="0"/>
    <x v="1010"/>
    <n v="35.28"/>
    <n v="3"/>
    <n v="11.995200000000001"/>
    <n v="0.34"/>
    <n v="2015"/>
    <x v="3"/>
    <n v="4"/>
    <n v="11.76"/>
    <s v="Profit"/>
  </r>
  <r>
    <s v="CA-2015-158491"/>
    <d v="2015-04-06T00:00:00"/>
    <x v="1"/>
    <x v="2"/>
    <x v="1397"/>
    <n v="119.98"/>
    <n v="2"/>
    <n v="35.994"/>
    <n v="0.3"/>
    <n v="2015"/>
    <x v="3"/>
    <n v="4"/>
    <n v="59.99"/>
    <s v="Profit"/>
  </r>
  <r>
    <s v="CA-2015-158491"/>
    <d v="2015-04-06T00:00:00"/>
    <x v="1"/>
    <x v="2"/>
    <x v="1047"/>
    <n v="989.97"/>
    <n v="3"/>
    <n v="395.988"/>
    <n v="0.39999999999999997"/>
    <n v="2015"/>
    <x v="3"/>
    <n v="4"/>
    <n v="329.99"/>
    <s v="Profit"/>
  </r>
  <r>
    <s v="CA-2015-154956"/>
    <d v="2015-04-07T00:00:00"/>
    <x v="2"/>
    <x v="2"/>
    <x v="1398"/>
    <n v="1099.96"/>
    <n v="4"/>
    <n v="285.9896"/>
    <n v="0.26"/>
    <n v="2015"/>
    <x v="3"/>
    <n v="4"/>
    <n v="274.99"/>
    <s v="Profit"/>
  </r>
  <r>
    <s v="CA-2015-124268"/>
    <d v="2015-04-07T00:00:00"/>
    <x v="0"/>
    <x v="1"/>
    <x v="327"/>
    <n v="15.48"/>
    <n v="3"/>
    <n v="4.4892000000000003"/>
    <n v="0.29000000000000004"/>
    <n v="2015"/>
    <x v="3"/>
    <n v="4"/>
    <n v="5.16"/>
    <s v="Profit"/>
  </r>
  <r>
    <s v="CA-2015-152513"/>
    <d v="2015-04-07T00:00:00"/>
    <x v="1"/>
    <x v="1"/>
    <x v="486"/>
    <n v="22.847999999999999"/>
    <n v="2"/>
    <n v="7.4256000000000002"/>
    <n v="0.32500000000000001"/>
    <n v="2015"/>
    <x v="3"/>
    <n v="4"/>
    <n v="11.423999999999999"/>
    <s v="Profit"/>
  </r>
  <r>
    <s v="CA-2015-142755"/>
    <d v="2015-04-09T00:00:00"/>
    <x v="3"/>
    <x v="1"/>
    <x v="670"/>
    <n v="279.89999999999998"/>
    <n v="5"/>
    <n v="137.15100000000001"/>
    <n v="0.4900000000000001"/>
    <n v="2015"/>
    <x v="3"/>
    <n v="4"/>
    <n v="55.98"/>
    <s v="Profit"/>
  </r>
  <r>
    <s v="CA-2015-142755"/>
    <d v="2015-04-09T00:00:00"/>
    <x v="3"/>
    <x v="2"/>
    <x v="326"/>
    <n v="619.95000000000005"/>
    <n v="5"/>
    <n v="111.59099999999999"/>
    <n v="0.17999999999999997"/>
    <n v="2015"/>
    <x v="3"/>
    <n v="4"/>
    <n v="123.99000000000001"/>
    <s v="Profit"/>
  </r>
  <r>
    <s v="CA-2015-142755"/>
    <d v="2015-04-09T00:00:00"/>
    <x v="3"/>
    <x v="1"/>
    <x v="1399"/>
    <n v="4.3600000000000003"/>
    <n v="2"/>
    <n v="2.0491999999999999"/>
    <n v="0.46999999999999992"/>
    <n v="2015"/>
    <x v="3"/>
    <n v="4"/>
    <n v="2.1800000000000002"/>
    <s v="Profit"/>
  </r>
  <r>
    <s v="CA-2015-142755"/>
    <d v="2015-04-09T00:00:00"/>
    <x v="3"/>
    <x v="1"/>
    <x v="1318"/>
    <n v="15.28"/>
    <n v="2"/>
    <n v="7.4871999999999996"/>
    <n v="0.49"/>
    <n v="2015"/>
    <x v="3"/>
    <n v="4"/>
    <n v="7.64"/>
    <s v="Profit"/>
  </r>
  <r>
    <s v="CA-2015-101924"/>
    <d v="2015-04-09T00:00:00"/>
    <x v="1"/>
    <x v="1"/>
    <x v="822"/>
    <n v="9.7620000000000005"/>
    <n v="2"/>
    <n v="-6.8334000000000001"/>
    <n v="-0.7"/>
    <n v="2015"/>
    <x v="3"/>
    <n v="4"/>
    <n v="4.8810000000000002"/>
    <s v="Loss"/>
  </r>
  <r>
    <s v="CA-2015-159863"/>
    <d v="2015-04-09T00:00:00"/>
    <x v="2"/>
    <x v="2"/>
    <x v="157"/>
    <n v="134.376"/>
    <n v="3"/>
    <n v="6.7187999999999999"/>
    <n v="4.9999999999999996E-2"/>
    <n v="2015"/>
    <x v="3"/>
    <n v="4"/>
    <n v="44.792000000000002"/>
    <s v="Profit"/>
  </r>
  <r>
    <s v="CA-2015-113523"/>
    <d v="2015-04-09T00:00:00"/>
    <x v="0"/>
    <x v="1"/>
    <x v="1400"/>
    <n v="7.6559999999999997"/>
    <n v="4"/>
    <n v="-6.1247999999999996"/>
    <n v="-0.79999999999999993"/>
    <n v="2015"/>
    <x v="3"/>
    <n v="4"/>
    <n v="1.9139999999999999"/>
    <s v="Loss"/>
  </r>
  <r>
    <s v="CA-2015-168004"/>
    <d v="2015-04-10T00:00:00"/>
    <x v="3"/>
    <x v="0"/>
    <x v="1401"/>
    <n v="392.94"/>
    <n v="3"/>
    <n v="43.223399999999998"/>
    <n v="0.11"/>
    <n v="2015"/>
    <x v="3"/>
    <n v="4"/>
    <n v="130.97999999999999"/>
    <s v="Profit"/>
  </r>
  <r>
    <s v="CA-2015-121391"/>
    <d v="2015-04-10T00:00:00"/>
    <x v="1"/>
    <x v="1"/>
    <x v="1155"/>
    <n v="26.96"/>
    <n v="2"/>
    <n v="7.0095999999999998"/>
    <n v="0.26"/>
    <n v="2015"/>
    <x v="3"/>
    <n v="4"/>
    <n v="13.48"/>
    <s v="Profit"/>
  </r>
  <r>
    <s v="CA-2015-134859"/>
    <d v="2015-04-10T00:00:00"/>
    <x v="0"/>
    <x v="0"/>
    <x v="594"/>
    <n v="64.944000000000003"/>
    <n v="3"/>
    <n v="6.4943999999999997"/>
    <n v="9.9999999999999992E-2"/>
    <n v="2015"/>
    <x v="3"/>
    <n v="4"/>
    <n v="21.648"/>
    <s v="Profit"/>
  </r>
  <r>
    <s v="CA-2015-134859"/>
    <d v="2015-04-10T00:00:00"/>
    <x v="0"/>
    <x v="1"/>
    <x v="742"/>
    <n v="20.736000000000001"/>
    <n v="4"/>
    <n v="7.2576000000000001"/>
    <n v="0.35"/>
    <n v="2015"/>
    <x v="3"/>
    <n v="4"/>
    <n v="5.1840000000000002"/>
    <s v="Profit"/>
  </r>
  <r>
    <s v="CA-2015-110247"/>
    <d v="2015-04-12T00:00:00"/>
    <x v="3"/>
    <x v="1"/>
    <x v="350"/>
    <n v="8.2260000000000009"/>
    <n v="3"/>
    <n v="-6.0324"/>
    <n v="-0.73333333333333328"/>
    <n v="2015"/>
    <x v="3"/>
    <n v="4"/>
    <n v="2.7420000000000004"/>
    <s v="Loss"/>
  </r>
  <r>
    <s v="CA-2015-161718"/>
    <d v="2015-04-12T00:00:00"/>
    <x v="0"/>
    <x v="0"/>
    <x v="1089"/>
    <n v="28.44"/>
    <n v="3"/>
    <n v="11.375999999999999"/>
    <n v="0.39999999999999997"/>
    <n v="2015"/>
    <x v="3"/>
    <n v="4"/>
    <n v="9.48"/>
    <s v="Profit"/>
  </r>
  <r>
    <s v="CA-2015-161718"/>
    <d v="2015-04-12T00:00:00"/>
    <x v="0"/>
    <x v="0"/>
    <x v="664"/>
    <n v="364.41"/>
    <n v="5"/>
    <n v="8.0980000000000008"/>
    <n v="2.2222222222222223E-2"/>
    <n v="2015"/>
    <x v="3"/>
    <n v="4"/>
    <n v="72.882000000000005"/>
    <s v="Profit"/>
  </r>
  <r>
    <s v="CA-2015-161718"/>
    <d v="2015-04-12T00:00:00"/>
    <x v="0"/>
    <x v="2"/>
    <x v="1266"/>
    <n v="39.96"/>
    <n v="4"/>
    <n v="10.3896"/>
    <n v="0.26"/>
    <n v="2015"/>
    <x v="3"/>
    <n v="4"/>
    <n v="9.99"/>
    <s v="Profit"/>
  </r>
  <r>
    <s v="CA-2015-161718"/>
    <d v="2015-04-12T00:00:00"/>
    <x v="0"/>
    <x v="0"/>
    <x v="1044"/>
    <n v="361.76400000000001"/>
    <n v="2"/>
    <n v="68.333200000000005"/>
    <n v="0.18888888888888888"/>
    <n v="2015"/>
    <x v="3"/>
    <n v="4"/>
    <n v="180.88200000000001"/>
    <s v="Profit"/>
  </r>
  <r>
    <s v="CA-2015-130659"/>
    <d v="2015-04-12T00:00:00"/>
    <x v="0"/>
    <x v="1"/>
    <x v="1402"/>
    <n v="17.940000000000001"/>
    <n v="3"/>
    <n v="8.7905999999999995"/>
    <n v="0.48999999999999994"/>
    <n v="2015"/>
    <x v="3"/>
    <n v="4"/>
    <n v="5.98"/>
    <s v="Profit"/>
  </r>
  <r>
    <s v="CA-2015-130659"/>
    <d v="2015-04-12T00:00:00"/>
    <x v="0"/>
    <x v="0"/>
    <x v="628"/>
    <n v="384.17399999999998"/>
    <n v="7"/>
    <n v="29.880199999999999"/>
    <n v="7.7777777777777779E-2"/>
    <n v="2015"/>
    <x v="3"/>
    <n v="4"/>
    <n v="54.881999999999998"/>
    <s v="Profit"/>
  </r>
  <r>
    <s v="CA-2015-130659"/>
    <d v="2015-04-12T00:00:00"/>
    <x v="0"/>
    <x v="2"/>
    <x v="1139"/>
    <n v="1799.75"/>
    <n v="5"/>
    <n v="539.92499999999995"/>
    <n v="0.3"/>
    <n v="2015"/>
    <x v="3"/>
    <n v="4"/>
    <n v="359.95"/>
    <s v="Profit"/>
  </r>
  <r>
    <s v="CA-2015-142377"/>
    <d v="2015-04-12T00:00:00"/>
    <x v="2"/>
    <x v="1"/>
    <x v="300"/>
    <n v="85.96"/>
    <n v="7"/>
    <n v="40.401200000000003"/>
    <n v="0.47000000000000008"/>
    <n v="2015"/>
    <x v="3"/>
    <n v="4"/>
    <n v="12.28"/>
    <s v="Profit"/>
  </r>
  <r>
    <s v="CA-2015-155600"/>
    <d v="2015-04-12T00:00:00"/>
    <x v="3"/>
    <x v="1"/>
    <x v="873"/>
    <n v="1598.058"/>
    <n v="7"/>
    <n v="-1065.3720000000001"/>
    <n v="-0.66666666666666674"/>
    <n v="2015"/>
    <x v="3"/>
    <n v="4"/>
    <n v="228.29400000000001"/>
    <s v="Loss"/>
  </r>
  <r>
    <s v="CA-2015-155600"/>
    <d v="2015-04-12T00:00:00"/>
    <x v="3"/>
    <x v="1"/>
    <x v="1403"/>
    <n v="36.96"/>
    <n v="4"/>
    <n v="12.012"/>
    <n v="0.32500000000000001"/>
    <n v="2015"/>
    <x v="3"/>
    <n v="4"/>
    <n v="9.24"/>
    <s v="Profit"/>
  </r>
  <r>
    <s v="CA-2015-118871"/>
    <d v="2015-04-12T00:00:00"/>
    <x v="1"/>
    <x v="1"/>
    <x v="1279"/>
    <n v="271.44"/>
    <n v="3"/>
    <n v="122.148"/>
    <n v="0.45"/>
    <n v="2015"/>
    <x v="3"/>
    <n v="4"/>
    <n v="90.48"/>
    <s v="Profit"/>
  </r>
  <r>
    <s v="CA-2015-118871"/>
    <d v="2015-04-12T00:00:00"/>
    <x v="1"/>
    <x v="2"/>
    <x v="961"/>
    <n v="110.352"/>
    <n v="3"/>
    <n v="8.2764000000000006"/>
    <n v="7.4999999999999997E-2"/>
    <n v="2015"/>
    <x v="3"/>
    <n v="4"/>
    <n v="36.783999999999999"/>
    <s v="Profit"/>
  </r>
  <r>
    <s v="CA-2015-118871"/>
    <d v="2015-04-12T00:00:00"/>
    <x v="1"/>
    <x v="0"/>
    <x v="1404"/>
    <n v="36.4"/>
    <n v="5"/>
    <n v="13.832000000000001"/>
    <n v="0.38000000000000006"/>
    <n v="2015"/>
    <x v="3"/>
    <n v="4"/>
    <n v="7.2799999999999994"/>
    <s v="Profit"/>
  </r>
  <r>
    <s v="CA-2015-119508"/>
    <d v="2015-04-12T00:00:00"/>
    <x v="1"/>
    <x v="1"/>
    <x v="1405"/>
    <n v="16.899999999999999"/>
    <n v="5"/>
    <n v="6.2530000000000001"/>
    <n v="0.37000000000000005"/>
    <n v="2015"/>
    <x v="3"/>
    <n v="4"/>
    <n v="3.38"/>
    <s v="Profit"/>
  </r>
  <r>
    <s v="CA-2015-119508"/>
    <d v="2015-04-12T00:00:00"/>
    <x v="1"/>
    <x v="0"/>
    <x v="362"/>
    <n v="25.08"/>
    <n v="6"/>
    <n v="9.0288000000000004"/>
    <n v="0.36000000000000004"/>
    <n v="2015"/>
    <x v="3"/>
    <n v="4"/>
    <n v="4.18"/>
    <s v="Profit"/>
  </r>
  <r>
    <s v="CA-2015-154970"/>
    <d v="2015-05-01T00:00:00"/>
    <x v="1"/>
    <x v="0"/>
    <x v="684"/>
    <n v="61.584000000000003"/>
    <n v="1"/>
    <n v="-6.9282000000000004"/>
    <n v="-0.1125"/>
    <n v="2015"/>
    <x v="4"/>
    <n v="5"/>
    <n v="61.584000000000003"/>
    <s v="Loss"/>
  </r>
  <r>
    <s v="CA-2015-108588"/>
    <d v="2015-05-01T00:00:00"/>
    <x v="0"/>
    <x v="1"/>
    <x v="122"/>
    <n v="59.52"/>
    <n v="3"/>
    <n v="15.475199999999999"/>
    <n v="0.25999999999999995"/>
    <n v="2015"/>
    <x v="4"/>
    <n v="5"/>
    <n v="19.84"/>
    <s v="Profit"/>
  </r>
  <r>
    <s v="CA-2015-108588"/>
    <d v="2015-05-01T00:00:00"/>
    <x v="0"/>
    <x v="1"/>
    <x v="720"/>
    <n v="17.48"/>
    <n v="2"/>
    <n v="8.2156000000000002"/>
    <n v="0.47000000000000003"/>
    <n v="2015"/>
    <x v="4"/>
    <n v="5"/>
    <n v="8.74"/>
    <s v="Profit"/>
  </r>
  <r>
    <s v="CA-2015-108588"/>
    <d v="2015-05-01T00:00:00"/>
    <x v="0"/>
    <x v="1"/>
    <x v="1406"/>
    <n v="13.167999999999999"/>
    <n v="2"/>
    <n v="4.6087999999999996"/>
    <n v="0.35"/>
    <n v="2015"/>
    <x v="4"/>
    <n v="5"/>
    <n v="6.5839999999999996"/>
    <s v="Profit"/>
  </r>
  <r>
    <s v="CA-2015-158701"/>
    <d v="2015-05-01T00:00:00"/>
    <x v="1"/>
    <x v="1"/>
    <x v="256"/>
    <n v="87.36"/>
    <n v="6"/>
    <n v="23.587199999999999"/>
    <n v="0.27"/>
    <n v="2015"/>
    <x v="4"/>
    <n v="5"/>
    <n v="14.56"/>
    <s v="Profit"/>
  </r>
  <r>
    <s v="CA-2015-158701"/>
    <d v="2015-05-01T00:00:00"/>
    <x v="1"/>
    <x v="1"/>
    <x v="13"/>
    <n v="56.16"/>
    <n v="6"/>
    <n v="17.55"/>
    <n v="0.31250000000000006"/>
    <n v="2015"/>
    <x v="4"/>
    <n v="5"/>
    <n v="9.36"/>
    <s v="Profit"/>
  </r>
  <r>
    <s v="CA-2015-109512"/>
    <d v="2015-05-03T00:00:00"/>
    <x v="0"/>
    <x v="1"/>
    <x v="11"/>
    <n v="29.34"/>
    <n v="3"/>
    <n v="14.67"/>
    <n v="0.5"/>
    <n v="2015"/>
    <x v="4"/>
    <n v="5"/>
    <n v="9.7799999999999994"/>
    <s v="Profit"/>
  </r>
  <r>
    <s v="CA-2015-109512"/>
    <d v="2015-05-03T00:00:00"/>
    <x v="0"/>
    <x v="0"/>
    <x v="952"/>
    <n v="383.60700000000003"/>
    <n v="7"/>
    <n v="63.9345"/>
    <n v="0.16666666666666666"/>
    <n v="2015"/>
    <x v="4"/>
    <n v="5"/>
    <n v="54.801000000000002"/>
    <s v="Profit"/>
  </r>
  <r>
    <s v="CA-2015-109512"/>
    <d v="2015-05-03T00:00:00"/>
    <x v="0"/>
    <x v="1"/>
    <x v="1255"/>
    <n v="563.4"/>
    <n v="4"/>
    <n v="67.608000000000004"/>
    <n v="0.12000000000000001"/>
    <n v="2015"/>
    <x v="4"/>
    <n v="5"/>
    <n v="140.85"/>
    <s v="Profit"/>
  </r>
  <r>
    <s v="CA-2015-153108"/>
    <d v="2015-05-03T00:00:00"/>
    <x v="2"/>
    <x v="2"/>
    <x v="1229"/>
    <n v="23.92"/>
    <n v="2"/>
    <n v="6.6976000000000004"/>
    <n v="0.27999999999999997"/>
    <n v="2015"/>
    <x v="4"/>
    <n v="5"/>
    <n v="11.96"/>
    <s v="Profit"/>
  </r>
  <r>
    <s v="CA-2015-153108"/>
    <d v="2015-05-03T00:00:00"/>
    <x v="2"/>
    <x v="1"/>
    <x v="19"/>
    <n v="60.69"/>
    <n v="7"/>
    <n v="16.386299999999999"/>
    <n v="0.26999999999999996"/>
    <n v="2015"/>
    <x v="4"/>
    <n v="5"/>
    <n v="8.67"/>
    <s v="Profit"/>
  </r>
  <r>
    <s v="CA-2015-109001"/>
    <d v="2015-05-03T00:00:00"/>
    <x v="0"/>
    <x v="2"/>
    <x v="1275"/>
    <n v="466.15800000000002"/>
    <n v="7"/>
    <n v="-93.2316"/>
    <n v="-0.19999999999999998"/>
    <n v="2015"/>
    <x v="4"/>
    <n v="5"/>
    <n v="66.594000000000008"/>
    <s v="Loss"/>
  </r>
  <r>
    <s v="CA-2015-109001"/>
    <d v="2015-05-03T00:00:00"/>
    <x v="0"/>
    <x v="2"/>
    <x v="1407"/>
    <n v="10.311999999999999"/>
    <n v="1"/>
    <n v="-1.2889999999999999"/>
    <n v="-0.125"/>
    <n v="2015"/>
    <x v="4"/>
    <n v="5"/>
    <n v="10.311999999999999"/>
    <s v="Loss"/>
  </r>
  <r>
    <s v="CA-2015-109001"/>
    <d v="2015-05-03T00:00:00"/>
    <x v="0"/>
    <x v="1"/>
    <x v="1394"/>
    <n v="2.556"/>
    <n v="3"/>
    <n v="-1.7891999999999999"/>
    <n v="-0.7"/>
    <n v="2015"/>
    <x v="4"/>
    <n v="5"/>
    <n v="0.85199999999999998"/>
    <s v="Loss"/>
  </r>
  <r>
    <s v="CA-2015-125185"/>
    <d v="2015-05-03T00:00:00"/>
    <x v="0"/>
    <x v="0"/>
    <x v="959"/>
    <n v="99.372"/>
    <n v="2"/>
    <n v="-7.0979999999999999"/>
    <n v="-7.1428571428571425E-2"/>
    <n v="2015"/>
    <x v="4"/>
    <n v="5"/>
    <n v="49.686"/>
    <s v="Loss"/>
  </r>
  <r>
    <s v="CA-2015-125185"/>
    <d v="2015-05-03T00:00:00"/>
    <x v="0"/>
    <x v="0"/>
    <x v="531"/>
    <n v="33.567999999999998"/>
    <n v="2"/>
    <n v="-5.4547999999999996"/>
    <n v="-0.16250000000000001"/>
    <n v="2015"/>
    <x v="4"/>
    <n v="5"/>
    <n v="16.783999999999999"/>
    <s v="Loss"/>
  </r>
  <r>
    <s v="CA-2015-120320"/>
    <d v="2015-05-03T00:00:00"/>
    <x v="2"/>
    <x v="2"/>
    <x v="758"/>
    <n v="31.92"/>
    <n v="2"/>
    <n v="2.3940000000000001"/>
    <n v="7.4999999999999997E-2"/>
    <n v="2015"/>
    <x v="4"/>
    <n v="5"/>
    <n v="15.96"/>
    <s v="Profit"/>
  </r>
  <r>
    <s v="CA-2015-151785"/>
    <d v="2015-05-03T00:00:00"/>
    <x v="2"/>
    <x v="1"/>
    <x v="610"/>
    <n v="7.1040000000000001"/>
    <n v="6"/>
    <n v="2.4864000000000002"/>
    <n v="0.35000000000000003"/>
    <n v="2015"/>
    <x v="4"/>
    <n v="5"/>
    <n v="1.1839999999999999"/>
    <s v="Profit"/>
  </r>
  <r>
    <s v="CA-2015-140221"/>
    <d v="2015-05-03T00:00:00"/>
    <x v="2"/>
    <x v="1"/>
    <x v="183"/>
    <n v="11.212"/>
    <n v="2"/>
    <n v="-16.818000000000001"/>
    <n v="-1.5000000000000002"/>
    <n v="2015"/>
    <x v="4"/>
    <n v="5"/>
    <n v="5.6059999999999999"/>
    <s v="Loss"/>
  </r>
  <r>
    <s v="CA-2015-140221"/>
    <d v="2015-05-03T00:00:00"/>
    <x v="2"/>
    <x v="0"/>
    <x v="96"/>
    <n v="4.7119999999999997"/>
    <n v="2"/>
    <n v="-1.8848"/>
    <n v="-0.4"/>
    <n v="2015"/>
    <x v="4"/>
    <n v="5"/>
    <n v="2.3559999999999999"/>
    <s v="Loss"/>
  </r>
  <r>
    <s v="CA-2015-140221"/>
    <d v="2015-05-03T00:00:00"/>
    <x v="2"/>
    <x v="1"/>
    <x v="891"/>
    <n v="180.98"/>
    <n v="5"/>
    <n v="-470.548"/>
    <n v="-2.6"/>
    <n v="2015"/>
    <x v="4"/>
    <n v="5"/>
    <n v="36.195999999999998"/>
    <s v="Loss"/>
  </r>
  <r>
    <s v="CA-2015-140221"/>
    <d v="2015-05-03T00:00:00"/>
    <x v="2"/>
    <x v="1"/>
    <x v="1326"/>
    <n v="60.415999999999997"/>
    <n v="2"/>
    <n v="6.0415999999999999"/>
    <n v="0.1"/>
    <n v="2015"/>
    <x v="4"/>
    <n v="5"/>
    <n v="30.207999999999998"/>
    <s v="Profit"/>
  </r>
  <r>
    <s v="US-2015-136476"/>
    <d v="2015-05-04T00:00:00"/>
    <x v="3"/>
    <x v="1"/>
    <x v="172"/>
    <n v="157.79400000000001"/>
    <n v="1"/>
    <n v="-115.71559999999999"/>
    <n v="-0.73333333333333328"/>
    <n v="2015"/>
    <x v="4"/>
    <n v="5"/>
    <n v="157.79400000000001"/>
    <s v="Loss"/>
  </r>
  <r>
    <s v="CA-2015-167010"/>
    <d v="2015-05-04T00:00:00"/>
    <x v="0"/>
    <x v="1"/>
    <x v="1329"/>
    <n v="98.111999999999995"/>
    <n v="7"/>
    <n v="18.396000000000001"/>
    <n v="0.18750000000000003"/>
    <n v="2015"/>
    <x v="4"/>
    <n v="5"/>
    <n v="14.016"/>
    <s v="Profit"/>
  </r>
  <r>
    <s v="CA-2015-167010"/>
    <d v="2015-05-04T00:00:00"/>
    <x v="0"/>
    <x v="1"/>
    <x v="147"/>
    <n v="563.80799999999999"/>
    <n v="4"/>
    <n v="21.142800000000001"/>
    <n v="3.7500000000000006E-2"/>
    <n v="2015"/>
    <x v="4"/>
    <n v="5"/>
    <n v="140.952"/>
    <s v="Profit"/>
  </r>
  <r>
    <s v="CA-2015-167010"/>
    <d v="2015-05-04T00:00:00"/>
    <x v="0"/>
    <x v="1"/>
    <x v="38"/>
    <n v="10.428000000000001"/>
    <n v="4"/>
    <n v="-6.952"/>
    <n v="-0.66666666666666663"/>
    <n v="2015"/>
    <x v="4"/>
    <n v="5"/>
    <n v="2.6070000000000002"/>
    <s v="Loss"/>
  </r>
  <r>
    <s v="CA-2015-167010"/>
    <d v="2015-05-04T00:00:00"/>
    <x v="0"/>
    <x v="0"/>
    <x v="796"/>
    <n v="547.13599999999997"/>
    <n v="4"/>
    <n v="-68.391999999999996"/>
    <n v="-0.125"/>
    <n v="2015"/>
    <x v="4"/>
    <n v="5"/>
    <n v="136.78399999999999"/>
    <s v="Loss"/>
  </r>
  <r>
    <s v="CA-2015-167010"/>
    <d v="2015-05-04T00:00:00"/>
    <x v="0"/>
    <x v="2"/>
    <x v="136"/>
    <n v="14.85"/>
    <n v="5"/>
    <n v="-3.2174999999999998"/>
    <n v="-0.21666666666666665"/>
    <n v="2015"/>
    <x v="4"/>
    <n v="5"/>
    <n v="2.9699999999999998"/>
    <s v="Loss"/>
  </r>
  <r>
    <s v="CA-2015-167010"/>
    <d v="2015-05-04T00:00:00"/>
    <x v="0"/>
    <x v="2"/>
    <x v="1363"/>
    <n v="41.988"/>
    <n v="2"/>
    <n v="-9.7972000000000001"/>
    <n v="-0.23333333333333334"/>
    <n v="2015"/>
    <x v="4"/>
    <n v="5"/>
    <n v="20.994"/>
    <s v="Loss"/>
  </r>
  <r>
    <s v="CA-2015-167010"/>
    <d v="2015-05-04T00:00:00"/>
    <x v="0"/>
    <x v="0"/>
    <x v="1287"/>
    <n v="7.5839999999999996"/>
    <n v="1"/>
    <n v="2.37"/>
    <n v="0.31250000000000006"/>
    <n v="2015"/>
    <x v="4"/>
    <n v="5"/>
    <n v="7.5839999999999996"/>
    <s v="Profit"/>
  </r>
  <r>
    <s v="CA-2015-167010"/>
    <d v="2015-05-04T00:00:00"/>
    <x v="0"/>
    <x v="0"/>
    <x v="316"/>
    <n v="352.45"/>
    <n v="5"/>
    <n v="-211.47"/>
    <n v="-0.6"/>
    <n v="2015"/>
    <x v="4"/>
    <n v="5"/>
    <n v="70.489999999999995"/>
    <s v="Loss"/>
  </r>
  <r>
    <s v="CA-2015-119942"/>
    <d v="2015-05-04T00:00:00"/>
    <x v="0"/>
    <x v="1"/>
    <x v="132"/>
    <n v="23.904"/>
    <n v="6"/>
    <n v="7.7687999999999997"/>
    <n v="0.32500000000000001"/>
    <n v="2015"/>
    <x v="4"/>
    <n v="5"/>
    <n v="3.984"/>
    <s v="Profit"/>
  </r>
  <r>
    <s v="CA-2015-161452"/>
    <d v="2015-05-04T00:00:00"/>
    <x v="1"/>
    <x v="0"/>
    <x v="861"/>
    <n v="892.22400000000005"/>
    <n v="3"/>
    <n v="89.222399999999993"/>
    <n v="9.9999999999999992E-2"/>
    <n v="2015"/>
    <x v="4"/>
    <n v="5"/>
    <n v="297.40800000000002"/>
    <s v="Profit"/>
  </r>
  <r>
    <s v="CA-2015-102855"/>
    <d v="2015-05-04T00:00:00"/>
    <x v="1"/>
    <x v="2"/>
    <x v="818"/>
    <n v="239.94"/>
    <n v="6"/>
    <n v="26.3934"/>
    <n v="0.11"/>
    <n v="2015"/>
    <x v="4"/>
    <n v="5"/>
    <n v="39.99"/>
    <s v="Profit"/>
  </r>
  <r>
    <s v="CA-2015-102855"/>
    <d v="2015-05-04T00:00:00"/>
    <x v="1"/>
    <x v="1"/>
    <x v="1408"/>
    <n v="23.84"/>
    <n v="8"/>
    <n v="6.4367999999999999"/>
    <n v="0.27"/>
    <n v="2015"/>
    <x v="4"/>
    <n v="5"/>
    <n v="2.98"/>
    <s v="Profit"/>
  </r>
  <r>
    <s v="CA-2015-166947"/>
    <d v="2015-05-06T00:00:00"/>
    <x v="0"/>
    <x v="0"/>
    <x v="59"/>
    <n v="1522.6379999999999"/>
    <n v="9"/>
    <n v="169.18199999999999"/>
    <n v="0.1111111111111111"/>
    <n v="2015"/>
    <x v="4"/>
    <n v="5"/>
    <n v="169.18199999999999"/>
    <s v="Profit"/>
  </r>
  <r>
    <s v="CA-2015-115168"/>
    <d v="2015-05-06T00:00:00"/>
    <x v="2"/>
    <x v="1"/>
    <x v="1409"/>
    <n v="10.56"/>
    <n v="2"/>
    <n v="4.7519999999999998"/>
    <n v="0.44999999999999996"/>
    <n v="2015"/>
    <x v="4"/>
    <n v="5"/>
    <n v="5.28"/>
    <s v="Profit"/>
  </r>
  <r>
    <s v="CA-2015-116750"/>
    <d v="2015-05-07T00:00:00"/>
    <x v="3"/>
    <x v="0"/>
    <x v="766"/>
    <n v="4.9279999999999999"/>
    <n v="2"/>
    <n v="0.73919999999999997"/>
    <n v="0.15"/>
    <n v="2015"/>
    <x v="4"/>
    <n v="5"/>
    <n v="2.464"/>
    <s v="Profit"/>
  </r>
  <r>
    <s v="CA-2015-116750"/>
    <d v="2015-05-07T00:00:00"/>
    <x v="3"/>
    <x v="1"/>
    <x v="503"/>
    <n v="7.23"/>
    <n v="5"/>
    <n v="-5.7839999999999998"/>
    <n v="-0.79999999999999993"/>
    <n v="2015"/>
    <x v="4"/>
    <n v="5"/>
    <n v="1.4460000000000002"/>
    <s v="Loss"/>
  </r>
  <r>
    <s v="CA-2015-130610"/>
    <d v="2015-05-07T00:00:00"/>
    <x v="2"/>
    <x v="1"/>
    <x v="731"/>
    <n v="19"/>
    <n v="5"/>
    <n v="8.93"/>
    <n v="0.47"/>
    <n v="2015"/>
    <x v="4"/>
    <n v="5"/>
    <n v="3.8"/>
    <s v="Profit"/>
  </r>
  <r>
    <s v="CA-2015-164336"/>
    <d v="2015-05-07T00:00:00"/>
    <x v="0"/>
    <x v="2"/>
    <x v="335"/>
    <n v="34.799999999999997"/>
    <n v="3"/>
    <n v="2.1749999999999998"/>
    <n v="6.25E-2"/>
    <n v="2015"/>
    <x v="4"/>
    <n v="5"/>
    <n v="11.6"/>
    <s v="Profit"/>
  </r>
  <r>
    <s v="CA-2015-164336"/>
    <d v="2015-05-07T00:00:00"/>
    <x v="0"/>
    <x v="1"/>
    <x v="995"/>
    <n v="38.975999999999999"/>
    <n v="3"/>
    <n v="-2.4359999999999999"/>
    <n v="-6.25E-2"/>
    <n v="2015"/>
    <x v="4"/>
    <n v="5"/>
    <n v="12.991999999999999"/>
    <s v="Loss"/>
  </r>
  <r>
    <s v="US-2015-158911"/>
    <d v="2015-05-07T00:00:00"/>
    <x v="3"/>
    <x v="0"/>
    <x v="766"/>
    <n v="4.9279999999999999"/>
    <n v="2"/>
    <n v="0.73919999999999997"/>
    <n v="0.15"/>
    <n v="2015"/>
    <x v="4"/>
    <n v="5"/>
    <n v="2.464"/>
    <s v="Profit"/>
  </r>
  <r>
    <s v="US-2015-158911"/>
    <d v="2015-05-07T00:00:00"/>
    <x v="3"/>
    <x v="1"/>
    <x v="1099"/>
    <n v="11.784000000000001"/>
    <n v="3"/>
    <n v="4.2717000000000001"/>
    <n v="0.36249999999999999"/>
    <n v="2015"/>
    <x v="4"/>
    <n v="5"/>
    <n v="3.9280000000000004"/>
    <s v="Profit"/>
  </r>
  <r>
    <s v="CA-2015-112214"/>
    <d v="2015-05-08T00:00:00"/>
    <x v="2"/>
    <x v="1"/>
    <x v="1104"/>
    <n v="33.488"/>
    <n v="7"/>
    <n v="-1.2558"/>
    <n v="-3.7499999999999999E-2"/>
    <n v="2015"/>
    <x v="4"/>
    <n v="5"/>
    <n v="4.7839999999999998"/>
    <s v="Loss"/>
  </r>
  <r>
    <s v="CA-2015-112214"/>
    <d v="2015-05-08T00:00:00"/>
    <x v="2"/>
    <x v="1"/>
    <x v="1410"/>
    <n v="23.04"/>
    <n v="3"/>
    <n v="-4.8959999999999999"/>
    <n v="-0.21249999999999999"/>
    <n v="2015"/>
    <x v="4"/>
    <n v="5"/>
    <n v="7.68"/>
    <s v="Loss"/>
  </r>
  <r>
    <s v="CA-2015-112214"/>
    <d v="2015-05-08T00:00:00"/>
    <x v="2"/>
    <x v="1"/>
    <x v="346"/>
    <n v="1.3620000000000001"/>
    <n v="1"/>
    <n v="-2.1791999999999998"/>
    <n v="-1.5999999999999996"/>
    <n v="2015"/>
    <x v="4"/>
    <n v="5"/>
    <n v="1.3620000000000001"/>
    <s v="Loss"/>
  </r>
  <r>
    <s v="CA-2015-112214"/>
    <d v="2015-05-08T00:00:00"/>
    <x v="2"/>
    <x v="0"/>
    <x v="185"/>
    <n v="14.76"/>
    <n v="5"/>
    <n v="-11.439"/>
    <n v="-0.77500000000000002"/>
    <n v="2015"/>
    <x v="4"/>
    <n v="5"/>
    <n v="2.952"/>
    <s v="Loss"/>
  </r>
  <r>
    <s v="CA-2015-130785"/>
    <d v="2015-05-09T00:00:00"/>
    <x v="1"/>
    <x v="0"/>
    <x v="1411"/>
    <n v="411.33199999999999"/>
    <n v="4"/>
    <n v="-4.8391999999999999"/>
    <n v="-1.1764705882352941E-2"/>
    <n v="2015"/>
    <x v="4"/>
    <n v="5"/>
    <n v="102.833"/>
    <s v="Loss"/>
  </r>
  <r>
    <s v="CA-2015-130785"/>
    <d v="2015-05-09T00:00:00"/>
    <x v="1"/>
    <x v="1"/>
    <x v="881"/>
    <n v="28.751999999999999"/>
    <n v="6"/>
    <n v="9.7037999999999993"/>
    <n v="0.33749999999999997"/>
    <n v="2015"/>
    <x v="4"/>
    <n v="5"/>
    <n v="4.7919999999999998"/>
    <s v="Profit"/>
  </r>
  <r>
    <s v="CA-2015-130785"/>
    <d v="2015-05-09T00:00:00"/>
    <x v="1"/>
    <x v="0"/>
    <x v="682"/>
    <n v="293.19900000000001"/>
    <n v="3"/>
    <n v="-20.696400000000001"/>
    <n v="-7.0588235294117646E-2"/>
    <n v="2015"/>
    <x v="4"/>
    <n v="5"/>
    <n v="97.733000000000004"/>
    <s v="Loss"/>
  </r>
  <r>
    <s v="CA-2015-162621"/>
    <d v="2015-05-09T00:00:00"/>
    <x v="2"/>
    <x v="1"/>
    <x v="822"/>
    <n v="16.27"/>
    <n v="5"/>
    <n v="-25.218499999999999"/>
    <n v="-1.55"/>
    <n v="2015"/>
    <x v="4"/>
    <n v="5"/>
    <n v="3.254"/>
    <s v="Loss"/>
  </r>
  <r>
    <s v="CA-2015-162621"/>
    <d v="2015-05-09T00:00:00"/>
    <x v="2"/>
    <x v="1"/>
    <x v="1410"/>
    <n v="69.12"/>
    <n v="9"/>
    <n v="-14.688000000000001"/>
    <n v="-0.21249999999999999"/>
    <n v="2015"/>
    <x v="4"/>
    <n v="5"/>
    <n v="7.6800000000000006"/>
    <s v="Loss"/>
  </r>
  <r>
    <s v="CA-2015-162621"/>
    <d v="2015-05-09T00:00:00"/>
    <x v="2"/>
    <x v="1"/>
    <x v="834"/>
    <n v="4.47"/>
    <n v="3"/>
    <n v="-7.8224999999999998"/>
    <n v="-1.75"/>
    <n v="2015"/>
    <x v="4"/>
    <n v="5"/>
    <n v="1.49"/>
    <s v="Loss"/>
  </r>
  <r>
    <s v="CA-2015-105158"/>
    <d v="2015-05-09T00:00:00"/>
    <x v="2"/>
    <x v="0"/>
    <x v="528"/>
    <n v="6.16"/>
    <n v="2"/>
    <n v="2.9567999999999999"/>
    <n v="0.48"/>
    <n v="2015"/>
    <x v="4"/>
    <n v="5"/>
    <n v="3.08"/>
    <s v="Profit"/>
  </r>
  <r>
    <s v="CA-2015-105158"/>
    <d v="2015-05-09T00:00:00"/>
    <x v="2"/>
    <x v="1"/>
    <x v="300"/>
    <n v="36.840000000000003"/>
    <n v="3"/>
    <n v="17.314800000000002"/>
    <n v="0.47000000000000003"/>
    <n v="2015"/>
    <x v="4"/>
    <n v="5"/>
    <n v="12.280000000000001"/>
    <s v="Profit"/>
  </r>
  <r>
    <s v="CA-2015-135510"/>
    <d v="2015-05-09T00:00:00"/>
    <x v="3"/>
    <x v="0"/>
    <x v="358"/>
    <n v="67.959999999999994"/>
    <n v="4"/>
    <n v="12.232799999999999"/>
    <n v="0.18"/>
    <n v="2015"/>
    <x v="4"/>
    <n v="5"/>
    <n v="16.989999999999998"/>
    <s v="Profit"/>
  </r>
  <r>
    <s v="CA-2015-115091"/>
    <d v="2015-05-10T00:00:00"/>
    <x v="3"/>
    <x v="1"/>
    <x v="150"/>
    <n v="46.2"/>
    <n v="4"/>
    <n v="12.936"/>
    <n v="0.27999999999999997"/>
    <n v="2015"/>
    <x v="4"/>
    <n v="5"/>
    <n v="11.55"/>
    <s v="Profit"/>
  </r>
  <r>
    <s v="CA-2015-115091"/>
    <d v="2015-05-10T00:00:00"/>
    <x v="3"/>
    <x v="1"/>
    <x v="606"/>
    <n v="28.84"/>
    <n v="2"/>
    <n v="9.5172000000000008"/>
    <n v="0.33"/>
    <n v="2015"/>
    <x v="4"/>
    <n v="5"/>
    <n v="14.42"/>
    <s v="Profit"/>
  </r>
  <r>
    <s v="CA-2015-161214"/>
    <d v="2015-05-10T00:00:00"/>
    <x v="0"/>
    <x v="1"/>
    <x v="1412"/>
    <n v="77.55"/>
    <n v="5"/>
    <n v="21.713999999999999"/>
    <n v="0.27999999999999997"/>
    <n v="2015"/>
    <x v="4"/>
    <n v="5"/>
    <n v="15.51"/>
    <s v="Profit"/>
  </r>
  <r>
    <s v="CA-2015-145828"/>
    <d v="2015-05-10T00:00:00"/>
    <x v="0"/>
    <x v="2"/>
    <x v="428"/>
    <n v="53.04"/>
    <n v="3"/>
    <n v="-4.641"/>
    <n v="-8.7500000000000008E-2"/>
    <n v="2015"/>
    <x v="4"/>
    <n v="5"/>
    <n v="17.68"/>
    <s v="Loss"/>
  </r>
  <r>
    <s v="CA-2015-133445"/>
    <d v="2015-05-10T00:00:00"/>
    <x v="1"/>
    <x v="0"/>
    <x v="123"/>
    <n v="66.293999999999997"/>
    <n v="1"/>
    <n v="-103.86060000000001"/>
    <n v="-1.5666666666666669"/>
    <n v="2015"/>
    <x v="4"/>
    <n v="5"/>
    <n v="66.293999999999997"/>
    <s v="Loss"/>
  </r>
  <r>
    <s v="CA-2015-133445"/>
    <d v="2015-05-10T00:00:00"/>
    <x v="1"/>
    <x v="0"/>
    <x v="608"/>
    <n v="291.16800000000001"/>
    <n v="4"/>
    <n v="-14.558400000000001"/>
    <n v="-0.05"/>
    <n v="2015"/>
    <x v="4"/>
    <n v="5"/>
    <n v="72.792000000000002"/>
    <s v="Loss"/>
  </r>
  <r>
    <s v="CA-2015-151722"/>
    <d v="2015-05-10T00:00:00"/>
    <x v="0"/>
    <x v="2"/>
    <x v="130"/>
    <n v="288"/>
    <n v="4"/>
    <n v="57.6"/>
    <n v="0.2"/>
    <n v="2015"/>
    <x v="4"/>
    <n v="5"/>
    <n v="72"/>
    <s v="Profit"/>
  </r>
  <r>
    <s v="CA-2015-131422"/>
    <d v="2015-05-11T00:00:00"/>
    <x v="3"/>
    <x v="0"/>
    <x v="702"/>
    <n v="207"/>
    <n v="3"/>
    <n v="25.875"/>
    <n v="0.125"/>
    <n v="2015"/>
    <x v="4"/>
    <n v="5"/>
    <n v="69"/>
    <s v="Profit"/>
  </r>
  <r>
    <s v="CA-2015-118444"/>
    <d v="2015-05-11T00:00:00"/>
    <x v="3"/>
    <x v="1"/>
    <x v="61"/>
    <n v="387.13600000000002"/>
    <n v="4"/>
    <n v="24.196000000000002"/>
    <n v="6.25E-2"/>
    <n v="2015"/>
    <x v="4"/>
    <n v="5"/>
    <n v="96.784000000000006"/>
    <s v="Profit"/>
  </r>
  <r>
    <s v="CA-2015-144386"/>
    <d v="2015-05-11T00:00:00"/>
    <x v="0"/>
    <x v="1"/>
    <x v="754"/>
    <n v="25.344000000000001"/>
    <n v="6"/>
    <n v="8.8704000000000001"/>
    <n v="0.35"/>
    <n v="2015"/>
    <x v="4"/>
    <n v="5"/>
    <n v="4.2240000000000002"/>
    <s v="Profit"/>
  </r>
  <r>
    <s v="CA-2015-103961"/>
    <d v="2015-05-11T00:00:00"/>
    <x v="2"/>
    <x v="1"/>
    <x v="308"/>
    <n v="19.824000000000002"/>
    <n v="6"/>
    <n v="6.4428000000000001"/>
    <n v="0.32499999999999996"/>
    <n v="2015"/>
    <x v="4"/>
    <n v="5"/>
    <n v="3.3040000000000003"/>
    <s v="Profit"/>
  </r>
  <r>
    <s v="CA-2015-145485"/>
    <d v="2015-05-11T00:00:00"/>
    <x v="1"/>
    <x v="1"/>
    <x v="10"/>
    <n v="62.8"/>
    <n v="4"/>
    <n v="15.7"/>
    <n v="0.25"/>
    <n v="2015"/>
    <x v="4"/>
    <n v="5"/>
    <n v="15.7"/>
    <s v="Profit"/>
  </r>
  <r>
    <s v="CA-2015-131072"/>
    <d v="2015-05-11T00:00:00"/>
    <x v="1"/>
    <x v="1"/>
    <x v="815"/>
    <n v="98.352000000000004"/>
    <n v="3"/>
    <n v="35.6526"/>
    <n v="0.36249999999999999"/>
    <n v="2015"/>
    <x v="4"/>
    <n v="5"/>
    <n v="32.783999999999999"/>
    <s v="Profit"/>
  </r>
  <r>
    <s v="US-2015-136259"/>
    <d v="2015-05-11T00:00:00"/>
    <x v="0"/>
    <x v="1"/>
    <x v="1143"/>
    <n v="7.218"/>
    <n v="3"/>
    <n v="-5.5338000000000003"/>
    <n v="-0.76666666666666672"/>
    <n v="2015"/>
    <x v="4"/>
    <n v="5"/>
    <n v="2.4060000000000001"/>
    <s v="Loss"/>
  </r>
  <r>
    <s v="US-2015-136259"/>
    <d v="2015-05-11T00:00:00"/>
    <x v="0"/>
    <x v="1"/>
    <x v="857"/>
    <n v="27.2"/>
    <n v="4"/>
    <n v="2.04"/>
    <n v="7.4999999999999997E-2"/>
    <n v="2015"/>
    <x v="4"/>
    <n v="5"/>
    <n v="6.8"/>
    <s v="Profit"/>
  </r>
  <r>
    <s v="CA-2015-156440"/>
    <d v="2015-05-12T00:00:00"/>
    <x v="1"/>
    <x v="0"/>
    <x v="855"/>
    <n v="44.46"/>
    <n v="2"/>
    <n v="14.671799999999999"/>
    <n v="0.32999999999999996"/>
    <n v="2015"/>
    <x v="4"/>
    <n v="5"/>
    <n v="22.23"/>
    <s v="Profit"/>
  </r>
  <r>
    <s v="CA-2015-101091"/>
    <d v="2015-05-12T00:00:00"/>
    <x v="0"/>
    <x v="2"/>
    <x v="1300"/>
    <n v="47.984000000000002"/>
    <n v="2"/>
    <n v="0.5998"/>
    <n v="1.2499999999999999E-2"/>
    <n v="2015"/>
    <x v="4"/>
    <n v="5"/>
    <n v="23.992000000000001"/>
    <s v="Profit"/>
  </r>
  <r>
    <s v="CA-2015-101091"/>
    <d v="2015-05-12T00:00:00"/>
    <x v="0"/>
    <x v="1"/>
    <x v="57"/>
    <n v="26.064"/>
    <n v="6"/>
    <n v="-19.982399999999998"/>
    <n v="-0.76666666666666661"/>
    <n v="2015"/>
    <x v="4"/>
    <n v="5"/>
    <n v="4.3440000000000003"/>
    <s v="Loss"/>
  </r>
  <r>
    <s v="CA-2015-134943"/>
    <d v="2015-05-12T00:00:00"/>
    <x v="2"/>
    <x v="1"/>
    <x v="918"/>
    <n v="152.80000000000001"/>
    <n v="5"/>
    <n v="76.400000000000006"/>
    <n v="0.5"/>
    <n v="2015"/>
    <x v="4"/>
    <n v="5"/>
    <n v="30.560000000000002"/>
    <s v="Profit"/>
  </r>
  <r>
    <s v="CA-2015-142937"/>
    <d v="2015-05-12T00:00:00"/>
    <x v="2"/>
    <x v="1"/>
    <x v="1413"/>
    <n v="45.04"/>
    <n v="2"/>
    <n v="4.5039999999999996"/>
    <n v="9.9999999999999992E-2"/>
    <n v="2015"/>
    <x v="4"/>
    <n v="5"/>
    <n v="22.52"/>
    <s v="Profit"/>
  </r>
  <r>
    <s v="CA-2015-110814"/>
    <d v="2015-05-12T00:00:00"/>
    <x v="0"/>
    <x v="1"/>
    <x v="699"/>
    <n v="232.4"/>
    <n v="5"/>
    <n v="78.435000000000002"/>
    <n v="0.33750000000000002"/>
    <n v="2015"/>
    <x v="4"/>
    <n v="5"/>
    <n v="46.480000000000004"/>
    <s v="Profit"/>
  </r>
  <r>
    <s v="CA-2015-110814"/>
    <d v="2015-05-12T00:00:00"/>
    <x v="0"/>
    <x v="0"/>
    <x v="628"/>
    <n v="164.64599999999999"/>
    <n v="3"/>
    <n v="12.8058"/>
    <n v="7.7777777777777779E-2"/>
    <n v="2015"/>
    <x v="4"/>
    <n v="5"/>
    <n v="54.881999999999998"/>
    <s v="Profit"/>
  </r>
  <r>
    <s v="CA-2015-110814"/>
    <d v="2015-05-12T00:00:00"/>
    <x v="0"/>
    <x v="1"/>
    <x v="283"/>
    <n v="22.68"/>
    <n v="2"/>
    <n v="11.113200000000001"/>
    <n v="0.49000000000000005"/>
    <n v="2015"/>
    <x v="4"/>
    <n v="5"/>
    <n v="11.34"/>
    <s v="Profit"/>
  </r>
  <r>
    <s v="CA-2015-149566"/>
    <d v="2015-05-12T00:00:00"/>
    <x v="1"/>
    <x v="2"/>
    <x v="616"/>
    <n v="39"/>
    <n v="3"/>
    <n v="17.55"/>
    <n v="0.45"/>
    <n v="2015"/>
    <x v="4"/>
    <n v="5"/>
    <n v="13"/>
    <s v="Profit"/>
  </r>
  <r>
    <s v="CA-2015-149566"/>
    <d v="2015-05-12T00:00:00"/>
    <x v="1"/>
    <x v="1"/>
    <x v="1148"/>
    <n v="12.6"/>
    <n v="4"/>
    <n v="6.048"/>
    <n v="0.48000000000000004"/>
    <n v="2015"/>
    <x v="4"/>
    <n v="5"/>
    <n v="3.15"/>
    <s v="Profit"/>
  </r>
  <r>
    <s v="US-2015-131842"/>
    <d v="2015-05-12T00:00:00"/>
    <x v="3"/>
    <x v="0"/>
    <x v="960"/>
    <n v="97.424000000000007"/>
    <n v="2"/>
    <n v="10.9602"/>
    <n v="0.1125"/>
    <n v="2015"/>
    <x v="4"/>
    <n v="5"/>
    <n v="48.712000000000003"/>
    <s v="Profit"/>
  </r>
  <r>
    <s v="CA-2015-117898"/>
    <d v="2015-05-12T00:00:00"/>
    <x v="2"/>
    <x v="1"/>
    <x v="1318"/>
    <n v="12.224"/>
    <n v="2"/>
    <n v="4.4311999999999996"/>
    <n v="0.36249999999999993"/>
    <n v="2015"/>
    <x v="4"/>
    <n v="5"/>
    <n v="6.1120000000000001"/>
    <s v="Profit"/>
  </r>
  <r>
    <s v="CA-2015-149636"/>
    <d v="2015-06-01T00:00:00"/>
    <x v="1"/>
    <x v="1"/>
    <x v="398"/>
    <n v="29.6"/>
    <n v="5"/>
    <n v="9.25"/>
    <n v="0.3125"/>
    <n v="2015"/>
    <x v="5"/>
    <n v="6"/>
    <n v="5.92"/>
    <s v="Profit"/>
  </r>
  <r>
    <s v="CA-2015-149636"/>
    <d v="2015-06-01T00:00:00"/>
    <x v="1"/>
    <x v="1"/>
    <x v="80"/>
    <n v="1.9379999999999999"/>
    <n v="2"/>
    <n v="-1.3566"/>
    <n v="-0.70000000000000007"/>
    <n v="2015"/>
    <x v="5"/>
    <n v="6"/>
    <n v="0.96899999999999997"/>
    <s v="Loss"/>
  </r>
  <r>
    <s v="CA-2015-111507"/>
    <d v="2015-06-02T00:00:00"/>
    <x v="1"/>
    <x v="1"/>
    <x v="437"/>
    <n v="5.28"/>
    <n v="3"/>
    <n v="1.5311999999999999"/>
    <n v="0.28999999999999998"/>
    <n v="2015"/>
    <x v="5"/>
    <n v="6"/>
    <n v="1.76"/>
    <s v="Profit"/>
  </r>
  <r>
    <s v="CA-2015-156482"/>
    <d v="2015-06-02T00:00:00"/>
    <x v="0"/>
    <x v="0"/>
    <x v="1414"/>
    <n v="1268.82"/>
    <n v="9"/>
    <n v="266.4522"/>
    <n v="0.21000000000000002"/>
    <n v="2015"/>
    <x v="5"/>
    <n v="6"/>
    <n v="140.97999999999999"/>
    <s v="Profit"/>
  </r>
  <r>
    <s v="CA-2015-156482"/>
    <d v="2015-06-02T00:00:00"/>
    <x v="0"/>
    <x v="0"/>
    <x v="94"/>
    <n v="283.92"/>
    <n v="4"/>
    <n v="82.336799999999997"/>
    <n v="0.28999999999999998"/>
    <n v="2015"/>
    <x v="5"/>
    <n v="6"/>
    <n v="70.98"/>
    <s v="Profit"/>
  </r>
  <r>
    <s v="CA-2015-156482"/>
    <d v="2015-06-02T00:00:00"/>
    <x v="0"/>
    <x v="1"/>
    <x v="543"/>
    <n v="5.68"/>
    <n v="2"/>
    <n v="1.7607999999999999"/>
    <n v="0.31"/>
    <n v="2015"/>
    <x v="5"/>
    <n v="6"/>
    <n v="2.84"/>
    <s v="Profit"/>
  </r>
  <r>
    <s v="CA-2015-137064"/>
    <d v="2015-06-02T00:00:00"/>
    <x v="2"/>
    <x v="1"/>
    <x v="273"/>
    <n v="2.9340000000000002"/>
    <n v="3"/>
    <n v="-4.9878"/>
    <n v="-1.7"/>
    <n v="2015"/>
    <x v="5"/>
    <n v="6"/>
    <n v="0.97800000000000009"/>
    <s v="Loss"/>
  </r>
  <r>
    <s v="CA-2015-137064"/>
    <d v="2015-06-02T00:00:00"/>
    <x v="2"/>
    <x v="2"/>
    <x v="788"/>
    <n v="18.527999999999999"/>
    <n v="2"/>
    <n v="4.4004000000000003"/>
    <n v="0.23750000000000004"/>
    <n v="2015"/>
    <x v="5"/>
    <n v="6"/>
    <n v="9.2639999999999993"/>
    <s v="Profit"/>
  </r>
  <r>
    <s v="CA-2015-137064"/>
    <d v="2015-06-02T00:00:00"/>
    <x v="2"/>
    <x v="1"/>
    <x v="1415"/>
    <n v="670.75199999999995"/>
    <n v="3"/>
    <n v="-125.76600000000001"/>
    <n v="-0.18750000000000003"/>
    <n v="2015"/>
    <x v="5"/>
    <n v="6"/>
    <n v="223.58399999999997"/>
    <s v="Loss"/>
  </r>
  <r>
    <s v="CA-2015-104038"/>
    <d v="2015-06-02T00:00:00"/>
    <x v="3"/>
    <x v="1"/>
    <x v="712"/>
    <n v="146.72999999999999"/>
    <n v="3"/>
    <n v="2.9346000000000001"/>
    <n v="0.02"/>
    <n v="2015"/>
    <x v="5"/>
    <n v="6"/>
    <n v="48.91"/>
    <s v="Profit"/>
  </r>
  <r>
    <s v="CA-2015-104038"/>
    <d v="2015-06-02T00:00:00"/>
    <x v="3"/>
    <x v="1"/>
    <x v="1203"/>
    <n v="29.9"/>
    <n v="5"/>
    <n v="13.455"/>
    <n v="0.45"/>
    <n v="2015"/>
    <x v="5"/>
    <n v="6"/>
    <n v="5.9799999999999995"/>
    <s v="Profit"/>
  </r>
  <r>
    <s v="CA-2015-142944"/>
    <d v="2015-06-03T00:00:00"/>
    <x v="1"/>
    <x v="0"/>
    <x v="1353"/>
    <n v="435.26"/>
    <n v="7"/>
    <n v="95.757199999999997"/>
    <n v="0.22"/>
    <n v="2015"/>
    <x v="5"/>
    <n v="6"/>
    <n v="62.18"/>
    <s v="Profit"/>
  </r>
  <r>
    <s v="CA-2015-142944"/>
    <d v="2015-06-03T00:00:00"/>
    <x v="1"/>
    <x v="2"/>
    <x v="1073"/>
    <n v="1119.9839999999999"/>
    <n v="2"/>
    <n v="377.99459999999999"/>
    <n v="0.33750000000000002"/>
    <n v="2015"/>
    <x v="5"/>
    <n v="6"/>
    <n v="559.99199999999996"/>
    <s v="Profit"/>
  </r>
  <r>
    <s v="CA-2015-124541"/>
    <d v="2015-06-04T00:00:00"/>
    <x v="2"/>
    <x v="1"/>
    <x v="893"/>
    <n v="42.048000000000002"/>
    <n v="9"/>
    <n v="5.2560000000000002"/>
    <n v="0.125"/>
    <n v="2015"/>
    <x v="5"/>
    <n v="6"/>
    <n v="4.6720000000000006"/>
    <s v="Profit"/>
  </r>
  <r>
    <s v="CA-2015-124541"/>
    <d v="2015-06-04T00:00:00"/>
    <x v="2"/>
    <x v="2"/>
    <x v="1416"/>
    <n v="25.488"/>
    <n v="2"/>
    <n v="4.4603999999999999"/>
    <n v="0.17499999999999999"/>
    <n v="2015"/>
    <x v="5"/>
    <n v="6"/>
    <n v="12.744"/>
    <s v="Profit"/>
  </r>
  <r>
    <s v="CA-2015-124541"/>
    <d v="2015-06-04T00:00:00"/>
    <x v="2"/>
    <x v="1"/>
    <x v="458"/>
    <n v="6.9"/>
    <n v="3"/>
    <n v="-12.074999999999999"/>
    <n v="-1.7499999999999998"/>
    <n v="2015"/>
    <x v="5"/>
    <n v="6"/>
    <n v="2.3000000000000003"/>
    <s v="Loss"/>
  </r>
  <r>
    <s v="CA-2015-124541"/>
    <d v="2015-06-04T00:00:00"/>
    <x v="2"/>
    <x v="1"/>
    <x v="836"/>
    <n v="9.6479999999999997"/>
    <n v="6"/>
    <n v="-16.884"/>
    <n v="-1.75"/>
    <n v="2015"/>
    <x v="5"/>
    <n v="6"/>
    <n v="1.6079999999999999"/>
    <s v="Loss"/>
  </r>
  <r>
    <s v="CA-2015-124541"/>
    <d v="2015-06-04T00:00:00"/>
    <x v="2"/>
    <x v="1"/>
    <x v="1417"/>
    <n v="7.968"/>
    <n v="2"/>
    <n v="2.8883999999999999"/>
    <n v="0.36249999999999999"/>
    <n v="2015"/>
    <x v="5"/>
    <n v="6"/>
    <n v="3.984"/>
    <s v="Profit"/>
  </r>
  <r>
    <s v="CA-2015-100888"/>
    <d v="2015-06-04T00:00:00"/>
    <x v="3"/>
    <x v="1"/>
    <x v="750"/>
    <n v="47.951999999999998"/>
    <n v="3"/>
    <n v="16.183800000000002"/>
    <n v="0.33750000000000002"/>
    <n v="2015"/>
    <x v="5"/>
    <n v="6"/>
    <n v="15.984"/>
    <s v="Profit"/>
  </r>
  <r>
    <s v="CA-2015-108665"/>
    <d v="2015-06-07T00:00:00"/>
    <x v="0"/>
    <x v="0"/>
    <x v="1418"/>
    <n v="13.96"/>
    <n v="2"/>
    <n v="6.7008000000000001"/>
    <n v="0.48"/>
    <n v="2015"/>
    <x v="5"/>
    <n v="6"/>
    <n v="6.98"/>
    <s v="Profit"/>
  </r>
  <r>
    <s v="CA-2015-108665"/>
    <d v="2015-06-07T00:00:00"/>
    <x v="0"/>
    <x v="0"/>
    <x v="1271"/>
    <n v="155.82"/>
    <n v="3"/>
    <n v="63.886200000000002"/>
    <n v="0.41000000000000003"/>
    <n v="2015"/>
    <x v="5"/>
    <n v="6"/>
    <n v="51.94"/>
    <s v="Profit"/>
  </r>
  <r>
    <s v="CA-2015-108665"/>
    <d v="2015-06-07T00:00:00"/>
    <x v="0"/>
    <x v="2"/>
    <x v="1419"/>
    <n v="124.95"/>
    <n v="5"/>
    <n v="2.4990000000000001"/>
    <n v="0.02"/>
    <n v="2015"/>
    <x v="5"/>
    <n v="6"/>
    <n v="24.990000000000002"/>
    <s v="Profit"/>
  </r>
  <r>
    <s v="CA-2015-108665"/>
    <d v="2015-06-07T00:00:00"/>
    <x v="0"/>
    <x v="1"/>
    <x v="1286"/>
    <n v="601.65"/>
    <n v="5"/>
    <n v="156.429"/>
    <n v="0.26"/>
    <n v="2015"/>
    <x v="5"/>
    <n v="6"/>
    <n v="120.33"/>
    <s v="Profit"/>
  </r>
  <r>
    <s v="CA-2015-146087"/>
    <d v="2015-06-07T00:00:00"/>
    <x v="0"/>
    <x v="0"/>
    <x v="279"/>
    <n v="301.95999999999998"/>
    <n v="2"/>
    <n v="60.392000000000003"/>
    <n v="0.2"/>
    <n v="2015"/>
    <x v="5"/>
    <n v="6"/>
    <n v="150.97999999999999"/>
    <s v="Profit"/>
  </r>
  <r>
    <s v="CA-2015-161627"/>
    <d v="2015-06-07T00:00:00"/>
    <x v="1"/>
    <x v="0"/>
    <x v="261"/>
    <n v="170.352"/>
    <n v="3"/>
    <n v="-17.0352"/>
    <n v="-9.9999999999999992E-2"/>
    <n v="2015"/>
    <x v="5"/>
    <n v="6"/>
    <n v="56.783999999999999"/>
    <s v="Loss"/>
  </r>
  <r>
    <s v="CA-2015-116260"/>
    <d v="2015-06-07T00:00:00"/>
    <x v="0"/>
    <x v="1"/>
    <x v="468"/>
    <n v="11.12"/>
    <n v="4"/>
    <n v="2.8912"/>
    <n v="0.26"/>
    <n v="2015"/>
    <x v="5"/>
    <n v="6"/>
    <n v="2.78"/>
    <s v="Profit"/>
  </r>
  <r>
    <s v="CA-2015-160794"/>
    <d v="2015-06-08T00:00:00"/>
    <x v="2"/>
    <x v="1"/>
    <x v="283"/>
    <n v="27.216000000000001"/>
    <n v="3"/>
    <n v="9.8658000000000001"/>
    <n v="0.36249999999999999"/>
    <n v="2015"/>
    <x v="5"/>
    <n v="6"/>
    <n v="9.072000000000001"/>
    <s v="Profit"/>
  </r>
  <r>
    <s v="CA-2015-135251"/>
    <d v="2015-06-08T00:00:00"/>
    <x v="2"/>
    <x v="1"/>
    <x v="160"/>
    <n v="35.520000000000003"/>
    <n v="3"/>
    <n v="13.32"/>
    <n v="0.375"/>
    <n v="2015"/>
    <x v="5"/>
    <n v="6"/>
    <n v="11.840000000000002"/>
    <s v="Profit"/>
  </r>
  <r>
    <s v="CA-2015-135251"/>
    <d v="2015-06-08T00:00:00"/>
    <x v="2"/>
    <x v="1"/>
    <x v="450"/>
    <n v="6.23"/>
    <n v="5"/>
    <n v="-9.6564999999999994"/>
    <n v="-1.5499999999999998"/>
    <n v="2015"/>
    <x v="5"/>
    <n v="6"/>
    <n v="1.246"/>
    <s v="Loss"/>
  </r>
  <r>
    <s v="CA-2015-135251"/>
    <d v="2015-06-08T00:00:00"/>
    <x v="2"/>
    <x v="1"/>
    <x v="550"/>
    <n v="56.704000000000001"/>
    <n v="2"/>
    <n v="19.137599999999999"/>
    <n v="0.33749999999999997"/>
    <n v="2015"/>
    <x v="5"/>
    <n v="6"/>
    <n v="28.352"/>
    <s v="Profit"/>
  </r>
  <r>
    <s v="CA-2015-135251"/>
    <d v="2015-06-08T00:00:00"/>
    <x v="2"/>
    <x v="0"/>
    <x v="598"/>
    <n v="369.19920000000002"/>
    <n v="3"/>
    <n v="-114.01739999999999"/>
    <n v="-0.30882352941176466"/>
    <n v="2015"/>
    <x v="5"/>
    <n v="6"/>
    <n v="123.0664"/>
    <s v="Loss"/>
  </r>
  <r>
    <s v="CA-2015-138002"/>
    <d v="2015-06-09T00:00:00"/>
    <x v="1"/>
    <x v="1"/>
    <x v="944"/>
    <n v="6.0960000000000001"/>
    <n v="2"/>
    <n v="2.1335999999999999"/>
    <n v="0.35"/>
    <n v="2015"/>
    <x v="5"/>
    <n v="6"/>
    <n v="3.048"/>
    <s v="Profit"/>
  </r>
  <r>
    <s v="CA-2015-138002"/>
    <d v="2015-06-09T00:00:00"/>
    <x v="1"/>
    <x v="0"/>
    <x v="1068"/>
    <n v="191.82"/>
    <n v="3"/>
    <n v="74.809799999999996"/>
    <n v="0.39"/>
    <n v="2015"/>
    <x v="5"/>
    <n v="6"/>
    <n v="63.94"/>
    <s v="Profit"/>
  </r>
  <r>
    <s v="CA-2015-143238"/>
    <d v="2015-06-09T00:00:00"/>
    <x v="1"/>
    <x v="2"/>
    <x v="788"/>
    <n v="46.32"/>
    <n v="4"/>
    <n v="18.064800000000002"/>
    <n v="0.39"/>
    <n v="2015"/>
    <x v="5"/>
    <n v="6"/>
    <n v="11.58"/>
    <s v="Profit"/>
  </r>
  <r>
    <s v="CA-2015-150791"/>
    <d v="2015-06-09T00:00:00"/>
    <x v="0"/>
    <x v="0"/>
    <x v="979"/>
    <n v="271.76400000000001"/>
    <n v="2"/>
    <n v="60.392000000000003"/>
    <n v="0.22222222222222224"/>
    <n v="2015"/>
    <x v="5"/>
    <n v="6"/>
    <n v="135.88200000000001"/>
    <s v="Profit"/>
  </r>
  <r>
    <s v="CA-2015-160696"/>
    <d v="2015-06-09T00:00:00"/>
    <x v="3"/>
    <x v="1"/>
    <x v="1420"/>
    <n v="7.24"/>
    <n v="5"/>
    <n v="1.1765000000000001"/>
    <n v="0.16250000000000001"/>
    <n v="2015"/>
    <x v="5"/>
    <n v="6"/>
    <n v="1.448"/>
    <s v="Profit"/>
  </r>
  <r>
    <s v="CA-2015-133977"/>
    <d v="2015-06-09T00:00:00"/>
    <x v="3"/>
    <x v="1"/>
    <x v="988"/>
    <n v="3.444"/>
    <n v="1"/>
    <n v="-2.5255999999999998"/>
    <n v="-0.73333333333333328"/>
    <n v="2015"/>
    <x v="5"/>
    <n v="6"/>
    <n v="3.444"/>
    <s v="Loss"/>
  </r>
  <r>
    <s v="US-2015-109015"/>
    <d v="2015-06-09T00:00:00"/>
    <x v="0"/>
    <x v="1"/>
    <x v="211"/>
    <n v="8.39"/>
    <n v="1"/>
    <n v="2.0975000000000001"/>
    <n v="0.25"/>
    <n v="2015"/>
    <x v="5"/>
    <n v="6"/>
    <n v="8.39"/>
    <s v="Profit"/>
  </r>
  <r>
    <s v="US-2015-109015"/>
    <d v="2015-06-09T00:00:00"/>
    <x v="0"/>
    <x v="2"/>
    <x v="1396"/>
    <n v="337.98"/>
    <n v="2"/>
    <n v="101.39400000000001"/>
    <n v="0.3"/>
    <n v="2015"/>
    <x v="5"/>
    <n v="6"/>
    <n v="168.99"/>
    <s v="Profit"/>
  </r>
  <r>
    <s v="CA-2015-169572"/>
    <d v="2015-06-09T00:00:00"/>
    <x v="3"/>
    <x v="1"/>
    <x v="1421"/>
    <n v="46.62"/>
    <n v="9"/>
    <n v="21.4452"/>
    <n v="0.46"/>
    <n v="2015"/>
    <x v="5"/>
    <n v="6"/>
    <n v="5.18"/>
    <s v="Profit"/>
  </r>
  <r>
    <s v="US-2015-151435"/>
    <d v="2015-06-09T00:00:00"/>
    <x v="3"/>
    <x v="0"/>
    <x v="479"/>
    <n v="85.98"/>
    <n v="1"/>
    <n v="22.354800000000001"/>
    <n v="0.26"/>
    <n v="2015"/>
    <x v="5"/>
    <n v="6"/>
    <n v="85.98"/>
    <s v="Profit"/>
  </r>
  <r>
    <s v="CA-2015-105312"/>
    <d v="2015-06-11T00:00:00"/>
    <x v="1"/>
    <x v="1"/>
    <x v="456"/>
    <n v="7.08"/>
    <n v="3"/>
    <n v="2.4780000000000002"/>
    <n v="0.35000000000000003"/>
    <n v="2015"/>
    <x v="5"/>
    <n v="6"/>
    <n v="2.36"/>
    <s v="Profit"/>
  </r>
  <r>
    <s v="CA-2015-105312"/>
    <d v="2015-06-11T00:00:00"/>
    <x v="1"/>
    <x v="1"/>
    <x v="273"/>
    <n v="4.4009999999999998"/>
    <n v="3"/>
    <n v="-3.5207999999999999"/>
    <n v="-0.8"/>
    <n v="2015"/>
    <x v="5"/>
    <n v="6"/>
    <n v="1.4669999999999999"/>
    <s v="Loss"/>
  </r>
  <r>
    <s v="CA-2015-143490"/>
    <d v="2015-06-12T00:00:00"/>
    <x v="1"/>
    <x v="1"/>
    <x v="1422"/>
    <n v="120.15"/>
    <n v="9"/>
    <n v="33.642000000000003"/>
    <n v="0.28000000000000003"/>
    <n v="2015"/>
    <x v="5"/>
    <n v="6"/>
    <n v="13.350000000000001"/>
    <s v="Profit"/>
  </r>
  <r>
    <s v="CA-2015-143490"/>
    <d v="2015-06-12T00:00:00"/>
    <x v="1"/>
    <x v="2"/>
    <x v="351"/>
    <n v="219.184"/>
    <n v="2"/>
    <n v="19.178599999999999"/>
    <n v="8.7499999999999994E-2"/>
    <n v="2015"/>
    <x v="5"/>
    <n v="6"/>
    <n v="109.592"/>
    <s v="Profit"/>
  </r>
  <r>
    <s v="US-2015-149692"/>
    <d v="2015-06-12T00:00:00"/>
    <x v="2"/>
    <x v="1"/>
    <x v="1039"/>
    <n v="2.7719999999999998"/>
    <n v="7"/>
    <n v="-4.851"/>
    <n v="-1.7500000000000002"/>
    <n v="2015"/>
    <x v="5"/>
    <n v="6"/>
    <n v="0.39599999999999996"/>
    <s v="Loss"/>
  </r>
  <r>
    <s v="CA-2015-144806"/>
    <d v="2015-06-12T00:00:00"/>
    <x v="1"/>
    <x v="0"/>
    <x v="974"/>
    <n v="206.11199999999999"/>
    <n v="6"/>
    <n v="48.951599999999999"/>
    <n v="0.23749999999999999"/>
    <n v="2015"/>
    <x v="5"/>
    <n v="6"/>
    <n v="34.351999999999997"/>
    <s v="Profit"/>
  </r>
  <r>
    <s v="CA-2015-144806"/>
    <d v="2015-06-12T00:00:00"/>
    <x v="1"/>
    <x v="1"/>
    <x v="782"/>
    <n v="19.920000000000002"/>
    <n v="5"/>
    <n v="6.7229999999999999"/>
    <n v="0.33749999999999997"/>
    <n v="2015"/>
    <x v="5"/>
    <n v="6"/>
    <n v="3.9840000000000004"/>
    <s v="Profit"/>
  </r>
  <r>
    <s v="CA-2015-144806"/>
    <d v="2015-06-12T00:00:00"/>
    <x v="1"/>
    <x v="1"/>
    <x v="491"/>
    <n v="198.27199999999999"/>
    <n v="8"/>
    <n v="61.96"/>
    <n v="0.3125"/>
    <n v="2015"/>
    <x v="5"/>
    <n v="6"/>
    <n v="24.783999999999999"/>
    <s v="Profit"/>
  </r>
  <r>
    <s v="CA-2015-144806"/>
    <d v="2015-06-12T00:00:00"/>
    <x v="1"/>
    <x v="1"/>
    <x v="830"/>
    <n v="247.10400000000001"/>
    <n v="6"/>
    <n v="-58.687199999999997"/>
    <n v="-0.23749999999999999"/>
    <n v="2015"/>
    <x v="5"/>
    <n v="6"/>
    <n v="41.184000000000005"/>
    <s v="Loss"/>
  </r>
  <r>
    <s v="CA-2015-144806"/>
    <d v="2015-06-12T00:00:00"/>
    <x v="1"/>
    <x v="1"/>
    <x v="1423"/>
    <n v="86.304000000000002"/>
    <n v="6"/>
    <n v="9.7091999999999992"/>
    <n v="0.11249999999999999"/>
    <n v="2015"/>
    <x v="5"/>
    <n v="6"/>
    <n v="14.384"/>
    <s v="Profit"/>
  </r>
  <r>
    <s v="CA-2015-131884"/>
    <d v="2015-06-12T00:00:00"/>
    <x v="0"/>
    <x v="2"/>
    <x v="1424"/>
    <n v="485.94"/>
    <n v="2"/>
    <n v="-89.088999999999999"/>
    <n v="-0.18333333333333332"/>
    <n v="2015"/>
    <x v="5"/>
    <n v="6"/>
    <n v="242.97"/>
    <s v="Loss"/>
  </r>
  <r>
    <s v="CA-2015-131884"/>
    <d v="2015-06-12T00:00:00"/>
    <x v="0"/>
    <x v="1"/>
    <x v="893"/>
    <n v="37.375999999999998"/>
    <n v="8"/>
    <n v="4.6719999999999997"/>
    <n v="0.125"/>
    <n v="2015"/>
    <x v="5"/>
    <n v="6"/>
    <n v="4.6719999999999997"/>
    <s v="Profit"/>
  </r>
  <r>
    <s v="CA-2015-131884"/>
    <d v="2015-06-12T00:00:00"/>
    <x v="0"/>
    <x v="0"/>
    <x v="314"/>
    <n v="70.686000000000007"/>
    <n v="1"/>
    <n v="-24.235199999999999"/>
    <n v="-0.3428571428571428"/>
    <n v="2015"/>
    <x v="5"/>
    <n v="6"/>
    <n v="70.686000000000007"/>
    <s v="Loss"/>
  </r>
  <r>
    <s v="CA-2015-148628"/>
    <d v="2015-06-12T00:00:00"/>
    <x v="1"/>
    <x v="1"/>
    <x v="1425"/>
    <n v="32.75"/>
    <n v="5"/>
    <n v="15.065"/>
    <n v="0.45999999999999996"/>
    <n v="2015"/>
    <x v="5"/>
    <n v="6"/>
    <n v="6.55"/>
    <s v="Profit"/>
  </r>
  <r>
    <s v="US-2015-127040"/>
    <d v="2015-06-12T00:00:00"/>
    <x v="0"/>
    <x v="1"/>
    <x v="1359"/>
    <n v="6.48"/>
    <n v="1"/>
    <n v="3.1103999999999998"/>
    <n v="0.47999999999999993"/>
    <n v="2015"/>
    <x v="5"/>
    <n v="6"/>
    <n v="6.48"/>
    <s v="Profit"/>
  </r>
  <r>
    <s v="US-2015-127040"/>
    <d v="2015-06-12T00:00:00"/>
    <x v="0"/>
    <x v="1"/>
    <x v="1426"/>
    <n v="41.86"/>
    <n v="7"/>
    <n v="20.511399999999998"/>
    <n v="0.49"/>
    <n v="2015"/>
    <x v="5"/>
    <n v="6"/>
    <n v="5.9799999999999995"/>
    <s v="Profit"/>
  </r>
  <r>
    <s v="US-2015-127040"/>
    <d v="2015-06-12T00:00:00"/>
    <x v="0"/>
    <x v="2"/>
    <x v="1020"/>
    <n v="1619.91"/>
    <n v="9"/>
    <n v="97.194599999999994"/>
    <n v="5.9999999999999991E-2"/>
    <n v="2015"/>
    <x v="5"/>
    <n v="6"/>
    <n v="179.99"/>
    <s v="Profit"/>
  </r>
  <r>
    <s v="US-2015-127040"/>
    <d v="2015-06-12T00:00:00"/>
    <x v="0"/>
    <x v="0"/>
    <x v="1427"/>
    <n v="113.92"/>
    <n v="4"/>
    <n v="42.150399999999998"/>
    <n v="0.37"/>
    <n v="2015"/>
    <x v="5"/>
    <n v="6"/>
    <n v="28.48"/>
    <s v="Profit"/>
  </r>
  <r>
    <s v="CA-2015-156104"/>
    <d v="2015-06-12T00:00:00"/>
    <x v="2"/>
    <x v="2"/>
    <x v="989"/>
    <n v="999.98"/>
    <n v="2"/>
    <n v="449.99099999999999"/>
    <n v="0.44999999999999996"/>
    <n v="2015"/>
    <x v="5"/>
    <n v="6"/>
    <n v="499.99"/>
    <s v="Profit"/>
  </r>
  <r>
    <s v="US-2015-114741"/>
    <d v="2015-06-12T00:00:00"/>
    <x v="1"/>
    <x v="1"/>
    <x v="1428"/>
    <n v="6.48"/>
    <n v="1"/>
    <n v="3.1103999999999998"/>
    <n v="0.47999999999999993"/>
    <n v="2015"/>
    <x v="5"/>
    <n v="6"/>
    <n v="6.48"/>
    <s v="Profit"/>
  </r>
  <r>
    <s v="US-2015-114741"/>
    <d v="2015-06-12T00:00:00"/>
    <x v="1"/>
    <x v="1"/>
    <x v="1333"/>
    <n v="1325.85"/>
    <n v="5"/>
    <n v="238.65299999999999"/>
    <n v="0.18"/>
    <n v="2015"/>
    <x v="5"/>
    <n v="6"/>
    <n v="265.16999999999996"/>
    <s v="Profit"/>
  </r>
  <r>
    <s v="US-2015-114741"/>
    <d v="2015-06-12T00:00:00"/>
    <x v="1"/>
    <x v="1"/>
    <x v="98"/>
    <n v="14.94"/>
    <n v="3"/>
    <n v="6.8723999999999998"/>
    <n v="0.46"/>
    <n v="2015"/>
    <x v="5"/>
    <n v="6"/>
    <n v="4.9799999999999995"/>
    <s v="Profit"/>
  </r>
  <r>
    <s v="CA-2015-168634"/>
    <d v="2015-06-12T00:00:00"/>
    <x v="1"/>
    <x v="1"/>
    <x v="845"/>
    <n v="7.78"/>
    <n v="2"/>
    <n v="2.0228000000000002"/>
    <n v="0.26"/>
    <n v="2015"/>
    <x v="5"/>
    <n v="6"/>
    <n v="3.89"/>
    <s v="Profit"/>
  </r>
  <r>
    <s v="CA-2015-153752"/>
    <d v="2015-06-12T00:00:00"/>
    <x v="3"/>
    <x v="2"/>
    <x v="1429"/>
    <n v="173.94"/>
    <n v="6"/>
    <n v="50.442599999999999"/>
    <n v="0.28999999999999998"/>
    <n v="2015"/>
    <x v="5"/>
    <n v="6"/>
    <n v="28.99"/>
    <s v="Profit"/>
  </r>
  <r>
    <s v="CA-2015-166338"/>
    <d v="2015-06-12T00:00:00"/>
    <x v="0"/>
    <x v="1"/>
    <x v="1230"/>
    <n v="14.832000000000001"/>
    <n v="3"/>
    <n v="-10.382400000000001"/>
    <n v="-0.7"/>
    <n v="2015"/>
    <x v="5"/>
    <n v="6"/>
    <n v="4.944"/>
    <s v="Loss"/>
  </r>
  <r>
    <s v="CA-2015-136700"/>
    <d v="2015-06-12T00:00:00"/>
    <x v="1"/>
    <x v="1"/>
    <x v="1430"/>
    <n v="8.9600000000000009"/>
    <n v="2"/>
    <n v="4.3903999999999996"/>
    <n v="0.48999999999999994"/>
    <n v="2015"/>
    <x v="5"/>
    <n v="6"/>
    <n v="4.4800000000000004"/>
    <s v="Profit"/>
  </r>
  <r>
    <s v="CA-2015-147529"/>
    <d v="2015-07-02T00:00:00"/>
    <x v="3"/>
    <x v="1"/>
    <x v="1100"/>
    <n v="311.14999999999998"/>
    <n v="5"/>
    <n v="146.2405"/>
    <n v="0.47000000000000003"/>
    <n v="2015"/>
    <x v="6"/>
    <n v="7"/>
    <n v="62.23"/>
    <s v="Profit"/>
  </r>
  <r>
    <s v="CA-2015-147529"/>
    <d v="2015-07-02T00:00:00"/>
    <x v="3"/>
    <x v="1"/>
    <x v="1054"/>
    <n v="12.96"/>
    <n v="2"/>
    <n v="6.3503999999999996"/>
    <n v="0.48999999999999994"/>
    <n v="2015"/>
    <x v="6"/>
    <n v="7"/>
    <n v="6.48"/>
    <s v="Profit"/>
  </r>
  <r>
    <s v="CA-2015-146255"/>
    <d v="2015-07-03T00:00:00"/>
    <x v="0"/>
    <x v="2"/>
    <x v="340"/>
    <n v="119.85"/>
    <n v="3"/>
    <n v="52.734000000000002"/>
    <n v="0.44000000000000006"/>
    <n v="2015"/>
    <x v="6"/>
    <n v="7"/>
    <n v="39.949999999999996"/>
    <s v="Profit"/>
  </r>
  <r>
    <s v="CA-2015-146255"/>
    <d v="2015-07-03T00:00:00"/>
    <x v="0"/>
    <x v="1"/>
    <x v="634"/>
    <n v="30.44"/>
    <n v="2"/>
    <n v="14.9156"/>
    <n v="0.49"/>
    <n v="2015"/>
    <x v="6"/>
    <n v="7"/>
    <n v="15.22"/>
    <s v="Profit"/>
  </r>
  <r>
    <s v="CA-2015-146255"/>
    <d v="2015-07-03T00:00:00"/>
    <x v="0"/>
    <x v="1"/>
    <x v="1358"/>
    <n v="69.28"/>
    <n v="2"/>
    <n v="33.254399999999997"/>
    <n v="0.47999999999999993"/>
    <n v="2015"/>
    <x v="6"/>
    <n v="7"/>
    <n v="34.64"/>
    <s v="Profit"/>
  </r>
  <r>
    <s v="CA-2015-146255"/>
    <d v="2015-07-03T00:00:00"/>
    <x v="0"/>
    <x v="2"/>
    <x v="459"/>
    <n v="587.97"/>
    <n v="3"/>
    <n v="170.51130000000001"/>
    <n v="0.28999999999999998"/>
    <n v="2015"/>
    <x v="6"/>
    <n v="7"/>
    <n v="195.99"/>
    <s v="Profit"/>
  </r>
  <r>
    <s v="CA-2015-140025"/>
    <d v="2015-07-04T00:00:00"/>
    <x v="2"/>
    <x v="1"/>
    <x v="854"/>
    <n v="463.24799999999999"/>
    <n v="8"/>
    <n v="-1181.2824000000001"/>
    <n v="-2.5500000000000003"/>
    <n v="2015"/>
    <x v="6"/>
    <n v="7"/>
    <n v="57.905999999999999"/>
    <s v="Loss"/>
  </r>
  <r>
    <s v="CA-2015-140025"/>
    <d v="2015-07-04T00:00:00"/>
    <x v="2"/>
    <x v="2"/>
    <x v="687"/>
    <n v="383.952"/>
    <n v="6"/>
    <n v="47.994"/>
    <n v="0.125"/>
    <n v="2015"/>
    <x v="6"/>
    <n v="7"/>
    <n v="63.991999999999997"/>
    <s v="Profit"/>
  </r>
  <r>
    <s v="CA-2015-130554"/>
    <d v="2015-07-04T00:00:00"/>
    <x v="0"/>
    <x v="1"/>
    <x v="1431"/>
    <n v="11.736000000000001"/>
    <n v="3"/>
    <n v="1.0268999999999999"/>
    <n v="8.7499999999999994E-2"/>
    <n v="2015"/>
    <x v="6"/>
    <n v="7"/>
    <n v="3.9120000000000004"/>
    <s v="Profit"/>
  </r>
  <r>
    <s v="CA-2015-166492"/>
    <d v="2015-07-04T00:00:00"/>
    <x v="0"/>
    <x v="1"/>
    <x v="847"/>
    <n v="25.92"/>
    <n v="4"/>
    <n v="12.441599999999999"/>
    <n v="0.47999999999999993"/>
    <n v="2015"/>
    <x v="6"/>
    <n v="7"/>
    <n v="6.48"/>
    <s v="Profit"/>
  </r>
  <r>
    <s v="CA-2015-166492"/>
    <d v="2015-07-04T00:00:00"/>
    <x v="0"/>
    <x v="1"/>
    <x v="321"/>
    <n v="22.58"/>
    <n v="2"/>
    <n v="5.8708"/>
    <n v="0.26"/>
    <n v="2015"/>
    <x v="6"/>
    <n v="7"/>
    <n v="11.29"/>
    <s v="Profit"/>
  </r>
  <r>
    <s v="CA-2015-137512"/>
    <d v="2015-07-05T00:00:00"/>
    <x v="2"/>
    <x v="0"/>
    <x v="341"/>
    <n v="244.006"/>
    <n v="2"/>
    <n v="-31.372199999999999"/>
    <n v="-0.12857142857142856"/>
    <n v="2015"/>
    <x v="6"/>
    <n v="7"/>
    <n v="122.003"/>
    <s v="Loss"/>
  </r>
  <r>
    <s v="CA-2015-137512"/>
    <d v="2015-07-05T00:00:00"/>
    <x v="2"/>
    <x v="1"/>
    <x v="1432"/>
    <n v="15.936"/>
    <n v="4"/>
    <n v="5.3784000000000001"/>
    <n v="0.33750000000000002"/>
    <n v="2015"/>
    <x v="6"/>
    <n v="7"/>
    <n v="3.984"/>
    <s v="Profit"/>
  </r>
  <r>
    <s v="CA-2015-147879"/>
    <d v="2015-07-05T00:00:00"/>
    <x v="3"/>
    <x v="1"/>
    <x v="1433"/>
    <n v="45.68"/>
    <n v="2"/>
    <n v="21.012799999999999"/>
    <n v="0.45999999999999996"/>
    <n v="2015"/>
    <x v="6"/>
    <n v="7"/>
    <n v="22.84"/>
    <s v="Profit"/>
  </r>
  <r>
    <s v="CA-2015-142041"/>
    <d v="2015-07-06T00:00:00"/>
    <x v="1"/>
    <x v="1"/>
    <x v="225"/>
    <n v="7.52"/>
    <n v="5"/>
    <n v="2.6320000000000001"/>
    <n v="0.35000000000000003"/>
    <n v="2015"/>
    <x v="6"/>
    <n v="7"/>
    <n v="1.504"/>
    <s v="Profit"/>
  </r>
  <r>
    <s v="CA-2015-157343"/>
    <d v="2015-07-06T00:00:00"/>
    <x v="0"/>
    <x v="1"/>
    <x v="239"/>
    <n v="18.312000000000001"/>
    <n v="4"/>
    <n v="-12.208"/>
    <n v="-0.66666666666666663"/>
    <n v="2015"/>
    <x v="6"/>
    <n v="7"/>
    <n v="4.5780000000000003"/>
    <s v="Loss"/>
  </r>
  <r>
    <s v="CA-2015-157343"/>
    <d v="2015-07-06T00:00:00"/>
    <x v="0"/>
    <x v="1"/>
    <x v="1023"/>
    <n v="25.92"/>
    <n v="5"/>
    <n v="9.0719999999999992"/>
    <n v="0.34999999999999992"/>
    <n v="2015"/>
    <x v="6"/>
    <n v="7"/>
    <n v="5.1840000000000002"/>
    <s v="Profit"/>
  </r>
  <r>
    <s v="CA-2015-157343"/>
    <d v="2015-07-06T00:00:00"/>
    <x v="0"/>
    <x v="1"/>
    <x v="1297"/>
    <n v="8.016"/>
    <n v="3"/>
    <n v="1.002"/>
    <n v="0.125"/>
    <n v="2015"/>
    <x v="6"/>
    <n v="7"/>
    <n v="2.6720000000000002"/>
    <s v="Profit"/>
  </r>
  <r>
    <s v="CA-2015-163895"/>
    <d v="2015-07-08T00:00:00"/>
    <x v="1"/>
    <x v="1"/>
    <x v="152"/>
    <n v="3.3039999999999998"/>
    <n v="1"/>
    <n v="1.1151"/>
    <n v="0.33750000000000002"/>
    <n v="2015"/>
    <x v="6"/>
    <n v="7"/>
    <n v="3.3039999999999998"/>
    <s v="Profit"/>
  </r>
  <r>
    <s v="CA-2015-141936"/>
    <d v="2015-07-08T00:00:00"/>
    <x v="1"/>
    <x v="1"/>
    <x v="1434"/>
    <n v="19.152000000000001"/>
    <n v="3"/>
    <n v="6.4638"/>
    <n v="0.33749999999999997"/>
    <n v="2015"/>
    <x v="6"/>
    <n v="7"/>
    <n v="6.3840000000000003"/>
    <s v="Profit"/>
  </r>
  <r>
    <s v="US-2015-124219"/>
    <d v="2015-07-08T00:00:00"/>
    <x v="2"/>
    <x v="1"/>
    <x v="937"/>
    <n v="28.4"/>
    <n v="4"/>
    <n v="13.064"/>
    <n v="0.46"/>
    <n v="2015"/>
    <x v="6"/>
    <n v="7"/>
    <n v="7.1"/>
    <s v="Profit"/>
  </r>
  <r>
    <s v="US-2015-124219"/>
    <d v="2015-07-08T00:00:00"/>
    <x v="2"/>
    <x v="0"/>
    <x v="916"/>
    <n v="212.94"/>
    <n v="3"/>
    <n v="34.070399999999999"/>
    <n v="0.16"/>
    <n v="2015"/>
    <x v="6"/>
    <n v="7"/>
    <n v="70.98"/>
    <s v="Profit"/>
  </r>
  <r>
    <s v="CA-2015-138331"/>
    <d v="2015-07-08T00:00:00"/>
    <x v="0"/>
    <x v="1"/>
    <x v="1422"/>
    <n v="106.8"/>
    <n v="10"/>
    <n v="10.68"/>
    <n v="0.1"/>
    <n v="2015"/>
    <x v="6"/>
    <n v="7"/>
    <n v="10.68"/>
    <s v="Profit"/>
  </r>
  <r>
    <s v="US-2015-117492"/>
    <d v="2015-07-08T00:00:00"/>
    <x v="0"/>
    <x v="1"/>
    <x v="174"/>
    <n v="77.58"/>
    <n v="9"/>
    <n v="20.1708"/>
    <n v="0.26"/>
    <n v="2015"/>
    <x v="6"/>
    <n v="7"/>
    <n v="8.6199999999999992"/>
    <s v="Profit"/>
  </r>
  <r>
    <s v="CA-2015-163237"/>
    <d v="2015-07-08T00:00:00"/>
    <x v="3"/>
    <x v="2"/>
    <x v="529"/>
    <n v="494.97"/>
    <n v="3"/>
    <n v="148.49100000000001"/>
    <n v="0.3"/>
    <n v="2015"/>
    <x v="6"/>
    <n v="7"/>
    <n v="164.99"/>
    <s v="Profit"/>
  </r>
  <r>
    <s v="CA-2015-163237"/>
    <d v="2015-07-08T00:00:00"/>
    <x v="3"/>
    <x v="1"/>
    <x v="821"/>
    <n v="25.06"/>
    <n v="2"/>
    <n v="11.7782"/>
    <n v="0.47000000000000003"/>
    <n v="2015"/>
    <x v="6"/>
    <n v="7"/>
    <n v="12.53"/>
    <s v="Profit"/>
  </r>
  <r>
    <s v="CA-2015-110744"/>
    <d v="2015-07-09T00:00:00"/>
    <x v="1"/>
    <x v="1"/>
    <x v="1435"/>
    <n v="671.93"/>
    <n v="7"/>
    <n v="20.157900000000001"/>
    <n v="3.0000000000000006E-2"/>
    <n v="2015"/>
    <x v="6"/>
    <n v="7"/>
    <n v="95.99"/>
    <s v="Profit"/>
  </r>
  <r>
    <s v="CA-2015-122623"/>
    <d v="2015-07-09T00:00:00"/>
    <x v="2"/>
    <x v="0"/>
    <x v="62"/>
    <n v="47.515999999999998"/>
    <n v="2"/>
    <n v="-2.0364"/>
    <n v="-4.2857142857142858E-2"/>
    <n v="2015"/>
    <x v="6"/>
    <n v="7"/>
    <n v="23.757999999999999"/>
    <s v="Loss"/>
  </r>
  <r>
    <s v="CA-2015-105599"/>
    <d v="2015-07-09T00:00:00"/>
    <x v="0"/>
    <x v="1"/>
    <x v="1061"/>
    <n v="13.96"/>
    <n v="2"/>
    <n v="0.2792"/>
    <n v="0.02"/>
    <n v="2015"/>
    <x v="6"/>
    <n v="7"/>
    <n v="6.98"/>
    <s v="Profit"/>
  </r>
  <r>
    <s v="CA-2015-105599"/>
    <d v="2015-07-09T00:00:00"/>
    <x v="0"/>
    <x v="0"/>
    <x v="1436"/>
    <n v="27.414000000000001"/>
    <n v="3"/>
    <n v="-14.1639"/>
    <n v="-0.51666666666666661"/>
    <n v="2015"/>
    <x v="6"/>
    <n v="7"/>
    <n v="9.1379999999999999"/>
    <s v="Loss"/>
  </r>
  <r>
    <s v="CA-2015-102876"/>
    <d v="2015-07-09T00:00:00"/>
    <x v="0"/>
    <x v="1"/>
    <x v="1437"/>
    <n v="9.5220000000000002"/>
    <n v="1"/>
    <n v="-6.9828000000000001"/>
    <n v="-0.73333333333333328"/>
    <n v="2015"/>
    <x v="6"/>
    <n v="7"/>
    <n v="9.5220000000000002"/>
    <s v="Loss"/>
  </r>
  <r>
    <s v="CA-2015-102876"/>
    <d v="2015-07-09T00:00:00"/>
    <x v="0"/>
    <x v="2"/>
    <x v="1438"/>
    <n v="791.96400000000006"/>
    <n v="6"/>
    <n v="-131.994"/>
    <n v="-0.16666666666666666"/>
    <n v="2015"/>
    <x v="6"/>
    <n v="7"/>
    <n v="131.994"/>
    <s v="Loss"/>
  </r>
  <r>
    <s v="CA-2015-102876"/>
    <d v="2015-07-09T00:00:00"/>
    <x v="0"/>
    <x v="1"/>
    <x v="886"/>
    <n v="4.923"/>
    <n v="3"/>
    <n v="-3.9384000000000001"/>
    <n v="-0.8"/>
    <n v="2015"/>
    <x v="6"/>
    <n v="7"/>
    <n v="1.641"/>
    <s v="Loss"/>
  </r>
  <r>
    <s v="CA-2015-161445"/>
    <d v="2015-07-09T00:00:00"/>
    <x v="3"/>
    <x v="1"/>
    <x v="895"/>
    <n v="140.73599999999999"/>
    <n v="4"/>
    <n v="12.314399999999999"/>
    <n v="8.7499999999999994E-2"/>
    <n v="2015"/>
    <x v="6"/>
    <n v="7"/>
    <n v="35.183999999999997"/>
    <s v="Profit"/>
  </r>
  <r>
    <s v="CA-2015-140557"/>
    <d v="2015-07-09T00:00:00"/>
    <x v="0"/>
    <x v="2"/>
    <x v="687"/>
    <n v="559.92999999999995"/>
    <n v="7"/>
    <n v="167.97900000000001"/>
    <n v="0.30000000000000004"/>
    <n v="2015"/>
    <x v="6"/>
    <n v="7"/>
    <n v="79.989999999999995"/>
    <s v="Profit"/>
  </r>
  <r>
    <s v="CA-2015-164084"/>
    <d v="2015-07-09T00:00:00"/>
    <x v="0"/>
    <x v="1"/>
    <x v="1439"/>
    <n v="70.260000000000005"/>
    <n v="3"/>
    <n v="18.970199999999998"/>
    <n v="0.26999999999999996"/>
    <n v="2015"/>
    <x v="6"/>
    <n v="7"/>
    <n v="23.42"/>
    <s v="Profit"/>
  </r>
  <r>
    <s v="CA-2015-164084"/>
    <d v="2015-07-09T00:00:00"/>
    <x v="0"/>
    <x v="2"/>
    <x v="662"/>
    <n v="90"/>
    <n v="5"/>
    <n v="16.2"/>
    <n v="0.18"/>
    <n v="2015"/>
    <x v="6"/>
    <n v="7"/>
    <n v="18"/>
    <s v="Profit"/>
  </r>
  <r>
    <s v="CA-2015-164084"/>
    <d v="2015-07-09T00:00:00"/>
    <x v="0"/>
    <x v="1"/>
    <x v="1440"/>
    <n v="6.0960000000000001"/>
    <n v="2"/>
    <n v="2.0573999999999999"/>
    <n v="0.33749999999999997"/>
    <n v="2015"/>
    <x v="6"/>
    <n v="7"/>
    <n v="3.048"/>
    <s v="Profit"/>
  </r>
  <r>
    <s v="CA-2015-164084"/>
    <d v="2015-07-09T00:00:00"/>
    <x v="0"/>
    <x v="0"/>
    <x v="1211"/>
    <n v="481.17599999999999"/>
    <n v="2"/>
    <n v="-120.294"/>
    <n v="-0.25"/>
    <n v="2015"/>
    <x v="6"/>
    <n v="7"/>
    <n v="240.58799999999999"/>
    <s v="Loss"/>
  </r>
  <r>
    <s v="CA-2015-164084"/>
    <d v="2015-07-09T00:00:00"/>
    <x v="0"/>
    <x v="1"/>
    <x v="1420"/>
    <n v="7.24"/>
    <n v="4"/>
    <n v="2.3892000000000002"/>
    <n v="0.33"/>
    <n v="2015"/>
    <x v="6"/>
    <n v="7"/>
    <n v="1.81"/>
    <s v="Profit"/>
  </r>
  <r>
    <s v="CA-2015-102848"/>
    <d v="2015-07-11T00:00:00"/>
    <x v="1"/>
    <x v="0"/>
    <x v="566"/>
    <n v="190.72"/>
    <n v="1"/>
    <n v="11.92"/>
    <n v="6.25E-2"/>
    <n v="2015"/>
    <x v="6"/>
    <n v="7"/>
    <n v="190.72"/>
    <s v="Profit"/>
  </r>
  <r>
    <s v="CA-2015-148432"/>
    <d v="2015-07-11T00:00:00"/>
    <x v="0"/>
    <x v="1"/>
    <x v="1187"/>
    <n v="26.18"/>
    <n v="7"/>
    <n v="0.52359999999999995"/>
    <n v="1.9999999999999997E-2"/>
    <n v="2015"/>
    <x v="6"/>
    <n v="7"/>
    <n v="3.7399999999999998"/>
    <s v="Profit"/>
  </r>
  <r>
    <s v="CA-2015-148432"/>
    <d v="2015-07-11T00:00:00"/>
    <x v="0"/>
    <x v="1"/>
    <x v="1441"/>
    <n v="7.3"/>
    <n v="2"/>
    <n v="3.431"/>
    <n v="0.47000000000000003"/>
    <n v="2015"/>
    <x v="6"/>
    <n v="7"/>
    <n v="3.65"/>
    <s v="Profit"/>
  </r>
  <r>
    <s v="CA-2015-134922"/>
    <d v="2015-07-11T00:00:00"/>
    <x v="0"/>
    <x v="1"/>
    <x v="366"/>
    <n v="24.4"/>
    <n v="2"/>
    <n v="7.93"/>
    <n v="0.32500000000000001"/>
    <n v="2015"/>
    <x v="6"/>
    <n v="7"/>
    <n v="12.2"/>
    <s v="Profit"/>
  </r>
  <r>
    <s v="CA-2015-162887"/>
    <d v="2015-07-11T00:00:00"/>
    <x v="0"/>
    <x v="0"/>
    <x v="566"/>
    <n v="715.2"/>
    <n v="3"/>
    <n v="178.8"/>
    <n v="0.25"/>
    <n v="2015"/>
    <x v="6"/>
    <n v="7"/>
    <n v="238.4"/>
    <s v="Profit"/>
  </r>
  <r>
    <s v="CA-2015-105571"/>
    <d v="2015-07-11T00:00:00"/>
    <x v="3"/>
    <x v="1"/>
    <x v="934"/>
    <n v="16.146000000000001"/>
    <n v="9"/>
    <n v="-12.9168"/>
    <n v="-0.79999999999999993"/>
    <n v="2015"/>
    <x v="6"/>
    <n v="7"/>
    <n v="1.794"/>
    <s v="Loss"/>
  </r>
  <r>
    <s v="CA-2015-105571"/>
    <d v="2015-07-11T00:00:00"/>
    <x v="3"/>
    <x v="1"/>
    <x v="320"/>
    <n v="1345.4849999999999"/>
    <n v="5"/>
    <n v="-1031.5385000000001"/>
    <n v="-0.76666666666666683"/>
    <n v="2015"/>
    <x v="6"/>
    <n v="7"/>
    <n v="269.09699999999998"/>
    <s v="Loss"/>
  </r>
  <r>
    <s v="CA-2015-126669"/>
    <d v="2015-07-11T00:00:00"/>
    <x v="2"/>
    <x v="1"/>
    <x v="536"/>
    <n v="76.64"/>
    <n v="2"/>
    <n v="26.824000000000002"/>
    <n v="0.35000000000000003"/>
    <n v="2015"/>
    <x v="6"/>
    <n v="7"/>
    <n v="38.32"/>
    <s v="Profit"/>
  </r>
  <r>
    <s v="CA-2015-163181"/>
    <d v="2015-07-11T00:00:00"/>
    <x v="2"/>
    <x v="1"/>
    <x v="1357"/>
    <n v="23.64"/>
    <n v="3"/>
    <n v="5.319"/>
    <n v="0.22500000000000001"/>
    <n v="2015"/>
    <x v="6"/>
    <n v="7"/>
    <n v="7.88"/>
    <s v="Profit"/>
  </r>
  <r>
    <s v="CA-2015-163181"/>
    <d v="2015-07-11T00:00:00"/>
    <x v="2"/>
    <x v="1"/>
    <x v="1442"/>
    <n v="84.784000000000006"/>
    <n v="2"/>
    <n v="-16.956800000000001"/>
    <n v="-0.2"/>
    <n v="2015"/>
    <x v="6"/>
    <n v="7"/>
    <n v="42.392000000000003"/>
    <s v="Loss"/>
  </r>
  <r>
    <s v="CA-2015-163181"/>
    <d v="2015-07-11T00:00:00"/>
    <x v="2"/>
    <x v="0"/>
    <x v="1443"/>
    <n v="64.959999999999994"/>
    <n v="5"/>
    <n v="-84.447999999999993"/>
    <n v="-1.3"/>
    <n v="2015"/>
    <x v="6"/>
    <n v="7"/>
    <n v="12.991999999999999"/>
    <s v="Loss"/>
  </r>
  <r>
    <s v="CA-2015-163181"/>
    <d v="2015-07-11T00:00:00"/>
    <x v="2"/>
    <x v="1"/>
    <x v="103"/>
    <n v="32.06"/>
    <n v="10"/>
    <n v="-51.295999999999999"/>
    <n v="-1.5999999999999999"/>
    <n v="2015"/>
    <x v="6"/>
    <n v="7"/>
    <n v="3.2060000000000004"/>
    <s v="Loss"/>
  </r>
  <r>
    <s v="CA-2015-163181"/>
    <d v="2015-07-11T00:00:00"/>
    <x v="2"/>
    <x v="1"/>
    <x v="1444"/>
    <n v="177.648"/>
    <n v="2"/>
    <n v="-28.867799999999999"/>
    <n v="-0.16250000000000001"/>
    <n v="2015"/>
    <x v="6"/>
    <n v="7"/>
    <n v="88.823999999999998"/>
    <s v="Loss"/>
  </r>
  <r>
    <s v="CA-2015-163181"/>
    <d v="2015-07-11T00:00:00"/>
    <x v="2"/>
    <x v="2"/>
    <x v="1009"/>
    <n v="287.91000000000003"/>
    <n v="3"/>
    <n v="33.589500000000001"/>
    <n v="0.11666666666666665"/>
    <n v="2015"/>
    <x v="6"/>
    <n v="7"/>
    <n v="95.970000000000013"/>
    <s v="Profit"/>
  </r>
  <r>
    <s v="CA-2015-134894"/>
    <d v="2015-07-12T00:00:00"/>
    <x v="3"/>
    <x v="1"/>
    <x v="495"/>
    <n v="152.94"/>
    <n v="3"/>
    <n v="41.293799999999997"/>
    <n v="0.26999999999999996"/>
    <n v="2015"/>
    <x v="6"/>
    <n v="7"/>
    <n v="50.98"/>
    <s v="Profit"/>
  </r>
  <r>
    <s v="CA-2015-134894"/>
    <d v="2015-07-12T00:00:00"/>
    <x v="3"/>
    <x v="0"/>
    <x v="959"/>
    <n v="283.92"/>
    <n v="4"/>
    <n v="70.98"/>
    <n v="0.25"/>
    <n v="2015"/>
    <x v="6"/>
    <n v="7"/>
    <n v="70.98"/>
    <s v="Profit"/>
  </r>
  <r>
    <s v="CA-2015-130736"/>
    <d v="2015-07-12T00:00:00"/>
    <x v="1"/>
    <x v="1"/>
    <x v="1169"/>
    <n v="3.96"/>
    <n v="2"/>
    <n v="0"/>
    <n v="0"/>
    <n v="2015"/>
    <x v="6"/>
    <n v="7"/>
    <n v="1.98"/>
    <s v="Loss"/>
  </r>
  <r>
    <s v="CA-2015-130736"/>
    <d v="2015-07-12T00:00:00"/>
    <x v="1"/>
    <x v="1"/>
    <x v="1334"/>
    <n v="2.61"/>
    <n v="1"/>
    <n v="1.2005999999999999"/>
    <n v="0.45999999999999996"/>
    <n v="2015"/>
    <x v="6"/>
    <n v="7"/>
    <n v="2.61"/>
    <s v="Profit"/>
  </r>
  <r>
    <s v="CA-2015-135272"/>
    <d v="2015-07-12T00:00:00"/>
    <x v="1"/>
    <x v="0"/>
    <x v="707"/>
    <n v="79.92"/>
    <n v="4"/>
    <n v="28.7712"/>
    <n v="0.36"/>
    <n v="2015"/>
    <x v="6"/>
    <n v="7"/>
    <n v="19.98"/>
    <s v="Profit"/>
  </r>
  <r>
    <s v="CA-2015-165050"/>
    <d v="2015-07-12T00:00:00"/>
    <x v="0"/>
    <x v="1"/>
    <x v="729"/>
    <n v="21.36"/>
    <n v="5"/>
    <n v="7.2089999999999996"/>
    <n v="0.33749999999999997"/>
    <n v="2015"/>
    <x v="6"/>
    <n v="7"/>
    <n v="4.2720000000000002"/>
    <s v="Profit"/>
  </r>
  <r>
    <s v="CA-2015-165050"/>
    <d v="2015-07-12T00:00:00"/>
    <x v="0"/>
    <x v="1"/>
    <x v="1170"/>
    <n v="6.6879999999999997"/>
    <n v="2"/>
    <n v="2.3408000000000002"/>
    <n v="0.35000000000000003"/>
    <n v="2015"/>
    <x v="6"/>
    <n v="7"/>
    <n v="3.3439999999999999"/>
    <s v="Profit"/>
  </r>
  <r>
    <s v="CA-2015-165050"/>
    <d v="2015-07-12T00:00:00"/>
    <x v="0"/>
    <x v="2"/>
    <x v="512"/>
    <n v="773.94"/>
    <n v="6"/>
    <n v="224.4426"/>
    <n v="0.28999999999999998"/>
    <n v="2015"/>
    <x v="6"/>
    <n v="7"/>
    <n v="128.99"/>
    <s v="Profit"/>
  </r>
  <r>
    <s v="US-2015-120957"/>
    <d v="2015-07-12T00:00:00"/>
    <x v="1"/>
    <x v="1"/>
    <x v="1316"/>
    <n v="12.96"/>
    <n v="2"/>
    <n v="6.2207999999999997"/>
    <n v="0.47999999999999993"/>
    <n v="2015"/>
    <x v="6"/>
    <n v="7"/>
    <n v="6.48"/>
    <s v="Profit"/>
  </r>
  <r>
    <s v="CA-2015-114923"/>
    <d v="2015-08-02T00:00:00"/>
    <x v="0"/>
    <x v="2"/>
    <x v="42"/>
    <n v="107.982"/>
    <n v="3"/>
    <n v="-26.9955"/>
    <n v="-0.25"/>
    <n v="2015"/>
    <x v="7"/>
    <n v="8"/>
    <n v="35.994"/>
    <s v="Loss"/>
  </r>
  <r>
    <s v="US-2015-130491"/>
    <d v="2015-08-02T00:00:00"/>
    <x v="2"/>
    <x v="1"/>
    <x v="16"/>
    <n v="9.5399999999999991"/>
    <n v="2"/>
    <n v="4.2930000000000001"/>
    <n v="0.45000000000000007"/>
    <n v="2015"/>
    <x v="7"/>
    <n v="8"/>
    <n v="4.7699999999999996"/>
    <s v="Profit"/>
  </r>
  <r>
    <s v="US-2015-130491"/>
    <d v="2015-08-02T00:00:00"/>
    <x v="2"/>
    <x v="1"/>
    <x v="72"/>
    <n v="5.81"/>
    <n v="1"/>
    <n v="1.8010999999999999"/>
    <n v="0.31"/>
    <n v="2015"/>
    <x v="7"/>
    <n v="8"/>
    <n v="5.81"/>
    <s v="Profit"/>
  </r>
  <r>
    <s v="US-2015-130491"/>
    <d v="2015-08-02T00:00:00"/>
    <x v="2"/>
    <x v="1"/>
    <x v="399"/>
    <n v="5.76"/>
    <n v="2"/>
    <n v="1.728"/>
    <n v="0.3"/>
    <n v="2015"/>
    <x v="7"/>
    <n v="8"/>
    <n v="2.88"/>
    <s v="Profit"/>
  </r>
  <r>
    <s v="CA-2015-105627"/>
    <d v="2015-08-03T00:00:00"/>
    <x v="2"/>
    <x v="0"/>
    <x v="1445"/>
    <n v="512.94000000000005"/>
    <n v="3"/>
    <n v="97.458600000000004"/>
    <n v="0.18999999999999997"/>
    <n v="2015"/>
    <x v="7"/>
    <n v="8"/>
    <n v="170.98000000000002"/>
    <s v="Profit"/>
  </r>
  <r>
    <s v="CA-2015-105627"/>
    <d v="2015-08-03T00:00:00"/>
    <x v="2"/>
    <x v="0"/>
    <x v="1176"/>
    <n v="860.93"/>
    <n v="7"/>
    <n v="189.40459999999999"/>
    <n v="0.22"/>
    <n v="2015"/>
    <x v="7"/>
    <n v="8"/>
    <n v="122.99"/>
    <s v="Profit"/>
  </r>
  <r>
    <s v="CA-2015-105627"/>
    <d v="2015-08-03T00:00:00"/>
    <x v="2"/>
    <x v="2"/>
    <x v="482"/>
    <n v="769.95"/>
    <n v="5"/>
    <n v="223.28550000000001"/>
    <n v="0.28999999999999998"/>
    <n v="2015"/>
    <x v="7"/>
    <n v="8"/>
    <n v="153.99"/>
    <s v="Profit"/>
  </r>
  <r>
    <s v="CA-2015-105627"/>
    <d v="2015-08-03T00:00:00"/>
    <x v="2"/>
    <x v="1"/>
    <x v="1446"/>
    <n v="14.98"/>
    <n v="1"/>
    <n v="4.4939999999999998"/>
    <n v="0.3"/>
    <n v="2015"/>
    <x v="7"/>
    <n v="8"/>
    <n v="14.98"/>
    <s v="Profit"/>
  </r>
  <r>
    <s v="CA-2015-105627"/>
    <d v="2015-08-03T00:00:00"/>
    <x v="2"/>
    <x v="0"/>
    <x v="1353"/>
    <n v="373.08"/>
    <n v="6"/>
    <n v="82.077600000000004"/>
    <n v="0.22000000000000003"/>
    <n v="2015"/>
    <x v="7"/>
    <n v="8"/>
    <n v="62.18"/>
    <s v="Profit"/>
  </r>
  <r>
    <s v="CA-2015-160213"/>
    <d v="2015-08-03T00:00:00"/>
    <x v="0"/>
    <x v="1"/>
    <x v="630"/>
    <n v="19.440000000000001"/>
    <n v="3"/>
    <n v="9.3312000000000008"/>
    <n v="0.48000000000000004"/>
    <n v="2015"/>
    <x v="7"/>
    <n v="8"/>
    <n v="6.48"/>
    <s v="Profit"/>
  </r>
  <r>
    <s v="CA-2015-107741"/>
    <d v="2015-08-03T00:00:00"/>
    <x v="1"/>
    <x v="1"/>
    <x v="1152"/>
    <n v="3.4079999999999999"/>
    <n v="1"/>
    <n v="0.89459999999999995"/>
    <n v="0.26250000000000001"/>
    <n v="2015"/>
    <x v="7"/>
    <n v="8"/>
    <n v="3.4079999999999999"/>
    <s v="Profit"/>
  </r>
  <r>
    <s v="CA-2015-132136"/>
    <d v="2015-08-03T00:00:00"/>
    <x v="2"/>
    <x v="1"/>
    <x v="486"/>
    <n v="8.5679999999999996"/>
    <n v="3"/>
    <n v="-14.5656"/>
    <n v="-1.7"/>
    <n v="2015"/>
    <x v="7"/>
    <n v="8"/>
    <n v="2.8559999999999999"/>
    <s v="Loss"/>
  </r>
  <r>
    <s v="CA-2015-113971"/>
    <d v="2015-08-05T00:00:00"/>
    <x v="0"/>
    <x v="0"/>
    <x v="1301"/>
    <n v="8.3520000000000003"/>
    <n v="6"/>
    <n v="1.2527999999999999"/>
    <n v="0.15"/>
    <n v="2015"/>
    <x v="7"/>
    <n v="8"/>
    <n v="1.3920000000000001"/>
    <s v="Profit"/>
  </r>
  <r>
    <s v="CA-2015-109939"/>
    <d v="2015-08-05T00:00:00"/>
    <x v="1"/>
    <x v="1"/>
    <x v="820"/>
    <n v="5.2480000000000002"/>
    <n v="2"/>
    <n v="0.59040000000000004"/>
    <n v="0.1125"/>
    <n v="2015"/>
    <x v="7"/>
    <n v="8"/>
    <n v="2.6240000000000001"/>
    <s v="Profit"/>
  </r>
  <r>
    <s v="CA-2015-136798"/>
    <d v="2015-08-05T00:00:00"/>
    <x v="2"/>
    <x v="1"/>
    <x v="268"/>
    <n v="43.98"/>
    <n v="2"/>
    <n v="21.99"/>
    <n v="0.5"/>
    <n v="2015"/>
    <x v="7"/>
    <n v="8"/>
    <n v="21.99"/>
    <s v="Profit"/>
  </r>
  <r>
    <s v="CA-2015-136798"/>
    <d v="2015-08-05T00:00:00"/>
    <x v="2"/>
    <x v="2"/>
    <x v="278"/>
    <n v="377.97"/>
    <n v="3"/>
    <n v="105.83159999999999"/>
    <n v="0.27999999999999997"/>
    <n v="2015"/>
    <x v="7"/>
    <n v="8"/>
    <n v="125.99000000000001"/>
    <s v="Profit"/>
  </r>
  <r>
    <s v="CA-2015-136798"/>
    <d v="2015-08-05T00:00:00"/>
    <x v="2"/>
    <x v="0"/>
    <x v="305"/>
    <n v="123.96"/>
    <n v="3"/>
    <n v="11.1564"/>
    <n v="0.09"/>
    <n v="2015"/>
    <x v="7"/>
    <n v="8"/>
    <n v="41.32"/>
    <s v="Profit"/>
  </r>
  <r>
    <s v="CA-2015-142055"/>
    <d v="2015-08-05T00:00:00"/>
    <x v="0"/>
    <x v="1"/>
    <x v="1173"/>
    <n v="37.94"/>
    <n v="2"/>
    <n v="18.211200000000002"/>
    <n v="0.48000000000000009"/>
    <n v="2015"/>
    <x v="7"/>
    <n v="8"/>
    <n v="18.97"/>
    <s v="Profit"/>
  </r>
  <r>
    <s v="US-2015-160857"/>
    <d v="2015-08-05T00:00:00"/>
    <x v="0"/>
    <x v="0"/>
    <x v="657"/>
    <n v="79.44"/>
    <n v="3"/>
    <n v="30.187200000000001"/>
    <n v="0.38"/>
    <n v="2015"/>
    <x v="7"/>
    <n v="8"/>
    <n v="26.48"/>
    <s v="Profit"/>
  </r>
  <r>
    <s v="US-2015-160857"/>
    <d v="2015-08-05T00:00:00"/>
    <x v="0"/>
    <x v="1"/>
    <x v="879"/>
    <n v="357.93"/>
    <n v="3"/>
    <n v="7.1585999999999999"/>
    <n v="0.02"/>
    <n v="2015"/>
    <x v="7"/>
    <n v="8"/>
    <n v="119.31"/>
    <s v="Profit"/>
  </r>
  <r>
    <s v="US-2015-160857"/>
    <d v="2015-08-05T00:00:00"/>
    <x v="0"/>
    <x v="0"/>
    <x v="959"/>
    <n v="127.764"/>
    <n v="2"/>
    <n v="21.294"/>
    <n v="0.16666666666666669"/>
    <n v="2015"/>
    <x v="7"/>
    <n v="8"/>
    <n v="63.881999999999998"/>
    <s v="Profit"/>
  </r>
  <r>
    <s v="US-2015-160857"/>
    <d v="2015-08-05T00:00:00"/>
    <x v="0"/>
    <x v="2"/>
    <x v="668"/>
    <n v="2799.944"/>
    <n v="7"/>
    <n v="1014.9797"/>
    <n v="0.36249999999999999"/>
    <n v="2015"/>
    <x v="7"/>
    <n v="8"/>
    <n v="399.99200000000002"/>
    <s v="Profit"/>
  </r>
  <r>
    <s v="US-2015-160857"/>
    <d v="2015-08-05T00:00:00"/>
    <x v="0"/>
    <x v="1"/>
    <x v="1220"/>
    <n v="19.440000000000001"/>
    <n v="3"/>
    <n v="9.3312000000000008"/>
    <n v="0.48000000000000004"/>
    <n v="2015"/>
    <x v="7"/>
    <n v="8"/>
    <n v="6.48"/>
    <s v="Profit"/>
  </r>
  <r>
    <s v="CA-2015-164007"/>
    <d v="2015-08-06T00:00:00"/>
    <x v="2"/>
    <x v="2"/>
    <x v="1447"/>
    <n v="2.3759999999999999"/>
    <n v="3"/>
    <n v="0.74250000000000005"/>
    <n v="0.31250000000000006"/>
    <n v="2015"/>
    <x v="7"/>
    <n v="8"/>
    <n v="0.79199999999999993"/>
    <s v="Profit"/>
  </r>
  <r>
    <s v="CA-2015-164007"/>
    <d v="2015-08-06T00:00:00"/>
    <x v="2"/>
    <x v="1"/>
    <x v="1395"/>
    <n v="143.12799999999999"/>
    <n v="2"/>
    <n v="-393.60199999999998"/>
    <n v="-2.75"/>
    <n v="2015"/>
    <x v="7"/>
    <n v="8"/>
    <n v="71.563999999999993"/>
    <s v="Loss"/>
  </r>
  <r>
    <s v="CA-2015-162201"/>
    <d v="2015-08-06T00:00:00"/>
    <x v="3"/>
    <x v="1"/>
    <x v="472"/>
    <n v="173.488"/>
    <n v="7"/>
    <n v="54.215000000000003"/>
    <n v="0.3125"/>
    <n v="2015"/>
    <x v="7"/>
    <n v="8"/>
    <n v="24.783999999999999"/>
    <s v="Profit"/>
  </r>
  <r>
    <s v="CA-2015-162201"/>
    <d v="2015-08-06T00:00:00"/>
    <x v="3"/>
    <x v="1"/>
    <x v="719"/>
    <n v="516.96"/>
    <n v="4"/>
    <n v="-6.4619999999999997"/>
    <n v="-1.2499999999999999E-2"/>
    <n v="2015"/>
    <x v="7"/>
    <n v="8"/>
    <n v="129.24"/>
    <s v="Loss"/>
  </r>
  <r>
    <s v="CA-2015-162201"/>
    <d v="2015-08-06T00:00:00"/>
    <x v="3"/>
    <x v="0"/>
    <x v="1448"/>
    <n v="173.208"/>
    <n v="7"/>
    <n v="45.467100000000002"/>
    <n v="0.26250000000000001"/>
    <n v="2015"/>
    <x v="7"/>
    <n v="8"/>
    <n v="24.744"/>
    <s v="Profit"/>
  </r>
  <r>
    <s v="CA-2015-162201"/>
    <d v="2015-08-06T00:00:00"/>
    <x v="3"/>
    <x v="1"/>
    <x v="359"/>
    <n v="4.4480000000000004"/>
    <n v="2"/>
    <n v="0.33360000000000001"/>
    <n v="7.4999999999999997E-2"/>
    <n v="2015"/>
    <x v="7"/>
    <n v="8"/>
    <n v="2.2240000000000002"/>
    <s v="Profit"/>
  </r>
  <r>
    <s v="CA-2015-162201"/>
    <d v="2015-08-06T00:00:00"/>
    <x v="3"/>
    <x v="1"/>
    <x v="1294"/>
    <n v="9"/>
    <n v="3"/>
    <n v="3.15"/>
    <n v="0.35"/>
    <n v="2015"/>
    <x v="7"/>
    <n v="8"/>
    <n v="3"/>
    <s v="Profit"/>
  </r>
  <r>
    <s v="CA-2015-162201"/>
    <d v="2015-08-06T00:00:00"/>
    <x v="3"/>
    <x v="1"/>
    <x v="336"/>
    <n v="42.24"/>
    <n v="10"/>
    <n v="13.2"/>
    <n v="0.31249999999999994"/>
    <n v="2015"/>
    <x v="7"/>
    <n v="8"/>
    <n v="4.2240000000000002"/>
    <s v="Profit"/>
  </r>
  <r>
    <s v="CA-2015-162201"/>
    <d v="2015-08-06T00:00:00"/>
    <x v="3"/>
    <x v="1"/>
    <x v="230"/>
    <n v="18.263999999999999"/>
    <n v="2"/>
    <n v="-13.393599999999999"/>
    <n v="-0.73333333333333328"/>
    <n v="2015"/>
    <x v="7"/>
    <n v="8"/>
    <n v="9.1319999999999997"/>
    <s v="Loss"/>
  </r>
  <r>
    <s v="CA-2015-129392"/>
    <d v="2015-08-07T00:00:00"/>
    <x v="2"/>
    <x v="1"/>
    <x v="1449"/>
    <n v="21.12"/>
    <n v="5"/>
    <n v="6.6"/>
    <n v="0.31249999999999994"/>
    <n v="2015"/>
    <x v="7"/>
    <n v="8"/>
    <n v="4.2240000000000002"/>
    <s v="Profit"/>
  </r>
  <r>
    <s v="CA-2015-168564"/>
    <d v="2015-08-08T00:00:00"/>
    <x v="1"/>
    <x v="1"/>
    <x v="152"/>
    <n v="6.6079999999999997"/>
    <n v="2"/>
    <n v="2.2302"/>
    <n v="0.33750000000000002"/>
    <n v="2015"/>
    <x v="7"/>
    <n v="8"/>
    <n v="3.3039999999999998"/>
    <s v="Profit"/>
  </r>
  <r>
    <s v="CA-2015-168564"/>
    <d v="2015-08-08T00:00:00"/>
    <x v="1"/>
    <x v="1"/>
    <x v="387"/>
    <n v="7.28"/>
    <n v="2"/>
    <n v="2.73"/>
    <n v="0.375"/>
    <n v="2015"/>
    <x v="7"/>
    <n v="8"/>
    <n v="3.64"/>
    <s v="Profit"/>
  </r>
  <r>
    <s v="CA-2015-168564"/>
    <d v="2015-08-08T00:00:00"/>
    <x v="1"/>
    <x v="0"/>
    <x v="258"/>
    <n v="144.78399999999999"/>
    <n v="1"/>
    <n v="10.8588"/>
    <n v="7.5000000000000011E-2"/>
    <n v="2015"/>
    <x v="7"/>
    <n v="8"/>
    <n v="144.78399999999999"/>
    <s v="Profit"/>
  </r>
  <r>
    <s v="CA-2015-129322"/>
    <d v="2015-08-08T00:00:00"/>
    <x v="0"/>
    <x v="1"/>
    <x v="1450"/>
    <n v="39.659999999999997"/>
    <n v="2"/>
    <n v="11.898"/>
    <n v="0.30000000000000004"/>
    <n v="2015"/>
    <x v="7"/>
    <n v="8"/>
    <n v="19.829999999999998"/>
    <s v="Profit"/>
  </r>
  <r>
    <s v="CA-2015-129322"/>
    <d v="2015-08-08T00:00:00"/>
    <x v="0"/>
    <x v="1"/>
    <x v="532"/>
    <n v="113.92"/>
    <n v="2"/>
    <n v="33.036799999999999"/>
    <n v="0.28999999999999998"/>
    <n v="2015"/>
    <x v="7"/>
    <n v="8"/>
    <n v="56.96"/>
    <s v="Profit"/>
  </r>
  <r>
    <s v="CA-2015-129322"/>
    <d v="2015-08-08T00:00:00"/>
    <x v="0"/>
    <x v="1"/>
    <x v="1280"/>
    <n v="447.86"/>
    <n v="7"/>
    <n v="210.49420000000001"/>
    <n v="0.47"/>
    <n v="2015"/>
    <x v="7"/>
    <n v="8"/>
    <n v="63.980000000000004"/>
    <s v="Profit"/>
  </r>
  <r>
    <s v="CA-2015-127544"/>
    <d v="2015-08-08T00:00:00"/>
    <x v="0"/>
    <x v="2"/>
    <x v="568"/>
    <n v="79.989999999999995"/>
    <n v="1"/>
    <n v="28.796399999999998"/>
    <n v="0.36"/>
    <n v="2015"/>
    <x v="7"/>
    <n v="8"/>
    <n v="79.989999999999995"/>
    <s v="Profit"/>
  </r>
  <r>
    <s v="CA-2015-162166"/>
    <d v="2015-08-09T00:00:00"/>
    <x v="1"/>
    <x v="1"/>
    <x v="1348"/>
    <n v="26.4"/>
    <n v="5"/>
    <n v="11.88"/>
    <n v="0.45000000000000007"/>
    <n v="2015"/>
    <x v="7"/>
    <n v="8"/>
    <n v="5.2799999999999994"/>
    <s v="Profit"/>
  </r>
  <r>
    <s v="CA-2015-162166"/>
    <d v="2015-08-09T00:00:00"/>
    <x v="1"/>
    <x v="1"/>
    <x v="1061"/>
    <n v="41.88"/>
    <n v="6"/>
    <n v="0.83760000000000001"/>
    <n v="0.02"/>
    <n v="2015"/>
    <x v="7"/>
    <n v="8"/>
    <n v="6.98"/>
    <s v="Profit"/>
  </r>
  <r>
    <s v="CA-2015-151624"/>
    <d v="2015-08-09T00:00:00"/>
    <x v="3"/>
    <x v="0"/>
    <x v="967"/>
    <n v="21.36"/>
    <n v="8"/>
    <n v="8.1167999999999996"/>
    <n v="0.38"/>
    <n v="2015"/>
    <x v="7"/>
    <n v="8"/>
    <n v="2.67"/>
    <s v="Profit"/>
  </r>
  <r>
    <s v="CA-2015-168529"/>
    <d v="2015-08-10T00:00:00"/>
    <x v="1"/>
    <x v="0"/>
    <x v="640"/>
    <n v="145.9"/>
    <n v="5"/>
    <n v="62.737000000000002"/>
    <n v="0.43"/>
    <n v="2015"/>
    <x v="7"/>
    <n v="8"/>
    <n v="29.18"/>
    <s v="Profit"/>
  </r>
  <r>
    <s v="CA-2015-125710"/>
    <d v="2015-08-10T00:00:00"/>
    <x v="2"/>
    <x v="1"/>
    <x v="430"/>
    <n v="3.44"/>
    <n v="2"/>
    <n v="0.55900000000000005"/>
    <n v="0.16250000000000001"/>
    <n v="2015"/>
    <x v="7"/>
    <n v="8"/>
    <n v="1.72"/>
    <s v="Profit"/>
  </r>
  <r>
    <s v="CA-2015-131352"/>
    <d v="2015-08-10T00:00:00"/>
    <x v="2"/>
    <x v="0"/>
    <x v="291"/>
    <n v="72.78"/>
    <n v="3"/>
    <n v="-70.960499999999996"/>
    <n v="-0.97499999999999998"/>
    <n v="2015"/>
    <x v="7"/>
    <n v="8"/>
    <n v="24.26"/>
    <s v="Loss"/>
  </r>
  <r>
    <s v="CA-2015-105634"/>
    <d v="2015-08-11T00:00:00"/>
    <x v="0"/>
    <x v="1"/>
    <x v="365"/>
    <n v="11.65"/>
    <n v="5"/>
    <n v="3.3784999999999998"/>
    <n v="0.28999999999999998"/>
    <n v="2015"/>
    <x v="7"/>
    <n v="8"/>
    <n v="2.33"/>
    <s v="Profit"/>
  </r>
  <r>
    <s v="CA-2015-117611"/>
    <d v="2015-08-11T00:00:00"/>
    <x v="1"/>
    <x v="1"/>
    <x v="165"/>
    <n v="5"/>
    <n v="1"/>
    <n v="2.4"/>
    <n v="0.48"/>
    <n v="2015"/>
    <x v="7"/>
    <n v="8"/>
    <n v="5"/>
    <s v="Profit"/>
  </r>
  <r>
    <s v="CA-2015-117611"/>
    <d v="2015-08-11T00:00:00"/>
    <x v="1"/>
    <x v="2"/>
    <x v="326"/>
    <n v="371.97"/>
    <n v="3"/>
    <n v="66.954599999999999"/>
    <n v="0.18"/>
    <n v="2015"/>
    <x v="7"/>
    <n v="8"/>
    <n v="123.99000000000001"/>
    <s v="Profit"/>
  </r>
  <r>
    <s v="CA-2015-123568"/>
    <d v="2015-08-11T00:00:00"/>
    <x v="1"/>
    <x v="1"/>
    <x v="1451"/>
    <n v="5.04"/>
    <n v="3"/>
    <n v="0.2016"/>
    <n v="0.04"/>
    <n v="2015"/>
    <x v="7"/>
    <n v="8"/>
    <n v="1.68"/>
    <s v="Profit"/>
  </r>
  <r>
    <s v="CA-2015-123568"/>
    <d v="2015-08-11T00:00:00"/>
    <x v="1"/>
    <x v="1"/>
    <x v="1282"/>
    <n v="92.94"/>
    <n v="3"/>
    <n v="41.823"/>
    <n v="0.45"/>
    <n v="2015"/>
    <x v="7"/>
    <n v="8"/>
    <n v="30.98"/>
    <s v="Profit"/>
  </r>
  <r>
    <s v="CA-2015-123568"/>
    <d v="2015-08-11T00:00:00"/>
    <x v="1"/>
    <x v="0"/>
    <x v="855"/>
    <n v="66.69"/>
    <n v="3"/>
    <n v="22.0077"/>
    <n v="0.33"/>
    <n v="2015"/>
    <x v="7"/>
    <n v="8"/>
    <n v="22.23"/>
    <s v="Profit"/>
  </r>
  <r>
    <s v="CA-2015-123568"/>
    <d v="2015-08-11T00:00:00"/>
    <x v="1"/>
    <x v="1"/>
    <x v="851"/>
    <n v="91.68"/>
    <n v="5"/>
    <n v="28.65"/>
    <n v="0.31249999999999994"/>
    <n v="2015"/>
    <x v="7"/>
    <n v="8"/>
    <n v="18.336000000000002"/>
    <s v="Profit"/>
  </r>
  <r>
    <s v="CA-2015-164441"/>
    <d v="2015-08-11T00:00:00"/>
    <x v="0"/>
    <x v="1"/>
    <x v="60"/>
    <n v="52.271999999999998"/>
    <n v="11"/>
    <n v="17.6418"/>
    <n v="0.33750000000000002"/>
    <n v="2015"/>
    <x v="7"/>
    <n v="8"/>
    <n v="4.7519999999999998"/>
    <s v="Profit"/>
  </r>
  <r>
    <s v="CA-2015-164441"/>
    <d v="2015-08-11T00:00:00"/>
    <x v="0"/>
    <x v="1"/>
    <x v="1296"/>
    <n v="17.940000000000001"/>
    <n v="3"/>
    <n v="8.0730000000000004"/>
    <n v="0.45"/>
    <n v="2015"/>
    <x v="7"/>
    <n v="8"/>
    <n v="5.98"/>
    <s v="Profit"/>
  </r>
  <r>
    <s v="CA-2015-111990"/>
    <d v="2015-08-11T00:00:00"/>
    <x v="2"/>
    <x v="1"/>
    <x v="119"/>
    <n v="10.476000000000001"/>
    <n v="6"/>
    <n v="-17.285399999999999"/>
    <n v="-1.6499999999999997"/>
    <n v="2015"/>
    <x v="7"/>
    <n v="8"/>
    <n v="1.7460000000000002"/>
    <s v="Loss"/>
  </r>
  <r>
    <s v="CA-2015-154886"/>
    <d v="2015-08-11T00:00:00"/>
    <x v="1"/>
    <x v="2"/>
    <x v="1452"/>
    <n v="119.9"/>
    <n v="2"/>
    <n v="43.164000000000001"/>
    <n v="0.36"/>
    <n v="2015"/>
    <x v="7"/>
    <n v="8"/>
    <n v="59.95"/>
    <s v="Profit"/>
  </r>
  <r>
    <s v="CA-2015-109386"/>
    <d v="2015-08-11T00:00:00"/>
    <x v="3"/>
    <x v="1"/>
    <x v="1380"/>
    <n v="44.43"/>
    <n v="3"/>
    <n v="18.660599999999999"/>
    <n v="0.42"/>
    <n v="2015"/>
    <x v="7"/>
    <n v="8"/>
    <n v="14.81"/>
    <s v="Profit"/>
  </r>
  <r>
    <s v="CA-2015-109386"/>
    <d v="2015-08-11T00:00:00"/>
    <x v="3"/>
    <x v="2"/>
    <x v="1003"/>
    <n v="226.2"/>
    <n v="5"/>
    <n v="58.811999999999998"/>
    <n v="0.26"/>
    <n v="2015"/>
    <x v="7"/>
    <n v="8"/>
    <n v="45.239999999999995"/>
    <s v="Profit"/>
  </r>
  <r>
    <s v="CA-2015-109386"/>
    <d v="2015-08-11T00:00:00"/>
    <x v="3"/>
    <x v="0"/>
    <x v="1353"/>
    <n v="186.54"/>
    <n v="3"/>
    <n v="41.038800000000002"/>
    <n v="0.22000000000000003"/>
    <n v="2015"/>
    <x v="7"/>
    <n v="8"/>
    <n v="62.18"/>
    <s v="Profit"/>
  </r>
  <r>
    <s v="CA-2015-109386"/>
    <d v="2015-08-11T00:00:00"/>
    <x v="3"/>
    <x v="1"/>
    <x v="413"/>
    <n v="265.86"/>
    <n v="7"/>
    <n v="79.757999999999996"/>
    <n v="0.3"/>
    <n v="2015"/>
    <x v="7"/>
    <n v="8"/>
    <n v="37.980000000000004"/>
    <s v="Profit"/>
  </r>
  <r>
    <s v="CA-2015-109386"/>
    <d v="2015-08-11T00:00:00"/>
    <x v="3"/>
    <x v="1"/>
    <x v="748"/>
    <n v="27.9"/>
    <n v="5"/>
    <n v="6.9749999999999996"/>
    <n v="0.25"/>
    <n v="2015"/>
    <x v="7"/>
    <n v="8"/>
    <n v="5.58"/>
    <s v="Profit"/>
  </r>
  <r>
    <s v="US-2015-151407"/>
    <d v="2015-08-11T00:00:00"/>
    <x v="2"/>
    <x v="2"/>
    <x v="153"/>
    <n v="263.95999999999998"/>
    <n v="4"/>
    <n v="76.548400000000001"/>
    <n v="0.29000000000000004"/>
    <n v="2015"/>
    <x v="7"/>
    <n v="8"/>
    <n v="65.989999999999995"/>
    <s v="Profit"/>
  </r>
  <r>
    <s v="CA-2015-114811"/>
    <d v="2015-08-11T00:00:00"/>
    <x v="0"/>
    <x v="1"/>
    <x v="1342"/>
    <n v="67.150000000000006"/>
    <n v="5"/>
    <n v="16.787500000000001"/>
    <n v="0.25"/>
    <n v="2015"/>
    <x v="7"/>
    <n v="8"/>
    <n v="13.430000000000001"/>
    <s v="Profit"/>
  </r>
  <r>
    <s v="CA-2015-114811"/>
    <d v="2015-08-11T00:00:00"/>
    <x v="0"/>
    <x v="2"/>
    <x v="1398"/>
    <n v="549.98"/>
    <n v="2"/>
    <n v="142.9948"/>
    <n v="0.26"/>
    <n v="2015"/>
    <x v="7"/>
    <n v="8"/>
    <n v="274.99"/>
    <s v="Profit"/>
  </r>
  <r>
    <s v="CA-2015-114811"/>
    <d v="2015-08-11T00:00:00"/>
    <x v="0"/>
    <x v="0"/>
    <x v="1453"/>
    <n v="11.82"/>
    <n v="3"/>
    <n v="4.7279999999999998"/>
    <n v="0.39999999999999997"/>
    <n v="2015"/>
    <x v="7"/>
    <n v="8"/>
    <n v="3.94"/>
    <s v="Profit"/>
  </r>
  <r>
    <s v="CA-2015-114811"/>
    <d v="2015-08-11T00:00:00"/>
    <x v="0"/>
    <x v="2"/>
    <x v="1454"/>
    <n v="4643.8"/>
    <n v="4"/>
    <n v="2229.0239999999999"/>
    <n v="0.48"/>
    <n v="2015"/>
    <x v="7"/>
    <n v="8"/>
    <n v="1160.95"/>
    <s v="Profit"/>
  </r>
  <r>
    <s v="CA-2015-114811"/>
    <d v="2015-08-11T00:00:00"/>
    <x v="0"/>
    <x v="0"/>
    <x v="34"/>
    <n v="577.76400000000001"/>
    <n v="2"/>
    <n v="115.5528"/>
    <n v="0.2"/>
    <n v="2015"/>
    <x v="7"/>
    <n v="8"/>
    <n v="288.88200000000001"/>
    <s v="Profit"/>
  </r>
  <r>
    <s v="CA-2015-108259"/>
    <d v="2015-08-11T00:00:00"/>
    <x v="3"/>
    <x v="1"/>
    <x v="764"/>
    <n v="31.504000000000001"/>
    <n v="11"/>
    <n v="11.814"/>
    <n v="0.375"/>
    <n v="2015"/>
    <x v="7"/>
    <n v="8"/>
    <n v="2.8640000000000003"/>
    <s v="Profit"/>
  </r>
  <r>
    <s v="CA-2015-108259"/>
    <d v="2015-08-11T00:00:00"/>
    <x v="3"/>
    <x v="1"/>
    <x v="1180"/>
    <n v="5.04"/>
    <n v="1"/>
    <n v="1.6379999999999999"/>
    <n v="0.32499999999999996"/>
    <n v="2015"/>
    <x v="7"/>
    <n v="8"/>
    <n v="5.04"/>
    <s v="Profit"/>
  </r>
  <r>
    <s v="CA-2015-108259"/>
    <d v="2015-08-11T00:00:00"/>
    <x v="3"/>
    <x v="1"/>
    <x v="968"/>
    <n v="39.878999999999998"/>
    <n v="7"/>
    <n v="-29.244599999999998"/>
    <n v="-0.73333333333333328"/>
    <n v="2015"/>
    <x v="7"/>
    <n v="8"/>
    <n v="5.6970000000000001"/>
    <s v="Loss"/>
  </r>
  <r>
    <s v="CA-2015-108259"/>
    <d v="2015-08-11T00:00:00"/>
    <x v="3"/>
    <x v="0"/>
    <x v="96"/>
    <n v="4.7119999999999997"/>
    <n v="1"/>
    <n v="1.4136"/>
    <n v="0.3"/>
    <n v="2015"/>
    <x v="7"/>
    <n v="8"/>
    <n v="4.7119999999999997"/>
    <s v="Profit"/>
  </r>
  <r>
    <s v="CA-2015-117086"/>
    <d v="2015-08-11T00:00:00"/>
    <x v="0"/>
    <x v="0"/>
    <x v="635"/>
    <n v="4404.8999999999996"/>
    <n v="5"/>
    <n v="1013.127"/>
    <n v="0.23"/>
    <n v="2015"/>
    <x v="7"/>
    <n v="8"/>
    <n v="880.9799999999999"/>
    <s v="Profit"/>
  </r>
  <r>
    <s v="CA-2015-135622"/>
    <d v="2015-08-12T00:00:00"/>
    <x v="2"/>
    <x v="1"/>
    <x v="1258"/>
    <n v="360.71199999999999"/>
    <n v="11"/>
    <n v="130.75810000000001"/>
    <n v="0.36250000000000004"/>
    <n v="2015"/>
    <x v="7"/>
    <n v="8"/>
    <n v="32.792000000000002"/>
    <s v="Profit"/>
  </r>
  <r>
    <s v="CA-2015-135622"/>
    <d v="2015-08-12T00:00:00"/>
    <x v="2"/>
    <x v="2"/>
    <x v="213"/>
    <n v="1718.4"/>
    <n v="6"/>
    <n v="150.36000000000001"/>
    <n v="8.7500000000000008E-2"/>
    <n v="2015"/>
    <x v="7"/>
    <n v="8"/>
    <n v="286.40000000000003"/>
    <s v="Profit"/>
  </r>
  <r>
    <s v="CA-2015-103205"/>
    <d v="2015-08-12T00:00:00"/>
    <x v="2"/>
    <x v="2"/>
    <x v="759"/>
    <n v="119.96"/>
    <n v="5"/>
    <n v="11.996"/>
    <n v="0.1"/>
    <n v="2015"/>
    <x v="7"/>
    <n v="8"/>
    <n v="23.991999999999997"/>
    <s v="Profit"/>
  </r>
  <r>
    <s v="CA-2015-129532"/>
    <d v="2015-08-12T00:00:00"/>
    <x v="1"/>
    <x v="1"/>
    <x v="1293"/>
    <n v="221.96"/>
    <n v="2"/>
    <n v="4.4391999999999996"/>
    <n v="1.9999999999999997E-2"/>
    <n v="2015"/>
    <x v="7"/>
    <n v="8"/>
    <n v="110.98"/>
    <s v="Profit"/>
  </r>
  <r>
    <s v="CA-2015-129532"/>
    <d v="2015-08-12T00:00:00"/>
    <x v="1"/>
    <x v="2"/>
    <x v="1455"/>
    <n v="236"/>
    <n v="4"/>
    <n v="40.119999999999997"/>
    <n v="0.16999999999999998"/>
    <n v="2015"/>
    <x v="7"/>
    <n v="8"/>
    <n v="59"/>
    <s v="Profit"/>
  </r>
  <r>
    <s v="CA-2015-156118"/>
    <d v="2015-08-12T00:00:00"/>
    <x v="1"/>
    <x v="1"/>
    <x v="973"/>
    <n v="15.696"/>
    <n v="3"/>
    <n v="5.1012000000000004"/>
    <n v="0.32500000000000001"/>
    <n v="2015"/>
    <x v="7"/>
    <n v="8"/>
    <n v="5.2320000000000002"/>
    <s v="Profit"/>
  </r>
  <r>
    <s v="CA-2015-119480"/>
    <d v="2015-09-01T00:00:00"/>
    <x v="3"/>
    <x v="1"/>
    <x v="124"/>
    <n v="106.32"/>
    <n v="3"/>
    <n v="49.970399999999998"/>
    <n v="0.47000000000000003"/>
    <n v="2015"/>
    <x v="8"/>
    <n v="9"/>
    <n v="35.44"/>
    <s v="Profit"/>
  </r>
  <r>
    <s v="CA-2015-119480"/>
    <d v="2015-09-01T00:00:00"/>
    <x v="3"/>
    <x v="1"/>
    <x v="1071"/>
    <n v="163.44"/>
    <n v="3"/>
    <n v="45.763199999999998"/>
    <n v="0.27999999999999997"/>
    <n v="2015"/>
    <x v="8"/>
    <n v="9"/>
    <n v="54.48"/>
    <s v="Profit"/>
  </r>
  <r>
    <s v="CA-2015-119480"/>
    <d v="2015-09-01T00:00:00"/>
    <x v="3"/>
    <x v="1"/>
    <x v="887"/>
    <n v="42.76"/>
    <n v="2"/>
    <n v="11.117599999999999"/>
    <n v="0.26"/>
    <n v="2015"/>
    <x v="8"/>
    <n v="9"/>
    <n v="21.38"/>
    <s v="Profit"/>
  </r>
  <r>
    <s v="CA-2015-119480"/>
    <d v="2015-09-01T00:00:00"/>
    <x v="3"/>
    <x v="1"/>
    <x v="1456"/>
    <n v="51.55"/>
    <n v="5"/>
    <n v="24.2285"/>
    <n v="0.47000000000000003"/>
    <n v="2015"/>
    <x v="8"/>
    <n v="9"/>
    <n v="10.309999999999999"/>
    <s v="Profit"/>
  </r>
  <r>
    <s v="CA-2015-101007"/>
    <d v="2015-09-02T00:00:00"/>
    <x v="2"/>
    <x v="2"/>
    <x v="616"/>
    <n v="20.8"/>
    <n v="2"/>
    <n v="6.5"/>
    <n v="0.3125"/>
    <n v="2015"/>
    <x v="8"/>
    <n v="9"/>
    <n v="10.4"/>
    <s v="Profit"/>
  </r>
  <r>
    <s v="CA-2015-135391"/>
    <d v="2015-09-02T00:00:00"/>
    <x v="2"/>
    <x v="1"/>
    <x v="1457"/>
    <n v="40.095999999999997"/>
    <n v="4"/>
    <n v="13.532400000000001"/>
    <n v="0.33750000000000008"/>
    <n v="2015"/>
    <x v="8"/>
    <n v="9"/>
    <n v="10.023999999999999"/>
    <s v="Profit"/>
  </r>
  <r>
    <s v="CA-2015-135391"/>
    <d v="2015-09-02T00:00:00"/>
    <x v="2"/>
    <x v="0"/>
    <x v="1458"/>
    <n v="40.783999999999999"/>
    <n v="2"/>
    <n v="-30.588000000000001"/>
    <n v="-0.75"/>
    <n v="2015"/>
    <x v="8"/>
    <n v="9"/>
    <n v="20.391999999999999"/>
    <s v="Loss"/>
  </r>
  <r>
    <s v="CA-2015-146038"/>
    <d v="2015-09-02T00:00:00"/>
    <x v="1"/>
    <x v="0"/>
    <x v="1232"/>
    <n v="203.92"/>
    <n v="5"/>
    <n v="22.940999999999999"/>
    <n v="0.1125"/>
    <n v="2015"/>
    <x v="8"/>
    <n v="9"/>
    <n v="40.783999999999999"/>
    <s v="Profit"/>
  </r>
  <r>
    <s v="US-2015-153374"/>
    <d v="2015-09-02T00:00:00"/>
    <x v="2"/>
    <x v="2"/>
    <x v="691"/>
    <n v="479.952"/>
    <n v="6"/>
    <n v="89.991"/>
    <n v="0.1875"/>
    <n v="2015"/>
    <x v="8"/>
    <n v="9"/>
    <n v="79.992000000000004"/>
    <s v="Profit"/>
  </r>
  <r>
    <s v="CA-2015-123155"/>
    <d v="2015-09-03T00:00:00"/>
    <x v="2"/>
    <x v="2"/>
    <x v="593"/>
    <n v="113.52"/>
    <n v="5"/>
    <n v="29.798999999999999"/>
    <n v="0.26250000000000001"/>
    <n v="2015"/>
    <x v="8"/>
    <n v="9"/>
    <n v="22.704000000000001"/>
    <s v="Profit"/>
  </r>
  <r>
    <s v="CA-2015-123155"/>
    <d v="2015-09-03T00:00:00"/>
    <x v="2"/>
    <x v="2"/>
    <x v="1459"/>
    <n v="359.88"/>
    <n v="3"/>
    <n v="22.4925"/>
    <n v="6.25E-2"/>
    <n v="2015"/>
    <x v="8"/>
    <n v="9"/>
    <n v="119.96"/>
    <s v="Profit"/>
  </r>
  <r>
    <s v="CA-2015-110345"/>
    <d v="2015-09-03T00:00:00"/>
    <x v="3"/>
    <x v="1"/>
    <x v="1460"/>
    <n v="4.6079999999999997"/>
    <n v="2"/>
    <n v="1.6704000000000001"/>
    <n v="0.36250000000000004"/>
    <n v="2015"/>
    <x v="8"/>
    <n v="9"/>
    <n v="2.3039999999999998"/>
    <s v="Profit"/>
  </r>
  <r>
    <s v="CA-2015-142027"/>
    <d v="2015-09-04T00:00:00"/>
    <x v="1"/>
    <x v="0"/>
    <x v="1125"/>
    <n v="369.91199999999998"/>
    <n v="3"/>
    <n v="-13.871700000000001"/>
    <n v="-3.7500000000000006E-2"/>
    <n v="2015"/>
    <x v="8"/>
    <n v="9"/>
    <n v="123.30399999999999"/>
    <s v="Loss"/>
  </r>
  <r>
    <s v="CA-2015-116512"/>
    <d v="2015-09-04T00:00:00"/>
    <x v="0"/>
    <x v="1"/>
    <x v="1104"/>
    <n v="17.940000000000001"/>
    <n v="3"/>
    <n v="3.0497999999999998"/>
    <n v="0.16999999999999998"/>
    <n v="2015"/>
    <x v="8"/>
    <n v="9"/>
    <n v="5.98"/>
    <s v="Profit"/>
  </r>
  <r>
    <s v="CA-2015-101000"/>
    <d v="2015-09-04T00:00:00"/>
    <x v="0"/>
    <x v="1"/>
    <x v="1045"/>
    <n v="370.14"/>
    <n v="3"/>
    <n v="144.3546"/>
    <n v="0.39"/>
    <n v="2015"/>
    <x v="8"/>
    <n v="9"/>
    <n v="123.38"/>
    <s v="Profit"/>
  </r>
  <r>
    <s v="CA-2015-155635"/>
    <d v="2015-09-05T00:00:00"/>
    <x v="3"/>
    <x v="1"/>
    <x v="822"/>
    <n v="48.81"/>
    <n v="3"/>
    <n v="23.916899999999998"/>
    <n v="0.48999999999999994"/>
    <n v="2015"/>
    <x v="8"/>
    <n v="9"/>
    <n v="16.27"/>
    <s v="Profit"/>
  </r>
  <r>
    <s v="CA-2015-110947"/>
    <d v="2015-09-06T00:00:00"/>
    <x v="3"/>
    <x v="1"/>
    <x v="245"/>
    <n v="113.1"/>
    <n v="3"/>
    <n v="56.55"/>
    <n v="0.5"/>
    <n v="2015"/>
    <x v="8"/>
    <n v="9"/>
    <n v="37.699999999999996"/>
    <s v="Profit"/>
  </r>
  <r>
    <s v="CA-2015-144190"/>
    <d v="2015-09-06T00:00:00"/>
    <x v="2"/>
    <x v="1"/>
    <x v="611"/>
    <n v="12.96"/>
    <n v="2"/>
    <n v="6.2207999999999997"/>
    <n v="0.47999999999999993"/>
    <n v="2015"/>
    <x v="8"/>
    <n v="9"/>
    <n v="6.48"/>
    <s v="Profit"/>
  </r>
  <r>
    <s v="CA-2015-141012"/>
    <d v="2015-09-06T00:00:00"/>
    <x v="1"/>
    <x v="0"/>
    <x v="1461"/>
    <n v="355.36"/>
    <n v="4"/>
    <n v="92.393600000000006"/>
    <n v="0.26"/>
    <n v="2015"/>
    <x v="8"/>
    <n v="9"/>
    <n v="88.84"/>
    <s v="Profit"/>
  </r>
  <r>
    <s v="CA-2015-141012"/>
    <d v="2015-09-06T00:00:00"/>
    <x v="1"/>
    <x v="2"/>
    <x v="866"/>
    <n v="140.376"/>
    <n v="3"/>
    <n v="8.7735000000000003"/>
    <n v="6.25E-2"/>
    <n v="2015"/>
    <x v="8"/>
    <n v="9"/>
    <n v="46.792000000000002"/>
    <s v="Profit"/>
  </r>
  <r>
    <s v="CA-2015-101868"/>
    <d v="2015-09-06T00:00:00"/>
    <x v="3"/>
    <x v="1"/>
    <x v="621"/>
    <n v="64.2"/>
    <n v="5"/>
    <n v="-42.8"/>
    <n v="-0.66666666666666663"/>
    <n v="2015"/>
    <x v="8"/>
    <n v="9"/>
    <n v="12.84"/>
    <s v="Loss"/>
  </r>
  <r>
    <s v="CA-2015-101868"/>
    <d v="2015-09-06T00:00:00"/>
    <x v="3"/>
    <x v="1"/>
    <x v="270"/>
    <n v="38.520000000000003"/>
    <n v="3"/>
    <n v="-26.963999999999999"/>
    <n v="-0.7"/>
    <n v="2015"/>
    <x v="8"/>
    <n v="9"/>
    <n v="12.840000000000002"/>
    <s v="Loss"/>
  </r>
  <r>
    <s v="CA-2015-101868"/>
    <d v="2015-09-06T00:00:00"/>
    <x v="3"/>
    <x v="2"/>
    <x v="1462"/>
    <n v="72.599999999999994"/>
    <n v="5"/>
    <n v="-8.1675000000000004"/>
    <n v="-0.11250000000000002"/>
    <n v="2015"/>
    <x v="8"/>
    <n v="9"/>
    <n v="14.52"/>
    <s v="Loss"/>
  </r>
  <r>
    <s v="CA-2015-111094"/>
    <d v="2015-09-07T00:00:00"/>
    <x v="0"/>
    <x v="1"/>
    <x v="1179"/>
    <n v="6.58"/>
    <n v="2"/>
    <n v="3.0268000000000002"/>
    <n v="0.46"/>
    <n v="2015"/>
    <x v="8"/>
    <n v="9"/>
    <n v="3.29"/>
    <s v="Profit"/>
  </r>
  <r>
    <s v="CA-2015-111094"/>
    <d v="2015-09-07T00:00:00"/>
    <x v="0"/>
    <x v="1"/>
    <x v="801"/>
    <n v="122.94"/>
    <n v="3"/>
    <n v="59.011200000000002"/>
    <n v="0.48000000000000004"/>
    <n v="2015"/>
    <x v="8"/>
    <n v="9"/>
    <n v="40.98"/>
    <s v="Profit"/>
  </r>
  <r>
    <s v="CA-2015-153626"/>
    <d v="2015-09-07T00:00:00"/>
    <x v="3"/>
    <x v="1"/>
    <x v="430"/>
    <n v="5.16"/>
    <n v="3"/>
    <n v="0.83850000000000002"/>
    <n v="0.16250000000000001"/>
    <n v="2015"/>
    <x v="8"/>
    <n v="9"/>
    <n v="1.72"/>
    <s v="Profit"/>
  </r>
  <r>
    <s v="CA-2015-132626"/>
    <d v="2015-09-07T00:00:00"/>
    <x v="0"/>
    <x v="1"/>
    <x v="447"/>
    <n v="15.8"/>
    <n v="4"/>
    <n v="5.056"/>
    <n v="0.32"/>
    <n v="2015"/>
    <x v="8"/>
    <n v="9"/>
    <n v="3.95"/>
    <s v="Profit"/>
  </r>
  <r>
    <s v="CA-2015-132626"/>
    <d v="2015-09-07T00:00:00"/>
    <x v="0"/>
    <x v="2"/>
    <x v="63"/>
    <n v="464.97"/>
    <n v="3"/>
    <n v="209.23650000000001"/>
    <n v="0.45"/>
    <n v="2015"/>
    <x v="8"/>
    <n v="9"/>
    <n v="154.99"/>
    <s v="Profit"/>
  </r>
  <r>
    <s v="CA-2015-132626"/>
    <d v="2015-09-07T00:00:00"/>
    <x v="0"/>
    <x v="0"/>
    <x v="1463"/>
    <n v="181.96"/>
    <n v="2"/>
    <n v="20.015599999999999"/>
    <n v="0.10999999999999999"/>
    <n v="2015"/>
    <x v="8"/>
    <n v="9"/>
    <n v="90.98"/>
    <s v="Profit"/>
  </r>
  <r>
    <s v="CA-2015-132626"/>
    <d v="2015-09-07T00:00:00"/>
    <x v="0"/>
    <x v="1"/>
    <x v="1464"/>
    <n v="12.39"/>
    <n v="3"/>
    <n v="5.6993999999999998"/>
    <n v="0.45999999999999996"/>
    <n v="2015"/>
    <x v="8"/>
    <n v="9"/>
    <n v="4.13"/>
    <s v="Profit"/>
  </r>
  <r>
    <s v="CA-2015-132626"/>
    <d v="2015-09-07T00:00:00"/>
    <x v="0"/>
    <x v="1"/>
    <x v="183"/>
    <n v="84.09"/>
    <n v="3"/>
    <n v="42.045000000000002"/>
    <n v="0.5"/>
    <n v="2015"/>
    <x v="8"/>
    <n v="9"/>
    <n v="28.03"/>
    <s v="Profit"/>
  </r>
  <r>
    <s v="CA-2015-132626"/>
    <d v="2015-09-07T00:00:00"/>
    <x v="0"/>
    <x v="1"/>
    <x v="713"/>
    <n v="79.36"/>
    <n v="4"/>
    <n v="32.537599999999998"/>
    <n v="0.41"/>
    <n v="2015"/>
    <x v="8"/>
    <n v="9"/>
    <n v="19.84"/>
    <s v="Profit"/>
  </r>
  <r>
    <s v="CA-2015-132626"/>
    <d v="2015-09-07T00:00:00"/>
    <x v="0"/>
    <x v="1"/>
    <x v="401"/>
    <n v="153.36000000000001"/>
    <n v="9"/>
    <n v="70.545599999999993"/>
    <n v="0.45999999999999991"/>
    <n v="2015"/>
    <x v="8"/>
    <n v="9"/>
    <n v="17.040000000000003"/>
    <s v="Profit"/>
  </r>
  <r>
    <s v="CA-2015-132626"/>
    <d v="2015-09-07T00:00:00"/>
    <x v="0"/>
    <x v="1"/>
    <x v="402"/>
    <n v="43.68"/>
    <n v="6"/>
    <n v="21.403199999999998"/>
    <n v="0.48999999999999994"/>
    <n v="2015"/>
    <x v="8"/>
    <n v="9"/>
    <n v="7.28"/>
    <s v="Profit"/>
  </r>
  <r>
    <s v="CA-2015-132626"/>
    <d v="2015-09-07T00:00:00"/>
    <x v="0"/>
    <x v="1"/>
    <x v="1465"/>
    <n v="98.21"/>
    <n v="7"/>
    <n v="28.480899999999998"/>
    <n v="0.28999999999999998"/>
    <n v="2015"/>
    <x v="8"/>
    <n v="9"/>
    <n v="14.03"/>
    <s v="Profit"/>
  </r>
  <r>
    <s v="CA-2015-135314"/>
    <d v="2015-09-07T00:00:00"/>
    <x v="0"/>
    <x v="2"/>
    <x v="1466"/>
    <n v="269.98200000000003"/>
    <n v="3"/>
    <n v="40.497300000000003"/>
    <n v="0.15"/>
    <n v="2015"/>
    <x v="8"/>
    <n v="9"/>
    <n v="89.994000000000014"/>
    <s v="Profit"/>
  </r>
  <r>
    <s v="CA-2015-123456"/>
    <d v="2015-09-07T00:00:00"/>
    <x v="2"/>
    <x v="1"/>
    <x v="383"/>
    <n v="48.631999999999998"/>
    <n v="2"/>
    <n v="-121.58"/>
    <n v="-2.5"/>
    <n v="2015"/>
    <x v="8"/>
    <n v="9"/>
    <n v="24.315999999999999"/>
    <s v="Loss"/>
  </r>
  <r>
    <s v="CA-2015-163055"/>
    <d v="2015-09-08T00:00:00"/>
    <x v="2"/>
    <x v="1"/>
    <x v="1467"/>
    <n v="2.2000000000000002"/>
    <n v="1"/>
    <n v="0.96799999999999997"/>
    <n v="0.43999999999999995"/>
    <n v="2015"/>
    <x v="8"/>
    <n v="9"/>
    <n v="2.2000000000000002"/>
    <s v="Profit"/>
  </r>
  <r>
    <s v="CA-2015-163055"/>
    <d v="2015-09-08T00:00:00"/>
    <x v="2"/>
    <x v="0"/>
    <x v="269"/>
    <n v="622.45000000000005"/>
    <n v="5"/>
    <n v="136.93899999999999"/>
    <n v="0.21999999999999997"/>
    <n v="2015"/>
    <x v="8"/>
    <n v="9"/>
    <n v="124.49000000000001"/>
    <s v="Profit"/>
  </r>
  <r>
    <s v="CA-2015-163055"/>
    <d v="2015-09-08T00:00:00"/>
    <x v="2"/>
    <x v="1"/>
    <x v="301"/>
    <n v="21.98"/>
    <n v="1"/>
    <n v="0.2198"/>
    <n v="0.01"/>
    <n v="2015"/>
    <x v="8"/>
    <n v="9"/>
    <n v="21.98"/>
    <s v="Profit"/>
  </r>
  <r>
    <s v="CA-2015-131338"/>
    <d v="2015-09-08T00:00:00"/>
    <x v="0"/>
    <x v="2"/>
    <x v="482"/>
    <n v="307.98"/>
    <n v="2"/>
    <n v="89.3142"/>
    <n v="0.28999999999999998"/>
    <n v="2015"/>
    <x v="8"/>
    <n v="9"/>
    <n v="153.99"/>
    <s v="Profit"/>
  </r>
  <r>
    <s v="CA-2015-131338"/>
    <d v="2015-09-08T00:00:00"/>
    <x v="0"/>
    <x v="0"/>
    <x v="54"/>
    <n v="382.80599999999998"/>
    <n v="9"/>
    <n v="-153.1224"/>
    <n v="-0.4"/>
    <n v="2015"/>
    <x v="8"/>
    <n v="9"/>
    <n v="42.533999999999999"/>
    <s v="Loss"/>
  </r>
  <r>
    <s v="CA-2015-131338"/>
    <d v="2015-09-08T00:00:00"/>
    <x v="0"/>
    <x v="1"/>
    <x v="70"/>
    <n v="41.96"/>
    <n v="2"/>
    <n v="2.9371999999999998"/>
    <n v="6.9999999999999993E-2"/>
    <n v="2015"/>
    <x v="8"/>
    <n v="9"/>
    <n v="20.98"/>
    <s v="Profit"/>
  </r>
  <r>
    <s v="CA-2015-131338"/>
    <d v="2015-09-08T00:00:00"/>
    <x v="0"/>
    <x v="1"/>
    <x v="873"/>
    <n v="1217.568"/>
    <n v="2"/>
    <n v="456.58800000000002"/>
    <n v="0.375"/>
    <n v="2015"/>
    <x v="8"/>
    <n v="9"/>
    <n v="608.78399999999999"/>
    <s v="Profit"/>
  </r>
  <r>
    <s v="CA-2015-131338"/>
    <d v="2015-09-08T00:00:00"/>
    <x v="0"/>
    <x v="0"/>
    <x v="1325"/>
    <n v="47.04"/>
    <n v="3"/>
    <n v="18.345600000000001"/>
    <n v="0.39"/>
    <n v="2015"/>
    <x v="8"/>
    <n v="9"/>
    <n v="15.68"/>
    <s v="Profit"/>
  </r>
  <r>
    <s v="CA-2015-131338"/>
    <d v="2015-09-08T00:00:00"/>
    <x v="0"/>
    <x v="0"/>
    <x v="528"/>
    <n v="6.16"/>
    <n v="2"/>
    <n v="2.9567999999999999"/>
    <n v="0.48"/>
    <n v="2015"/>
    <x v="8"/>
    <n v="9"/>
    <n v="3.08"/>
    <s v="Profit"/>
  </r>
  <r>
    <s v="CA-2015-131338"/>
    <d v="2015-09-08T00:00:00"/>
    <x v="0"/>
    <x v="2"/>
    <x v="1468"/>
    <n v="979.95"/>
    <n v="5"/>
    <n v="274.38600000000002"/>
    <n v="0.28000000000000003"/>
    <n v="2015"/>
    <x v="8"/>
    <n v="9"/>
    <n v="195.99"/>
    <s v="Profit"/>
  </r>
  <r>
    <s v="CA-2015-131338"/>
    <d v="2015-09-08T00:00:00"/>
    <x v="0"/>
    <x v="1"/>
    <x v="536"/>
    <n v="143.69999999999999"/>
    <n v="3"/>
    <n v="68.975999999999999"/>
    <n v="0.48000000000000004"/>
    <n v="2015"/>
    <x v="8"/>
    <n v="9"/>
    <n v="47.9"/>
    <s v="Profit"/>
  </r>
  <r>
    <s v="CA-2015-131338"/>
    <d v="2015-09-08T00:00:00"/>
    <x v="0"/>
    <x v="1"/>
    <x v="849"/>
    <n v="10.65"/>
    <n v="3"/>
    <n v="5.0054999999999996"/>
    <n v="0.47"/>
    <n v="2015"/>
    <x v="8"/>
    <n v="9"/>
    <n v="3.5500000000000003"/>
    <s v="Profit"/>
  </r>
  <r>
    <s v="CA-2015-131338"/>
    <d v="2015-09-08T00:00:00"/>
    <x v="0"/>
    <x v="2"/>
    <x v="1469"/>
    <n v="247.8"/>
    <n v="4"/>
    <n v="34.692"/>
    <n v="0.13999999999999999"/>
    <n v="2015"/>
    <x v="8"/>
    <n v="9"/>
    <n v="61.95"/>
    <s v="Profit"/>
  </r>
  <r>
    <s v="CA-2015-155453"/>
    <d v="2015-09-08T00:00:00"/>
    <x v="3"/>
    <x v="1"/>
    <x v="696"/>
    <n v="4.6079999999999997"/>
    <n v="2"/>
    <n v="1.6704000000000001"/>
    <n v="0.36250000000000004"/>
    <n v="2015"/>
    <x v="8"/>
    <n v="9"/>
    <n v="2.3039999999999998"/>
    <s v="Profit"/>
  </r>
  <r>
    <s v="CA-2015-103954"/>
    <d v="2015-09-08T00:00:00"/>
    <x v="2"/>
    <x v="0"/>
    <x v="1470"/>
    <n v="687.4"/>
    <n v="5"/>
    <n v="48.118000000000002"/>
    <n v="7.0000000000000007E-2"/>
    <n v="2015"/>
    <x v="8"/>
    <n v="9"/>
    <n v="137.47999999999999"/>
    <s v="Profit"/>
  </r>
  <r>
    <s v="CA-2015-128013"/>
    <d v="2015-09-08T00:00:00"/>
    <x v="0"/>
    <x v="0"/>
    <x v="1321"/>
    <n v="10.02"/>
    <n v="3"/>
    <n v="4.4088000000000003"/>
    <n v="0.44000000000000006"/>
    <n v="2015"/>
    <x v="8"/>
    <n v="9"/>
    <n v="3.34"/>
    <s v="Profit"/>
  </r>
  <r>
    <s v="CA-2015-128013"/>
    <d v="2015-09-08T00:00:00"/>
    <x v="0"/>
    <x v="1"/>
    <x v="1118"/>
    <n v="144.12"/>
    <n v="3"/>
    <n v="69.177599999999998"/>
    <n v="0.48"/>
    <n v="2015"/>
    <x v="8"/>
    <n v="9"/>
    <n v="48.04"/>
    <s v="Profit"/>
  </r>
  <r>
    <s v="CA-2015-129098"/>
    <d v="2015-09-10T00:00:00"/>
    <x v="3"/>
    <x v="1"/>
    <x v="659"/>
    <n v="30.84"/>
    <n v="2"/>
    <n v="8.3268000000000004"/>
    <n v="0.27"/>
    <n v="2015"/>
    <x v="8"/>
    <n v="9"/>
    <n v="15.42"/>
    <s v="Profit"/>
  </r>
  <r>
    <s v="CA-2015-141040"/>
    <d v="2015-09-10T00:00:00"/>
    <x v="0"/>
    <x v="2"/>
    <x v="1322"/>
    <n v="631.96"/>
    <n v="4"/>
    <n v="303.3408"/>
    <n v="0.48"/>
    <n v="2015"/>
    <x v="8"/>
    <n v="9"/>
    <n v="157.99"/>
    <s v="Profit"/>
  </r>
  <r>
    <s v="CA-2015-141040"/>
    <d v="2015-09-10T00:00:00"/>
    <x v="0"/>
    <x v="1"/>
    <x v="865"/>
    <n v="23.92"/>
    <n v="4"/>
    <n v="10.763999999999999"/>
    <n v="0.44999999999999996"/>
    <n v="2015"/>
    <x v="8"/>
    <n v="9"/>
    <n v="5.98"/>
    <s v="Profit"/>
  </r>
  <r>
    <s v="CA-2015-124107"/>
    <d v="2015-09-10T00:00:00"/>
    <x v="2"/>
    <x v="2"/>
    <x v="326"/>
    <n v="619.95000000000005"/>
    <n v="5"/>
    <n v="111.59099999999999"/>
    <n v="0.17999999999999997"/>
    <n v="2015"/>
    <x v="8"/>
    <n v="9"/>
    <n v="123.99000000000001"/>
    <s v="Profit"/>
  </r>
  <r>
    <s v="CA-2015-124107"/>
    <d v="2015-09-10T00:00:00"/>
    <x v="2"/>
    <x v="2"/>
    <x v="1327"/>
    <n v="29.16"/>
    <n v="3"/>
    <n v="8.4564000000000004"/>
    <n v="0.29000000000000004"/>
    <n v="2015"/>
    <x v="8"/>
    <n v="9"/>
    <n v="9.7200000000000006"/>
    <s v="Profit"/>
  </r>
  <r>
    <s v="CA-2015-124107"/>
    <d v="2015-09-10T00:00:00"/>
    <x v="2"/>
    <x v="1"/>
    <x v="11"/>
    <n v="57.96"/>
    <n v="7"/>
    <n v="27.241199999999999"/>
    <n v="0.47"/>
    <n v="2015"/>
    <x v="8"/>
    <n v="9"/>
    <n v="8.2799999999999994"/>
    <s v="Profit"/>
  </r>
  <r>
    <s v="CA-2015-124107"/>
    <d v="2015-09-10T00:00:00"/>
    <x v="2"/>
    <x v="1"/>
    <x v="364"/>
    <n v="29.402999999999999"/>
    <n v="3"/>
    <n v="5.2271999999999998"/>
    <n v="0.17777777777777778"/>
    <n v="2015"/>
    <x v="8"/>
    <n v="9"/>
    <n v="9.8010000000000002"/>
    <s v="Profit"/>
  </r>
  <r>
    <s v="CA-2015-162761"/>
    <d v="2015-09-10T00:00:00"/>
    <x v="3"/>
    <x v="1"/>
    <x v="497"/>
    <n v="1.8720000000000001"/>
    <n v="2"/>
    <n v="-1.3104"/>
    <n v="-0.7"/>
    <n v="2015"/>
    <x v="8"/>
    <n v="9"/>
    <n v="0.93600000000000005"/>
    <s v="Loss"/>
  </r>
  <r>
    <s v="CA-2015-162761"/>
    <d v="2015-09-10T00:00:00"/>
    <x v="3"/>
    <x v="1"/>
    <x v="864"/>
    <n v="11.214"/>
    <n v="2"/>
    <n v="-8.5974000000000004"/>
    <n v="-0.76666666666666672"/>
    <n v="2015"/>
    <x v="8"/>
    <n v="9"/>
    <n v="5.6070000000000002"/>
    <s v="Loss"/>
  </r>
  <r>
    <s v="CA-2015-162761"/>
    <d v="2015-09-10T00:00:00"/>
    <x v="3"/>
    <x v="1"/>
    <x v="539"/>
    <n v="37.375999999999998"/>
    <n v="8"/>
    <n v="7.4752000000000001"/>
    <n v="0.2"/>
    <n v="2015"/>
    <x v="8"/>
    <n v="9"/>
    <n v="4.6719999999999997"/>
    <s v="Profit"/>
  </r>
  <r>
    <s v="CA-2015-124499"/>
    <d v="2015-09-10T00:00:00"/>
    <x v="2"/>
    <x v="0"/>
    <x v="1160"/>
    <n v="389.97"/>
    <n v="3"/>
    <n v="35.097299999999997"/>
    <n v="8.9999999999999983E-2"/>
    <n v="2015"/>
    <x v="8"/>
    <n v="9"/>
    <n v="129.99"/>
    <s v="Profit"/>
  </r>
  <r>
    <s v="CA-2015-124499"/>
    <d v="2015-09-10T00:00:00"/>
    <x v="2"/>
    <x v="1"/>
    <x v="1471"/>
    <n v="269.91000000000003"/>
    <n v="5"/>
    <n v="53.981999999999999"/>
    <n v="0.19999999999999998"/>
    <n v="2015"/>
    <x v="8"/>
    <n v="9"/>
    <n v="53.982000000000006"/>
    <s v="Profit"/>
  </r>
  <r>
    <s v="CA-2015-158554"/>
    <d v="2015-09-11T00:00:00"/>
    <x v="0"/>
    <x v="1"/>
    <x v="1177"/>
    <n v="11.352"/>
    <n v="3"/>
    <n v="4.1151"/>
    <n v="0.36249999999999999"/>
    <n v="2015"/>
    <x v="8"/>
    <n v="9"/>
    <n v="3.7840000000000003"/>
    <s v="Profit"/>
  </r>
  <r>
    <s v="CA-2015-127509"/>
    <d v="2015-09-11T00:00:00"/>
    <x v="2"/>
    <x v="1"/>
    <x v="343"/>
    <n v="17.22"/>
    <n v="3"/>
    <n v="7.9211999999999998"/>
    <n v="0.46"/>
    <n v="2015"/>
    <x v="8"/>
    <n v="9"/>
    <n v="5.7399999999999993"/>
    <s v="Profit"/>
  </r>
  <r>
    <s v="CA-2015-127509"/>
    <d v="2015-09-11T00:00:00"/>
    <x v="2"/>
    <x v="0"/>
    <x v="844"/>
    <n v="1024.3800000000001"/>
    <n v="7"/>
    <n v="215.1198"/>
    <n v="0.20999999999999996"/>
    <n v="2015"/>
    <x v="8"/>
    <n v="9"/>
    <n v="146.34"/>
    <s v="Profit"/>
  </r>
  <r>
    <s v="CA-2015-127509"/>
    <d v="2015-09-11T00:00:00"/>
    <x v="2"/>
    <x v="1"/>
    <x v="720"/>
    <n v="26.22"/>
    <n v="3"/>
    <n v="12.323399999999999"/>
    <n v="0.47"/>
    <n v="2015"/>
    <x v="8"/>
    <n v="9"/>
    <n v="8.74"/>
    <s v="Profit"/>
  </r>
  <r>
    <s v="CA-2015-127509"/>
    <d v="2015-09-11T00:00:00"/>
    <x v="2"/>
    <x v="1"/>
    <x v="915"/>
    <n v="17.34"/>
    <n v="3"/>
    <n v="8.4966000000000008"/>
    <n v="0.49000000000000005"/>
    <n v="2015"/>
    <x v="8"/>
    <n v="9"/>
    <n v="5.78"/>
    <s v="Profit"/>
  </r>
  <r>
    <s v="CA-2015-169796"/>
    <d v="2015-09-11T00:00:00"/>
    <x v="0"/>
    <x v="2"/>
    <x v="1454"/>
    <n v="2321.9"/>
    <n v="2"/>
    <n v="1114.5119999999999"/>
    <n v="0.48"/>
    <n v="2015"/>
    <x v="8"/>
    <n v="9"/>
    <n v="1160.95"/>
    <s v="Profit"/>
  </r>
  <r>
    <s v="CA-2015-169796"/>
    <d v="2015-09-11T00:00:00"/>
    <x v="0"/>
    <x v="1"/>
    <x v="1104"/>
    <n v="17.940000000000001"/>
    <n v="3"/>
    <n v="3.0497999999999998"/>
    <n v="0.16999999999999998"/>
    <n v="2015"/>
    <x v="8"/>
    <n v="9"/>
    <n v="5.98"/>
    <s v="Profit"/>
  </r>
  <r>
    <s v="CA-2015-146486"/>
    <d v="2015-09-11T00:00:00"/>
    <x v="0"/>
    <x v="1"/>
    <x v="712"/>
    <n v="244.55"/>
    <n v="5"/>
    <n v="4.891"/>
    <n v="0.02"/>
    <n v="2015"/>
    <x v="8"/>
    <n v="9"/>
    <n v="48.910000000000004"/>
    <s v="Profit"/>
  </r>
  <r>
    <s v="CA-2015-146486"/>
    <d v="2015-09-11T00:00:00"/>
    <x v="0"/>
    <x v="1"/>
    <x v="588"/>
    <n v="12.24"/>
    <n v="6"/>
    <n v="5.7527999999999997"/>
    <n v="0.47"/>
    <n v="2015"/>
    <x v="8"/>
    <n v="9"/>
    <n v="2.04"/>
    <s v="Profit"/>
  </r>
  <r>
    <s v="CA-2015-146486"/>
    <d v="2015-09-11T00:00:00"/>
    <x v="0"/>
    <x v="2"/>
    <x v="574"/>
    <n v="13.98"/>
    <n v="2"/>
    <n v="6.0114000000000001"/>
    <n v="0.43"/>
    <n v="2015"/>
    <x v="8"/>
    <n v="9"/>
    <n v="6.99"/>
    <s v="Profit"/>
  </r>
  <r>
    <s v="CA-2015-146486"/>
    <d v="2015-09-11T00:00:00"/>
    <x v="0"/>
    <x v="2"/>
    <x v="1020"/>
    <n v="899.95"/>
    <n v="5"/>
    <n v="53.997"/>
    <n v="0.06"/>
    <n v="2015"/>
    <x v="8"/>
    <n v="9"/>
    <n v="179.99"/>
    <s v="Profit"/>
  </r>
  <r>
    <s v="CA-2015-126466"/>
    <d v="2015-09-11T00:00:00"/>
    <x v="1"/>
    <x v="1"/>
    <x v="1472"/>
    <n v="2.48"/>
    <n v="2"/>
    <n v="1.1656"/>
    <n v="0.47"/>
    <n v="2015"/>
    <x v="8"/>
    <n v="9"/>
    <n v="1.24"/>
    <s v="Profit"/>
  </r>
  <r>
    <s v="CA-2015-113222"/>
    <d v="2015-09-11T00:00:00"/>
    <x v="2"/>
    <x v="1"/>
    <x v="1107"/>
    <n v="10.74"/>
    <n v="3"/>
    <n v="5.1551999999999998"/>
    <n v="0.48"/>
    <n v="2015"/>
    <x v="8"/>
    <n v="9"/>
    <n v="3.58"/>
    <s v="Profit"/>
  </r>
  <r>
    <s v="CA-2015-157035"/>
    <d v="2015-09-12T00:00:00"/>
    <x v="2"/>
    <x v="1"/>
    <x v="283"/>
    <n v="34.020000000000003"/>
    <n v="3"/>
    <n v="16.669799999999999"/>
    <n v="0.48999999999999994"/>
    <n v="2015"/>
    <x v="8"/>
    <n v="9"/>
    <n v="11.340000000000002"/>
    <s v="Profit"/>
  </r>
  <r>
    <s v="US-2015-157154"/>
    <d v="2015-10-01T00:00:00"/>
    <x v="0"/>
    <x v="0"/>
    <x v="24"/>
    <n v="1018.104"/>
    <n v="4"/>
    <n v="-373.3048"/>
    <n v="-0.36666666666666664"/>
    <n v="2015"/>
    <x v="9"/>
    <n v="10"/>
    <n v="254.52600000000001"/>
    <s v="Loss"/>
  </r>
  <r>
    <s v="CA-2015-101126"/>
    <d v="2015-10-02T00:00:00"/>
    <x v="0"/>
    <x v="1"/>
    <x v="1369"/>
    <n v="77.239999999999995"/>
    <n v="5"/>
    <n v="7.7240000000000002"/>
    <n v="0.1"/>
    <n v="2015"/>
    <x v="9"/>
    <n v="10"/>
    <n v="15.447999999999999"/>
    <s v="Profit"/>
  </r>
  <r>
    <s v="CA-2015-146829"/>
    <d v="2015-10-03T00:00:00"/>
    <x v="2"/>
    <x v="1"/>
    <x v="127"/>
    <n v="1.1120000000000001"/>
    <n v="2"/>
    <n v="-1.8904000000000001"/>
    <n v="-1.7"/>
    <n v="2015"/>
    <x v="9"/>
    <n v="10"/>
    <n v="0.55600000000000005"/>
    <s v="Loss"/>
  </r>
  <r>
    <s v="US-2015-118906"/>
    <d v="2015-10-03T00:00:00"/>
    <x v="0"/>
    <x v="1"/>
    <x v="1473"/>
    <n v="89.82"/>
    <n v="6"/>
    <n v="25.1496"/>
    <n v="0.28000000000000003"/>
    <n v="2015"/>
    <x v="9"/>
    <n v="10"/>
    <n v="14.969999999999999"/>
    <s v="Profit"/>
  </r>
  <r>
    <s v="CA-2015-168767"/>
    <d v="2015-10-04T00:00:00"/>
    <x v="1"/>
    <x v="1"/>
    <x v="1143"/>
    <n v="12.832000000000001"/>
    <n v="2"/>
    <n v="4.3308"/>
    <n v="0.33749999999999997"/>
    <n v="2015"/>
    <x v="9"/>
    <n v="10"/>
    <n v="6.4160000000000004"/>
    <s v="Profit"/>
  </r>
  <r>
    <s v="CA-2015-134201"/>
    <d v="2015-10-04T00:00:00"/>
    <x v="0"/>
    <x v="1"/>
    <x v="1310"/>
    <n v="142.04"/>
    <n v="4"/>
    <n v="38.3508"/>
    <n v="0.27"/>
    <n v="2015"/>
    <x v="9"/>
    <n v="10"/>
    <n v="35.51"/>
    <s v="Profit"/>
  </r>
  <r>
    <s v="CA-2015-134201"/>
    <d v="2015-10-04T00:00:00"/>
    <x v="0"/>
    <x v="1"/>
    <x v="1066"/>
    <n v="14.67"/>
    <n v="3"/>
    <n v="6.0147000000000004"/>
    <n v="0.41000000000000003"/>
    <n v="2015"/>
    <x v="9"/>
    <n v="10"/>
    <n v="4.8899999999999997"/>
    <s v="Profit"/>
  </r>
  <r>
    <s v="CA-2015-129217"/>
    <d v="2015-10-05T00:00:00"/>
    <x v="2"/>
    <x v="1"/>
    <x v="1474"/>
    <n v="70.97"/>
    <n v="5"/>
    <n v="-191.619"/>
    <n v="-2.7"/>
    <n v="2015"/>
    <x v="9"/>
    <n v="10"/>
    <n v="14.193999999999999"/>
    <s v="Loss"/>
  </r>
  <r>
    <s v="CA-2015-129217"/>
    <d v="2015-10-05T00:00:00"/>
    <x v="2"/>
    <x v="1"/>
    <x v="1182"/>
    <n v="36.783999999999999"/>
    <n v="2"/>
    <n v="3.6783999999999999"/>
    <n v="0.1"/>
    <n v="2015"/>
    <x v="9"/>
    <n v="10"/>
    <n v="18.391999999999999"/>
    <s v="Profit"/>
  </r>
  <r>
    <s v="CA-2015-144043"/>
    <d v="2015-10-05T00:00:00"/>
    <x v="1"/>
    <x v="2"/>
    <x v="1475"/>
    <n v="46.688000000000002"/>
    <n v="4"/>
    <n v="-2.9180000000000001"/>
    <n v="-6.25E-2"/>
    <n v="2015"/>
    <x v="9"/>
    <n v="10"/>
    <n v="11.672000000000001"/>
    <s v="Loss"/>
  </r>
  <r>
    <s v="CA-2015-149384"/>
    <d v="2015-10-07T00:00:00"/>
    <x v="1"/>
    <x v="1"/>
    <x v="1354"/>
    <n v="3.3660000000000001"/>
    <n v="3"/>
    <n v="-2.2440000000000002"/>
    <n v="-0.66666666666666674"/>
    <n v="2015"/>
    <x v="9"/>
    <n v="10"/>
    <n v="1.1220000000000001"/>
    <s v="Loss"/>
  </r>
  <r>
    <s v="CA-2015-107020"/>
    <d v="2015-10-07T00:00:00"/>
    <x v="1"/>
    <x v="1"/>
    <x v="1476"/>
    <n v="39.92"/>
    <n v="2"/>
    <n v="12.974"/>
    <n v="0.32500000000000001"/>
    <n v="2015"/>
    <x v="9"/>
    <n v="10"/>
    <n v="19.96"/>
    <s v="Profit"/>
  </r>
  <r>
    <s v="CA-2015-130022"/>
    <d v="2015-10-08T00:00:00"/>
    <x v="2"/>
    <x v="1"/>
    <x v="1477"/>
    <n v="3.75"/>
    <n v="1"/>
    <n v="1.8"/>
    <n v="0.48000000000000004"/>
    <n v="2015"/>
    <x v="9"/>
    <n v="10"/>
    <n v="3.75"/>
    <s v="Profit"/>
  </r>
  <r>
    <s v="CA-2015-130022"/>
    <d v="2015-10-08T00:00:00"/>
    <x v="2"/>
    <x v="1"/>
    <x v="1478"/>
    <n v="41.4"/>
    <n v="4"/>
    <n v="19.872"/>
    <n v="0.48000000000000004"/>
    <n v="2015"/>
    <x v="9"/>
    <n v="10"/>
    <n v="10.35"/>
    <s v="Profit"/>
  </r>
  <r>
    <s v="CA-2015-130022"/>
    <d v="2015-10-08T00:00:00"/>
    <x v="2"/>
    <x v="1"/>
    <x v="1479"/>
    <n v="29.79"/>
    <n v="3"/>
    <n v="12.511799999999999"/>
    <n v="0.42"/>
    <n v="2015"/>
    <x v="9"/>
    <n v="10"/>
    <n v="9.93"/>
    <s v="Profit"/>
  </r>
  <r>
    <s v="US-2015-156496"/>
    <d v="2015-10-08T00:00:00"/>
    <x v="1"/>
    <x v="2"/>
    <x v="351"/>
    <n v="438.36799999999999"/>
    <n v="4"/>
    <n v="38.357199999999999"/>
    <n v="8.7499999999999994E-2"/>
    <n v="2015"/>
    <x v="9"/>
    <n v="10"/>
    <n v="109.592"/>
    <s v="Profit"/>
  </r>
  <r>
    <s v="US-2015-156496"/>
    <d v="2015-10-08T00:00:00"/>
    <x v="1"/>
    <x v="2"/>
    <x v="1419"/>
    <n v="139.94399999999999"/>
    <n v="7"/>
    <n v="-31.487400000000001"/>
    <n v="-0.22500000000000003"/>
    <n v="2015"/>
    <x v="9"/>
    <n v="10"/>
    <n v="19.991999999999997"/>
    <s v="Loss"/>
  </r>
  <r>
    <s v="US-2015-156496"/>
    <d v="2015-10-08T00:00:00"/>
    <x v="1"/>
    <x v="1"/>
    <x v="1315"/>
    <n v="133.47200000000001"/>
    <n v="4"/>
    <n v="15.015599999999999"/>
    <n v="0.11249999999999999"/>
    <n v="2015"/>
    <x v="9"/>
    <n v="10"/>
    <n v="33.368000000000002"/>
    <s v="Profit"/>
  </r>
  <r>
    <s v="CA-2015-121699"/>
    <d v="2015-10-08T00:00:00"/>
    <x v="2"/>
    <x v="1"/>
    <x v="1224"/>
    <n v="64.75"/>
    <n v="5"/>
    <n v="29.137499999999999"/>
    <n v="0.45"/>
    <n v="2015"/>
    <x v="9"/>
    <n v="10"/>
    <n v="12.95"/>
    <s v="Profit"/>
  </r>
  <r>
    <s v="CA-2015-132906"/>
    <d v="2015-10-09T00:00:00"/>
    <x v="1"/>
    <x v="1"/>
    <x v="1260"/>
    <n v="51.52"/>
    <n v="4"/>
    <n v="1.5456000000000001"/>
    <n v="0.03"/>
    <n v="2015"/>
    <x v="9"/>
    <n v="10"/>
    <n v="12.88"/>
    <s v="Profit"/>
  </r>
  <r>
    <s v="CA-2015-168186"/>
    <d v="2015-10-09T00:00:00"/>
    <x v="2"/>
    <x v="1"/>
    <x v="912"/>
    <n v="14.94"/>
    <n v="3"/>
    <n v="7.0217999999999998"/>
    <n v="0.47000000000000003"/>
    <n v="2015"/>
    <x v="9"/>
    <n v="10"/>
    <n v="4.9799999999999995"/>
    <s v="Profit"/>
  </r>
  <r>
    <s v="US-2015-147242"/>
    <d v="2015-10-09T00:00:00"/>
    <x v="0"/>
    <x v="1"/>
    <x v="1317"/>
    <n v="61.96"/>
    <n v="2"/>
    <n v="16.1096"/>
    <n v="0.26"/>
    <n v="2015"/>
    <x v="9"/>
    <n v="10"/>
    <n v="30.98"/>
    <s v="Profit"/>
  </r>
  <r>
    <s v="US-2015-147242"/>
    <d v="2015-10-09T00:00:00"/>
    <x v="0"/>
    <x v="0"/>
    <x v="1362"/>
    <n v="361.96"/>
    <n v="2"/>
    <n v="83.250799999999998"/>
    <n v="0.23"/>
    <n v="2015"/>
    <x v="9"/>
    <n v="10"/>
    <n v="180.98"/>
    <s v="Profit"/>
  </r>
  <r>
    <s v="US-2015-147242"/>
    <d v="2015-10-09T00:00:00"/>
    <x v="0"/>
    <x v="1"/>
    <x v="491"/>
    <n v="278.82"/>
    <n v="9"/>
    <n v="125.46899999999999"/>
    <n v="0.45"/>
    <n v="2015"/>
    <x v="9"/>
    <n v="10"/>
    <n v="30.98"/>
    <s v="Profit"/>
  </r>
  <r>
    <s v="CA-2015-117772"/>
    <d v="2015-10-09T00:00:00"/>
    <x v="1"/>
    <x v="1"/>
    <x v="167"/>
    <n v="353.88"/>
    <n v="6"/>
    <n v="17.693999999999999"/>
    <n v="4.9999999999999996E-2"/>
    <n v="2015"/>
    <x v="9"/>
    <n v="10"/>
    <n v="58.98"/>
    <s v="Profit"/>
  </r>
  <r>
    <s v="CA-2015-136658"/>
    <d v="2015-10-09T00:00:00"/>
    <x v="0"/>
    <x v="1"/>
    <x v="236"/>
    <n v="6.08"/>
    <n v="2"/>
    <n v="2.0672000000000001"/>
    <n v="0.34"/>
    <n v="2015"/>
    <x v="9"/>
    <n v="10"/>
    <n v="3.04"/>
    <s v="Profit"/>
  </r>
  <r>
    <s v="CA-2015-108672"/>
    <d v="2015-10-09T00:00:00"/>
    <x v="1"/>
    <x v="0"/>
    <x v="1015"/>
    <n v="106.68"/>
    <n v="6"/>
    <n v="33.070799999999998"/>
    <n v="0.30999999999999994"/>
    <n v="2015"/>
    <x v="9"/>
    <n v="10"/>
    <n v="17.78"/>
    <s v="Profit"/>
  </r>
  <r>
    <s v="CA-2015-139374"/>
    <d v="2015-10-09T00:00:00"/>
    <x v="2"/>
    <x v="0"/>
    <x v="1480"/>
    <n v="179.886"/>
    <n v="1"/>
    <n v="-2.5697999999999999"/>
    <n v="-1.4285714285714285E-2"/>
    <n v="2015"/>
    <x v="9"/>
    <n v="10"/>
    <n v="179.886"/>
    <s v="Loss"/>
  </r>
  <r>
    <s v="CA-2015-109736"/>
    <d v="2015-10-10T00:00:00"/>
    <x v="1"/>
    <x v="1"/>
    <x v="765"/>
    <n v="45.36"/>
    <n v="7"/>
    <n v="21.7728"/>
    <n v="0.48"/>
    <n v="2015"/>
    <x v="9"/>
    <n v="10"/>
    <n v="6.4799999999999995"/>
    <s v="Profit"/>
  </r>
  <r>
    <s v="CA-2015-134719"/>
    <d v="2015-10-10T00:00:00"/>
    <x v="3"/>
    <x v="1"/>
    <x v="1481"/>
    <n v="1801.6320000000001"/>
    <n v="6"/>
    <n v="-337.80599999999998"/>
    <n v="-0.18749999999999997"/>
    <n v="2015"/>
    <x v="9"/>
    <n v="10"/>
    <n v="300.27199999999999"/>
    <s v="Loss"/>
  </r>
  <r>
    <s v="CA-2015-112522"/>
    <d v="2015-10-10T00:00:00"/>
    <x v="2"/>
    <x v="1"/>
    <x v="1297"/>
    <n v="8.016"/>
    <n v="3"/>
    <n v="1.002"/>
    <n v="0.125"/>
    <n v="2015"/>
    <x v="9"/>
    <n v="10"/>
    <n v="2.6720000000000002"/>
    <s v="Profit"/>
  </r>
  <r>
    <s v="CA-2015-132388"/>
    <d v="2015-10-10T00:00:00"/>
    <x v="1"/>
    <x v="0"/>
    <x v="800"/>
    <n v="362.13600000000002"/>
    <n v="3"/>
    <n v="-54.320399999999999"/>
    <n v="-0.15"/>
    <n v="2015"/>
    <x v="9"/>
    <n v="10"/>
    <n v="120.712"/>
    <s v="Loss"/>
  </r>
  <r>
    <s v="CA-2015-132388"/>
    <d v="2015-10-10T00:00:00"/>
    <x v="1"/>
    <x v="1"/>
    <x v="549"/>
    <n v="31.05"/>
    <n v="3"/>
    <n v="14.904"/>
    <n v="0.48"/>
    <n v="2015"/>
    <x v="9"/>
    <n v="10"/>
    <n v="10.35"/>
    <s v="Profit"/>
  </r>
  <r>
    <s v="CA-2015-155040"/>
    <d v="2015-10-11T00:00:00"/>
    <x v="1"/>
    <x v="2"/>
    <x v="340"/>
    <n v="79.900000000000006"/>
    <n v="2"/>
    <n v="35.155999999999999"/>
    <n v="0.43999999999999995"/>
    <n v="2015"/>
    <x v="9"/>
    <n v="10"/>
    <n v="39.950000000000003"/>
    <s v="Profit"/>
  </r>
  <r>
    <s v="CA-2015-158659"/>
    <d v="2015-10-11T00:00:00"/>
    <x v="2"/>
    <x v="1"/>
    <x v="238"/>
    <n v="714.3"/>
    <n v="5"/>
    <n v="207.14699999999999"/>
    <n v="0.28999999999999998"/>
    <n v="2015"/>
    <x v="9"/>
    <n v="10"/>
    <n v="142.85999999999999"/>
    <s v="Profit"/>
  </r>
  <r>
    <s v="CA-2015-121783"/>
    <d v="2015-10-11T00:00:00"/>
    <x v="2"/>
    <x v="1"/>
    <x v="1395"/>
    <n v="715.64"/>
    <n v="2"/>
    <n v="178.91"/>
    <n v="0.25"/>
    <n v="2015"/>
    <x v="9"/>
    <n v="10"/>
    <n v="357.82"/>
    <s v="Profit"/>
  </r>
  <r>
    <s v="CA-2015-121783"/>
    <d v="2015-10-11T00:00:00"/>
    <x v="2"/>
    <x v="1"/>
    <x v="1333"/>
    <n v="795.51"/>
    <n v="3"/>
    <n v="143.1918"/>
    <n v="0.18"/>
    <n v="2015"/>
    <x v="9"/>
    <n v="10"/>
    <n v="265.17"/>
    <s v="Profit"/>
  </r>
  <r>
    <s v="CA-2015-121783"/>
    <d v="2015-10-11T00:00:00"/>
    <x v="2"/>
    <x v="2"/>
    <x v="1482"/>
    <n v="549.99"/>
    <n v="1"/>
    <n v="274.995"/>
    <n v="0.5"/>
    <n v="2015"/>
    <x v="9"/>
    <n v="10"/>
    <n v="549.99"/>
    <s v="Profit"/>
  </r>
  <r>
    <s v="CA-2015-121783"/>
    <d v="2015-10-11T00:00:00"/>
    <x v="2"/>
    <x v="1"/>
    <x v="1166"/>
    <n v="74.760000000000005"/>
    <n v="3"/>
    <n v="34.389600000000002"/>
    <n v="0.45999999999999996"/>
    <n v="2015"/>
    <x v="9"/>
    <n v="10"/>
    <n v="24.92"/>
    <s v="Profit"/>
  </r>
  <r>
    <s v="CA-2015-121783"/>
    <d v="2015-10-11T00:00:00"/>
    <x v="2"/>
    <x v="0"/>
    <x v="263"/>
    <n v="29.22"/>
    <n v="3"/>
    <n v="12.8568"/>
    <n v="0.44"/>
    <n v="2015"/>
    <x v="9"/>
    <n v="10"/>
    <n v="9.74"/>
    <s v="Profit"/>
  </r>
  <r>
    <s v="CA-2015-147690"/>
    <d v="2015-10-11T00:00:00"/>
    <x v="0"/>
    <x v="1"/>
    <x v="1286"/>
    <n v="577.58399999999995"/>
    <n v="6"/>
    <n v="43.318800000000003"/>
    <n v="7.5000000000000011E-2"/>
    <n v="2015"/>
    <x v="9"/>
    <n v="10"/>
    <n v="96.263999999999996"/>
    <s v="Profit"/>
  </r>
  <r>
    <s v="CA-2015-121650"/>
    <d v="2015-10-12T00:00:00"/>
    <x v="2"/>
    <x v="1"/>
    <x v="1483"/>
    <n v="3.9"/>
    <n v="2"/>
    <n v="1.5209999999999999"/>
    <n v="0.38999999999999996"/>
    <n v="2015"/>
    <x v="9"/>
    <n v="10"/>
    <n v="1.95"/>
    <s v="Profit"/>
  </r>
  <r>
    <s v="CA-2015-121650"/>
    <d v="2015-10-12T00:00:00"/>
    <x v="2"/>
    <x v="0"/>
    <x v="1211"/>
    <n v="801.96"/>
    <n v="2"/>
    <n v="200.49"/>
    <n v="0.25"/>
    <n v="2015"/>
    <x v="9"/>
    <n v="10"/>
    <n v="400.98"/>
    <s v="Profit"/>
  </r>
  <r>
    <s v="CA-2015-121650"/>
    <d v="2015-10-12T00:00:00"/>
    <x v="2"/>
    <x v="0"/>
    <x v="1484"/>
    <n v="191.96"/>
    <n v="2"/>
    <n v="32.633200000000002"/>
    <n v="0.17"/>
    <n v="2015"/>
    <x v="9"/>
    <n v="10"/>
    <n v="95.98"/>
    <s v="Profit"/>
  </r>
  <r>
    <s v="CA-2015-121650"/>
    <d v="2015-10-12T00:00:00"/>
    <x v="2"/>
    <x v="1"/>
    <x v="850"/>
    <n v="2.61"/>
    <n v="1"/>
    <n v="1.2005999999999999"/>
    <n v="0.45999999999999996"/>
    <n v="2015"/>
    <x v="9"/>
    <n v="10"/>
    <n v="2.61"/>
    <s v="Profit"/>
  </r>
  <r>
    <s v="US-2015-168732"/>
    <d v="2015-10-12T00:00:00"/>
    <x v="3"/>
    <x v="1"/>
    <x v="51"/>
    <n v="1.78"/>
    <n v="1"/>
    <n v="0.49840000000000001"/>
    <n v="0.28000000000000003"/>
    <n v="2015"/>
    <x v="9"/>
    <n v="10"/>
    <n v="1.78"/>
    <s v="Profit"/>
  </r>
  <r>
    <s v="US-2015-168732"/>
    <d v="2015-10-12T00:00:00"/>
    <x v="3"/>
    <x v="1"/>
    <x v="92"/>
    <n v="25.92"/>
    <n v="4"/>
    <n v="12.441599999999999"/>
    <n v="0.47999999999999993"/>
    <n v="2015"/>
    <x v="9"/>
    <n v="10"/>
    <n v="6.48"/>
    <s v="Profit"/>
  </r>
  <r>
    <s v="US-2015-168732"/>
    <d v="2015-10-12T00:00:00"/>
    <x v="3"/>
    <x v="2"/>
    <x v="339"/>
    <n v="101.94"/>
    <n v="6"/>
    <n v="21.407399999999999"/>
    <n v="0.21"/>
    <n v="2015"/>
    <x v="9"/>
    <n v="10"/>
    <n v="16.989999999999998"/>
    <s v="Profit"/>
  </r>
  <r>
    <s v="CA-2015-143105"/>
    <d v="2015-10-12T00:00:00"/>
    <x v="0"/>
    <x v="1"/>
    <x v="1027"/>
    <n v="7.31"/>
    <n v="1"/>
    <n v="3.4357000000000002"/>
    <n v="0.47000000000000003"/>
    <n v="2015"/>
    <x v="9"/>
    <n v="10"/>
    <n v="7.31"/>
    <s v="Profit"/>
  </r>
  <r>
    <s v="CA-2015-143105"/>
    <d v="2015-10-12T00:00:00"/>
    <x v="0"/>
    <x v="2"/>
    <x v="989"/>
    <n v="799.98400000000004"/>
    <n v="2"/>
    <n v="249.995"/>
    <n v="0.3125"/>
    <n v="2015"/>
    <x v="9"/>
    <n v="10"/>
    <n v="399.99200000000002"/>
    <s v="Profit"/>
  </r>
  <r>
    <s v="CA-2015-143105"/>
    <d v="2015-10-12T00:00:00"/>
    <x v="0"/>
    <x v="1"/>
    <x v="135"/>
    <n v="41.28"/>
    <n v="6"/>
    <n v="18.988800000000001"/>
    <n v="0.46"/>
    <n v="2015"/>
    <x v="9"/>
    <n v="10"/>
    <n v="6.88"/>
    <s v="Profit"/>
  </r>
  <r>
    <s v="CA-2015-143105"/>
    <d v="2015-10-12T00:00:00"/>
    <x v="0"/>
    <x v="1"/>
    <x v="508"/>
    <n v="184.66"/>
    <n v="7"/>
    <n v="84.943600000000004"/>
    <n v="0.46"/>
    <n v="2015"/>
    <x v="9"/>
    <n v="10"/>
    <n v="26.38"/>
    <s v="Profit"/>
  </r>
  <r>
    <s v="US-2015-138093"/>
    <d v="2015-10-12T00:00:00"/>
    <x v="0"/>
    <x v="1"/>
    <x v="236"/>
    <n v="27.36"/>
    <n v="9"/>
    <n v="9.3024000000000004"/>
    <n v="0.34"/>
    <n v="2015"/>
    <x v="9"/>
    <n v="10"/>
    <n v="3.04"/>
    <s v="Profit"/>
  </r>
  <r>
    <s v="US-2015-138093"/>
    <d v="2015-10-12T00:00:00"/>
    <x v="0"/>
    <x v="1"/>
    <x v="1485"/>
    <n v="44.75"/>
    <n v="5"/>
    <n v="20.585000000000001"/>
    <n v="0.46"/>
    <n v="2015"/>
    <x v="9"/>
    <n v="10"/>
    <n v="8.9499999999999993"/>
    <s v="Profit"/>
  </r>
  <r>
    <s v="US-2015-138093"/>
    <d v="2015-10-12T00:00:00"/>
    <x v="0"/>
    <x v="2"/>
    <x v="1292"/>
    <n v="134.99"/>
    <n v="1"/>
    <n v="36.447299999999998"/>
    <n v="0.26999999999999996"/>
    <n v="2015"/>
    <x v="9"/>
    <n v="10"/>
    <n v="134.99"/>
    <s v="Profit"/>
  </r>
  <r>
    <s v="US-2015-138093"/>
    <d v="2015-10-12T00:00:00"/>
    <x v="0"/>
    <x v="1"/>
    <x v="548"/>
    <n v="26.4"/>
    <n v="5"/>
    <n v="12.672000000000001"/>
    <n v="0.48000000000000004"/>
    <n v="2015"/>
    <x v="9"/>
    <n v="10"/>
    <n v="5.2799999999999994"/>
    <s v="Profit"/>
  </r>
  <r>
    <s v="US-2015-138093"/>
    <d v="2015-10-12T00:00:00"/>
    <x v="0"/>
    <x v="0"/>
    <x v="258"/>
    <n v="542.94000000000005"/>
    <n v="3"/>
    <n v="141.1644"/>
    <n v="0.25999999999999995"/>
    <n v="2015"/>
    <x v="9"/>
    <n v="10"/>
    <n v="180.98000000000002"/>
    <s v="Profit"/>
  </r>
  <r>
    <s v="CA-2015-115693"/>
    <d v="2015-10-12T00:00:00"/>
    <x v="1"/>
    <x v="1"/>
    <x v="1413"/>
    <n v="56.3"/>
    <n v="2"/>
    <n v="15.763999999999999"/>
    <n v="0.28000000000000003"/>
    <n v="2015"/>
    <x v="9"/>
    <n v="10"/>
    <n v="28.15"/>
    <s v="Profit"/>
  </r>
  <r>
    <s v="CA-2015-106208"/>
    <d v="2015-10-12T00:00:00"/>
    <x v="2"/>
    <x v="1"/>
    <x v="1252"/>
    <n v="53.088000000000001"/>
    <n v="7"/>
    <n v="-108.8304"/>
    <n v="-2.0499999999999998"/>
    <n v="2015"/>
    <x v="9"/>
    <n v="10"/>
    <n v="7.5840000000000005"/>
    <s v="Loss"/>
  </r>
  <r>
    <s v="CA-2015-127502"/>
    <d v="2015-10-12T00:00:00"/>
    <x v="1"/>
    <x v="1"/>
    <x v="696"/>
    <n v="5.76"/>
    <n v="2"/>
    <n v="2.8224"/>
    <n v="0.49000000000000005"/>
    <n v="2015"/>
    <x v="9"/>
    <n v="10"/>
    <n v="2.88"/>
    <s v="Profit"/>
  </r>
  <r>
    <s v="CA-2015-112823"/>
    <d v="2015-10-12T00:00:00"/>
    <x v="0"/>
    <x v="2"/>
    <x v="1416"/>
    <n v="25.488"/>
    <n v="2"/>
    <n v="4.4603999999999999"/>
    <n v="0.17499999999999999"/>
    <n v="2015"/>
    <x v="9"/>
    <n v="10"/>
    <n v="12.744"/>
    <s v="Profit"/>
  </r>
  <r>
    <s v="CA-2015-111164"/>
    <d v="2015-11-04T00:00:00"/>
    <x v="0"/>
    <x v="2"/>
    <x v="593"/>
    <n v="85.14"/>
    <n v="3"/>
    <n v="34.907400000000003"/>
    <n v="0.41000000000000003"/>
    <n v="2015"/>
    <x v="10"/>
    <n v="11"/>
    <n v="28.38"/>
    <s v="Profit"/>
  </r>
  <r>
    <s v="CA-2015-111164"/>
    <d v="2015-11-04T00:00:00"/>
    <x v="0"/>
    <x v="2"/>
    <x v="856"/>
    <n v="21.99"/>
    <n v="1"/>
    <n v="10.555199999999999"/>
    <n v="0.48"/>
    <n v="2015"/>
    <x v="10"/>
    <n v="11"/>
    <n v="21.99"/>
    <s v="Profit"/>
  </r>
  <r>
    <s v="CA-2015-111164"/>
    <d v="2015-11-04T00:00:00"/>
    <x v="0"/>
    <x v="1"/>
    <x v="841"/>
    <n v="406.6"/>
    <n v="5"/>
    <n v="113.848"/>
    <n v="0.27999999999999997"/>
    <n v="2015"/>
    <x v="10"/>
    <n v="11"/>
    <n v="81.320000000000007"/>
    <s v="Profit"/>
  </r>
  <r>
    <s v="CA-2015-125563"/>
    <d v="2015-11-04T00:00:00"/>
    <x v="3"/>
    <x v="0"/>
    <x v="1486"/>
    <n v="67.36"/>
    <n v="2"/>
    <n v="10.103999999999999"/>
    <n v="0.15"/>
    <n v="2015"/>
    <x v="10"/>
    <n v="11"/>
    <n v="33.68"/>
    <s v="Profit"/>
  </r>
  <r>
    <s v="CA-2015-125563"/>
    <d v="2015-11-04T00:00:00"/>
    <x v="3"/>
    <x v="0"/>
    <x v="1487"/>
    <n v="54.527999999999999"/>
    <n v="3"/>
    <n v="14.313599999999999"/>
    <n v="0.26250000000000001"/>
    <n v="2015"/>
    <x v="10"/>
    <n v="11"/>
    <n v="18.175999999999998"/>
    <s v="Profit"/>
  </r>
  <r>
    <s v="US-2015-136987"/>
    <d v="2015-11-04T00:00:00"/>
    <x v="1"/>
    <x v="2"/>
    <x v="655"/>
    <n v="639.96799999999996"/>
    <n v="4"/>
    <n v="215.98920000000001"/>
    <n v="0.33750000000000002"/>
    <n v="2015"/>
    <x v="10"/>
    <n v="11"/>
    <n v="159.99199999999999"/>
    <s v="Profit"/>
  </r>
  <r>
    <s v="US-2015-136987"/>
    <d v="2015-11-04T00:00:00"/>
    <x v="1"/>
    <x v="1"/>
    <x v="124"/>
    <n v="52.76"/>
    <n v="2"/>
    <n v="24.269600000000001"/>
    <n v="0.46"/>
    <n v="2015"/>
    <x v="10"/>
    <n v="11"/>
    <n v="26.38"/>
    <s v="Profit"/>
  </r>
  <r>
    <s v="CA-2015-135727"/>
    <d v="2015-11-05T00:00:00"/>
    <x v="1"/>
    <x v="0"/>
    <x v="432"/>
    <n v="191.96799999999999"/>
    <n v="7"/>
    <n v="16.7972"/>
    <n v="8.7500000000000008E-2"/>
    <n v="2015"/>
    <x v="10"/>
    <n v="11"/>
    <n v="27.423999999999999"/>
    <s v="Profit"/>
  </r>
  <r>
    <s v="US-2015-123960"/>
    <d v="2015-11-06T00:00:00"/>
    <x v="3"/>
    <x v="2"/>
    <x v="272"/>
    <n v="53.7"/>
    <n v="6"/>
    <n v="10.202999999999999"/>
    <n v="0.18999999999999997"/>
    <n v="2015"/>
    <x v="10"/>
    <n v="11"/>
    <n v="8.9500000000000011"/>
    <s v="Profit"/>
  </r>
  <r>
    <s v="US-2015-123960"/>
    <d v="2015-11-06T00:00:00"/>
    <x v="3"/>
    <x v="1"/>
    <x v="1421"/>
    <n v="36.26"/>
    <n v="7"/>
    <n v="16.679600000000001"/>
    <n v="0.46"/>
    <n v="2015"/>
    <x v="10"/>
    <n v="11"/>
    <n v="5.18"/>
    <s v="Profit"/>
  </r>
  <r>
    <s v="US-2015-123960"/>
    <d v="2015-11-06T00:00:00"/>
    <x v="3"/>
    <x v="1"/>
    <x v="1413"/>
    <n v="56.3"/>
    <n v="2"/>
    <n v="15.763999999999999"/>
    <n v="0.28000000000000003"/>
    <n v="2015"/>
    <x v="10"/>
    <n v="11"/>
    <n v="28.15"/>
    <s v="Profit"/>
  </r>
  <r>
    <s v="US-2015-123960"/>
    <d v="2015-11-06T00:00:00"/>
    <x v="3"/>
    <x v="1"/>
    <x v="58"/>
    <n v="32.4"/>
    <n v="5"/>
    <n v="15.552"/>
    <n v="0.48"/>
    <n v="2015"/>
    <x v="10"/>
    <n v="11"/>
    <n v="6.4799999999999995"/>
    <s v="Profit"/>
  </r>
  <r>
    <s v="US-2015-123960"/>
    <d v="2015-11-06T00:00:00"/>
    <x v="3"/>
    <x v="0"/>
    <x v="478"/>
    <n v="29.16"/>
    <n v="2"/>
    <n v="10.789199999999999"/>
    <n v="0.37"/>
    <n v="2015"/>
    <x v="10"/>
    <n v="11"/>
    <n v="14.58"/>
    <s v="Profit"/>
  </r>
  <r>
    <s v="CA-2015-121720"/>
    <d v="2015-11-06T00:00:00"/>
    <x v="3"/>
    <x v="0"/>
    <x v="551"/>
    <n v="1123.92"/>
    <n v="5"/>
    <n v="-182.637"/>
    <n v="-0.16249999999999998"/>
    <n v="2015"/>
    <x v="10"/>
    <n v="11"/>
    <n v="224.78400000000002"/>
    <s v="Loss"/>
  </r>
  <r>
    <s v="CA-2015-121720"/>
    <d v="2015-11-06T00:00:00"/>
    <x v="3"/>
    <x v="2"/>
    <x v="609"/>
    <n v="249.584"/>
    <n v="2"/>
    <n v="31.198"/>
    <n v="0.125"/>
    <n v="2015"/>
    <x v="10"/>
    <n v="11"/>
    <n v="124.792"/>
    <s v="Profit"/>
  </r>
  <r>
    <s v="CA-2015-121720"/>
    <d v="2015-11-06T00:00:00"/>
    <x v="3"/>
    <x v="0"/>
    <x v="1488"/>
    <n v="48.671999999999997"/>
    <n v="3"/>
    <n v="7.3007999999999997"/>
    <n v="0.15"/>
    <n v="2015"/>
    <x v="10"/>
    <n v="11"/>
    <n v="16.224"/>
    <s v="Profit"/>
  </r>
  <r>
    <s v="CA-2015-121720"/>
    <d v="2015-11-06T00:00:00"/>
    <x v="3"/>
    <x v="1"/>
    <x v="413"/>
    <n v="60.768000000000001"/>
    <n v="2"/>
    <n v="7.5960000000000001"/>
    <n v="0.125"/>
    <n v="2015"/>
    <x v="10"/>
    <n v="11"/>
    <n v="30.384"/>
    <s v="Profit"/>
  </r>
  <r>
    <s v="CA-2015-121720"/>
    <d v="2015-11-06T00:00:00"/>
    <x v="3"/>
    <x v="1"/>
    <x v="1312"/>
    <n v="78.599999999999994"/>
    <n v="5"/>
    <n v="-62.88"/>
    <n v="-0.8"/>
    <n v="2015"/>
    <x v="10"/>
    <n v="11"/>
    <n v="15.719999999999999"/>
    <s v="Loss"/>
  </r>
  <r>
    <s v="CA-2015-121720"/>
    <d v="2015-11-06T00:00:00"/>
    <x v="3"/>
    <x v="1"/>
    <x v="66"/>
    <n v="3.7679999999999998"/>
    <n v="2"/>
    <n v="-3.14"/>
    <n v="-0.83333333333333337"/>
    <n v="2015"/>
    <x v="10"/>
    <n v="11"/>
    <n v="1.8839999999999999"/>
    <s v="Loss"/>
  </r>
  <r>
    <s v="CA-2015-121720"/>
    <d v="2015-11-06T00:00:00"/>
    <x v="3"/>
    <x v="1"/>
    <x v="624"/>
    <n v="1036.624"/>
    <n v="2"/>
    <n v="51.831200000000003"/>
    <n v="0.05"/>
    <n v="2015"/>
    <x v="10"/>
    <n v="11"/>
    <n v="518.31200000000001"/>
    <s v="Profit"/>
  </r>
  <r>
    <s v="CA-2015-121720"/>
    <d v="2015-11-06T00:00:00"/>
    <x v="3"/>
    <x v="1"/>
    <x v="147"/>
    <n v="563.80799999999999"/>
    <n v="4"/>
    <n v="21.142800000000001"/>
    <n v="3.7500000000000006E-2"/>
    <n v="2015"/>
    <x v="10"/>
    <n v="11"/>
    <n v="140.952"/>
    <s v="Profit"/>
  </r>
  <r>
    <s v="CA-2015-142237"/>
    <d v="2015-11-07T00:00:00"/>
    <x v="0"/>
    <x v="0"/>
    <x v="368"/>
    <n v="289.8"/>
    <n v="7"/>
    <n v="36.225000000000001"/>
    <n v="0.125"/>
    <n v="2015"/>
    <x v="10"/>
    <n v="11"/>
    <n v="41.4"/>
    <s v="Profit"/>
  </r>
  <r>
    <s v="CA-2015-142237"/>
    <d v="2015-11-07T00:00:00"/>
    <x v="0"/>
    <x v="1"/>
    <x v="127"/>
    <n v="2.5019999999999998"/>
    <n v="3"/>
    <n v="-2.0015999999999998"/>
    <n v="-0.8"/>
    <n v="2015"/>
    <x v="10"/>
    <n v="11"/>
    <n v="0.83399999999999996"/>
    <s v="Loss"/>
  </r>
  <r>
    <s v="CA-2015-142237"/>
    <d v="2015-11-07T00:00:00"/>
    <x v="0"/>
    <x v="1"/>
    <x v="515"/>
    <n v="6.48"/>
    <n v="4"/>
    <n v="-4.7519999999999998"/>
    <n v="-0.73333333333333328"/>
    <n v="2015"/>
    <x v="10"/>
    <n v="11"/>
    <n v="1.62"/>
    <s v="Loss"/>
  </r>
  <r>
    <s v="CA-2015-142237"/>
    <d v="2015-11-07T00:00:00"/>
    <x v="0"/>
    <x v="0"/>
    <x v="723"/>
    <n v="341.488"/>
    <n v="8"/>
    <n v="-73.176000000000002"/>
    <n v="-0.2142857142857143"/>
    <n v="2015"/>
    <x v="10"/>
    <n v="11"/>
    <n v="42.686"/>
    <s v="Loss"/>
  </r>
  <r>
    <s v="CA-2015-142237"/>
    <d v="2015-11-07T00:00:00"/>
    <x v="0"/>
    <x v="1"/>
    <x v="468"/>
    <n v="11.12"/>
    <n v="5"/>
    <n v="0.83399999999999996"/>
    <n v="7.4999999999999997E-2"/>
    <n v="2015"/>
    <x v="10"/>
    <n v="11"/>
    <n v="2.2239999999999998"/>
    <s v="Profit"/>
  </r>
  <r>
    <s v="CA-2015-142237"/>
    <d v="2015-11-07T00:00:00"/>
    <x v="0"/>
    <x v="0"/>
    <x v="645"/>
    <n v="25.344000000000001"/>
    <n v="6"/>
    <n v="3.4847999999999999"/>
    <n v="0.13749999999999998"/>
    <n v="2015"/>
    <x v="10"/>
    <n v="11"/>
    <n v="4.2240000000000002"/>
    <s v="Profit"/>
  </r>
  <r>
    <s v="CA-2015-142419"/>
    <d v="2015-11-07T00:00:00"/>
    <x v="1"/>
    <x v="1"/>
    <x v="1341"/>
    <n v="29.97"/>
    <n v="3"/>
    <n v="13.486499999999999"/>
    <n v="0.45"/>
    <n v="2015"/>
    <x v="10"/>
    <n v="11"/>
    <n v="9.99"/>
    <s v="Profit"/>
  </r>
  <r>
    <s v="CA-2015-142419"/>
    <d v="2015-11-07T00:00:00"/>
    <x v="1"/>
    <x v="1"/>
    <x v="801"/>
    <n v="98.352000000000004"/>
    <n v="3"/>
    <n v="34.423200000000001"/>
    <n v="0.35"/>
    <n v="2015"/>
    <x v="10"/>
    <n v="11"/>
    <n v="32.783999999999999"/>
    <s v="Profit"/>
  </r>
  <r>
    <s v="CA-2015-136469"/>
    <d v="2015-11-07T00:00:00"/>
    <x v="0"/>
    <x v="0"/>
    <x v="262"/>
    <n v="199.83600000000001"/>
    <n v="4"/>
    <n v="-37.112400000000001"/>
    <n v="-0.18571428571428572"/>
    <n v="2015"/>
    <x v="10"/>
    <n v="11"/>
    <n v="49.959000000000003"/>
    <s v="Loss"/>
  </r>
  <r>
    <s v="CA-2015-136469"/>
    <d v="2015-11-07T00:00:00"/>
    <x v="0"/>
    <x v="2"/>
    <x v="213"/>
    <n v="716"/>
    <n v="2"/>
    <n v="193.32"/>
    <n v="0.27"/>
    <n v="2015"/>
    <x v="10"/>
    <n v="11"/>
    <n v="358"/>
    <s v="Profit"/>
  </r>
  <r>
    <s v="CA-2015-136469"/>
    <d v="2015-11-07T00:00:00"/>
    <x v="0"/>
    <x v="1"/>
    <x v="464"/>
    <n v="221.06"/>
    <n v="7"/>
    <n v="103.8982"/>
    <n v="0.47000000000000003"/>
    <n v="2015"/>
    <x v="10"/>
    <n v="11"/>
    <n v="31.580000000000002"/>
    <s v="Profit"/>
  </r>
  <r>
    <s v="CA-2015-119634"/>
    <d v="2015-11-08T00:00:00"/>
    <x v="3"/>
    <x v="0"/>
    <x v="1172"/>
    <n v="46.152000000000001"/>
    <n v="3"/>
    <n v="12.1149"/>
    <n v="0.26250000000000001"/>
    <n v="2015"/>
    <x v="10"/>
    <n v="11"/>
    <n v="15.384"/>
    <s v="Profit"/>
  </r>
  <r>
    <s v="US-2015-156797"/>
    <d v="2015-11-08T00:00:00"/>
    <x v="0"/>
    <x v="1"/>
    <x v="1489"/>
    <n v="11.96"/>
    <n v="2"/>
    <n v="3.1095999999999999"/>
    <n v="0.25999999999999995"/>
    <n v="2015"/>
    <x v="10"/>
    <n v="11"/>
    <n v="5.98"/>
    <s v="Profit"/>
  </r>
  <r>
    <s v="US-2015-156797"/>
    <d v="2015-11-08T00:00:00"/>
    <x v="0"/>
    <x v="2"/>
    <x v="1490"/>
    <n v="138"/>
    <n v="2"/>
    <n v="34.5"/>
    <n v="0.25"/>
    <n v="2015"/>
    <x v="10"/>
    <n v="11"/>
    <n v="69"/>
    <s v="Profit"/>
  </r>
  <r>
    <s v="CA-2015-165057"/>
    <d v="2015-11-09T00:00:00"/>
    <x v="1"/>
    <x v="1"/>
    <x v="1491"/>
    <n v="181.35"/>
    <n v="9"/>
    <n v="48.964500000000001"/>
    <n v="0.27"/>
    <n v="2015"/>
    <x v="10"/>
    <n v="11"/>
    <n v="20.149999999999999"/>
    <s v="Profit"/>
  </r>
  <r>
    <s v="CA-2015-165057"/>
    <d v="2015-11-09T00:00:00"/>
    <x v="1"/>
    <x v="1"/>
    <x v="1492"/>
    <n v="8.64"/>
    <n v="3"/>
    <n v="4.2336"/>
    <n v="0.49"/>
    <n v="2015"/>
    <x v="10"/>
    <n v="11"/>
    <n v="2.8800000000000003"/>
    <s v="Profit"/>
  </r>
  <r>
    <s v="CA-2015-153794"/>
    <d v="2015-11-09T00:00:00"/>
    <x v="1"/>
    <x v="1"/>
    <x v="413"/>
    <n v="265.86"/>
    <n v="7"/>
    <n v="79.757999999999996"/>
    <n v="0.3"/>
    <n v="2015"/>
    <x v="10"/>
    <n v="11"/>
    <n v="37.980000000000004"/>
    <s v="Profit"/>
  </r>
  <r>
    <s v="CA-2015-132465"/>
    <d v="2015-11-09T00:00:00"/>
    <x v="0"/>
    <x v="0"/>
    <x v="986"/>
    <n v="210.68"/>
    <n v="2"/>
    <n v="50.563200000000002"/>
    <n v="0.24"/>
    <n v="2015"/>
    <x v="10"/>
    <n v="11"/>
    <n v="105.34"/>
    <s v="Profit"/>
  </r>
  <r>
    <s v="CA-2015-132465"/>
    <d v="2015-11-09T00:00:00"/>
    <x v="0"/>
    <x v="1"/>
    <x v="1493"/>
    <n v="78.8"/>
    <n v="1"/>
    <n v="1.5760000000000001"/>
    <n v="0.02"/>
    <n v="2015"/>
    <x v="10"/>
    <n v="11"/>
    <n v="78.8"/>
    <s v="Profit"/>
  </r>
  <r>
    <s v="CA-2015-132465"/>
    <d v="2015-11-09T00:00:00"/>
    <x v="0"/>
    <x v="2"/>
    <x v="49"/>
    <n v="19.989999999999998"/>
    <n v="1"/>
    <n v="6.7965999999999998"/>
    <n v="0.34"/>
    <n v="2015"/>
    <x v="10"/>
    <n v="11"/>
    <n v="19.989999999999998"/>
    <s v="Profit"/>
  </r>
  <r>
    <s v="CA-2015-132465"/>
    <d v="2015-11-09T00:00:00"/>
    <x v="0"/>
    <x v="1"/>
    <x v="520"/>
    <n v="772.68"/>
    <n v="4"/>
    <n v="108.1752"/>
    <n v="0.14000000000000001"/>
    <n v="2015"/>
    <x v="10"/>
    <n v="11"/>
    <n v="193.17"/>
    <s v="Profit"/>
  </r>
  <r>
    <s v="CA-2015-126186"/>
    <d v="2015-11-09T00:00:00"/>
    <x v="1"/>
    <x v="0"/>
    <x v="1494"/>
    <n v="24.64"/>
    <n v="4"/>
    <n v="4.0039999999999996"/>
    <n v="0.16249999999999998"/>
    <n v="2015"/>
    <x v="10"/>
    <n v="11"/>
    <n v="6.16"/>
    <s v="Profit"/>
  </r>
  <r>
    <s v="CA-2015-125934"/>
    <d v="2015-11-09T00:00:00"/>
    <x v="0"/>
    <x v="1"/>
    <x v="549"/>
    <n v="31.05"/>
    <n v="3"/>
    <n v="14.904"/>
    <n v="0.48"/>
    <n v="2015"/>
    <x v="10"/>
    <n v="11"/>
    <n v="10.35"/>
    <s v="Profit"/>
  </r>
  <r>
    <s v="CA-2015-125934"/>
    <d v="2015-11-09T00:00:00"/>
    <x v="0"/>
    <x v="0"/>
    <x v="1495"/>
    <n v="8.92"/>
    <n v="4"/>
    <n v="3.9247999999999998"/>
    <n v="0.44"/>
    <n v="2015"/>
    <x v="10"/>
    <n v="11"/>
    <n v="2.23"/>
    <s v="Profit"/>
  </r>
  <r>
    <s v="CA-2015-125934"/>
    <d v="2015-11-09T00:00:00"/>
    <x v="0"/>
    <x v="1"/>
    <x v="1312"/>
    <n v="209.6"/>
    <n v="4"/>
    <n v="96.415999999999997"/>
    <n v="0.46"/>
    <n v="2015"/>
    <x v="10"/>
    <n v="11"/>
    <n v="52.4"/>
    <s v="Profit"/>
  </r>
  <r>
    <s v="CA-2015-125934"/>
    <d v="2015-11-09T00:00:00"/>
    <x v="0"/>
    <x v="1"/>
    <x v="1496"/>
    <n v="111.04"/>
    <n v="4"/>
    <n v="29.980799999999999"/>
    <n v="0.26999999999999996"/>
    <n v="2015"/>
    <x v="10"/>
    <n v="11"/>
    <n v="27.76"/>
    <s v="Profit"/>
  </r>
  <r>
    <s v="CA-2015-125934"/>
    <d v="2015-11-09T00:00:00"/>
    <x v="0"/>
    <x v="1"/>
    <x v="322"/>
    <n v="38.880000000000003"/>
    <n v="6"/>
    <n v="18.662400000000002"/>
    <n v="0.48000000000000004"/>
    <n v="2015"/>
    <x v="10"/>
    <n v="11"/>
    <n v="6.48"/>
    <s v="Profit"/>
  </r>
  <r>
    <s v="US-2015-108966"/>
    <d v="2015-11-10T00:00:00"/>
    <x v="3"/>
    <x v="0"/>
    <x v="1497"/>
    <n v="957.57749999999999"/>
    <n v="5"/>
    <n v="-383.03100000000001"/>
    <n v="-0.4"/>
    <n v="2015"/>
    <x v="10"/>
    <n v="11"/>
    <n v="191.5155"/>
    <s v="Loss"/>
  </r>
  <r>
    <s v="US-2015-108966"/>
    <d v="2015-11-10T00:00:00"/>
    <x v="3"/>
    <x v="1"/>
    <x v="556"/>
    <n v="22.367999999999999"/>
    <n v="2"/>
    <n v="2.5164"/>
    <n v="0.1125"/>
    <n v="2015"/>
    <x v="10"/>
    <n v="11"/>
    <n v="11.183999999999999"/>
    <s v="Profit"/>
  </r>
  <r>
    <s v="CA-2015-112053"/>
    <d v="2015-11-10T00:00:00"/>
    <x v="0"/>
    <x v="2"/>
    <x v="1269"/>
    <n v="31.95"/>
    <n v="1"/>
    <n v="2.2364999999999999"/>
    <n v="6.9999999999999993E-2"/>
    <n v="2015"/>
    <x v="10"/>
    <n v="11"/>
    <n v="31.95"/>
    <s v="Profit"/>
  </r>
  <r>
    <s v="CA-2015-111948"/>
    <d v="2015-11-11T00:00:00"/>
    <x v="2"/>
    <x v="1"/>
    <x v="586"/>
    <n v="418.32"/>
    <n v="7"/>
    <n v="117.1296"/>
    <n v="0.27999999999999997"/>
    <n v="2015"/>
    <x v="10"/>
    <n v="11"/>
    <n v="59.76"/>
    <s v="Profit"/>
  </r>
  <r>
    <s v="CA-2015-111948"/>
    <d v="2015-11-11T00:00:00"/>
    <x v="2"/>
    <x v="1"/>
    <x v="1242"/>
    <n v="123.858"/>
    <n v="2"/>
    <n v="46.790799999999997"/>
    <n v="0.37777777777777777"/>
    <n v="2015"/>
    <x v="10"/>
    <n v="11"/>
    <n v="61.929000000000002"/>
    <s v="Profit"/>
  </r>
  <r>
    <s v="CA-2015-150560"/>
    <d v="2015-11-12T00:00:00"/>
    <x v="3"/>
    <x v="1"/>
    <x v="642"/>
    <n v="196.62"/>
    <n v="2"/>
    <n v="96.343800000000002"/>
    <n v="0.49"/>
    <n v="2015"/>
    <x v="10"/>
    <n v="11"/>
    <n v="98.31"/>
    <s v="Profit"/>
  </r>
  <r>
    <s v="CA-2015-155761"/>
    <d v="2015-11-12T00:00:00"/>
    <x v="2"/>
    <x v="2"/>
    <x v="1498"/>
    <n v="159.98400000000001"/>
    <n v="2"/>
    <n v="35.996400000000001"/>
    <n v="0.22500000000000001"/>
    <n v="2015"/>
    <x v="10"/>
    <n v="11"/>
    <n v="79.992000000000004"/>
    <s v="Profit"/>
  </r>
  <r>
    <s v="CA-2015-155761"/>
    <d v="2015-11-12T00:00:00"/>
    <x v="2"/>
    <x v="1"/>
    <x v="1369"/>
    <n v="46.344000000000001"/>
    <n v="3"/>
    <n v="4.6344000000000003"/>
    <n v="0.1"/>
    <n v="2015"/>
    <x v="10"/>
    <n v="11"/>
    <n v="15.448"/>
    <s v="Profit"/>
  </r>
  <r>
    <s v="US-2015-120572"/>
    <d v="2015-11-12T00:00:00"/>
    <x v="3"/>
    <x v="1"/>
    <x v="1388"/>
    <n v="12.827999999999999"/>
    <n v="2"/>
    <n v="-8.9795999999999996"/>
    <n v="-0.7"/>
    <n v="2015"/>
    <x v="10"/>
    <n v="11"/>
    <n v="6.4139999999999997"/>
    <s v="Loss"/>
  </r>
  <r>
    <s v="CA-2015-104346"/>
    <d v="2015-11-12T00:00:00"/>
    <x v="1"/>
    <x v="1"/>
    <x v="1365"/>
    <n v="13.12"/>
    <n v="5"/>
    <n v="1.1479999999999999"/>
    <n v="8.7499999999999994E-2"/>
    <n v="2015"/>
    <x v="10"/>
    <n v="11"/>
    <n v="2.6239999999999997"/>
    <s v="Profit"/>
  </r>
  <r>
    <s v="CA-2015-104346"/>
    <d v="2015-11-12T00:00:00"/>
    <x v="1"/>
    <x v="0"/>
    <x v="1210"/>
    <n v="69.575999999999993"/>
    <n v="4"/>
    <n v="-143.79040000000001"/>
    <n v="-2.0666666666666669"/>
    <n v="2015"/>
    <x v="10"/>
    <n v="11"/>
    <n v="17.393999999999998"/>
    <s v="Loss"/>
  </r>
  <r>
    <s v="CA-2015-104346"/>
    <d v="2015-11-12T00:00:00"/>
    <x v="1"/>
    <x v="1"/>
    <x v="374"/>
    <n v="4.2240000000000002"/>
    <n v="3"/>
    <n v="0.47520000000000001"/>
    <n v="0.1125"/>
    <n v="2015"/>
    <x v="10"/>
    <n v="11"/>
    <n v="1.4080000000000001"/>
    <s v="Profit"/>
  </r>
  <r>
    <s v="CA-2015-104346"/>
    <d v="2015-11-12T00:00:00"/>
    <x v="1"/>
    <x v="2"/>
    <x v="1462"/>
    <n v="58.08"/>
    <n v="4"/>
    <n v="-6.5339999999999998"/>
    <n v="-0.1125"/>
    <n v="2015"/>
    <x v="10"/>
    <n v="11"/>
    <n v="14.52"/>
    <s v="Loss"/>
  </r>
  <r>
    <s v="CA-2015-104346"/>
    <d v="2015-11-12T00:00:00"/>
    <x v="1"/>
    <x v="0"/>
    <x v="1499"/>
    <n v="52.415999999999997"/>
    <n v="9"/>
    <n v="15.069599999999999"/>
    <n v="0.28750000000000003"/>
    <n v="2015"/>
    <x v="10"/>
    <n v="11"/>
    <n v="5.8239999999999998"/>
    <s v="Profit"/>
  </r>
  <r>
    <s v="CA-2015-104346"/>
    <d v="2015-11-12T00:00:00"/>
    <x v="1"/>
    <x v="0"/>
    <x v="892"/>
    <n v="54.92"/>
    <n v="5"/>
    <n v="10.984"/>
    <n v="0.19999999999999998"/>
    <n v="2015"/>
    <x v="10"/>
    <n v="11"/>
    <n v="10.984"/>
    <s v="Profit"/>
  </r>
  <r>
    <s v="CA-2015-104346"/>
    <d v="2015-11-12T00:00:00"/>
    <x v="1"/>
    <x v="0"/>
    <x v="605"/>
    <n v="364.95"/>
    <n v="5"/>
    <n v="-248.166"/>
    <n v="-0.68"/>
    <n v="2015"/>
    <x v="10"/>
    <n v="11"/>
    <n v="72.989999999999995"/>
    <s v="Loss"/>
  </r>
  <r>
    <s v="CA-2015-104346"/>
    <d v="2015-11-12T00:00:00"/>
    <x v="1"/>
    <x v="1"/>
    <x v="1500"/>
    <n v="85.055999999999997"/>
    <n v="3"/>
    <n v="28.706399999999999"/>
    <n v="0.33749999999999997"/>
    <n v="2015"/>
    <x v="10"/>
    <n v="11"/>
    <n v="28.352"/>
    <s v="Profit"/>
  </r>
  <r>
    <s v="CA-2015-104346"/>
    <d v="2015-11-12T00:00:00"/>
    <x v="1"/>
    <x v="1"/>
    <x v="1501"/>
    <n v="27.696000000000002"/>
    <n v="3"/>
    <n v="9.6936"/>
    <n v="0.35"/>
    <n v="2015"/>
    <x v="10"/>
    <n v="11"/>
    <n v="9.2320000000000011"/>
    <s v="Profit"/>
  </r>
  <r>
    <s v="CA-2015-106362"/>
    <d v="2015-11-12T00:00:00"/>
    <x v="0"/>
    <x v="1"/>
    <x v="988"/>
    <n v="10.332000000000001"/>
    <n v="3"/>
    <n v="-7.5768000000000004"/>
    <n v="-0.73333333333333328"/>
    <n v="2015"/>
    <x v="10"/>
    <n v="11"/>
    <n v="3.4440000000000004"/>
    <s v="Loss"/>
  </r>
  <r>
    <s v="CA-2015-134082"/>
    <d v="2015-11-12T00:00:00"/>
    <x v="1"/>
    <x v="1"/>
    <x v="1502"/>
    <n v="110.52800000000001"/>
    <n v="4"/>
    <n v="38.684800000000003"/>
    <n v="0.35000000000000003"/>
    <n v="2015"/>
    <x v="10"/>
    <n v="11"/>
    <n v="27.632000000000001"/>
    <s v="Profit"/>
  </r>
  <r>
    <s v="CA-2015-135853"/>
    <d v="2015-11-12T00:00:00"/>
    <x v="2"/>
    <x v="2"/>
    <x v="1153"/>
    <n v="175.23"/>
    <n v="11"/>
    <n v="61.330500000000001"/>
    <n v="0.35000000000000003"/>
    <n v="2015"/>
    <x v="10"/>
    <n v="11"/>
    <n v="15.93"/>
    <s v="Profit"/>
  </r>
  <r>
    <s v="CA-2015-135853"/>
    <d v="2015-11-12T00:00:00"/>
    <x v="2"/>
    <x v="2"/>
    <x v="1277"/>
    <n v="125.99"/>
    <n v="1"/>
    <n v="31.497499999999999"/>
    <n v="0.25"/>
    <n v="2015"/>
    <x v="10"/>
    <n v="11"/>
    <n v="125.99"/>
    <s v="Profit"/>
  </r>
  <r>
    <s v="CA-2015-135853"/>
    <d v="2015-11-12T00:00:00"/>
    <x v="2"/>
    <x v="1"/>
    <x v="458"/>
    <n v="23"/>
    <n v="2"/>
    <n v="10.35"/>
    <n v="0.45"/>
    <n v="2015"/>
    <x v="10"/>
    <n v="11"/>
    <n v="11.5"/>
    <s v="Profit"/>
  </r>
  <r>
    <s v="CA-2015-156755"/>
    <d v="2015-12-01T00:00:00"/>
    <x v="0"/>
    <x v="1"/>
    <x v="107"/>
    <n v="465.18"/>
    <n v="3"/>
    <n v="120.9468"/>
    <n v="0.26"/>
    <n v="2015"/>
    <x v="11"/>
    <n v="12"/>
    <n v="155.06"/>
    <s v="Profit"/>
  </r>
  <r>
    <s v="CA-2015-128608"/>
    <d v="2015-12-01T00:00:00"/>
    <x v="0"/>
    <x v="1"/>
    <x v="639"/>
    <n v="10.368"/>
    <n v="2"/>
    <n v="1.5551999999999999"/>
    <n v="0.15"/>
    <n v="2015"/>
    <x v="11"/>
    <n v="12"/>
    <n v="5.1840000000000002"/>
    <s v="Profit"/>
  </r>
  <r>
    <s v="CA-2015-128608"/>
    <d v="2015-12-01T00:00:00"/>
    <x v="0"/>
    <x v="2"/>
    <x v="77"/>
    <n v="235.18799999999999"/>
    <n v="2"/>
    <n v="-43.117800000000003"/>
    <n v="-0.18333333333333335"/>
    <n v="2015"/>
    <x v="11"/>
    <n v="12"/>
    <n v="117.59399999999999"/>
    <s v="Loss"/>
  </r>
  <r>
    <s v="CA-2015-128608"/>
    <d v="2015-12-01T00:00:00"/>
    <x v="0"/>
    <x v="2"/>
    <x v="1503"/>
    <n v="26.376000000000001"/>
    <n v="4"/>
    <n v="2.6375999999999999"/>
    <n v="9.9999999999999992E-2"/>
    <n v="2015"/>
    <x v="11"/>
    <n v="12"/>
    <n v="6.5940000000000003"/>
    <s v="Profit"/>
  </r>
  <r>
    <s v="CA-2015-128608"/>
    <d v="2015-12-01T00:00:00"/>
    <x v="0"/>
    <x v="2"/>
    <x v="1504"/>
    <n v="10.384"/>
    <n v="2"/>
    <n v="2.2065999999999999"/>
    <n v="0.21249999999999999"/>
    <n v="2015"/>
    <x v="11"/>
    <n v="12"/>
    <n v="5.1920000000000002"/>
    <s v="Profit"/>
  </r>
  <r>
    <s v="CA-2015-128608"/>
    <d v="2015-12-01T00:00:00"/>
    <x v="0"/>
    <x v="2"/>
    <x v="372"/>
    <n v="107.11799999999999"/>
    <n v="3"/>
    <n v="-21.4236"/>
    <n v="-0.2"/>
    <n v="2015"/>
    <x v="11"/>
    <n v="12"/>
    <n v="35.705999999999996"/>
    <s v="Loss"/>
  </r>
  <r>
    <s v="CA-2015-128083"/>
    <d v="2015-12-03T00:00:00"/>
    <x v="3"/>
    <x v="1"/>
    <x v="805"/>
    <n v="8.6880000000000006"/>
    <n v="3"/>
    <n v="2.9321999999999999"/>
    <n v="0.33749999999999997"/>
    <n v="2015"/>
    <x v="11"/>
    <n v="12"/>
    <n v="2.8960000000000004"/>
    <s v="Profit"/>
  </r>
  <r>
    <s v="CA-2015-128083"/>
    <d v="2015-12-03T00:00:00"/>
    <x v="3"/>
    <x v="0"/>
    <x v="1505"/>
    <n v="30.88"/>
    <n v="4"/>
    <n v="3.86"/>
    <n v="0.125"/>
    <n v="2015"/>
    <x v="11"/>
    <n v="12"/>
    <n v="7.72"/>
    <s v="Profit"/>
  </r>
  <r>
    <s v="CA-2015-128083"/>
    <d v="2015-12-03T00:00:00"/>
    <x v="3"/>
    <x v="0"/>
    <x v="967"/>
    <n v="6.4080000000000004"/>
    <n v="3"/>
    <n v="1.4418"/>
    <n v="0.22499999999999998"/>
    <n v="2015"/>
    <x v="11"/>
    <n v="12"/>
    <n v="2.1360000000000001"/>
    <s v="Profit"/>
  </r>
  <r>
    <s v="CA-2015-148705"/>
    <d v="2015-12-03T00:00:00"/>
    <x v="3"/>
    <x v="1"/>
    <x v="154"/>
    <n v="5.04"/>
    <n v="2"/>
    <n v="1.764"/>
    <n v="0.35"/>
    <n v="2015"/>
    <x v="11"/>
    <n v="12"/>
    <n v="2.52"/>
    <s v="Profit"/>
  </r>
  <r>
    <s v="CA-2015-145415"/>
    <d v="2015-12-04T00:00:00"/>
    <x v="1"/>
    <x v="1"/>
    <x v="408"/>
    <n v="40.74"/>
    <n v="3"/>
    <n v="0.40739999999999998"/>
    <n v="9.9999999999999985E-3"/>
    <n v="2015"/>
    <x v="11"/>
    <n v="12"/>
    <n v="13.58"/>
    <s v="Profit"/>
  </r>
  <r>
    <s v="CA-2015-159380"/>
    <d v="2015-12-05T00:00:00"/>
    <x v="1"/>
    <x v="1"/>
    <x v="158"/>
    <n v="12.84"/>
    <n v="3"/>
    <n v="5.7779999999999996"/>
    <n v="0.44999999999999996"/>
    <n v="2015"/>
    <x v="11"/>
    <n v="12"/>
    <n v="4.28"/>
    <s v="Profit"/>
  </r>
  <r>
    <s v="CA-2015-159380"/>
    <d v="2015-12-05T00:00:00"/>
    <x v="1"/>
    <x v="1"/>
    <x v="843"/>
    <n v="25.68"/>
    <n v="6"/>
    <n v="11.555999999999999"/>
    <n v="0.44999999999999996"/>
    <n v="2015"/>
    <x v="11"/>
    <n v="12"/>
    <n v="4.28"/>
    <s v="Profit"/>
  </r>
  <r>
    <s v="US-2015-122910"/>
    <d v="2015-12-05T00:00:00"/>
    <x v="1"/>
    <x v="2"/>
    <x v="278"/>
    <n v="201.584"/>
    <n v="2"/>
    <n v="20.1584"/>
    <n v="0.1"/>
    <n v="2015"/>
    <x v="11"/>
    <n v="12"/>
    <n v="100.792"/>
    <s v="Profit"/>
  </r>
  <r>
    <s v="CA-2015-130876"/>
    <d v="2015-12-05T00:00:00"/>
    <x v="0"/>
    <x v="1"/>
    <x v="1506"/>
    <n v="36.630000000000003"/>
    <n v="3"/>
    <n v="9.8901000000000003"/>
    <n v="0.27"/>
    <n v="2015"/>
    <x v="11"/>
    <n v="12"/>
    <n v="12.21"/>
    <s v="Profit"/>
  </r>
  <r>
    <s v="CA-2015-162607"/>
    <d v="2015-12-05T00:00:00"/>
    <x v="1"/>
    <x v="1"/>
    <x v="852"/>
    <n v="14.592000000000001"/>
    <n v="3"/>
    <n v="4.9248000000000003"/>
    <n v="0.33750000000000002"/>
    <n v="2015"/>
    <x v="11"/>
    <n v="12"/>
    <n v="4.8639999999999999"/>
    <s v="Profit"/>
  </r>
  <r>
    <s v="CA-2015-131856"/>
    <d v="2015-12-05T00:00:00"/>
    <x v="2"/>
    <x v="0"/>
    <x v="613"/>
    <n v="21.968"/>
    <n v="4"/>
    <n v="-15.9268"/>
    <n v="-0.72499999999999998"/>
    <n v="2015"/>
    <x v="11"/>
    <n v="12"/>
    <n v="5.492"/>
    <s v="Loss"/>
  </r>
  <r>
    <s v="CA-2015-131856"/>
    <d v="2015-12-05T00:00:00"/>
    <x v="2"/>
    <x v="2"/>
    <x v="512"/>
    <n v="619.15200000000004"/>
    <n v="6"/>
    <n v="69.654600000000002"/>
    <n v="0.11249999999999999"/>
    <n v="2015"/>
    <x v="11"/>
    <n v="12"/>
    <n v="103.19200000000001"/>
    <s v="Profit"/>
  </r>
  <r>
    <s v="CA-2015-131856"/>
    <d v="2015-12-05T00:00:00"/>
    <x v="2"/>
    <x v="1"/>
    <x v="1042"/>
    <n v="127.904"/>
    <n v="7"/>
    <n v="41.568800000000003"/>
    <n v="0.32500000000000001"/>
    <n v="2015"/>
    <x v="11"/>
    <n v="12"/>
    <n v="18.271999999999998"/>
    <s v="Profit"/>
  </r>
  <r>
    <s v="CA-2015-139850"/>
    <d v="2015-12-06T00:00:00"/>
    <x v="0"/>
    <x v="1"/>
    <x v="630"/>
    <n v="20.736000000000001"/>
    <n v="4"/>
    <n v="7.2576000000000001"/>
    <n v="0.35"/>
    <n v="2015"/>
    <x v="11"/>
    <n v="12"/>
    <n v="5.1840000000000002"/>
    <s v="Profit"/>
  </r>
  <r>
    <s v="CA-2015-139850"/>
    <d v="2015-12-06T00:00:00"/>
    <x v="0"/>
    <x v="0"/>
    <x v="594"/>
    <n v="43.295999999999999"/>
    <n v="2"/>
    <n v="4.3296000000000001"/>
    <n v="0.1"/>
    <n v="2015"/>
    <x v="11"/>
    <n v="12"/>
    <n v="21.648"/>
    <s v="Profit"/>
  </r>
  <r>
    <s v="CA-2015-131779"/>
    <d v="2015-12-06T00:00:00"/>
    <x v="0"/>
    <x v="1"/>
    <x v="1104"/>
    <n v="29.9"/>
    <n v="5"/>
    <n v="5.0830000000000002"/>
    <n v="0.17"/>
    <n v="2015"/>
    <x v="11"/>
    <n v="12"/>
    <n v="5.9799999999999995"/>
    <s v="Profit"/>
  </r>
  <r>
    <s v="CA-2015-104115"/>
    <d v="2015-12-06T00:00:00"/>
    <x v="3"/>
    <x v="2"/>
    <x v="1363"/>
    <n v="55.984000000000002"/>
    <n v="2"/>
    <n v="4.1988000000000003"/>
    <n v="7.4999999999999997E-2"/>
    <n v="2015"/>
    <x v="11"/>
    <n v="12"/>
    <n v="27.992000000000001"/>
    <s v="Profit"/>
  </r>
  <r>
    <s v="CA-2015-136105"/>
    <d v="2015-12-06T00:00:00"/>
    <x v="2"/>
    <x v="1"/>
    <x v="1507"/>
    <n v="24.56"/>
    <n v="2"/>
    <n v="6.8768000000000002"/>
    <n v="0.28000000000000003"/>
    <n v="2015"/>
    <x v="11"/>
    <n v="12"/>
    <n v="12.28"/>
    <s v="Profit"/>
  </r>
  <r>
    <s v="CA-2015-126557"/>
    <d v="2015-12-07T00:00:00"/>
    <x v="2"/>
    <x v="0"/>
    <x v="960"/>
    <n v="383.60700000000003"/>
    <n v="9"/>
    <n v="-5.4801000000000002"/>
    <n v="-1.4285714285714285E-2"/>
    <n v="2015"/>
    <x v="11"/>
    <n v="12"/>
    <n v="42.623000000000005"/>
    <s v="Loss"/>
  </r>
  <r>
    <s v="CA-2015-126557"/>
    <d v="2015-12-07T00:00:00"/>
    <x v="2"/>
    <x v="2"/>
    <x v="445"/>
    <n v="148.47999999999999"/>
    <n v="2"/>
    <n v="16.704000000000001"/>
    <n v="0.11250000000000002"/>
    <n v="2015"/>
    <x v="11"/>
    <n v="12"/>
    <n v="74.239999999999995"/>
    <s v="Profit"/>
  </r>
  <r>
    <s v="CA-2015-126557"/>
    <d v="2015-12-07T00:00:00"/>
    <x v="2"/>
    <x v="2"/>
    <x v="1508"/>
    <n v="537.54399999999998"/>
    <n v="7"/>
    <n v="53.754399999999997"/>
    <n v="9.9999999999999992E-2"/>
    <n v="2015"/>
    <x v="11"/>
    <n v="12"/>
    <n v="76.792000000000002"/>
    <s v="Profit"/>
  </r>
  <r>
    <s v="CA-2015-126557"/>
    <d v="2015-12-07T00:00:00"/>
    <x v="2"/>
    <x v="1"/>
    <x v="1082"/>
    <n v="1.9279999999999999"/>
    <n v="2"/>
    <n v="-2.9883999999999999"/>
    <n v="-1.55"/>
    <n v="2015"/>
    <x v="11"/>
    <n v="12"/>
    <n v="0.96399999999999997"/>
    <s v="Loss"/>
  </r>
  <r>
    <s v="CA-2015-126557"/>
    <d v="2015-12-07T00:00:00"/>
    <x v="2"/>
    <x v="1"/>
    <x v="1509"/>
    <n v="6.9119999999999999"/>
    <n v="3"/>
    <n v="0.69120000000000004"/>
    <n v="0.1"/>
    <n v="2015"/>
    <x v="11"/>
    <n v="12"/>
    <n v="2.3039999999999998"/>
    <s v="Profit"/>
  </r>
  <r>
    <s v="CA-2015-126557"/>
    <d v="2015-12-07T00:00:00"/>
    <x v="2"/>
    <x v="0"/>
    <x v="1510"/>
    <n v="7.76"/>
    <n v="1"/>
    <n v="-2.1339999999999999"/>
    <n v="-0.27499999999999997"/>
    <n v="2015"/>
    <x v="11"/>
    <n v="12"/>
    <n v="7.76"/>
    <s v="Loss"/>
  </r>
  <r>
    <s v="CA-2015-126557"/>
    <d v="2015-12-07T00:00:00"/>
    <x v="2"/>
    <x v="2"/>
    <x v="1511"/>
    <n v="659.16800000000001"/>
    <n v="4"/>
    <n v="49.437600000000003"/>
    <n v="7.5000000000000011E-2"/>
    <n v="2015"/>
    <x v="11"/>
    <n v="12"/>
    <n v="164.792"/>
    <s v="Profit"/>
  </r>
  <r>
    <s v="CA-2015-112711"/>
    <d v="2015-12-07T00:00:00"/>
    <x v="2"/>
    <x v="2"/>
    <x v="1508"/>
    <n v="307.16800000000001"/>
    <n v="4"/>
    <n v="30.716799999999999"/>
    <n v="9.9999999999999992E-2"/>
    <n v="2015"/>
    <x v="11"/>
    <n v="12"/>
    <n v="76.792000000000002"/>
    <s v="Profit"/>
  </r>
  <r>
    <s v="CA-2015-166464"/>
    <d v="2015-12-09T00:00:00"/>
    <x v="0"/>
    <x v="2"/>
    <x v="692"/>
    <n v="479.98399999999998"/>
    <n v="2"/>
    <n v="59.997999999999998"/>
    <n v="0.125"/>
    <n v="2015"/>
    <x v="11"/>
    <n v="12"/>
    <n v="239.99199999999999"/>
    <s v="Profit"/>
  </r>
  <r>
    <s v="CA-2015-166464"/>
    <d v="2015-12-09T00:00:00"/>
    <x v="0"/>
    <x v="1"/>
    <x v="352"/>
    <n v="12.6"/>
    <n v="4"/>
    <n v="6.048"/>
    <n v="0.48000000000000004"/>
    <n v="2015"/>
    <x v="11"/>
    <n v="12"/>
    <n v="3.15"/>
    <s v="Profit"/>
  </r>
  <r>
    <s v="CA-2015-102015"/>
    <d v="2015-12-09T00:00:00"/>
    <x v="0"/>
    <x v="1"/>
    <x v="199"/>
    <n v="9.26"/>
    <n v="2"/>
    <n v="3.0558000000000001"/>
    <n v="0.33"/>
    <n v="2015"/>
    <x v="11"/>
    <n v="12"/>
    <n v="4.63"/>
    <s v="Profit"/>
  </r>
  <r>
    <s v="CA-2015-102015"/>
    <d v="2015-12-09T00:00:00"/>
    <x v="0"/>
    <x v="1"/>
    <x v="1442"/>
    <n v="105.98"/>
    <n v="2"/>
    <n v="4.2392000000000003"/>
    <n v="0.04"/>
    <n v="2015"/>
    <x v="11"/>
    <n v="12"/>
    <n v="52.99"/>
    <s v="Profit"/>
  </r>
  <r>
    <s v="CA-2015-102015"/>
    <d v="2015-12-09T00:00:00"/>
    <x v="0"/>
    <x v="1"/>
    <x v="1472"/>
    <n v="1.24"/>
    <n v="1"/>
    <n v="0.58279999999999998"/>
    <n v="0.47"/>
    <n v="2015"/>
    <x v="11"/>
    <n v="12"/>
    <n v="1.24"/>
    <s v="Profit"/>
  </r>
  <r>
    <s v="CA-2015-102015"/>
    <d v="2015-12-09T00:00:00"/>
    <x v="0"/>
    <x v="1"/>
    <x v="1478"/>
    <n v="20.7"/>
    <n v="2"/>
    <n v="9.9359999999999999"/>
    <n v="0.48000000000000004"/>
    <n v="2015"/>
    <x v="11"/>
    <n v="12"/>
    <n v="10.35"/>
    <s v="Profit"/>
  </r>
  <r>
    <s v="CA-2015-102015"/>
    <d v="2015-12-09T00:00:00"/>
    <x v="0"/>
    <x v="1"/>
    <x v="756"/>
    <n v="28.9"/>
    <n v="5"/>
    <n v="14.161"/>
    <n v="0.49"/>
    <n v="2015"/>
    <x v="11"/>
    <n v="12"/>
    <n v="5.7799999999999994"/>
    <s v="Profit"/>
  </r>
  <r>
    <s v="CA-2015-102015"/>
    <d v="2015-12-09T00:00:00"/>
    <x v="0"/>
    <x v="1"/>
    <x v="701"/>
    <n v="27.18"/>
    <n v="1"/>
    <n v="12.7746"/>
    <n v="0.47"/>
    <n v="2015"/>
    <x v="11"/>
    <n v="12"/>
    <n v="27.18"/>
    <s v="Profit"/>
  </r>
  <r>
    <s v="CA-2015-128993"/>
    <d v="2015-12-09T00:00:00"/>
    <x v="1"/>
    <x v="2"/>
    <x v="1213"/>
    <n v="21.98"/>
    <n v="2"/>
    <n v="8.5722000000000005"/>
    <n v="0.39"/>
    <n v="2015"/>
    <x v="11"/>
    <n v="12"/>
    <n v="10.99"/>
    <s v="Profit"/>
  </r>
  <r>
    <s v="CA-2015-102281"/>
    <d v="2015-12-10T00:00:00"/>
    <x v="0"/>
    <x v="0"/>
    <x v="1512"/>
    <n v="899.13599999999997"/>
    <n v="4"/>
    <n v="112.392"/>
    <n v="0.125"/>
    <n v="2015"/>
    <x v="11"/>
    <n v="12"/>
    <n v="224.78399999999999"/>
    <s v="Profit"/>
  </r>
  <r>
    <s v="CA-2015-102281"/>
    <d v="2015-12-10T00:00:00"/>
    <x v="0"/>
    <x v="2"/>
    <x v="1229"/>
    <n v="71.760000000000005"/>
    <n v="6"/>
    <n v="20.0928"/>
    <n v="0.27999999999999997"/>
    <n v="2015"/>
    <x v="11"/>
    <n v="12"/>
    <n v="11.96"/>
    <s v="Profit"/>
  </r>
  <r>
    <s v="CA-2015-102281"/>
    <d v="2015-12-10T00:00:00"/>
    <x v="0"/>
    <x v="1"/>
    <x v="658"/>
    <n v="51.84"/>
    <n v="8"/>
    <n v="24.883199999999999"/>
    <n v="0.47999999999999993"/>
    <n v="2015"/>
    <x v="11"/>
    <n v="12"/>
    <n v="6.48"/>
    <s v="Profit"/>
  </r>
  <r>
    <s v="CA-2015-102281"/>
    <d v="2015-12-10T00:00:00"/>
    <x v="0"/>
    <x v="0"/>
    <x v="1191"/>
    <n v="626.35199999999998"/>
    <n v="3"/>
    <n v="46.976399999999998"/>
    <n v="7.4999999999999997E-2"/>
    <n v="2015"/>
    <x v="11"/>
    <n v="12"/>
    <n v="208.78399999999999"/>
    <s v="Profit"/>
  </r>
  <r>
    <s v="CA-2015-102281"/>
    <d v="2015-12-10T00:00:00"/>
    <x v="0"/>
    <x v="1"/>
    <x v="287"/>
    <n v="19.899999999999999"/>
    <n v="5"/>
    <n v="6.5670000000000002"/>
    <n v="0.33"/>
    <n v="2015"/>
    <x v="11"/>
    <n v="12"/>
    <n v="3.9799999999999995"/>
    <s v="Profit"/>
  </r>
  <r>
    <s v="CA-2015-159786"/>
    <d v="2015-12-10T00:00:00"/>
    <x v="0"/>
    <x v="0"/>
    <x v="1513"/>
    <n v="209.67"/>
    <n v="1"/>
    <n v="-13.978"/>
    <n v="-6.6666666666666666E-2"/>
    <n v="2015"/>
    <x v="11"/>
    <n v="12"/>
    <n v="209.67"/>
    <s v="Loss"/>
  </r>
  <r>
    <s v="CA-2015-134747"/>
    <d v="2015-12-10T00:00:00"/>
    <x v="2"/>
    <x v="2"/>
    <x v="1003"/>
    <n v="135.72"/>
    <n v="3"/>
    <n v="35.287199999999999"/>
    <n v="0.26"/>
    <n v="2015"/>
    <x v="11"/>
    <n v="12"/>
    <n v="45.24"/>
    <s v="Profit"/>
  </r>
  <r>
    <s v="CA-2015-134747"/>
    <d v="2015-12-10T00:00:00"/>
    <x v="2"/>
    <x v="1"/>
    <x v="66"/>
    <n v="12.56"/>
    <n v="2"/>
    <n v="5.6520000000000001"/>
    <n v="0.45"/>
    <n v="2015"/>
    <x v="11"/>
    <n v="12"/>
    <n v="6.28"/>
    <s v="Profit"/>
  </r>
  <r>
    <s v="CA-2015-134747"/>
    <d v="2015-12-10T00:00:00"/>
    <x v="2"/>
    <x v="2"/>
    <x v="660"/>
    <n v="263.95999999999998"/>
    <n v="4"/>
    <n v="71.269199999999998"/>
    <n v="0.27"/>
    <n v="2015"/>
    <x v="11"/>
    <n v="12"/>
    <n v="65.989999999999995"/>
    <s v="Profit"/>
  </r>
  <r>
    <s v="CA-2015-142993"/>
    <d v="2015-12-10T00:00:00"/>
    <x v="1"/>
    <x v="2"/>
    <x v="272"/>
    <n v="17.899999999999999"/>
    <n v="2"/>
    <n v="3.4009999999999998"/>
    <n v="0.19"/>
    <n v="2015"/>
    <x v="11"/>
    <n v="12"/>
    <n v="8.9499999999999993"/>
    <s v="Profit"/>
  </r>
  <r>
    <s v="CA-2015-142993"/>
    <d v="2015-12-10T00:00:00"/>
    <x v="1"/>
    <x v="1"/>
    <x v="1209"/>
    <n v="81.96"/>
    <n v="2"/>
    <n v="0"/>
    <n v="0"/>
    <n v="2015"/>
    <x v="11"/>
    <n v="12"/>
    <n v="40.98"/>
    <s v="Loss"/>
  </r>
  <r>
    <s v="CA-2015-153220"/>
    <d v="2015-12-11T00:00:00"/>
    <x v="1"/>
    <x v="1"/>
    <x v="134"/>
    <n v="15.7"/>
    <n v="5"/>
    <n v="7.0650000000000004"/>
    <n v="0.45000000000000007"/>
    <n v="2015"/>
    <x v="11"/>
    <n v="12"/>
    <n v="3.1399999999999997"/>
    <s v="Profit"/>
  </r>
  <r>
    <s v="CA-2015-113628"/>
    <d v="2015-12-11T00:00:00"/>
    <x v="3"/>
    <x v="1"/>
    <x v="1377"/>
    <n v="11.76"/>
    <n v="5"/>
    <n v="1.323"/>
    <n v="0.1125"/>
    <n v="2015"/>
    <x v="11"/>
    <n v="12"/>
    <n v="2.3519999999999999"/>
    <s v="Profit"/>
  </r>
  <r>
    <s v="CA-2015-113628"/>
    <d v="2015-12-11T00:00:00"/>
    <x v="3"/>
    <x v="1"/>
    <x v="119"/>
    <n v="5.2380000000000004"/>
    <n v="2"/>
    <n v="-4.0157999999999996"/>
    <n v="-0.7666666666666665"/>
    <n v="2015"/>
    <x v="11"/>
    <n v="12"/>
    <n v="2.6190000000000002"/>
    <s v="Loss"/>
  </r>
  <r>
    <s v="CA-2015-113628"/>
    <d v="2015-12-11T00:00:00"/>
    <x v="3"/>
    <x v="1"/>
    <x v="1421"/>
    <n v="4.6619999999999999"/>
    <n v="3"/>
    <n v="-3.7296"/>
    <n v="-0.8"/>
    <n v="2015"/>
    <x v="11"/>
    <n v="12"/>
    <n v="1.554"/>
    <s v="Loss"/>
  </r>
  <r>
    <s v="CA-2015-113628"/>
    <d v="2015-12-11T00:00:00"/>
    <x v="3"/>
    <x v="0"/>
    <x v="971"/>
    <n v="523.91999999999996"/>
    <n v="5"/>
    <n v="-72.039000000000001"/>
    <n v="-0.13750000000000001"/>
    <n v="2015"/>
    <x v="11"/>
    <n v="12"/>
    <n v="104.78399999999999"/>
    <s v="Loss"/>
  </r>
  <r>
    <s v="CA-2015-113628"/>
    <d v="2015-12-11T00:00:00"/>
    <x v="3"/>
    <x v="2"/>
    <x v="278"/>
    <n v="100.792"/>
    <n v="1"/>
    <n v="10.0792"/>
    <n v="0.1"/>
    <n v="2015"/>
    <x v="11"/>
    <n v="12"/>
    <n v="100.792"/>
    <s v="Profit"/>
  </r>
  <r>
    <s v="CA-2015-113628"/>
    <d v="2015-12-11T00:00:00"/>
    <x v="3"/>
    <x v="0"/>
    <x v="960"/>
    <n v="146.136"/>
    <n v="3"/>
    <n v="16.440300000000001"/>
    <n v="0.1125"/>
    <n v="2015"/>
    <x v="11"/>
    <n v="12"/>
    <n v="48.711999999999996"/>
    <s v="Profit"/>
  </r>
  <r>
    <s v="CA-2015-162964"/>
    <d v="2015-12-11T00:00:00"/>
    <x v="2"/>
    <x v="1"/>
    <x v="429"/>
    <n v="64.784000000000006"/>
    <n v="1"/>
    <n v="-14.5764"/>
    <n v="-0.22499999999999998"/>
    <n v="2015"/>
    <x v="11"/>
    <n v="12"/>
    <n v="64.784000000000006"/>
    <s v="Loss"/>
  </r>
  <r>
    <s v="CA-2015-162964"/>
    <d v="2015-12-11T00:00:00"/>
    <x v="2"/>
    <x v="1"/>
    <x v="1054"/>
    <n v="15.552"/>
    <n v="3"/>
    <n v="5.6375999999999999"/>
    <n v="0.36249999999999999"/>
    <n v="2015"/>
    <x v="11"/>
    <n v="12"/>
    <n v="5.1840000000000002"/>
    <s v="Profit"/>
  </r>
  <r>
    <s v="CA-2015-162964"/>
    <d v="2015-12-11T00:00:00"/>
    <x v="2"/>
    <x v="1"/>
    <x v="1154"/>
    <n v="223.88800000000001"/>
    <n v="7"/>
    <n v="69.965000000000003"/>
    <n v="0.3125"/>
    <n v="2015"/>
    <x v="11"/>
    <n v="12"/>
    <n v="31.984000000000002"/>
    <s v="Profit"/>
  </r>
  <r>
    <s v="US-2015-153283"/>
    <d v="2015-12-11T00:00:00"/>
    <x v="0"/>
    <x v="1"/>
    <x v="11"/>
    <n v="15.56"/>
    <n v="2"/>
    <n v="7.3132000000000001"/>
    <n v="0.47"/>
    <n v="2015"/>
    <x v="11"/>
    <n v="12"/>
    <n v="7.78"/>
    <s v="Profit"/>
  </r>
  <r>
    <s v="CA-2015-154620"/>
    <d v="2015-12-12T00:00:00"/>
    <x v="1"/>
    <x v="0"/>
    <x v="735"/>
    <n v="348.928"/>
    <n v="2"/>
    <n v="34.892800000000001"/>
    <n v="0.1"/>
    <n v="2015"/>
    <x v="11"/>
    <n v="12"/>
    <n v="174.464"/>
    <s v="Profit"/>
  </r>
  <r>
    <s v="CA-2015-145065"/>
    <d v="2015-12-12T00:00:00"/>
    <x v="1"/>
    <x v="1"/>
    <x v="111"/>
    <n v="7.86"/>
    <n v="2"/>
    <n v="3.6156000000000001"/>
    <n v="0.46"/>
    <n v="2015"/>
    <x v="11"/>
    <n v="12"/>
    <n v="3.93"/>
    <s v="Profit"/>
  </r>
  <r>
    <s v="CA-2015-145065"/>
    <d v="2015-12-12T00:00:00"/>
    <x v="1"/>
    <x v="1"/>
    <x v="1514"/>
    <n v="24.448"/>
    <n v="2"/>
    <n v="8.8623999999999992"/>
    <n v="0.36249999999999993"/>
    <n v="2015"/>
    <x v="11"/>
    <n v="12"/>
    <n v="12.224"/>
    <s v="Profit"/>
  </r>
  <r>
    <s v="CA-2015-129042"/>
    <d v="2015-12-12T00:00:00"/>
    <x v="0"/>
    <x v="1"/>
    <x v="246"/>
    <n v="8.2200000000000006"/>
    <n v="3"/>
    <n v="2.2193999999999998"/>
    <n v="0.26999999999999996"/>
    <n v="2015"/>
    <x v="11"/>
    <n v="12"/>
    <n v="2.74"/>
    <s v="Profit"/>
  </r>
  <r>
    <s v="US-2015-167220"/>
    <d v="2015-12-12T00:00:00"/>
    <x v="2"/>
    <x v="2"/>
    <x v="574"/>
    <n v="22.367999999999999"/>
    <n v="4"/>
    <n v="6.4307999999999996"/>
    <n v="0.28749999999999998"/>
    <n v="2015"/>
    <x v="11"/>
    <n v="12"/>
    <n v="5.5919999999999996"/>
    <s v="Profit"/>
  </r>
  <r>
    <s v="CA-2015-155586"/>
    <d v="2015-12-12T00:00:00"/>
    <x v="1"/>
    <x v="1"/>
    <x v="1136"/>
    <n v="2.21"/>
    <n v="1"/>
    <n v="0.59670000000000001"/>
    <n v="0.27"/>
    <n v="2015"/>
    <x v="11"/>
    <n v="12"/>
    <n v="2.21"/>
    <s v="Profit"/>
  </r>
  <r>
    <s v="CA-2015-155586"/>
    <d v="2015-12-12T00:00:00"/>
    <x v="1"/>
    <x v="1"/>
    <x v="1515"/>
    <n v="15.52"/>
    <n v="4"/>
    <n v="7.4496000000000002"/>
    <n v="0.48000000000000004"/>
    <n v="2015"/>
    <x v="11"/>
    <n v="12"/>
    <n v="3.88"/>
    <s v="Profit"/>
  </r>
  <r>
    <s v="CA-2015-155586"/>
    <d v="2015-12-12T00:00:00"/>
    <x v="1"/>
    <x v="1"/>
    <x v="378"/>
    <n v="36.44"/>
    <n v="4"/>
    <n v="16.398"/>
    <n v="0.45"/>
    <n v="2015"/>
    <x v="11"/>
    <n v="12"/>
    <n v="9.11"/>
    <s v="Profit"/>
  </r>
  <r>
    <s v="CA-2015-134075"/>
    <d v="2015-12-12T00:00:00"/>
    <x v="1"/>
    <x v="0"/>
    <x v="254"/>
    <n v="166.5"/>
    <n v="3"/>
    <n v="21.645"/>
    <n v="0.13"/>
    <n v="2015"/>
    <x v="11"/>
    <n v="12"/>
    <n v="55.5"/>
    <s v="Profit"/>
  </r>
  <r>
    <s v="CA-2015-134075"/>
    <d v="2015-12-12T00:00:00"/>
    <x v="1"/>
    <x v="1"/>
    <x v="709"/>
    <n v="360.38"/>
    <n v="2"/>
    <n v="93.698800000000006"/>
    <n v="0.26"/>
    <n v="2015"/>
    <x v="11"/>
    <n v="12"/>
    <n v="180.19"/>
    <s v="Profit"/>
  </r>
  <r>
    <s v="CA-2015-127481"/>
    <d v="2015-12-12T00:00:00"/>
    <x v="1"/>
    <x v="1"/>
    <x v="725"/>
    <n v="32.4"/>
    <n v="5"/>
    <n v="15.875999999999999"/>
    <n v="0.49"/>
    <n v="2015"/>
    <x v="11"/>
    <n v="12"/>
    <n v="6.4799999999999995"/>
    <s v="Profit"/>
  </r>
  <r>
    <s v="CA-2015-127481"/>
    <d v="2015-12-12T00:00:00"/>
    <x v="1"/>
    <x v="1"/>
    <x v="110"/>
    <n v="97.88"/>
    <n v="2"/>
    <n v="48.94"/>
    <n v="0.5"/>
    <n v="2015"/>
    <x v="11"/>
    <n v="12"/>
    <n v="48.94"/>
    <s v="Profit"/>
  </r>
  <r>
    <s v="CA-2015-110870"/>
    <d v="2015-12-12T00:00:00"/>
    <x v="1"/>
    <x v="2"/>
    <x v="259"/>
    <n v="299.94"/>
    <n v="6"/>
    <n v="128.9742"/>
    <n v="0.43"/>
    <n v="2015"/>
    <x v="11"/>
    <n v="12"/>
    <n v="49.99"/>
    <s v="Profit"/>
  </r>
  <r>
    <s v="CA-2015-110870"/>
    <d v="2015-12-12T00:00:00"/>
    <x v="1"/>
    <x v="1"/>
    <x v="118"/>
    <n v="25.76"/>
    <n v="7"/>
    <n v="0.51519999999999999"/>
    <n v="1.9999999999999997E-2"/>
    <n v="2015"/>
    <x v="11"/>
    <n v="12"/>
    <n v="3.68"/>
    <s v="Profit"/>
  </r>
  <r>
    <s v="CA-2014-140795"/>
    <d v="2014-01-02T00:00:00"/>
    <x v="2"/>
    <x v="2"/>
    <x v="481"/>
    <n v="468.9"/>
    <n v="6"/>
    <n v="206.316"/>
    <n v="0.44"/>
    <n v="2014"/>
    <x v="0"/>
    <n v="1"/>
    <n v="78.149999999999991"/>
    <s v="Profit"/>
  </r>
  <r>
    <s v="CA-2014-104269"/>
    <d v="2014-01-03T00:00:00"/>
    <x v="1"/>
    <x v="0"/>
    <x v="1028"/>
    <n v="457.56799999999998"/>
    <n v="2"/>
    <n v="51.476399999999998"/>
    <n v="0.1125"/>
    <n v="2014"/>
    <x v="0"/>
    <n v="1"/>
    <n v="228.78399999999999"/>
    <s v="Profit"/>
  </r>
  <r>
    <s v="US-2014-143707"/>
    <d v="2014-01-03T00:00:00"/>
    <x v="0"/>
    <x v="2"/>
    <x v="1516"/>
    <n v="5.94"/>
    <n v="3"/>
    <n v="1.6037999999999999"/>
    <n v="0.26999999999999996"/>
    <n v="2014"/>
    <x v="0"/>
    <n v="1"/>
    <n v="1.9800000000000002"/>
    <s v="Profit"/>
  </r>
  <r>
    <s v="CA-2014-113880"/>
    <d v="2014-01-03T00:00:00"/>
    <x v="2"/>
    <x v="0"/>
    <x v="1517"/>
    <n v="634.11599999999999"/>
    <n v="6"/>
    <n v="-172.1172"/>
    <n v="-0.27142857142857141"/>
    <n v="2014"/>
    <x v="0"/>
    <n v="1"/>
    <n v="105.68599999999999"/>
    <s v="Loss"/>
  </r>
  <r>
    <s v="CA-2014-113880"/>
    <d v="2014-01-03T00:00:00"/>
    <x v="2"/>
    <x v="1"/>
    <x v="1518"/>
    <n v="17.472000000000001"/>
    <n v="3"/>
    <n v="5.6783999999999999"/>
    <n v="0.32499999999999996"/>
    <n v="2014"/>
    <x v="0"/>
    <n v="1"/>
    <n v="5.8240000000000007"/>
    <s v="Profit"/>
  </r>
  <r>
    <s v="CA-2014-131009"/>
    <d v="2014-01-03T00:00:00"/>
    <x v="2"/>
    <x v="1"/>
    <x v="774"/>
    <n v="18.84"/>
    <n v="5"/>
    <n v="-3.5325000000000002"/>
    <n v="-0.1875"/>
    <n v="2014"/>
    <x v="0"/>
    <n v="1"/>
    <n v="3.7679999999999998"/>
    <s v="Loss"/>
  </r>
  <r>
    <s v="CA-2014-131009"/>
    <d v="2014-01-03T00:00:00"/>
    <x v="2"/>
    <x v="0"/>
    <x v="702"/>
    <n v="362.25"/>
    <n v="6"/>
    <n v="0"/>
    <n v="0"/>
    <n v="2014"/>
    <x v="0"/>
    <n v="1"/>
    <n v="60.375"/>
    <s v="Loss"/>
  </r>
  <r>
    <s v="CA-2014-131009"/>
    <d v="2014-01-03T00:00:00"/>
    <x v="2"/>
    <x v="0"/>
    <x v="657"/>
    <n v="63.552"/>
    <n v="6"/>
    <n v="-34.953600000000002"/>
    <n v="-0.55000000000000004"/>
    <n v="2014"/>
    <x v="0"/>
    <n v="1"/>
    <n v="10.592000000000001"/>
    <s v="Loss"/>
  </r>
  <r>
    <s v="CA-2014-131009"/>
    <d v="2014-01-03T00:00:00"/>
    <x v="2"/>
    <x v="1"/>
    <x v="930"/>
    <n v="129.55199999999999"/>
    <n v="3"/>
    <n v="-22.671600000000002"/>
    <n v="-0.17500000000000002"/>
    <n v="2014"/>
    <x v="0"/>
    <n v="1"/>
    <n v="43.183999999999997"/>
    <s v="Loss"/>
  </r>
  <r>
    <s v="CA-2014-168312"/>
    <d v="2014-01-03T00:00:00"/>
    <x v="2"/>
    <x v="1"/>
    <x v="710"/>
    <n v="137.352"/>
    <n v="3"/>
    <n v="8.5845000000000002"/>
    <n v="6.25E-2"/>
    <n v="2014"/>
    <x v="0"/>
    <n v="1"/>
    <n v="45.783999999999999"/>
    <s v="Profit"/>
  </r>
  <r>
    <s v="CA-2014-168312"/>
    <d v="2014-01-03T00:00:00"/>
    <x v="2"/>
    <x v="0"/>
    <x v="1519"/>
    <n v="376.50900000000001"/>
    <n v="3"/>
    <n v="-43.029600000000002"/>
    <n v="-0.11428571428571428"/>
    <n v="2014"/>
    <x v="0"/>
    <n v="1"/>
    <n v="125.503"/>
    <s v="Loss"/>
  </r>
  <r>
    <s v="US-2014-157021"/>
    <d v="2014-01-04T00:00:00"/>
    <x v="1"/>
    <x v="1"/>
    <x v="1128"/>
    <n v="29.6"/>
    <n v="2"/>
    <n v="14.8"/>
    <n v="0.5"/>
    <n v="2014"/>
    <x v="0"/>
    <n v="1"/>
    <n v="14.8"/>
    <s v="Profit"/>
  </r>
  <r>
    <s v="US-2014-157021"/>
    <d v="2014-01-04T00:00:00"/>
    <x v="1"/>
    <x v="1"/>
    <x v="1520"/>
    <n v="17.088000000000001"/>
    <n v="4"/>
    <n v="5.5536000000000003"/>
    <n v="0.32500000000000001"/>
    <n v="2014"/>
    <x v="0"/>
    <n v="1"/>
    <n v="4.2720000000000002"/>
    <s v="Profit"/>
  </r>
  <r>
    <s v="CA-2014-138359"/>
    <d v="2014-01-04T00:00:00"/>
    <x v="0"/>
    <x v="1"/>
    <x v="705"/>
    <n v="66.959999999999994"/>
    <n v="4"/>
    <n v="2.6783999999999999"/>
    <n v="0.04"/>
    <n v="2014"/>
    <x v="0"/>
    <n v="1"/>
    <n v="16.739999999999998"/>
    <s v="Profit"/>
  </r>
  <r>
    <s v="CA-2014-138359"/>
    <d v="2014-01-04T00:00:00"/>
    <x v="0"/>
    <x v="1"/>
    <x v="497"/>
    <n v="6.24"/>
    <n v="2"/>
    <n v="3.0575999999999999"/>
    <n v="0.48999999999999994"/>
    <n v="2014"/>
    <x v="0"/>
    <n v="1"/>
    <n v="3.12"/>
    <s v="Profit"/>
  </r>
  <r>
    <s v="CA-2014-131926"/>
    <d v="2014-01-06T00:00:00"/>
    <x v="2"/>
    <x v="0"/>
    <x v="1028"/>
    <n v="2001.86"/>
    <n v="7"/>
    <n v="580.5394"/>
    <n v="0.29000000000000004"/>
    <n v="2014"/>
    <x v="0"/>
    <n v="1"/>
    <n v="285.97999999999996"/>
    <s v="Profit"/>
  </r>
  <r>
    <s v="CA-2014-131926"/>
    <d v="2014-01-06T00:00:00"/>
    <x v="2"/>
    <x v="1"/>
    <x v="1299"/>
    <n v="166.72"/>
    <n v="2"/>
    <n v="41.68"/>
    <n v="0.25"/>
    <n v="2014"/>
    <x v="0"/>
    <n v="1"/>
    <n v="83.36"/>
    <s v="Profit"/>
  </r>
  <r>
    <s v="CA-2014-131926"/>
    <d v="2014-01-06T00:00:00"/>
    <x v="2"/>
    <x v="1"/>
    <x v="899"/>
    <n v="47.88"/>
    <n v="6"/>
    <n v="23.94"/>
    <n v="0.5"/>
    <n v="2014"/>
    <x v="0"/>
    <n v="1"/>
    <n v="7.98"/>
    <s v="Profit"/>
  </r>
  <r>
    <s v="CA-2014-131926"/>
    <d v="2014-01-06T00:00:00"/>
    <x v="2"/>
    <x v="1"/>
    <x v="35"/>
    <n v="1503.25"/>
    <n v="5"/>
    <n v="496.07249999999999"/>
    <n v="0.33"/>
    <n v="2014"/>
    <x v="0"/>
    <n v="1"/>
    <n v="300.64999999999998"/>
    <s v="Profit"/>
  </r>
  <r>
    <s v="CA-2014-131926"/>
    <d v="2014-01-06T00:00:00"/>
    <x v="2"/>
    <x v="1"/>
    <x v="658"/>
    <n v="25.92"/>
    <n v="4"/>
    <n v="12.441599999999999"/>
    <n v="0.47999999999999993"/>
    <n v="2014"/>
    <x v="0"/>
    <n v="1"/>
    <n v="6.48"/>
    <s v="Profit"/>
  </r>
  <r>
    <s v="CA-2014-111003"/>
    <d v="2014-01-06T00:00:00"/>
    <x v="0"/>
    <x v="1"/>
    <x v="1046"/>
    <n v="45.48"/>
    <n v="3"/>
    <n v="20.9208"/>
    <n v="0.46"/>
    <n v="2014"/>
    <x v="0"/>
    <n v="1"/>
    <n v="15.159999999999998"/>
    <s v="Profit"/>
  </r>
  <r>
    <s v="CA-2014-111003"/>
    <d v="2014-01-06T00:00:00"/>
    <x v="0"/>
    <x v="1"/>
    <x v="1077"/>
    <n v="289.2"/>
    <n v="6"/>
    <n v="83.867999999999995"/>
    <n v="0.28999999999999998"/>
    <n v="2014"/>
    <x v="0"/>
    <n v="1"/>
    <n v="48.199999999999996"/>
    <s v="Profit"/>
  </r>
  <r>
    <s v="US-2014-165659"/>
    <d v="2014-01-06T00:00:00"/>
    <x v="3"/>
    <x v="0"/>
    <x v="1307"/>
    <n v="22.2"/>
    <n v="6"/>
    <n v="9.1020000000000003"/>
    <n v="0.41000000000000003"/>
    <n v="2014"/>
    <x v="0"/>
    <n v="1"/>
    <n v="3.6999999999999997"/>
    <s v="Profit"/>
  </r>
  <r>
    <s v="US-2014-165659"/>
    <d v="2014-01-06T00:00:00"/>
    <x v="3"/>
    <x v="2"/>
    <x v="794"/>
    <n v="881.93"/>
    <n v="7"/>
    <n v="229.30179999999999"/>
    <n v="0.26"/>
    <n v="2014"/>
    <x v="0"/>
    <n v="1"/>
    <n v="125.99"/>
    <s v="Profit"/>
  </r>
  <r>
    <s v="US-2014-157070"/>
    <d v="2014-01-06T00:00:00"/>
    <x v="2"/>
    <x v="1"/>
    <x v="1358"/>
    <n v="138.56"/>
    <n v="4"/>
    <n v="66.508799999999994"/>
    <n v="0.47999999999999993"/>
    <n v="2014"/>
    <x v="0"/>
    <n v="1"/>
    <n v="34.64"/>
    <s v="Profit"/>
  </r>
  <r>
    <s v="US-2014-157070"/>
    <d v="2014-01-06T00:00:00"/>
    <x v="2"/>
    <x v="1"/>
    <x v="256"/>
    <n v="65.52"/>
    <n v="5"/>
    <n v="12.375999999999999"/>
    <n v="0.18888888888888888"/>
    <n v="2014"/>
    <x v="0"/>
    <n v="1"/>
    <n v="13.103999999999999"/>
    <s v="Profit"/>
  </r>
  <r>
    <s v="CA-2014-153150"/>
    <d v="2014-01-07T00:00:00"/>
    <x v="1"/>
    <x v="1"/>
    <x v="582"/>
    <n v="19.920000000000002"/>
    <n v="5"/>
    <n v="6.9720000000000004"/>
    <n v="0.35"/>
    <n v="2014"/>
    <x v="0"/>
    <n v="1"/>
    <n v="3.9840000000000004"/>
    <s v="Profit"/>
  </r>
  <r>
    <s v="CA-2014-160773"/>
    <d v="2014-01-07T00:00:00"/>
    <x v="3"/>
    <x v="2"/>
    <x v="1139"/>
    <n v="575.91999999999996"/>
    <n v="2"/>
    <n v="71.989999999999995"/>
    <n v="0.125"/>
    <n v="2014"/>
    <x v="0"/>
    <n v="1"/>
    <n v="287.95999999999998"/>
    <s v="Profit"/>
  </r>
  <r>
    <s v="CA-2014-160773"/>
    <d v="2014-01-07T00:00:00"/>
    <x v="3"/>
    <x v="1"/>
    <x v="179"/>
    <n v="5.1840000000000002"/>
    <n v="6"/>
    <n v="-3.6288"/>
    <n v="-0.7"/>
    <n v="2014"/>
    <x v="0"/>
    <n v="1"/>
    <n v="0.86399999999999999"/>
    <s v="Loss"/>
  </r>
  <r>
    <s v="CA-2014-117345"/>
    <d v="2014-01-08T00:00:00"/>
    <x v="3"/>
    <x v="1"/>
    <x v="985"/>
    <n v="17.544"/>
    <n v="3"/>
    <n v="5.9211"/>
    <n v="0.33749999999999997"/>
    <n v="2014"/>
    <x v="0"/>
    <n v="1"/>
    <n v="5.8479999999999999"/>
    <s v="Profit"/>
  </r>
  <r>
    <s v="CA-2014-117345"/>
    <d v="2014-01-08T00:00:00"/>
    <x v="3"/>
    <x v="0"/>
    <x v="330"/>
    <n v="44.128"/>
    <n v="4"/>
    <n v="12.135199999999999"/>
    <n v="0.27499999999999997"/>
    <n v="2014"/>
    <x v="0"/>
    <n v="1"/>
    <n v="11.032"/>
    <s v="Profit"/>
  </r>
  <r>
    <s v="CA-2014-117345"/>
    <d v="2014-01-08T00:00:00"/>
    <x v="3"/>
    <x v="1"/>
    <x v="53"/>
    <n v="62.92"/>
    <n v="1"/>
    <n v="10.224500000000001"/>
    <n v="0.16250000000000001"/>
    <n v="2014"/>
    <x v="0"/>
    <n v="1"/>
    <n v="62.92"/>
    <s v="Profit"/>
  </r>
  <r>
    <s v="CA-2014-117345"/>
    <d v="2014-01-08T00:00:00"/>
    <x v="3"/>
    <x v="1"/>
    <x v="110"/>
    <n v="78.304000000000002"/>
    <n v="2"/>
    <n v="29.364000000000001"/>
    <n v="0.375"/>
    <n v="2014"/>
    <x v="0"/>
    <n v="1"/>
    <n v="39.152000000000001"/>
    <s v="Profit"/>
  </r>
  <r>
    <s v="CA-2014-152296"/>
    <d v="2014-01-08T00:00:00"/>
    <x v="1"/>
    <x v="1"/>
    <x v="1406"/>
    <n v="19.751999999999999"/>
    <n v="3"/>
    <n v="6.9131999999999998"/>
    <n v="0.35000000000000003"/>
    <n v="2014"/>
    <x v="0"/>
    <n v="1"/>
    <n v="6.5839999999999996"/>
    <s v="Profit"/>
  </r>
  <r>
    <s v="CA-2014-162684"/>
    <d v="2014-01-08T00:00:00"/>
    <x v="0"/>
    <x v="1"/>
    <x v="849"/>
    <n v="5.68"/>
    <n v="2"/>
    <n v="1.917"/>
    <n v="0.33750000000000002"/>
    <n v="2014"/>
    <x v="0"/>
    <n v="1"/>
    <n v="2.84"/>
    <s v="Profit"/>
  </r>
  <r>
    <s v="CA-2014-126522"/>
    <d v="2014-01-09T00:00:00"/>
    <x v="1"/>
    <x v="1"/>
    <x v="1423"/>
    <n v="53.94"/>
    <n v="3"/>
    <n v="15.6426"/>
    <n v="0.29000000000000004"/>
    <n v="2014"/>
    <x v="0"/>
    <n v="1"/>
    <n v="17.98"/>
    <s v="Profit"/>
  </r>
  <r>
    <s v="CA-2014-165428"/>
    <d v="2014-01-09T00:00:00"/>
    <x v="2"/>
    <x v="1"/>
    <x v="852"/>
    <n v="3.6480000000000001"/>
    <n v="3"/>
    <n v="-6.0191999999999997"/>
    <n v="-1.65"/>
    <n v="2014"/>
    <x v="0"/>
    <n v="1"/>
    <n v="1.216"/>
    <s v="Loss"/>
  </r>
  <r>
    <s v="CA-2014-165428"/>
    <d v="2014-01-09T00:00:00"/>
    <x v="2"/>
    <x v="1"/>
    <x v="571"/>
    <n v="31.103999999999999"/>
    <n v="6"/>
    <n v="10.8864"/>
    <n v="0.35000000000000003"/>
    <n v="2014"/>
    <x v="0"/>
    <n v="1"/>
    <n v="5.1840000000000002"/>
    <s v="Profit"/>
  </r>
  <r>
    <s v="CA-2014-109855"/>
    <d v="2014-01-09T00:00:00"/>
    <x v="0"/>
    <x v="1"/>
    <x v="1250"/>
    <n v="23.744"/>
    <n v="2"/>
    <n v="8.3103999999999996"/>
    <n v="0.35"/>
    <n v="2014"/>
    <x v="0"/>
    <n v="1"/>
    <n v="11.872"/>
    <s v="Profit"/>
  </r>
  <r>
    <s v="CA-2014-109855"/>
    <d v="2014-01-09T00:00:00"/>
    <x v="0"/>
    <x v="2"/>
    <x v="156"/>
    <n v="357"/>
    <n v="3"/>
    <n v="57.12"/>
    <n v="0.16"/>
    <n v="2014"/>
    <x v="0"/>
    <n v="1"/>
    <n v="119"/>
    <s v="Profit"/>
  </r>
  <r>
    <s v="US-2014-132745"/>
    <d v="2014-01-10T00:00:00"/>
    <x v="1"/>
    <x v="1"/>
    <x v="1521"/>
    <n v="4.71"/>
    <n v="1"/>
    <n v="0"/>
    <n v="0"/>
    <n v="2014"/>
    <x v="0"/>
    <n v="1"/>
    <n v="4.71"/>
    <s v="Loss"/>
  </r>
  <r>
    <s v="CA-2014-134313"/>
    <d v="2014-01-11T00:00:00"/>
    <x v="1"/>
    <x v="1"/>
    <x v="469"/>
    <n v="43.176000000000002"/>
    <n v="3"/>
    <n v="4.3175999999999997"/>
    <n v="9.9999999999999992E-2"/>
    <n v="2014"/>
    <x v="0"/>
    <n v="1"/>
    <n v="14.392000000000001"/>
    <s v="Profit"/>
  </r>
  <r>
    <s v="CA-2014-134313"/>
    <d v="2014-01-11T00:00:00"/>
    <x v="1"/>
    <x v="2"/>
    <x v="231"/>
    <n v="1983.9680000000001"/>
    <n v="4"/>
    <n v="247.99600000000001"/>
    <n v="0.125"/>
    <n v="2014"/>
    <x v="0"/>
    <n v="1"/>
    <n v="495.99200000000002"/>
    <s v="Profit"/>
  </r>
  <r>
    <s v="CA-2014-148915"/>
    <d v="2014-01-11T00:00:00"/>
    <x v="1"/>
    <x v="1"/>
    <x v="39"/>
    <n v="443.92"/>
    <n v="5"/>
    <n v="-94.332999999999998"/>
    <n v="-0.21249999999999999"/>
    <n v="2014"/>
    <x v="0"/>
    <n v="1"/>
    <n v="88.784000000000006"/>
    <s v="Loss"/>
  </r>
  <r>
    <s v="CA-2014-148915"/>
    <d v="2014-01-11T00:00:00"/>
    <x v="1"/>
    <x v="2"/>
    <x v="1016"/>
    <n v="155.976"/>
    <n v="3"/>
    <n v="54.5916"/>
    <n v="0.35"/>
    <n v="2014"/>
    <x v="0"/>
    <n v="1"/>
    <n v="51.991999999999997"/>
    <s v="Profit"/>
  </r>
  <r>
    <s v="CA-2014-102673"/>
    <d v="2014-01-11T00:00:00"/>
    <x v="3"/>
    <x v="1"/>
    <x v="111"/>
    <n v="7.52"/>
    <n v="5"/>
    <n v="1.41"/>
    <n v="0.1875"/>
    <n v="2014"/>
    <x v="0"/>
    <n v="1"/>
    <n v="1.504"/>
    <s v="Profit"/>
  </r>
  <r>
    <s v="CA-2014-102673"/>
    <d v="2014-01-11T00:00:00"/>
    <x v="3"/>
    <x v="1"/>
    <x v="1522"/>
    <n v="10.272"/>
    <n v="3"/>
    <n v="0.89880000000000004"/>
    <n v="8.7500000000000008E-2"/>
    <n v="2014"/>
    <x v="0"/>
    <n v="1"/>
    <n v="3.4239999999999999"/>
    <s v="Profit"/>
  </r>
  <r>
    <s v="CA-2014-102673"/>
    <d v="2014-01-11T00:00:00"/>
    <x v="3"/>
    <x v="1"/>
    <x v="333"/>
    <n v="47.808"/>
    <n v="12"/>
    <n v="15.537599999999999"/>
    <n v="0.32500000000000001"/>
    <n v="2014"/>
    <x v="0"/>
    <n v="1"/>
    <n v="3.984"/>
    <s v="Profit"/>
  </r>
  <r>
    <s v="CA-2014-102673"/>
    <d v="2014-01-11T00:00:00"/>
    <x v="3"/>
    <x v="2"/>
    <x v="1523"/>
    <n v="978.84"/>
    <n v="9"/>
    <n v="110.1195"/>
    <n v="0.1125"/>
    <n v="2014"/>
    <x v="0"/>
    <n v="1"/>
    <n v="108.76"/>
    <s v="Profit"/>
  </r>
  <r>
    <s v="CA-2014-126907"/>
    <d v="2014-01-11T00:00:00"/>
    <x v="2"/>
    <x v="1"/>
    <x v="973"/>
    <n v="15.696"/>
    <n v="3"/>
    <n v="5.1012000000000004"/>
    <n v="0.32500000000000001"/>
    <n v="2014"/>
    <x v="0"/>
    <n v="1"/>
    <n v="5.2320000000000002"/>
    <s v="Profit"/>
  </r>
  <r>
    <s v="CA-2014-152562"/>
    <d v="2014-01-11T00:00:00"/>
    <x v="3"/>
    <x v="1"/>
    <x v="113"/>
    <n v="69.52"/>
    <n v="2"/>
    <n v="19.465599999999998"/>
    <n v="0.27999999999999997"/>
    <n v="2014"/>
    <x v="0"/>
    <n v="1"/>
    <n v="34.76"/>
    <s v="Profit"/>
  </r>
  <r>
    <s v="CA-2014-152562"/>
    <d v="2014-01-11T00:00:00"/>
    <x v="3"/>
    <x v="1"/>
    <x v="159"/>
    <n v="5.64"/>
    <n v="3"/>
    <n v="1.6355999999999999"/>
    <n v="0.28999999999999998"/>
    <n v="2014"/>
    <x v="0"/>
    <n v="1"/>
    <n v="1.88"/>
    <s v="Profit"/>
  </r>
  <r>
    <s v="CA-2014-168305"/>
    <d v="2014-01-11T00:00:00"/>
    <x v="1"/>
    <x v="1"/>
    <x v="467"/>
    <n v="44.4"/>
    <n v="3"/>
    <n v="22.2"/>
    <n v="0.5"/>
    <n v="2014"/>
    <x v="0"/>
    <n v="1"/>
    <n v="14.799999999999999"/>
    <s v="Profit"/>
  </r>
  <r>
    <s v="CA-2014-168305"/>
    <d v="2014-01-11T00:00:00"/>
    <x v="1"/>
    <x v="1"/>
    <x v="124"/>
    <n v="21.4"/>
    <n v="5"/>
    <n v="9.6300000000000008"/>
    <n v="0.45000000000000007"/>
    <n v="2014"/>
    <x v="0"/>
    <n v="1"/>
    <n v="4.2799999999999994"/>
    <s v="Profit"/>
  </r>
  <r>
    <s v="US-2014-137155"/>
    <d v="2014-01-11T00:00:00"/>
    <x v="0"/>
    <x v="1"/>
    <x v="1235"/>
    <n v="533.94000000000005"/>
    <n v="3"/>
    <n v="154.8426"/>
    <n v="0.28999999999999998"/>
    <n v="2014"/>
    <x v="0"/>
    <n v="1"/>
    <n v="177.98000000000002"/>
    <s v="Profit"/>
  </r>
  <r>
    <s v="US-2014-137155"/>
    <d v="2014-01-11T00:00:00"/>
    <x v="0"/>
    <x v="1"/>
    <x v="367"/>
    <n v="167.94"/>
    <n v="3"/>
    <n v="82.290599999999998"/>
    <n v="0.49"/>
    <n v="2014"/>
    <x v="0"/>
    <n v="1"/>
    <n v="55.98"/>
    <s v="Profit"/>
  </r>
  <r>
    <s v="US-2014-137155"/>
    <d v="2014-01-11T00:00:00"/>
    <x v="0"/>
    <x v="0"/>
    <x v="645"/>
    <n v="31.68"/>
    <n v="6"/>
    <n v="9.8208000000000002"/>
    <n v="0.31"/>
    <n v="2014"/>
    <x v="0"/>
    <n v="1"/>
    <n v="5.28"/>
    <s v="Profit"/>
  </r>
  <r>
    <s v="CA-2014-139423"/>
    <d v="2014-01-11T00:00:00"/>
    <x v="0"/>
    <x v="1"/>
    <x v="9"/>
    <n v="76.12"/>
    <n v="2"/>
    <n v="22.0748"/>
    <n v="0.28999999999999998"/>
    <n v="2014"/>
    <x v="0"/>
    <n v="1"/>
    <n v="38.06"/>
    <s v="Profit"/>
  </r>
  <r>
    <s v="CA-2014-114195"/>
    <d v="2014-01-11T00:00:00"/>
    <x v="0"/>
    <x v="0"/>
    <x v="974"/>
    <n v="68.703999999999994"/>
    <n v="2"/>
    <n v="16.3172"/>
    <n v="0.23750000000000002"/>
    <n v="2014"/>
    <x v="0"/>
    <n v="1"/>
    <n v="34.351999999999997"/>
    <s v="Profit"/>
  </r>
  <r>
    <s v="CA-2014-114195"/>
    <d v="2014-01-11T00:00:00"/>
    <x v="0"/>
    <x v="1"/>
    <x v="1083"/>
    <n v="3.1320000000000001"/>
    <n v="2"/>
    <n v="-2.61"/>
    <n v="-0.83333333333333326"/>
    <n v="2014"/>
    <x v="0"/>
    <n v="1"/>
    <n v="1.5660000000000001"/>
    <s v="Loss"/>
  </r>
  <r>
    <s v="CA-2014-114195"/>
    <d v="2014-01-11T00:00:00"/>
    <x v="0"/>
    <x v="1"/>
    <x v="1166"/>
    <n v="22.428000000000001"/>
    <n v="3"/>
    <n v="-17.942399999999999"/>
    <n v="-0.79999999999999993"/>
    <n v="2014"/>
    <x v="0"/>
    <n v="1"/>
    <n v="7.476"/>
    <s v="Loss"/>
  </r>
  <r>
    <s v="CA-2014-120474"/>
    <d v="2014-01-12T00:00:00"/>
    <x v="2"/>
    <x v="0"/>
    <x v="235"/>
    <n v="2807.84"/>
    <n v="8"/>
    <n v="673.88160000000005"/>
    <n v="0.24"/>
    <n v="2014"/>
    <x v="0"/>
    <n v="1"/>
    <n v="350.98"/>
    <s v="Profit"/>
  </r>
  <r>
    <s v="CA-2014-120474"/>
    <d v="2014-01-12T00:00:00"/>
    <x v="2"/>
    <x v="1"/>
    <x v="1241"/>
    <n v="46.64"/>
    <n v="4"/>
    <n v="12.5928"/>
    <n v="0.27"/>
    <n v="2014"/>
    <x v="0"/>
    <n v="1"/>
    <n v="11.66"/>
    <s v="Profit"/>
  </r>
  <r>
    <s v="CA-2014-131051"/>
    <d v="2014-01-12T00:00:00"/>
    <x v="1"/>
    <x v="0"/>
    <x v="1510"/>
    <n v="58.2"/>
    <n v="3"/>
    <n v="28.518000000000001"/>
    <n v="0.49"/>
    <n v="2014"/>
    <x v="0"/>
    <n v="1"/>
    <n v="19.400000000000002"/>
    <s v="Profit"/>
  </r>
  <r>
    <s v="CA-2014-131527"/>
    <d v="2014-01-12T00:00:00"/>
    <x v="3"/>
    <x v="2"/>
    <x v="1524"/>
    <n v="95.968000000000004"/>
    <n v="4"/>
    <n v="9.5968"/>
    <n v="9.9999999999999992E-2"/>
    <n v="2014"/>
    <x v="0"/>
    <n v="1"/>
    <n v="23.992000000000001"/>
    <s v="Profit"/>
  </r>
  <r>
    <s v="CA-2014-150798"/>
    <d v="2014-01-12T00:00:00"/>
    <x v="0"/>
    <x v="2"/>
    <x v="1482"/>
    <n v="659.98800000000006"/>
    <n v="2"/>
    <n v="109.998"/>
    <n v="0.16666666666666666"/>
    <n v="2014"/>
    <x v="0"/>
    <n v="1"/>
    <n v="329.99400000000003"/>
    <s v="Profit"/>
  </r>
  <r>
    <s v="CA-2014-150798"/>
    <d v="2014-01-12T00:00:00"/>
    <x v="0"/>
    <x v="0"/>
    <x v="1060"/>
    <n v="8.1280000000000001"/>
    <n v="2"/>
    <n v="1.4224000000000001"/>
    <n v="0.17500000000000002"/>
    <n v="2014"/>
    <x v="0"/>
    <n v="1"/>
    <n v="4.0640000000000001"/>
    <s v="Profit"/>
  </r>
  <r>
    <s v="CA-2014-150798"/>
    <d v="2014-01-12T00:00:00"/>
    <x v="0"/>
    <x v="1"/>
    <x v="89"/>
    <n v="36.287999999999997"/>
    <n v="7"/>
    <n v="12.700799999999999"/>
    <n v="0.35000000000000003"/>
    <n v="2014"/>
    <x v="0"/>
    <n v="1"/>
    <n v="5.1839999999999993"/>
    <s v="Profit"/>
  </r>
  <r>
    <s v="CA-2014-150798"/>
    <d v="2014-01-12T00:00:00"/>
    <x v="0"/>
    <x v="0"/>
    <x v="1005"/>
    <n v="909.72"/>
    <n v="6"/>
    <n v="-51.984000000000002"/>
    <n v="-5.7142857142857141E-2"/>
    <n v="2014"/>
    <x v="0"/>
    <n v="1"/>
    <n v="151.62"/>
    <s v="Loss"/>
  </r>
  <r>
    <s v="US-2014-161613"/>
    <d v="2014-01-12T00:00:00"/>
    <x v="2"/>
    <x v="0"/>
    <x v="34"/>
    <n v="674.05799999999999"/>
    <n v="3"/>
    <n v="-19.258800000000001"/>
    <n v="-2.8571428571428574E-2"/>
    <n v="2014"/>
    <x v="0"/>
    <n v="1"/>
    <n v="224.68600000000001"/>
    <s v="Loss"/>
  </r>
  <r>
    <s v="CA-2014-143210"/>
    <d v="2014-01-12T00:00:00"/>
    <x v="0"/>
    <x v="2"/>
    <x v="1523"/>
    <n v="271.89999999999998"/>
    <n v="2"/>
    <n v="78.850999999999999"/>
    <n v="0.29000000000000004"/>
    <n v="2014"/>
    <x v="0"/>
    <n v="1"/>
    <n v="135.94999999999999"/>
    <s v="Profit"/>
  </r>
  <r>
    <s v="CA-2014-143210"/>
    <d v="2014-01-12T00:00:00"/>
    <x v="0"/>
    <x v="0"/>
    <x v="0"/>
    <n v="45.84"/>
    <n v="3"/>
    <n v="15.585599999999999"/>
    <n v="0.33999999999999997"/>
    <n v="2014"/>
    <x v="0"/>
    <n v="1"/>
    <n v="15.280000000000001"/>
    <s v="Profit"/>
  </r>
  <r>
    <s v="CA-2014-143210"/>
    <d v="2014-01-12T00:00:00"/>
    <x v="0"/>
    <x v="0"/>
    <x v="1285"/>
    <n v="9.82"/>
    <n v="2"/>
    <n v="3.2406000000000001"/>
    <n v="0.33"/>
    <n v="2014"/>
    <x v="0"/>
    <n v="1"/>
    <n v="4.91"/>
    <s v="Profit"/>
  </r>
  <r>
    <s v="CA-2014-139857"/>
    <d v="2014-02-02T00:00:00"/>
    <x v="1"/>
    <x v="1"/>
    <x v="111"/>
    <n v="12.35"/>
    <n v="5"/>
    <n v="5.8045"/>
    <n v="0.47000000000000003"/>
    <n v="2014"/>
    <x v="1"/>
    <n v="2"/>
    <n v="2.4699999999999998"/>
    <s v="Profit"/>
  </r>
  <r>
    <s v="CA-2014-123400"/>
    <d v="2014-02-02T00:00:00"/>
    <x v="3"/>
    <x v="1"/>
    <x v="918"/>
    <n v="18.335999999999999"/>
    <n v="2"/>
    <n v="-12.224"/>
    <n v="-0.66666666666666674"/>
    <n v="2014"/>
    <x v="1"/>
    <n v="2"/>
    <n v="9.1679999999999993"/>
    <s v="Loss"/>
  </r>
  <r>
    <s v="CA-2014-123400"/>
    <d v="2014-02-02T00:00:00"/>
    <x v="3"/>
    <x v="2"/>
    <x v="1003"/>
    <n v="180.96"/>
    <n v="5"/>
    <n v="13.571999999999999"/>
    <n v="7.4999999999999997E-2"/>
    <n v="2014"/>
    <x v="1"/>
    <n v="2"/>
    <n v="36.192"/>
    <s v="Profit"/>
  </r>
  <r>
    <s v="CA-2014-107524"/>
    <d v="2014-02-03T00:00:00"/>
    <x v="0"/>
    <x v="1"/>
    <x v="11"/>
    <n v="11.36"/>
    <n v="2"/>
    <n v="5.3391999999999999"/>
    <n v="0.47000000000000003"/>
    <n v="2014"/>
    <x v="1"/>
    <n v="2"/>
    <n v="5.68"/>
    <s v="Profit"/>
  </r>
  <r>
    <s v="CA-2014-107524"/>
    <d v="2014-02-03T00:00:00"/>
    <x v="0"/>
    <x v="1"/>
    <x v="1525"/>
    <n v="36.4"/>
    <n v="5"/>
    <n v="17.472000000000001"/>
    <n v="0.48000000000000004"/>
    <n v="2014"/>
    <x v="1"/>
    <n v="2"/>
    <n v="7.2799999999999994"/>
    <s v="Profit"/>
  </r>
  <r>
    <s v="CA-2014-111157"/>
    <d v="2014-02-03T00:00:00"/>
    <x v="0"/>
    <x v="1"/>
    <x v="331"/>
    <n v="3.4239999999999999"/>
    <n v="1"/>
    <n v="1.07"/>
    <n v="0.3125"/>
    <n v="2014"/>
    <x v="1"/>
    <n v="2"/>
    <n v="3.4239999999999999"/>
    <s v="Profit"/>
  </r>
  <r>
    <s v="CA-2014-111157"/>
    <d v="2014-02-03T00:00:00"/>
    <x v="0"/>
    <x v="2"/>
    <x v="319"/>
    <n v="151.19999999999999"/>
    <n v="3"/>
    <n v="32.130000000000003"/>
    <n v="0.21250000000000002"/>
    <n v="2014"/>
    <x v="1"/>
    <n v="2"/>
    <n v="50.4"/>
    <s v="Profit"/>
  </r>
  <r>
    <s v="CA-2014-164315"/>
    <d v="2014-02-04T00:00:00"/>
    <x v="3"/>
    <x v="1"/>
    <x v="1449"/>
    <n v="15.84"/>
    <n v="3"/>
    <n v="7.1280000000000001"/>
    <n v="0.45"/>
    <n v="2014"/>
    <x v="1"/>
    <n v="2"/>
    <n v="5.28"/>
    <s v="Profit"/>
  </r>
  <r>
    <s v="CA-2014-164315"/>
    <d v="2014-02-04T00:00:00"/>
    <x v="3"/>
    <x v="2"/>
    <x v="1526"/>
    <n v="1049.93"/>
    <n v="7"/>
    <n v="293.98039999999997"/>
    <n v="0.27999999999999997"/>
    <n v="2014"/>
    <x v="1"/>
    <n v="2"/>
    <n v="149.99"/>
    <s v="Profit"/>
  </r>
  <r>
    <s v="CA-2014-164315"/>
    <d v="2014-02-04T00:00:00"/>
    <x v="3"/>
    <x v="1"/>
    <x v="1317"/>
    <n v="154.9"/>
    <n v="5"/>
    <n v="40.274000000000001"/>
    <n v="0.26"/>
    <n v="2014"/>
    <x v="1"/>
    <n v="2"/>
    <n v="30.98"/>
    <s v="Profit"/>
  </r>
  <r>
    <s v="US-2014-157847"/>
    <d v="2014-02-04T00:00:00"/>
    <x v="2"/>
    <x v="1"/>
    <x v="1202"/>
    <n v="26.72"/>
    <n v="5"/>
    <n v="9.3520000000000003"/>
    <n v="0.35000000000000003"/>
    <n v="2014"/>
    <x v="1"/>
    <n v="2"/>
    <n v="5.3439999999999994"/>
    <s v="Profit"/>
  </r>
  <r>
    <s v="US-2014-157847"/>
    <d v="2014-02-04T00:00:00"/>
    <x v="2"/>
    <x v="1"/>
    <x v="93"/>
    <n v="33.488"/>
    <n v="7"/>
    <n v="10.465"/>
    <n v="0.3125"/>
    <n v="2014"/>
    <x v="1"/>
    <n v="2"/>
    <n v="4.7839999999999998"/>
    <s v="Profit"/>
  </r>
  <r>
    <s v="CA-2014-160276"/>
    <d v="2014-02-04T00:00:00"/>
    <x v="3"/>
    <x v="0"/>
    <x v="1461"/>
    <n v="177.68"/>
    <n v="2"/>
    <n v="46.196800000000003"/>
    <n v="0.26"/>
    <n v="2014"/>
    <x v="1"/>
    <n v="2"/>
    <n v="88.84"/>
    <s v="Profit"/>
  </r>
  <r>
    <s v="CA-2014-115056"/>
    <d v="2014-02-05T00:00:00"/>
    <x v="0"/>
    <x v="1"/>
    <x v="364"/>
    <n v="26.135999999999999"/>
    <n v="3"/>
    <n v="1.9601999999999999"/>
    <n v="7.4999999999999997E-2"/>
    <n v="2014"/>
    <x v="1"/>
    <n v="2"/>
    <n v="8.7119999999999997"/>
    <s v="Profit"/>
  </r>
  <r>
    <s v="CA-2014-124618"/>
    <d v="2014-02-05T00:00:00"/>
    <x v="3"/>
    <x v="2"/>
    <x v="1167"/>
    <n v="479.98399999999998"/>
    <n v="2"/>
    <n v="89.997"/>
    <n v="0.1875"/>
    <n v="2014"/>
    <x v="1"/>
    <n v="2"/>
    <n v="239.99199999999999"/>
    <s v="Profit"/>
  </r>
  <r>
    <s v="CA-2014-104472"/>
    <d v="2014-02-06T00:00:00"/>
    <x v="1"/>
    <x v="1"/>
    <x v="1166"/>
    <n v="59.808"/>
    <n v="3"/>
    <n v="19.4376"/>
    <n v="0.32500000000000001"/>
    <n v="2014"/>
    <x v="1"/>
    <n v="2"/>
    <n v="19.936"/>
    <s v="Profit"/>
  </r>
  <r>
    <s v="CA-2014-104472"/>
    <d v="2014-02-06T00:00:00"/>
    <x v="1"/>
    <x v="0"/>
    <x v="1113"/>
    <n v="73.319999999999993"/>
    <n v="6"/>
    <n v="21.995999999999999"/>
    <n v="0.3"/>
    <n v="2014"/>
    <x v="1"/>
    <n v="2"/>
    <n v="12.219999999999999"/>
    <s v="Profit"/>
  </r>
  <r>
    <s v="CA-2014-100895"/>
    <d v="2014-02-06T00:00:00"/>
    <x v="3"/>
    <x v="1"/>
    <x v="1527"/>
    <n v="8.56"/>
    <n v="2"/>
    <n v="2.6536"/>
    <n v="0.31"/>
    <n v="2014"/>
    <x v="1"/>
    <n v="2"/>
    <n v="4.28"/>
    <s v="Profit"/>
  </r>
  <r>
    <s v="CA-2014-100895"/>
    <d v="2014-02-06T00:00:00"/>
    <x v="3"/>
    <x v="2"/>
    <x v="1528"/>
    <n v="239.97"/>
    <n v="3"/>
    <n v="67.191599999999994"/>
    <n v="0.27999999999999997"/>
    <n v="2014"/>
    <x v="1"/>
    <n v="2"/>
    <n v="79.989999999999995"/>
    <s v="Profit"/>
  </r>
  <r>
    <s v="CA-2014-100895"/>
    <d v="2014-02-06T00:00:00"/>
    <x v="3"/>
    <x v="1"/>
    <x v="251"/>
    <n v="356.94"/>
    <n v="2"/>
    <n v="107.08199999999999"/>
    <n v="0.3"/>
    <n v="2014"/>
    <x v="1"/>
    <n v="2"/>
    <n v="178.47"/>
    <s v="Profit"/>
  </r>
  <r>
    <s v="CA-2014-107594"/>
    <d v="2014-02-07T00:00:00"/>
    <x v="0"/>
    <x v="2"/>
    <x v="771"/>
    <n v="73.98"/>
    <n v="2"/>
    <n v="19.974599999999999"/>
    <n v="0.26999999999999996"/>
    <n v="2014"/>
    <x v="1"/>
    <n v="2"/>
    <n v="36.99"/>
    <s v="Profit"/>
  </r>
  <r>
    <s v="CA-2014-107594"/>
    <d v="2014-02-07T00:00:00"/>
    <x v="0"/>
    <x v="1"/>
    <x v="434"/>
    <n v="5.58"/>
    <n v="1"/>
    <n v="2.1762000000000001"/>
    <n v="0.39"/>
    <n v="2014"/>
    <x v="1"/>
    <n v="2"/>
    <n v="5.58"/>
    <s v="Profit"/>
  </r>
  <r>
    <s v="US-2014-106299"/>
    <d v="2014-02-08T00:00:00"/>
    <x v="2"/>
    <x v="1"/>
    <x v="1529"/>
    <n v="26.7"/>
    <n v="5"/>
    <n v="12.548999999999999"/>
    <n v="0.47"/>
    <n v="2014"/>
    <x v="1"/>
    <n v="2"/>
    <n v="5.34"/>
    <s v="Profit"/>
  </r>
  <r>
    <s v="US-2014-106299"/>
    <d v="2014-02-08T00:00:00"/>
    <x v="2"/>
    <x v="2"/>
    <x v="1530"/>
    <n v="21.2"/>
    <n v="2"/>
    <n v="9.1159999999999997"/>
    <n v="0.43"/>
    <n v="2014"/>
    <x v="1"/>
    <n v="2"/>
    <n v="10.6"/>
    <s v="Profit"/>
  </r>
  <r>
    <s v="US-2014-106299"/>
    <d v="2014-02-08T00:00:00"/>
    <x v="2"/>
    <x v="1"/>
    <x v="1201"/>
    <n v="838.38"/>
    <n v="2"/>
    <n v="226.36259999999999"/>
    <n v="0.26999999999999996"/>
    <n v="2014"/>
    <x v="1"/>
    <n v="2"/>
    <n v="419.19"/>
    <s v="Profit"/>
  </r>
  <r>
    <s v="CA-2014-157721"/>
    <d v="2014-02-09T00:00:00"/>
    <x v="0"/>
    <x v="1"/>
    <x v="997"/>
    <n v="19.899999999999999"/>
    <n v="1"/>
    <n v="8.9550000000000001"/>
    <n v="0.45"/>
    <n v="2014"/>
    <x v="1"/>
    <n v="2"/>
    <n v="19.899999999999999"/>
    <s v="Profit"/>
  </r>
  <r>
    <s v="CA-2014-157721"/>
    <d v="2014-02-09T00:00:00"/>
    <x v="0"/>
    <x v="0"/>
    <x v="4"/>
    <n v="70.709999999999994"/>
    <n v="1"/>
    <n v="4.9497"/>
    <n v="7.0000000000000007E-2"/>
    <n v="2014"/>
    <x v="1"/>
    <n v="2"/>
    <n v="70.709999999999994"/>
    <s v="Profit"/>
  </r>
  <r>
    <s v="CA-2014-127936"/>
    <d v="2014-02-09T00:00:00"/>
    <x v="0"/>
    <x v="1"/>
    <x v="1531"/>
    <n v="21.24"/>
    <n v="3"/>
    <n v="8.0711999999999993"/>
    <n v="0.38"/>
    <n v="2014"/>
    <x v="1"/>
    <n v="2"/>
    <n v="7.0799999999999992"/>
    <s v="Profit"/>
  </r>
  <r>
    <s v="US-2014-138828"/>
    <d v="2014-02-09T00:00:00"/>
    <x v="0"/>
    <x v="1"/>
    <x v="150"/>
    <n v="57.75"/>
    <n v="5"/>
    <n v="16.170000000000002"/>
    <n v="0.28000000000000003"/>
    <n v="2014"/>
    <x v="1"/>
    <n v="2"/>
    <n v="11.55"/>
    <s v="Profit"/>
  </r>
  <r>
    <s v="US-2014-138828"/>
    <d v="2014-02-09T00:00:00"/>
    <x v="0"/>
    <x v="1"/>
    <x v="124"/>
    <n v="14.94"/>
    <n v="3"/>
    <n v="7.0217999999999998"/>
    <n v="0.47000000000000003"/>
    <n v="2014"/>
    <x v="1"/>
    <n v="2"/>
    <n v="4.9799999999999995"/>
    <s v="Profit"/>
  </r>
  <r>
    <s v="CA-2014-151792"/>
    <d v="2014-02-09T00:00:00"/>
    <x v="2"/>
    <x v="2"/>
    <x v="1498"/>
    <n v="239.976"/>
    <n v="3"/>
    <n v="53.994599999999998"/>
    <n v="0.22500000000000001"/>
    <n v="2014"/>
    <x v="1"/>
    <n v="2"/>
    <n v="79.992000000000004"/>
    <s v="Profit"/>
  </r>
  <r>
    <s v="CA-2014-158281"/>
    <d v="2014-02-09T00:00:00"/>
    <x v="2"/>
    <x v="2"/>
    <x v="1532"/>
    <n v="559.71"/>
    <n v="3"/>
    <n v="-121.2705"/>
    <n v="-0.21666666666666665"/>
    <n v="2014"/>
    <x v="1"/>
    <n v="2"/>
    <n v="186.57000000000002"/>
    <s v="Loss"/>
  </r>
  <r>
    <s v="CA-2014-152268"/>
    <d v="2014-02-09T00:00:00"/>
    <x v="3"/>
    <x v="1"/>
    <x v="320"/>
    <n v="1793.98"/>
    <n v="2"/>
    <n v="843.17060000000004"/>
    <n v="0.47000000000000003"/>
    <n v="2014"/>
    <x v="1"/>
    <n v="2"/>
    <n v="896.99"/>
    <s v="Profit"/>
  </r>
  <r>
    <s v="CA-2014-106971"/>
    <d v="2014-02-09T00:00:00"/>
    <x v="2"/>
    <x v="2"/>
    <x v="1383"/>
    <n v="475.94400000000002"/>
    <n v="7"/>
    <n v="95.188800000000001"/>
    <n v="0.19999999999999998"/>
    <n v="2014"/>
    <x v="1"/>
    <n v="2"/>
    <n v="67.992000000000004"/>
    <s v="Profit"/>
  </r>
  <r>
    <s v="CA-2014-108189"/>
    <d v="2014-02-10T00:00:00"/>
    <x v="1"/>
    <x v="1"/>
    <x v="218"/>
    <n v="9.4079999999999995"/>
    <n v="2"/>
    <n v="3.4104000000000001"/>
    <n v="0.36250000000000004"/>
    <n v="2014"/>
    <x v="1"/>
    <n v="2"/>
    <n v="4.7039999999999997"/>
    <s v="Profit"/>
  </r>
  <r>
    <s v="CA-2014-108189"/>
    <d v="2014-02-10T00:00:00"/>
    <x v="1"/>
    <x v="1"/>
    <x v="111"/>
    <n v="4.6719999999999997"/>
    <n v="2"/>
    <n v="1.46"/>
    <n v="0.3125"/>
    <n v="2014"/>
    <x v="1"/>
    <n v="2"/>
    <n v="2.3359999999999999"/>
    <s v="Profit"/>
  </r>
  <r>
    <s v="CA-2014-108189"/>
    <d v="2014-02-10T00:00:00"/>
    <x v="1"/>
    <x v="2"/>
    <x v="1150"/>
    <n v="318.39999999999998"/>
    <n v="2"/>
    <n v="107.46"/>
    <n v="0.33750000000000002"/>
    <n v="2014"/>
    <x v="1"/>
    <n v="2"/>
    <n v="159.19999999999999"/>
    <s v="Profit"/>
  </r>
  <r>
    <s v="CA-2014-108189"/>
    <d v="2014-02-10T00:00:00"/>
    <x v="1"/>
    <x v="1"/>
    <x v="206"/>
    <n v="12.768000000000001"/>
    <n v="6"/>
    <n v="4.6284000000000001"/>
    <n v="0.36249999999999999"/>
    <n v="2014"/>
    <x v="1"/>
    <n v="2"/>
    <n v="2.1280000000000001"/>
    <s v="Profit"/>
  </r>
  <r>
    <s v="CA-2014-108189"/>
    <d v="2014-02-10T00:00:00"/>
    <x v="1"/>
    <x v="1"/>
    <x v="1410"/>
    <n v="15.36"/>
    <n v="2"/>
    <n v="-3.2639999999999998"/>
    <n v="-0.21249999999999999"/>
    <n v="2014"/>
    <x v="1"/>
    <n v="2"/>
    <n v="7.68"/>
    <s v="Loss"/>
  </r>
  <r>
    <s v="CA-2014-108189"/>
    <d v="2014-02-10T00:00:00"/>
    <x v="1"/>
    <x v="2"/>
    <x v="286"/>
    <n v="230.376"/>
    <n v="3"/>
    <n v="20.157900000000001"/>
    <n v="8.7500000000000008E-2"/>
    <n v="2014"/>
    <x v="1"/>
    <n v="2"/>
    <n v="76.792000000000002"/>
    <s v="Profit"/>
  </r>
  <r>
    <s v="CA-2014-108189"/>
    <d v="2014-02-10T00:00:00"/>
    <x v="1"/>
    <x v="2"/>
    <x v="272"/>
    <n v="7.16"/>
    <n v="1"/>
    <n v="-8.9499999999999996E-2"/>
    <n v="-1.2499999999999999E-2"/>
    <n v="2014"/>
    <x v="1"/>
    <n v="2"/>
    <n v="7.16"/>
    <s v="Loss"/>
  </r>
  <r>
    <s v="CA-2014-107454"/>
    <d v="2014-02-11T00:00:00"/>
    <x v="0"/>
    <x v="1"/>
    <x v="132"/>
    <n v="34.86"/>
    <n v="7"/>
    <n v="16.035599999999999"/>
    <n v="0.45999999999999996"/>
    <n v="2014"/>
    <x v="1"/>
    <n v="2"/>
    <n v="4.9799999999999995"/>
    <s v="Profit"/>
  </r>
  <r>
    <s v="CA-2014-107454"/>
    <d v="2014-02-11T00:00:00"/>
    <x v="0"/>
    <x v="0"/>
    <x v="1533"/>
    <n v="89.34"/>
    <n v="6"/>
    <n v="24.1218"/>
    <n v="0.27"/>
    <n v="2014"/>
    <x v="1"/>
    <n v="2"/>
    <n v="14.89"/>
    <s v="Profit"/>
  </r>
  <r>
    <s v="CA-2014-148782"/>
    <d v="2014-02-11T00:00:00"/>
    <x v="2"/>
    <x v="2"/>
    <x v="771"/>
    <n v="88.775999999999996"/>
    <n v="3"/>
    <n v="7.7679"/>
    <n v="8.7500000000000008E-2"/>
    <n v="2014"/>
    <x v="1"/>
    <n v="2"/>
    <n v="29.591999999999999"/>
    <s v="Profit"/>
  </r>
  <r>
    <s v="CA-2014-129147"/>
    <d v="2014-02-11T00:00:00"/>
    <x v="0"/>
    <x v="2"/>
    <x v="1349"/>
    <n v="539.96400000000006"/>
    <n v="6"/>
    <n v="-107.9928"/>
    <n v="-0.19999999999999998"/>
    <n v="2014"/>
    <x v="1"/>
    <n v="2"/>
    <n v="89.994000000000014"/>
    <s v="Loss"/>
  </r>
  <r>
    <s v="CA-2014-129147"/>
    <d v="2014-02-11T00:00:00"/>
    <x v="0"/>
    <x v="2"/>
    <x v="1229"/>
    <n v="50.231999999999999"/>
    <n v="7"/>
    <n v="-10.0464"/>
    <n v="-0.2"/>
    <n v="2014"/>
    <x v="1"/>
    <n v="2"/>
    <n v="7.1760000000000002"/>
    <s v="Loss"/>
  </r>
  <r>
    <s v="CA-2014-129147"/>
    <d v="2014-02-11T00:00:00"/>
    <x v="0"/>
    <x v="1"/>
    <x v="1388"/>
    <n v="19.242000000000001"/>
    <n v="3"/>
    <n v="-13.4694"/>
    <n v="-0.7"/>
    <n v="2014"/>
    <x v="1"/>
    <n v="2"/>
    <n v="6.4140000000000006"/>
    <s v="Loss"/>
  </r>
  <r>
    <s v="CA-2014-120670"/>
    <d v="2014-02-11T00:00:00"/>
    <x v="3"/>
    <x v="2"/>
    <x v="706"/>
    <n v="799.92"/>
    <n v="10"/>
    <n v="239.976"/>
    <n v="0.3"/>
    <n v="2014"/>
    <x v="1"/>
    <n v="2"/>
    <n v="79.99199999999999"/>
    <s v="Profit"/>
  </r>
  <r>
    <s v="CA-2014-115889"/>
    <d v="2014-02-11T00:00:00"/>
    <x v="1"/>
    <x v="2"/>
    <x v="1429"/>
    <n v="46.384"/>
    <n v="2"/>
    <n v="5.2182000000000004"/>
    <n v="0.1125"/>
    <n v="2014"/>
    <x v="1"/>
    <n v="2"/>
    <n v="23.192"/>
    <s v="Profit"/>
  </r>
  <r>
    <s v="CA-2014-115889"/>
    <d v="2014-02-11T00:00:00"/>
    <x v="1"/>
    <x v="1"/>
    <x v="538"/>
    <n v="362.92"/>
    <n v="2"/>
    <n v="105.24679999999999"/>
    <n v="0.28999999999999998"/>
    <n v="2014"/>
    <x v="1"/>
    <n v="2"/>
    <n v="181.46"/>
    <s v="Profit"/>
  </r>
  <r>
    <s v="CA-2014-134726"/>
    <d v="2014-02-11T00:00:00"/>
    <x v="1"/>
    <x v="2"/>
    <x v="1534"/>
    <n v="41.94"/>
    <n v="2"/>
    <n v="15.0984"/>
    <n v="0.36000000000000004"/>
    <n v="2014"/>
    <x v="1"/>
    <n v="2"/>
    <n v="20.97"/>
    <s v="Profit"/>
  </r>
  <r>
    <s v="CA-2014-134726"/>
    <d v="2014-02-11T00:00:00"/>
    <x v="1"/>
    <x v="2"/>
    <x v="660"/>
    <n v="52.792000000000002"/>
    <n v="1"/>
    <n v="4.6193"/>
    <n v="8.7499999999999994E-2"/>
    <n v="2014"/>
    <x v="1"/>
    <n v="2"/>
    <n v="52.792000000000002"/>
    <s v="Profit"/>
  </r>
  <r>
    <s v="CA-2014-112158"/>
    <d v="2014-02-12T00:00:00"/>
    <x v="0"/>
    <x v="2"/>
    <x v="295"/>
    <n v="119.96"/>
    <n v="4"/>
    <n v="52.782400000000003"/>
    <n v="0.44000000000000006"/>
    <n v="2014"/>
    <x v="1"/>
    <n v="2"/>
    <n v="29.99"/>
    <s v="Profit"/>
  </r>
  <r>
    <s v="CA-2014-112158"/>
    <d v="2014-02-12T00:00:00"/>
    <x v="0"/>
    <x v="0"/>
    <x v="1247"/>
    <n v="883.92"/>
    <n v="5"/>
    <n v="-110.49"/>
    <n v="-0.125"/>
    <n v="2014"/>
    <x v="1"/>
    <n v="2"/>
    <n v="176.78399999999999"/>
    <s v="Loss"/>
  </r>
  <r>
    <s v="CA-2014-112158"/>
    <d v="2014-02-12T00:00:00"/>
    <x v="0"/>
    <x v="1"/>
    <x v="858"/>
    <n v="46.72"/>
    <n v="8"/>
    <n v="15.768000000000001"/>
    <n v="0.33750000000000002"/>
    <n v="2014"/>
    <x v="1"/>
    <n v="2"/>
    <n v="5.84"/>
    <s v="Profit"/>
  </r>
  <r>
    <s v="US-2014-117744"/>
    <d v="2014-02-12T00:00:00"/>
    <x v="2"/>
    <x v="0"/>
    <x v="640"/>
    <n v="58.36"/>
    <n v="5"/>
    <n v="-24.803000000000001"/>
    <n v="-0.42500000000000004"/>
    <n v="2014"/>
    <x v="1"/>
    <n v="2"/>
    <n v="11.672000000000001"/>
    <s v="Loss"/>
  </r>
  <r>
    <s v="US-2014-117744"/>
    <d v="2014-02-12T00:00:00"/>
    <x v="2"/>
    <x v="1"/>
    <x v="906"/>
    <n v="16.463999999999999"/>
    <n v="7"/>
    <n v="1.4406000000000001"/>
    <n v="8.7500000000000008E-2"/>
    <n v="2014"/>
    <x v="1"/>
    <n v="2"/>
    <n v="2.3519999999999999"/>
    <s v="Profit"/>
  </r>
  <r>
    <s v="US-2014-117744"/>
    <d v="2014-02-12T00:00:00"/>
    <x v="2"/>
    <x v="0"/>
    <x v="707"/>
    <n v="39.96"/>
    <n v="5"/>
    <n v="-23.975999999999999"/>
    <n v="-0.6"/>
    <n v="2014"/>
    <x v="1"/>
    <n v="2"/>
    <n v="7.992"/>
    <s v="Loss"/>
  </r>
  <r>
    <s v="CA-2014-132864"/>
    <d v="2014-02-12T00:00:00"/>
    <x v="0"/>
    <x v="2"/>
    <x v="1305"/>
    <n v="119.8"/>
    <n v="5"/>
    <n v="29.95"/>
    <n v="0.25"/>
    <n v="2014"/>
    <x v="1"/>
    <n v="2"/>
    <n v="23.96"/>
    <s v="Profit"/>
  </r>
  <r>
    <s v="CA-2014-101147"/>
    <d v="2014-02-12T00:00:00"/>
    <x v="2"/>
    <x v="1"/>
    <x v="19"/>
    <n v="2.3940000000000001"/>
    <n v="1"/>
    <n v="-6.3441000000000001"/>
    <n v="-2.65"/>
    <n v="2014"/>
    <x v="1"/>
    <n v="2"/>
    <n v="2.3940000000000001"/>
    <s v="Loss"/>
  </r>
  <r>
    <s v="CA-2014-154095"/>
    <d v="2014-02-12T00:00:00"/>
    <x v="0"/>
    <x v="0"/>
    <x v="1535"/>
    <n v="60.72"/>
    <n v="3"/>
    <n v="23.680800000000001"/>
    <n v="0.39"/>
    <n v="2014"/>
    <x v="1"/>
    <n v="2"/>
    <n v="20.239999999999998"/>
    <s v="Profit"/>
  </r>
  <r>
    <s v="CA-2014-154095"/>
    <d v="2014-02-12T00:00:00"/>
    <x v="0"/>
    <x v="1"/>
    <x v="625"/>
    <n v="146.82"/>
    <n v="3"/>
    <n v="73.41"/>
    <n v="0.5"/>
    <n v="2014"/>
    <x v="1"/>
    <n v="2"/>
    <n v="48.94"/>
    <s v="Profit"/>
  </r>
  <r>
    <s v="CA-2014-154095"/>
    <d v="2014-02-12T00:00:00"/>
    <x v="0"/>
    <x v="0"/>
    <x v="1049"/>
    <n v="239.84"/>
    <n v="8"/>
    <n v="64.756799999999998"/>
    <n v="0.26999999999999996"/>
    <n v="2014"/>
    <x v="1"/>
    <n v="2"/>
    <n v="29.98"/>
    <s v="Profit"/>
  </r>
  <r>
    <s v="CA-2014-154095"/>
    <d v="2014-02-12T00:00:00"/>
    <x v="0"/>
    <x v="1"/>
    <x v="1334"/>
    <n v="15.66"/>
    <n v="6"/>
    <n v="7.2035999999999998"/>
    <n v="0.45999999999999996"/>
    <n v="2014"/>
    <x v="1"/>
    <n v="2"/>
    <n v="2.61"/>
    <s v="Profit"/>
  </r>
  <r>
    <s v="CA-2014-103807"/>
    <d v="2014-02-12T00:00:00"/>
    <x v="3"/>
    <x v="2"/>
    <x v="407"/>
    <n v="5.95"/>
    <n v="1"/>
    <n v="0.83299999999999996"/>
    <n v="0.13999999999999999"/>
    <n v="2014"/>
    <x v="1"/>
    <n v="2"/>
    <n v="5.95"/>
    <s v="Profit"/>
  </r>
  <r>
    <s v="CA-2014-103807"/>
    <d v="2014-02-12T00:00:00"/>
    <x v="3"/>
    <x v="1"/>
    <x v="148"/>
    <n v="15.24"/>
    <n v="3"/>
    <n v="7.1627999999999998"/>
    <n v="0.47"/>
    <n v="2014"/>
    <x v="1"/>
    <n v="2"/>
    <n v="5.08"/>
    <s v="Profit"/>
  </r>
  <r>
    <s v="CA-2014-103800"/>
    <d v="2014-03-01T00:00:00"/>
    <x v="2"/>
    <x v="1"/>
    <x v="292"/>
    <n v="16.448"/>
    <n v="2"/>
    <n v="5.5511999999999997"/>
    <n v="0.33749999999999997"/>
    <n v="2014"/>
    <x v="2"/>
    <n v="3"/>
    <n v="8.2240000000000002"/>
    <s v="Profit"/>
  </r>
  <r>
    <s v="CA-2014-111059"/>
    <d v="2014-03-02T00:00:00"/>
    <x v="1"/>
    <x v="1"/>
    <x v="1312"/>
    <n v="83.84"/>
    <n v="2"/>
    <n v="27.248000000000001"/>
    <n v="0.32500000000000001"/>
    <n v="2014"/>
    <x v="2"/>
    <n v="3"/>
    <n v="41.92"/>
    <s v="Profit"/>
  </r>
  <r>
    <s v="CA-2014-111059"/>
    <d v="2014-03-02T00:00:00"/>
    <x v="1"/>
    <x v="1"/>
    <x v="391"/>
    <n v="13.272"/>
    <n v="3"/>
    <n v="4.3133999999999997"/>
    <n v="0.32499999999999996"/>
    <n v="2014"/>
    <x v="2"/>
    <n v="3"/>
    <n v="4.4240000000000004"/>
    <s v="Profit"/>
  </r>
  <r>
    <s v="CA-2014-155852"/>
    <d v="2014-03-03T00:00:00"/>
    <x v="3"/>
    <x v="1"/>
    <x v="646"/>
    <n v="19.456"/>
    <n v="4"/>
    <n v="3.4047999999999998"/>
    <n v="0.17499999999999999"/>
    <n v="2014"/>
    <x v="2"/>
    <n v="3"/>
    <n v="4.8639999999999999"/>
    <s v="Profit"/>
  </r>
  <r>
    <s v="CA-2014-127964"/>
    <d v="2014-03-03T00:00:00"/>
    <x v="0"/>
    <x v="2"/>
    <x v="874"/>
    <n v="9.99"/>
    <n v="1"/>
    <n v="4.5953999999999997"/>
    <n v="0.45999999999999996"/>
    <n v="2014"/>
    <x v="2"/>
    <n v="3"/>
    <n v="9.99"/>
    <s v="Profit"/>
  </r>
  <r>
    <s v="CA-2014-127964"/>
    <d v="2014-03-03T00:00:00"/>
    <x v="0"/>
    <x v="1"/>
    <x v="1312"/>
    <n v="125.76"/>
    <n v="3"/>
    <n v="40.872"/>
    <n v="0.32500000000000001"/>
    <n v="2014"/>
    <x v="2"/>
    <n v="3"/>
    <n v="41.92"/>
    <s v="Profit"/>
  </r>
  <r>
    <s v="CA-2014-127964"/>
    <d v="2014-03-03T00:00:00"/>
    <x v="0"/>
    <x v="1"/>
    <x v="29"/>
    <n v="25.32"/>
    <n v="5"/>
    <n v="9.1784999999999997"/>
    <n v="0.36249999999999999"/>
    <n v="2014"/>
    <x v="2"/>
    <n v="3"/>
    <n v="5.0640000000000001"/>
    <s v="Profit"/>
  </r>
  <r>
    <s v="US-2014-127978"/>
    <d v="2014-03-03T00:00:00"/>
    <x v="0"/>
    <x v="1"/>
    <x v="1536"/>
    <n v="15.12"/>
    <n v="3"/>
    <n v="4.9139999999999997"/>
    <n v="0.32500000000000001"/>
    <n v="2014"/>
    <x v="2"/>
    <n v="3"/>
    <n v="5.04"/>
    <s v="Profit"/>
  </r>
  <r>
    <s v="US-2014-127978"/>
    <d v="2014-03-03T00:00:00"/>
    <x v="0"/>
    <x v="0"/>
    <x v="193"/>
    <n v="302.45"/>
    <n v="5"/>
    <n v="-199.61699999999999"/>
    <n v="-0.66"/>
    <n v="2014"/>
    <x v="2"/>
    <n v="3"/>
    <n v="60.489999999999995"/>
    <s v="Loss"/>
  </r>
  <r>
    <s v="US-2014-127978"/>
    <d v="2014-03-03T00:00:00"/>
    <x v="0"/>
    <x v="1"/>
    <x v="1061"/>
    <n v="44.671999999999997"/>
    <n v="8"/>
    <n v="-10.0512"/>
    <n v="-0.22500000000000001"/>
    <n v="2014"/>
    <x v="2"/>
    <n v="3"/>
    <n v="5.5839999999999996"/>
    <s v="Loss"/>
  </r>
  <r>
    <s v="CA-2014-130421"/>
    <d v="2014-03-03T00:00:00"/>
    <x v="2"/>
    <x v="1"/>
    <x v="222"/>
    <n v="176.77199999999999"/>
    <n v="3"/>
    <n v="-459.60719999999998"/>
    <n v="-2.6"/>
    <n v="2014"/>
    <x v="2"/>
    <n v="3"/>
    <n v="58.923999999999999"/>
    <s v="Loss"/>
  </r>
  <r>
    <s v="CA-2014-105648"/>
    <d v="2014-03-03T00:00:00"/>
    <x v="1"/>
    <x v="0"/>
    <x v="106"/>
    <n v="626.35199999999998"/>
    <n v="3"/>
    <n v="-23.488199999999999"/>
    <n v="-3.7499999999999999E-2"/>
    <n v="2014"/>
    <x v="2"/>
    <n v="3"/>
    <n v="208.78399999999999"/>
    <s v="Loss"/>
  </r>
  <r>
    <s v="CA-2014-112291"/>
    <d v="2014-03-04T00:00:00"/>
    <x v="1"/>
    <x v="1"/>
    <x v="11"/>
    <n v="11.16"/>
    <n v="2"/>
    <n v="5.58"/>
    <n v="0.5"/>
    <n v="2014"/>
    <x v="2"/>
    <n v="3"/>
    <n v="5.58"/>
    <s v="Profit"/>
  </r>
  <r>
    <s v="CA-2014-112291"/>
    <d v="2014-03-04T00:00:00"/>
    <x v="1"/>
    <x v="2"/>
    <x v="863"/>
    <n v="62.31"/>
    <n v="3"/>
    <n v="22.4316"/>
    <n v="0.36"/>
    <n v="2014"/>
    <x v="2"/>
    <n v="3"/>
    <n v="20.77"/>
    <s v="Profit"/>
  </r>
  <r>
    <s v="CA-2014-112291"/>
    <d v="2014-03-04T00:00:00"/>
    <x v="1"/>
    <x v="2"/>
    <x v="568"/>
    <n v="159.97999999999999"/>
    <n v="2"/>
    <n v="57.592799999999997"/>
    <n v="0.36"/>
    <n v="2014"/>
    <x v="2"/>
    <n v="3"/>
    <n v="79.989999999999995"/>
    <s v="Profit"/>
  </r>
  <r>
    <s v="CA-2014-130274"/>
    <d v="2014-03-05T00:00:00"/>
    <x v="2"/>
    <x v="1"/>
    <x v="425"/>
    <n v="21.56"/>
    <n v="7"/>
    <n v="10.348800000000001"/>
    <n v="0.48000000000000004"/>
    <n v="2014"/>
    <x v="2"/>
    <n v="3"/>
    <n v="3.0799999999999996"/>
    <s v="Profit"/>
  </r>
  <r>
    <s v="CA-2014-135755"/>
    <d v="2014-03-05T00:00:00"/>
    <x v="0"/>
    <x v="1"/>
    <x v="1370"/>
    <n v="40.176000000000002"/>
    <n v="3"/>
    <n v="14.563800000000001"/>
    <n v="0.36249999999999999"/>
    <n v="2014"/>
    <x v="2"/>
    <n v="3"/>
    <n v="13.392000000000001"/>
    <s v="Profit"/>
  </r>
  <r>
    <s v="CA-2014-135755"/>
    <d v="2014-03-05T00:00:00"/>
    <x v="0"/>
    <x v="1"/>
    <x v="1030"/>
    <n v="10.896000000000001"/>
    <n v="3"/>
    <n v="3.9498000000000002"/>
    <n v="0.36249999999999999"/>
    <n v="2014"/>
    <x v="2"/>
    <n v="3"/>
    <n v="3.6320000000000001"/>
    <s v="Profit"/>
  </r>
  <r>
    <s v="CA-2014-135657"/>
    <d v="2014-03-06T00:00:00"/>
    <x v="1"/>
    <x v="0"/>
    <x v="479"/>
    <n v="515.88"/>
    <n v="6"/>
    <n v="113.4936"/>
    <n v="0.22"/>
    <n v="2014"/>
    <x v="2"/>
    <n v="3"/>
    <n v="85.98"/>
    <s v="Profit"/>
  </r>
  <r>
    <s v="CA-2014-141299"/>
    <d v="2014-03-06T00:00:00"/>
    <x v="2"/>
    <x v="1"/>
    <x v="1318"/>
    <n v="15.28"/>
    <n v="2"/>
    <n v="7.4871999999999996"/>
    <n v="0.49"/>
    <n v="2014"/>
    <x v="2"/>
    <n v="3"/>
    <n v="7.64"/>
    <s v="Profit"/>
  </r>
  <r>
    <s v="CA-2014-163867"/>
    <d v="2014-03-06T00:00:00"/>
    <x v="2"/>
    <x v="1"/>
    <x v="333"/>
    <n v="15.936"/>
    <n v="4"/>
    <n v="5.1791999999999998"/>
    <n v="0.32500000000000001"/>
    <n v="2014"/>
    <x v="2"/>
    <n v="3"/>
    <n v="3.984"/>
    <s v="Profit"/>
  </r>
  <r>
    <s v="CA-2014-163867"/>
    <d v="2014-03-06T00:00:00"/>
    <x v="2"/>
    <x v="0"/>
    <x v="811"/>
    <n v="61.543999999999997"/>
    <n v="7"/>
    <n v="-40.003599999999999"/>
    <n v="-0.65"/>
    <n v="2014"/>
    <x v="2"/>
    <n v="3"/>
    <n v="8.7919999999999998"/>
    <s v="Loss"/>
  </r>
  <r>
    <s v="CA-2014-163867"/>
    <d v="2014-03-06T00:00:00"/>
    <x v="2"/>
    <x v="1"/>
    <x v="448"/>
    <n v="132.696"/>
    <n v="3"/>
    <n v="9.9521999999999995"/>
    <n v="7.4999999999999997E-2"/>
    <n v="2014"/>
    <x v="2"/>
    <n v="3"/>
    <n v="44.231999999999999"/>
    <s v="Profit"/>
  </r>
  <r>
    <s v="CA-2014-133690"/>
    <d v="2014-03-08T00:00:00"/>
    <x v="1"/>
    <x v="0"/>
    <x v="650"/>
    <n v="218.75"/>
    <n v="2"/>
    <n v="-161.875"/>
    <n v="-0.74"/>
    <n v="2014"/>
    <x v="2"/>
    <n v="3"/>
    <n v="109.375"/>
    <s v="Loss"/>
  </r>
  <r>
    <s v="CA-2014-133690"/>
    <d v="2014-03-08T00:00:00"/>
    <x v="1"/>
    <x v="1"/>
    <x v="275"/>
    <n v="2.6"/>
    <n v="1"/>
    <n v="0.29249999999999998"/>
    <n v="0.11249999999999999"/>
    <n v="2014"/>
    <x v="2"/>
    <n v="3"/>
    <n v="2.6"/>
    <s v="Profit"/>
  </r>
  <r>
    <s v="CA-2014-125612"/>
    <d v="2014-03-08T00:00:00"/>
    <x v="0"/>
    <x v="1"/>
    <x v="750"/>
    <n v="39.96"/>
    <n v="2"/>
    <n v="18.781199999999998"/>
    <n v="0.47"/>
    <n v="2014"/>
    <x v="2"/>
    <n v="3"/>
    <n v="19.98"/>
    <s v="Profit"/>
  </r>
  <r>
    <s v="CA-2014-125612"/>
    <d v="2014-03-08T00:00:00"/>
    <x v="0"/>
    <x v="1"/>
    <x v="1111"/>
    <n v="102.3"/>
    <n v="10"/>
    <n v="26.597999999999999"/>
    <n v="0.26"/>
    <n v="2014"/>
    <x v="2"/>
    <n v="3"/>
    <n v="10.23"/>
    <s v="Profit"/>
  </r>
  <r>
    <s v="CA-2014-125612"/>
    <d v="2014-03-08T00:00:00"/>
    <x v="0"/>
    <x v="1"/>
    <x v="554"/>
    <n v="21.36"/>
    <n v="2"/>
    <n v="5.7671999999999999"/>
    <n v="0.27"/>
    <n v="2014"/>
    <x v="2"/>
    <n v="3"/>
    <n v="10.68"/>
    <s v="Profit"/>
  </r>
  <r>
    <s v="CA-2014-128986"/>
    <d v="2014-03-08T00:00:00"/>
    <x v="1"/>
    <x v="1"/>
    <x v="1094"/>
    <n v="93.024000000000001"/>
    <n v="3"/>
    <n v="33.721200000000003"/>
    <n v="0.36250000000000004"/>
    <n v="2014"/>
    <x v="2"/>
    <n v="3"/>
    <n v="31.007999999999999"/>
    <s v="Profit"/>
  </r>
  <r>
    <s v="CA-2014-125171"/>
    <d v="2014-03-09T00:00:00"/>
    <x v="0"/>
    <x v="1"/>
    <x v="1460"/>
    <n v="14.4"/>
    <n v="5"/>
    <n v="7.056"/>
    <n v="0.49"/>
    <n v="2014"/>
    <x v="2"/>
    <n v="3"/>
    <n v="2.88"/>
    <s v="Profit"/>
  </r>
  <r>
    <s v="US-2014-120236"/>
    <d v="2014-03-09T00:00:00"/>
    <x v="2"/>
    <x v="1"/>
    <x v="797"/>
    <n v="7.68"/>
    <n v="5"/>
    <n v="-11.52"/>
    <n v="-1.5"/>
    <n v="2014"/>
    <x v="2"/>
    <n v="3"/>
    <n v="1.536"/>
    <s v="Loss"/>
  </r>
  <r>
    <s v="CA-2014-153976"/>
    <d v="2014-03-10T00:00:00"/>
    <x v="2"/>
    <x v="0"/>
    <x v="474"/>
    <n v="258.279"/>
    <n v="3"/>
    <n v="-70.104299999999995"/>
    <n v="-0.27142857142857141"/>
    <n v="2014"/>
    <x v="2"/>
    <n v="3"/>
    <n v="86.093000000000004"/>
    <s v="Loss"/>
  </r>
  <r>
    <s v="CA-2014-157882"/>
    <d v="2014-03-10T00:00:00"/>
    <x v="1"/>
    <x v="0"/>
    <x v="1519"/>
    <n v="143.43199999999999"/>
    <n v="1"/>
    <n v="3.5857999999999999"/>
    <n v="2.5000000000000001E-2"/>
    <n v="2014"/>
    <x v="2"/>
    <n v="3"/>
    <n v="143.43199999999999"/>
    <s v="Profit"/>
  </r>
  <r>
    <s v="CA-2014-157882"/>
    <d v="2014-03-10T00:00:00"/>
    <x v="1"/>
    <x v="0"/>
    <x v="1232"/>
    <n v="122.352"/>
    <n v="3"/>
    <n v="13.7646"/>
    <n v="0.11249999999999999"/>
    <n v="2014"/>
    <x v="2"/>
    <n v="3"/>
    <n v="40.783999999999999"/>
    <s v="Profit"/>
  </r>
  <r>
    <s v="US-2014-155817"/>
    <d v="2014-03-10T00:00:00"/>
    <x v="3"/>
    <x v="1"/>
    <x v="436"/>
    <n v="61.567999999999998"/>
    <n v="2"/>
    <n v="4.6176000000000004"/>
    <n v="7.5000000000000011E-2"/>
    <n v="2014"/>
    <x v="2"/>
    <n v="3"/>
    <n v="30.783999999999999"/>
    <s v="Profit"/>
  </r>
  <r>
    <s v="US-2014-155817"/>
    <d v="2014-03-10T00:00:00"/>
    <x v="3"/>
    <x v="1"/>
    <x v="400"/>
    <n v="6.1920000000000002"/>
    <n v="3"/>
    <n v="0.46439999999999998"/>
    <n v="7.4999999999999997E-2"/>
    <n v="2014"/>
    <x v="2"/>
    <n v="3"/>
    <n v="2.0640000000000001"/>
    <s v="Profit"/>
  </r>
  <r>
    <s v="CA-2014-108903"/>
    <d v="2014-03-10T00:00:00"/>
    <x v="0"/>
    <x v="1"/>
    <x v="347"/>
    <n v="55.984000000000002"/>
    <n v="2"/>
    <n v="4.1988000000000003"/>
    <n v="7.4999999999999997E-2"/>
    <n v="2014"/>
    <x v="2"/>
    <n v="3"/>
    <n v="27.992000000000001"/>
    <s v="Profit"/>
  </r>
  <r>
    <s v="CA-2014-108903"/>
    <d v="2014-03-10T00:00:00"/>
    <x v="0"/>
    <x v="1"/>
    <x v="805"/>
    <n v="14.48"/>
    <n v="5"/>
    <n v="4.8869999999999996"/>
    <n v="0.33749999999999997"/>
    <n v="2014"/>
    <x v="2"/>
    <n v="3"/>
    <n v="2.8959999999999999"/>
    <s v="Profit"/>
  </r>
  <r>
    <s v="CA-2014-108903"/>
    <d v="2014-03-10T00:00:00"/>
    <x v="0"/>
    <x v="2"/>
    <x v="680"/>
    <n v="142.488"/>
    <n v="3"/>
    <n v="-3.5621999999999998"/>
    <n v="-2.4999999999999998E-2"/>
    <n v="2014"/>
    <x v="2"/>
    <n v="3"/>
    <n v="47.496000000000002"/>
    <s v="Loss"/>
  </r>
  <r>
    <s v="CA-2014-120775"/>
    <d v="2014-03-10T00:00:00"/>
    <x v="2"/>
    <x v="1"/>
    <x v="983"/>
    <n v="4.3440000000000003"/>
    <n v="3"/>
    <n v="0.86880000000000002"/>
    <n v="0.19999999999999998"/>
    <n v="2014"/>
    <x v="2"/>
    <n v="3"/>
    <n v="1.4480000000000002"/>
    <s v="Profit"/>
  </r>
  <r>
    <s v="CA-2014-120775"/>
    <d v="2014-03-10T00:00:00"/>
    <x v="2"/>
    <x v="0"/>
    <x v="1268"/>
    <n v="31.776"/>
    <n v="3"/>
    <n v="-19.0656"/>
    <n v="-0.6"/>
    <n v="2014"/>
    <x v="2"/>
    <n v="3"/>
    <n v="10.592000000000001"/>
    <s v="Loss"/>
  </r>
  <r>
    <s v="CA-2014-120775"/>
    <d v="2014-03-10T00:00:00"/>
    <x v="2"/>
    <x v="1"/>
    <x v="883"/>
    <n v="4.9279999999999999"/>
    <n v="2"/>
    <n v="1.7248000000000001"/>
    <n v="0.35000000000000003"/>
    <n v="2014"/>
    <x v="2"/>
    <n v="3"/>
    <n v="2.464"/>
    <s v="Profit"/>
  </r>
  <r>
    <s v="CA-2014-120775"/>
    <d v="2014-03-10T00:00:00"/>
    <x v="2"/>
    <x v="1"/>
    <x v="1537"/>
    <n v="1.788"/>
    <n v="3"/>
    <n v="-3.0396000000000001"/>
    <n v="-1.7"/>
    <n v="2014"/>
    <x v="2"/>
    <n v="3"/>
    <n v="0.59599999999999997"/>
    <s v="Loss"/>
  </r>
  <r>
    <s v="CA-2014-120775"/>
    <d v="2014-03-10T00:00:00"/>
    <x v="2"/>
    <x v="1"/>
    <x v="1521"/>
    <n v="15.071999999999999"/>
    <n v="4"/>
    <n v="-3.7679999999999998"/>
    <n v="-0.25"/>
    <n v="2014"/>
    <x v="2"/>
    <n v="3"/>
    <n v="3.7679999999999998"/>
    <s v="Loss"/>
  </r>
  <r>
    <s v="CA-2014-137589"/>
    <d v="2014-03-11T00:00:00"/>
    <x v="0"/>
    <x v="1"/>
    <x v="879"/>
    <n v="286.34399999999999"/>
    <n v="3"/>
    <n v="-64.427400000000006"/>
    <n v="-0.22500000000000003"/>
    <n v="2014"/>
    <x v="2"/>
    <n v="3"/>
    <n v="95.447999999999993"/>
    <s v="Loss"/>
  </r>
  <r>
    <s v="CA-2014-121573"/>
    <d v="2014-03-11T00:00:00"/>
    <x v="0"/>
    <x v="2"/>
    <x v="1468"/>
    <n v="783.96"/>
    <n v="4"/>
    <n v="219.50880000000001"/>
    <n v="0.27999999999999997"/>
    <n v="2014"/>
    <x v="2"/>
    <n v="3"/>
    <n v="195.99"/>
    <s v="Profit"/>
  </r>
  <r>
    <s v="CA-2014-121573"/>
    <d v="2014-03-11T00:00:00"/>
    <x v="0"/>
    <x v="1"/>
    <x v="918"/>
    <n v="48.896000000000001"/>
    <n v="2"/>
    <n v="18.335999999999999"/>
    <n v="0.37499999999999994"/>
    <n v="2014"/>
    <x v="2"/>
    <n v="3"/>
    <n v="24.448"/>
    <s v="Profit"/>
  </r>
  <r>
    <s v="CA-2014-121573"/>
    <d v="2014-03-11T00:00:00"/>
    <x v="0"/>
    <x v="1"/>
    <x v="767"/>
    <n v="7.8559999999999999"/>
    <n v="2"/>
    <n v="2.8477999999999999"/>
    <n v="0.36249999999999999"/>
    <n v="2014"/>
    <x v="2"/>
    <n v="3"/>
    <n v="3.9279999999999999"/>
    <s v="Profit"/>
  </r>
  <r>
    <s v="CA-2014-155593"/>
    <d v="2014-03-11T00:00:00"/>
    <x v="0"/>
    <x v="1"/>
    <x v="1538"/>
    <n v="11.64"/>
    <n v="3"/>
    <n v="3.3755999999999999"/>
    <n v="0.28999999999999998"/>
    <n v="2014"/>
    <x v="2"/>
    <n v="3"/>
    <n v="3.8800000000000003"/>
    <s v="Profit"/>
  </r>
  <r>
    <s v="CA-2014-146731"/>
    <d v="2014-03-11T00:00:00"/>
    <x v="3"/>
    <x v="1"/>
    <x v="1399"/>
    <n v="3.488"/>
    <n v="2"/>
    <n v="1.1772"/>
    <n v="0.33750000000000002"/>
    <n v="2014"/>
    <x v="2"/>
    <n v="3"/>
    <n v="1.744"/>
    <s v="Profit"/>
  </r>
  <r>
    <s v="CA-2014-146731"/>
    <d v="2014-03-11T00:00:00"/>
    <x v="3"/>
    <x v="1"/>
    <x v="750"/>
    <n v="143.85599999999999"/>
    <n v="9"/>
    <n v="48.551400000000001"/>
    <n v="0.33750000000000002"/>
    <n v="2014"/>
    <x v="2"/>
    <n v="3"/>
    <n v="15.984"/>
    <s v="Profit"/>
  </r>
  <r>
    <s v="CA-2014-165764"/>
    <d v="2014-03-11T00:00:00"/>
    <x v="3"/>
    <x v="1"/>
    <x v="995"/>
    <n v="25.984000000000002"/>
    <n v="2"/>
    <n v="-1.6240000000000001"/>
    <n v="-6.25E-2"/>
    <n v="2014"/>
    <x v="2"/>
    <n v="3"/>
    <n v="12.992000000000001"/>
    <s v="Loss"/>
  </r>
  <r>
    <s v="CA-2014-165764"/>
    <d v="2014-03-11T00:00:00"/>
    <x v="3"/>
    <x v="0"/>
    <x v="987"/>
    <n v="945.03599999999994"/>
    <n v="6"/>
    <n v="-299.26139999999998"/>
    <n v="-0.31666666666666665"/>
    <n v="2014"/>
    <x v="2"/>
    <n v="3"/>
    <n v="157.506"/>
    <s v="Loss"/>
  </r>
  <r>
    <s v="CA-2014-165764"/>
    <d v="2014-03-11T00:00:00"/>
    <x v="3"/>
    <x v="1"/>
    <x v="346"/>
    <n v="14.301"/>
    <n v="7"/>
    <n v="-10.487399999999999"/>
    <n v="-0.73333333333333328"/>
    <n v="2014"/>
    <x v="2"/>
    <n v="3"/>
    <n v="2.0430000000000001"/>
    <s v="Loss"/>
  </r>
  <r>
    <s v="CA-2014-165764"/>
    <d v="2014-03-11T00:00:00"/>
    <x v="3"/>
    <x v="0"/>
    <x v="796"/>
    <n v="410.35199999999998"/>
    <n v="3"/>
    <n v="-51.293999999999997"/>
    <n v="-0.125"/>
    <n v="2014"/>
    <x v="2"/>
    <n v="3"/>
    <n v="136.78399999999999"/>
    <s v="Loss"/>
  </r>
  <r>
    <s v="CA-2014-119529"/>
    <d v="2014-03-11T00:00:00"/>
    <x v="0"/>
    <x v="1"/>
    <x v="179"/>
    <n v="5.76"/>
    <n v="2"/>
    <n v="2.8224"/>
    <n v="0.49000000000000005"/>
    <n v="2014"/>
    <x v="2"/>
    <n v="3"/>
    <n v="2.88"/>
    <s v="Profit"/>
  </r>
  <r>
    <s v="US-2014-124625"/>
    <d v="2014-03-11T00:00:00"/>
    <x v="2"/>
    <x v="2"/>
    <x v="1300"/>
    <n v="89.97"/>
    <n v="3"/>
    <n v="18.893699999999999"/>
    <n v="0.21"/>
    <n v="2014"/>
    <x v="2"/>
    <n v="3"/>
    <n v="29.99"/>
    <s v="Profit"/>
  </r>
  <r>
    <s v="CA-2014-153619"/>
    <d v="2014-03-11T00:00:00"/>
    <x v="1"/>
    <x v="1"/>
    <x v="229"/>
    <n v="6.72"/>
    <n v="4"/>
    <n v="3.36"/>
    <n v="0.5"/>
    <n v="2014"/>
    <x v="2"/>
    <n v="3"/>
    <n v="1.68"/>
    <s v="Profit"/>
  </r>
  <r>
    <s v="CA-2014-122749"/>
    <d v="2014-03-12T00:00:00"/>
    <x v="2"/>
    <x v="2"/>
    <x v="604"/>
    <n v="479.96"/>
    <n v="4"/>
    <n v="134.3888"/>
    <n v="0.28000000000000003"/>
    <n v="2014"/>
    <x v="2"/>
    <n v="3"/>
    <n v="119.99"/>
    <s v="Profit"/>
  </r>
  <r>
    <s v="CA-2014-164861"/>
    <d v="2014-03-12T00:00:00"/>
    <x v="2"/>
    <x v="1"/>
    <x v="89"/>
    <n v="25.92"/>
    <n v="4"/>
    <n v="12.441599999999999"/>
    <n v="0.47999999999999993"/>
    <n v="2014"/>
    <x v="2"/>
    <n v="3"/>
    <n v="6.48"/>
    <s v="Profit"/>
  </r>
  <r>
    <s v="CA-2014-112326"/>
    <d v="2014-04-01T00:00:00"/>
    <x v="2"/>
    <x v="1"/>
    <x v="1099"/>
    <n v="11.784000000000001"/>
    <n v="3"/>
    <n v="4.2717000000000001"/>
    <n v="0.36249999999999999"/>
    <n v="2014"/>
    <x v="3"/>
    <n v="4"/>
    <n v="3.9280000000000004"/>
    <s v="Profit"/>
  </r>
  <r>
    <s v="CA-2014-112326"/>
    <d v="2014-04-01T00:00:00"/>
    <x v="2"/>
    <x v="1"/>
    <x v="3"/>
    <n v="272.73599999999999"/>
    <n v="3"/>
    <n v="-64.774799999999999"/>
    <n v="-0.23750000000000002"/>
    <n v="2014"/>
    <x v="3"/>
    <n v="4"/>
    <n v="90.911999999999992"/>
    <s v="Loss"/>
  </r>
  <r>
    <s v="CA-2014-112326"/>
    <d v="2014-04-01T00:00:00"/>
    <x v="2"/>
    <x v="1"/>
    <x v="1539"/>
    <n v="3.54"/>
    <n v="2"/>
    <n v="-5.4870000000000001"/>
    <n v="-1.55"/>
    <n v="2014"/>
    <x v="3"/>
    <n v="4"/>
    <n v="1.77"/>
    <s v="Loss"/>
  </r>
  <r>
    <s v="CA-2014-107181"/>
    <d v="2014-04-02T00:00:00"/>
    <x v="1"/>
    <x v="1"/>
    <x v="1502"/>
    <n v="82.896000000000001"/>
    <n v="3"/>
    <n v="29.0136"/>
    <n v="0.35"/>
    <n v="2014"/>
    <x v="3"/>
    <n v="4"/>
    <n v="27.632000000000001"/>
    <s v="Profit"/>
  </r>
  <r>
    <s v="CA-2014-107181"/>
    <d v="2014-04-02T00:00:00"/>
    <x v="1"/>
    <x v="1"/>
    <x v="1540"/>
    <n v="34.24"/>
    <n v="4"/>
    <n v="16.0928"/>
    <n v="0.47"/>
    <n v="2014"/>
    <x v="3"/>
    <n v="4"/>
    <n v="8.56"/>
    <s v="Profit"/>
  </r>
  <r>
    <s v="CA-2014-104808"/>
    <d v="2014-04-02T00:00:00"/>
    <x v="1"/>
    <x v="1"/>
    <x v="32"/>
    <n v="17.248000000000001"/>
    <n v="2"/>
    <n v="6.0368000000000004"/>
    <n v="0.35"/>
    <n v="2014"/>
    <x v="3"/>
    <n v="4"/>
    <n v="8.6240000000000006"/>
    <s v="Profit"/>
  </r>
  <r>
    <s v="CA-2014-116239"/>
    <d v="2014-04-03T00:00:00"/>
    <x v="3"/>
    <x v="1"/>
    <x v="690"/>
    <n v="354.9"/>
    <n v="5"/>
    <n v="17.745000000000001"/>
    <n v="0.05"/>
    <n v="2014"/>
    <x v="3"/>
    <n v="4"/>
    <n v="70.97999999999999"/>
    <s v="Profit"/>
  </r>
  <r>
    <s v="CA-2014-117016"/>
    <d v="2014-04-03T00:00:00"/>
    <x v="3"/>
    <x v="1"/>
    <x v="639"/>
    <n v="15.552"/>
    <n v="3"/>
    <n v="2.3328000000000002"/>
    <n v="0.15000000000000002"/>
    <n v="2014"/>
    <x v="3"/>
    <n v="4"/>
    <n v="5.1840000000000002"/>
    <s v="Profit"/>
  </r>
  <r>
    <s v="CA-2014-105172"/>
    <d v="2014-04-04T00:00:00"/>
    <x v="1"/>
    <x v="1"/>
    <x v="154"/>
    <n v="18.899999999999999"/>
    <n v="6"/>
    <n v="9.0719999999999992"/>
    <n v="0.48"/>
    <n v="2014"/>
    <x v="3"/>
    <n v="4"/>
    <n v="3.15"/>
    <s v="Profit"/>
  </r>
  <r>
    <s v="CA-2014-133228"/>
    <d v="2014-04-04T00:00:00"/>
    <x v="2"/>
    <x v="0"/>
    <x v="223"/>
    <n v="5.47"/>
    <n v="1"/>
    <n v="2.3521000000000001"/>
    <n v="0.43000000000000005"/>
    <n v="2014"/>
    <x v="3"/>
    <n v="4"/>
    <n v="5.47"/>
    <s v="Profit"/>
  </r>
  <r>
    <s v="CA-2014-133228"/>
    <d v="2014-04-04T00:00:00"/>
    <x v="2"/>
    <x v="1"/>
    <x v="104"/>
    <n v="79.36"/>
    <n v="4"/>
    <n v="23.808"/>
    <n v="0.3"/>
    <n v="2014"/>
    <x v="3"/>
    <n v="4"/>
    <n v="19.84"/>
    <s v="Profit"/>
  </r>
  <r>
    <s v="US-2014-128685"/>
    <d v="2014-04-04T00:00:00"/>
    <x v="1"/>
    <x v="1"/>
    <x v="778"/>
    <n v="7.1840000000000002"/>
    <n v="2"/>
    <n v="2.2450000000000001"/>
    <n v="0.3125"/>
    <n v="2014"/>
    <x v="3"/>
    <n v="4"/>
    <n v="3.5920000000000001"/>
    <s v="Profit"/>
  </r>
  <r>
    <s v="CA-2014-149538"/>
    <d v="2014-04-04T00:00:00"/>
    <x v="3"/>
    <x v="1"/>
    <x v="739"/>
    <n v="232.55"/>
    <n v="5"/>
    <n v="9.3019999999999996"/>
    <n v="3.9999999999999994E-2"/>
    <n v="2014"/>
    <x v="3"/>
    <n v="4"/>
    <n v="46.510000000000005"/>
    <s v="Profit"/>
  </r>
  <r>
    <s v="CA-2014-149538"/>
    <d v="2014-04-04T00:00:00"/>
    <x v="3"/>
    <x v="2"/>
    <x v="259"/>
    <n v="99.98"/>
    <n v="2"/>
    <n v="42.991399999999999"/>
    <n v="0.43"/>
    <n v="2014"/>
    <x v="3"/>
    <n v="4"/>
    <n v="49.99"/>
    <s v="Profit"/>
  </r>
  <r>
    <s v="CA-2014-149538"/>
    <d v="2014-04-04T00:00:00"/>
    <x v="3"/>
    <x v="1"/>
    <x v="900"/>
    <n v="19.440000000000001"/>
    <n v="3"/>
    <n v="9.3312000000000008"/>
    <n v="0.48000000000000004"/>
    <n v="2014"/>
    <x v="3"/>
    <n v="4"/>
    <n v="6.48"/>
    <s v="Profit"/>
  </r>
  <r>
    <s v="CA-2014-149538"/>
    <d v="2014-04-04T00:00:00"/>
    <x v="3"/>
    <x v="1"/>
    <x v="463"/>
    <n v="12.96"/>
    <n v="2"/>
    <n v="6.3503999999999996"/>
    <n v="0.48999999999999994"/>
    <n v="2014"/>
    <x v="3"/>
    <n v="4"/>
    <n v="6.48"/>
    <s v="Profit"/>
  </r>
  <r>
    <s v="CA-2014-117709"/>
    <d v="2014-04-05T00:00:00"/>
    <x v="2"/>
    <x v="1"/>
    <x v="13"/>
    <n v="46.8"/>
    <n v="4"/>
    <n v="21.06"/>
    <n v="0.45"/>
    <n v="2014"/>
    <x v="3"/>
    <n v="4"/>
    <n v="11.7"/>
    <s v="Profit"/>
  </r>
  <r>
    <s v="CA-2014-155271"/>
    <d v="2014-04-05T00:00:00"/>
    <x v="0"/>
    <x v="0"/>
    <x v="892"/>
    <n v="27.46"/>
    <n v="2"/>
    <n v="9.8856000000000002"/>
    <n v="0.36"/>
    <n v="2014"/>
    <x v="3"/>
    <n v="4"/>
    <n v="13.73"/>
    <s v="Profit"/>
  </r>
  <r>
    <s v="CA-2014-111899"/>
    <d v="2014-04-05T00:00:00"/>
    <x v="2"/>
    <x v="1"/>
    <x v="1541"/>
    <n v="37.840000000000003"/>
    <n v="2"/>
    <n v="2.8380000000000001"/>
    <n v="7.4999999999999997E-2"/>
    <n v="2014"/>
    <x v="3"/>
    <n v="4"/>
    <n v="18.920000000000002"/>
    <s v="Profit"/>
  </r>
  <r>
    <s v="CA-2014-111899"/>
    <d v="2014-04-05T00:00:00"/>
    <x v="2"/>
    <x v="1"/>
    <x v="1542"/>
    <n v="5.4720000000000004"/>
    <n v="6"/>
    <n v="1.8468"/>
    <n v="0.33749999999999997"/>
    <n v="2014"/>
    <x v="3"/>
    <n v="4"/>
    <n v="0.91200000000000003"/>
    <s v="Profit"/>
  </r>
  <r>
    <s v="US-2014-148194"/>
    <d v="2014-04-05T00:00:00"/>
    <x v="1"/>
    <x v="0"/>
    <x v="1301"/>
    <n v="12.18"/>
    <n v="7"/>
    <n v="3.8976000000000002"/>
    <n v="0.32"/>
    <n v="2014"/>
    <x v="3"/>
    <n v="4"/>
    <n v="1.74"/>
    <s v="Profit"/>
  </r>
  <r>
    <s v="US-2014-148194"/>
    <d v="2014-04-05T00:00:00"/>
    <x v="1"/>
    <x v="1"/>
    <x v="606"/>
    <n v="57.68"/>
    <n v="4"/>
    <n v="19.034400000000002"/>
    <n v="0.33"/>
    <n v="2014"/>
    <x v="3"/>
    <n v="4"/>
    <n v="14.42"/>
    <s v="Profit"/>
  </r>
  <r>
    <s v="CA-2014-147914"/>
    <d v="2014-04-06T00:00:00"/>
    <x v="0"/>
    <x v="1"/>
    <x v="124"/>
    <n v="16.224"/>
    <n v="2"/>
    <n v="5.8811999999999998"/>
    <n v="0.36249999999999999"/>
    <n v="2014"/>
    <x v="3"/>
    <n v="4"/>
    <n v="8.1120000000000001"/>
    <s v="Profit"/>
  </r>
  <r>
    <s v="CA-2014-151946"/>
    <d v="2014-04-06T00:00:00"/>
    <x v="0"/>
    <x v="0"/>
    <x v="1427"/>
    <n v="56.96"/>
    <n v="2"/>
    <n v="21.075199999999999"/>
    <n v="0.37"/>
    <n v="2014"/>
    <x v="3"/>
    <n v="4"/>
    <n v="28.48"/>
    <s v="Profit"/>
  </r>
  <r>
    <s v="CA-2014-151946"/>
    <d v="2014-04-06T00:00:00"/>
    <x v="0"/>
    <x v="1"/>
    <x v="845"/>
    <n v="15.56"/>
    <n v="4"/>
    <n v="4.0456000000000003"/>
    <n v="0.26"/>
    <n v="2014"/>
    <x v="3"/>
    <n v="4"/>
    <n v="3.89"/>
    <s v="Profit"/>
  </r>
  <r>
    <s v="CA-2014-151946"/>
    <d v="2014-04-06T00:00:00"/>
    <x v="0"/>
    <x v="0"/>
    <x v="1247"/>
    <n v="353.56799999999998"/>
    <n v="2"/>
    <n v="-44.195999999999998"/>
    <n v="-0.125"/>
    <n v="2014"/>
    <x v="3"/>
    <n v="4"/>
    <n v="176.78399999999999"/>
    <s v="Loss"/>
  </r>
  <r>
    <s v="CA-2014-151946"/>
    <d v="2014-04-06T00:00:00"/>
    <x v="0"/>
    <x v="0"/>
    <x v="1418"/>
    <n v="13.96"/>
    <n v="2"/>
    <n v="6.7008000000000001"/>
    <n v="0.48"/>
    <n v="2014"/>
    <x v="3"/>
    <n v="4"/>
    <n v="6.98"/>
    <s v="Profit"/>
  </r>
  <r>
    <s v="CA-2014-120096"/>
    <d v="2014-04-07T00:00:00"/>
    <x v="1"/>
    <x v="1"/>
    <x v="1006"/>
    <n v="177.536"/>
    <n v="4"/>
    <n v="62.137599999999999"/>
    <n v="0.35"/>
    <n v="2014"/>
    <x v="3"/>
    <n v="4"/>
    <n v="44.384"/>
    <s v="Profit"/>
  </r>
  <r>
    <s v="CA-2014-120096"/>
    <d v="2014-04-07T00:00:00"/>
    <x v="1"/>
    <x v="1"/>
    <x v="629"/>
    <n v="32.432000000000002"/>
    <n v="2"/>
    <n v="3.2431999999999999"/>
    <n v="9.9999999999999992E-2"/>
    <n v="2014"/>
    <x v="3"/>
    <n v="4"/>
    <n v="16.216000000000001"/>
    <s v="Profit"/>
  </r>
  <r>
    <s v="CA-2014-138709"/>
    <d v="2014-04-07T00:00:00"/>
    <x v="3"/>
    <x v="1"/>
    <x v="1543"/>
    <n v="21.84"/>
    <n v="3"/>
    <n v="10.92"/>
    <n v="0.5"/>
    <n v="2014"/>
    <x v="3"/>
    <n v="4"/>
    <n v="7.28"/>
    <s v="Profit"/>
  </r>
  <r>
    <s v="CA-2014-138709"/>
    <d v="2014-04-07T00:00:00"/>
    <x v="3"/>
    <x v="1"/>
    <x v="497"/>
    <n v="15.6"/>
    <n v="5"/>
    <n v="7.6440000000000001"/>
    <n v="0.49000000000000005"/>
    <n v="2014"/>
    <x v="3"/>
    <n v="4"/>
    <n v="3.12"/>
    <s v="Profit"/>
  </r>
  <r>
    <s v="CA-2014-126361"/>
    <d v="2014-04-08T00:00:00"/>
    <x v="1"/>
    <x v="1"/>
    <x v="681"/>
    <n v="1089.75"/>
    <n v="3"/>
    <n v="305.13"/>
    <n v="0.27999999999999997"/>
    <n v="2014"/>
    <x v="3"/>
    <n v="4"/>
    <n v="363.25"/>
    <s v="Profit"/>
  </r>
  <r>
    <s v="CA-2014-126361"/>
    <d v="2014-04-08T00:00:00"/>
    <x v="1"/>
    <x v="1"/>
    <x v="367"/>
    <n v="447.84"/>
    <n v="8"/>
    <n v="219.44159999999999"/>
    <n v="0.49"/>
    <n v="2014"/>
    <x v="3"/>
    <n v="4"/>
    <n v="55.98"/>
    <s v="Profit"/>
  </r>
  <r>
    <s v="CA-2014-126361"/>
    <d v="2014-04-08T00:00:00"/>
    <x v="1"/>
    <x v="1"/>
    <x v="1121"/>
    <n v="16.399999999999999"/>
    <n v="5"/>
    <n v="4.2640000000000002"/>
    <n v="0.26000000000000006"/>
    <n v="2014"/>
    <x v="3"/>
    <n v="4"/>
    <n v="3.28"/>
    <s v="Profit"/>
  </r>
  <r>
    <s v="CA-2014-126361"/>
    <d v="2014-04-08T00:00:00"/>
    <x v="1"/>
    <x v="2"/>
    <x v="1181"/>
    <n v="399.96"/>
    <n v="5"/>
    <n v="34.996499999999997"/>
    <n v="8.7499999999999994E-2"/>
    <n v="2014"/>
    <x v="3"/>
    <n v="4"/>
    <n v="79.99199999999999"/>
    <s v="Profit"/>
  </r>
  <r>
    <s v="CA-2014-126361"/>
    <d v="2014-04-08T00:00:00"/>
    <x v="1"/>
    <x v="1"/>
    <x v="734"/>
    <n v="158.9"/>
    <n v="5"/>
    <n v="7.9450000000000003"/>
    <n v="0.05"/>
    <n v="2014"/>
    <x v="3"/>
    <n v="4"/>
    <n v="31.78"/>
    <s v="Profit"/>
  </r>
  <r>
    <s v="CA-2014-126361"/>
    <d v="2014-04-08T00:00:00"/>
    <x v="1"/>
    <x v="1"/>
    <x v="1230"/>
    <n v="13.183999999999999"/>
    <n v="1"/>
    <n v="4.7792000000000003"/>
    <n v="0.36250000000000004"/>
    <n v="2014"/>
    <x v="3"/>
    <n v="4"/>
    <n v="13.183999999999999"/>
    <s v="Profit"/>
  </r>
  <r>
    <s v="CA-2014-134215"/>
    <d v="2014-04-08T00:00:00"/>
    <x v="0"/>
    <x v="1"/>
    <x v="495"/>
    <n v="101.96"/>
    <n v="2"/>
    <n v="27.529199999999999"/>
    <n v="0.27"/>
    <n v="2014"/>
    <x v="3"/>
    <n v="4"/>
    <n v="50.98"/>
    <s v="Profit"/>
  </r>
  <r>
    <s v="CA-2014-134215"/>
    <d v="2014-04-08T00:00:00"/>
    <x v="0"/>
    <x v="1"/>
    <x v="1079"/>
    <n v="259.74"/>
    <n v="13"/>
    <n v="124.6752"/>
    <n v="0.48"/>
    <n v="2014"/>
    <x v="3"/>
    <n v="4"/>
    <n v="19.98"/>
    <s v="Profit"/>
  </r>
  <r>
    <s v="CA-2014-134215"/>
    <d v="2014-04-08T00:00:00"/>
    <x v="0"/>
    <x v="2"/>
    <x v="593"/>
    <n v="255.42"/>
    <n v="9"/>
    <n v="104.7222"/>
    <n v="0.41000000000000003"/>
    <n v="2014"/>
    <x v="3"/>
    <n v="4"/>
    <n v="28.38"/>
    <s v="Profit"/>
  </r>
  <r>
    <s v="CA-2014-153479"/>
    <d v="2014-04-10T00:00:00"/>
    <x v="1"/>
    <x v="1"/>
    <x v="772"/>
    <n v="14.45"/>
    <n v="5"/>
    <n v="6.7915000000000001"/>
    <n v="0.47000000000000003"/>
    <n v="2014"/>
    <x v="3"/>
    <n v="4"/>
    <n v="2.8899999999999997"/>
    <s v="Profit"/>
  </r>
  <r>
    <s v="CA-2014-153479"/>
    <d v="2014-04-10T00:00:00"/>
    <x v="1"/>
    <x v="1"/>
    <x v="700"/>
    <n v="95.647999999999996"/>
    <n v="2"/>
    <n v="31.085599999999999"/>
    <n v="0.32500000000000001"/>
    <n v="2014"/>
    <x v="3"/>
    <n v="4"/>
    <n v="47.823999999999998"/>
    <s v="Profit"/>
  </r>
  <r>
    <s v="CA-2014-102085"/>
    <d v="2014-04-10T00:00:00"/>
    <x v="1"/>
    <x v="1"/>
    <x v="173"/>
    <n v="29.24"/>
    <n v="4"/>
    <n v="13.742800000000001"/>
    <n v="0.47000000000000003"/>
    <n v="2014"/>
    <x v="3"/>
    <n v="4"/>
    <n v="7.31"/>
    <s v="Profit"/>
  </r>
  <r>
    <s v="CA-2014-166891"/>
    <d v="2014-04-10T00:00:00"/>
    <x v="0"/>
    <x v="0"/>
    <x v="971"/>
    <n v="589.41"/>
    <n v="5"/>
    <n v="-6.5490000000000004"/>
    <n v="-1.1111111111111112E-2"/>
    <n v="2014"/>
    <x v="3"/>
    <n v="4"/>
    <n v="117.88199999999999"/>
    <s v="Loss"/>
  </r>
  <r>
    <s v="CA-2014-164973"/>
    <d v="2014-04-11T00:00:00"/>
    <x v="0"/>
    <x v="0"/>
    <x v="85"/>
    <n v="135.88200000000001"/>
    <n v="1"/>
    <n v="24.1568"/>
    <n v="0.17777777777777778"/>
    <n v="2014"/>
    <x v="3"/>
    <n v="4"/>
    <n v="135.88200000000001"/>
    <s v="Profit"/>
  </r>
  <r>
    <s v="CA-2014-164973"/>
    <d v="2014-04-11T00:00:00"/>
    <x v="0"/>
    <x v="2"/>
    <x v="1544"/>
    <n v="3991.98"/>
    <n v="2"/>
    <n v="1995.99"/>
    <n v="0.5"/>
    <n v="2014"/>
    <x v="3"/>
    <n v="4"/>
    <n v="1995.99"/>
    <s v="Profit"/>
  </r>
  <r>
    <s v="CA-2014-164973"/>
    <d v="2014-04-11T00:00:00"/>
    <x v="0"/>
    <x v="2"/>
    <x v="777"/>
    <n v="275.94"/>
    <n v="6"/>
    <n v="80.022599999999997"/>
    <n v="0.28999999999999998"/>
    <n v="2014"/>
    <x v="3"/>
    <n v="4"/>
    <n v="45.99"/>
    <s v="Profit"/>
  </r>
  <r>
    <s v="CA-2014-164973"/>
    <d v="2014-04-11T00:00:00"/>
    <x v="0"/>
    <x v="2"/>
    <x v="130"/>
    <n v="360"/>
    <n v="4"/>
    <n v="129.6"/>
    <n v="0.36"/>
    <n v="2014"/>
    <x v="3"/>
    <n v="4"/>
    <n v="90"/>
    <s v="Profit"/>
  </r>
  <r>
    <s v="CA-2014-164973"/>
    <d v="2014-04-11T00:00:00"/>
    <x v="0"/>
    <x v="1"/>
    <x v="406"/>
    <n v="43.57"/>
    <n v="1"/>
    <n v="13.071"/>
    <n v="0.3"/>
    <n v="2014"/>
    <x v="3"/>
    <n v="4"/>
    <n v="43.57"/>
    <s v="Profit"/>
  </r>
  <r>
    <s v="CA-2014-121286"/>
    <d v="2014-04-11T00:00:00"/>
    <x v="3"/>
    <x v="1"/>
    <x v="1206"/>
    <n v="8.3759999999999994"/>
    <n v="3"/>
    <n v="2.7222"/>
    <n v="0.32500000000000001"/>
    <n v="2014"/>
    <x v="3"/>
    <n v="4"/>
    <n v="2.7919999999999998"/>
    <s v="Profit"/>
  </r>
  <r>
    <s v="CA-2014-121286"/>
    <d v="2014-04-11T00:00:00"/>
    <x v="3"/>
    <x v="1"/>
    <x v="256"/>
    <n v="58.24"/>
    <n v="5"/>
    <n v="5.0960000000000001"/>
    <n v="8.7499999999999994E-2"/>
    <n v="2014"/>
    <x v="3"/>
    <n v="4"/>
    <n v="11.648"/>
    <s v="Profit"/>
  </r>
  <r>
    <s v="CA-2014-149244"/>
    <d v="2014-04-11T00:00:00"/>
    <x v="1"/>
    <x v="0"/>
    <x v="545"/>
    <n v="35.340000000000003"/>
    <n v="2"/>
    <n v="13.4292"/>
    <n v="0.37999999999999995"/>
    <n v="2014"/>
    <x v="3"/>
    <n v="4"/>
    <n v="17.670000000000002"/>
    <s v="Profit"/>
  </r>
  <r>
    <s v="CA-2014-125829"/>
    <d v="2014-04-11T00:00:00"/>
    <x v="1"/>
    <x v="2"/>
    <x v="1545"/>
    <n v="666.34400000000005"/>
    <n v="7"/>
    <n v="66.634399999999999"/>
    <n v="9.9999999999999992E-2"/>
    <n v="2014"/>
    <x v="3"/>
    <n v="4"/>
    <n v="95.192000000000007"/>
    <s v="Profit"/>
  </r>
  <r>
    <s v="CA-2014-125829"/>
    <d v="2014-04-11T00:00:00"/>
    <x v="1"/>
    <x v="0"/>
    <x v="293"/>
    <n v="573.72799999999995"/>
    <n v="4"/>
    <n v="-64.544399999999996"/>
    <n v="-0.1125"/>
    <n v="2014"/>
    <x v="3"/>
    <n v="4"/>
    <n v="143.43199999999999"/>
    <s v="Loss"/>
  </r>
  <r>
    <s v="CA-2014-125829"/>
    <d v="2014-04-11T00:00:00"/>
    <x v="1"/>
    <x v="1"/>
    <x v="791"/>
    <n v="21.936"/>
    <n v="3"/>
    <n v="8.2260000000000009"/>
    <n v="0.37500000000000006"/>
    <n v="2014"/>
    <x v="3"/>
    <n v="4"/>
    <n v="7.3120000000000003"/>
    <s v="Profit"/>
  </r>
  <r>
    <s v="CA-2014-125829"/>
    <d v="2014-04-11T00:00:00"/>
    <x v="1"/>
    <x v="1"/>
    <x v="890"/>
    <n v="19.440000000000001"/>
    <n v="3"/>
    <n v="9.3312000000000008"/>
    <n v="0.48000000000000004"/>
    <n v="2014"/>
    <x v="3"/>
    <n v="4"/>
    <n v="6.48"/>
    <s v="Profit"/>
  </r>
  <r>
    <s v="CA-2014-125829"/>
    <d v="2014-04-11T00:00:00"/>
    <x v="1"/>
    <x v="2"/>
    <x v="1546"/>
    <n v="447.96800000000002"/>
    <n v="4"/>
    <n v="139.99"/>
    <n v="0.3125"/>
    <n v="2014"/>
    <x v="3"/>
    <n v="4"/>
    <n v="111.992"/>
    <s v="Profit"/>
  </r>
  <r>
    <s v="CA-2014-132227"/>
    <d v="2014-04-11T00:00:00"/>
    <x v="0"/>
    <x v="1"/>
    <x v="822"/>
    <n v="52.064"/>
    <n v="4"/>
    <n v="18.873200000000001"/>
    <n v="0.36249999999999999"/>
    <n v="2014"/>
    <x v="3"/>
    <n v="4"/>
    <n v="13.016"/>
    <s v="Profit"/>
  </r>
  <r>
    <s v="US-2014-134187"/>
    <d v="2014-04-11T00:00:00"/>
    <x v="1"/>
    <x v="1"/>
    <x v="906"/>
    <n v="2.94"/>
    <n v="1"/>
    <n v="0.79379999999999995"/>
    <n v="0.26999999999999996"/>
    <n v="2014"/>
    <x v="3"/>
    <n v="4"/>
    <n v="2.94"/>
    <s v="Profit"/>
  </r>
  <r>
    <s v="CA-2014-127187"/>
    <d v="2014-04-12T00:00:00"/>
    <x v="0"/>
    <x v="2"/>
    <x v="1016"/>
    <n v="129.97999999999999"/>
    <n v="2"/>
    <n v="62.3904"/>
    <n v="0.48000000000000004"/>
    <n v="2014"/>
    <x v="3"/>
    <n v="4"/>
    <n v="64.989999999999995"/>
    <s v="Profit"/>
  </r>
  <r>
    <s v="CA-2014-141817"/>
    <d v="2014-05-01T00:00:00"/>
    <x v="0"/>
    <x v="1"/>
    <x v="178"/>
    <n v="19.536000000000001"/>
    <n v="3"/>
    <n v="4.8840000000000003"/>
    <n v="0.25"/>
    <n v="2014"/>
    <x v="4"/>
    <n v="5"/>
    <n v="6.5120000000000005"/>
    <s v="Profit"/>
  </r>
  <r>
    <s v="CA-2014-169061"/>
    <d v="2014-05-03T00:00:00"/>
    <x v="0"/>
    <x v="1"/>
    <x v="514"/>
    <n v="59.52"/>
    <n v="3"/>
    <n v="15.475199999999999"/>
    <n v="0.25999999999999995"/>
    <n v="2014"/>
    <x v="4"/>
    <n v="5"/>
    <n v="19.84"/>
    <s v="Profit"/>
  </r>
  <r>
    <s v="CA-2014-169061"/>
    <d v="2014-05-03T00:00:00"/>
    <x v="0"/>
    <x v="2"/>
    <x v="1239"/>
    <n v="479.97"/>
    <n v="3"/>
    <n v="177.5889"/>
    <n v="0.37"/>
    <n v="2014"/>
    <x v="4"/>
    <n v="5"/>
    <n v="159.99"/>
    <s v="Profit"/>
  </r>
  <r>
    <s v="CA-2014-169061"/>
    <d v="2014-05-03T00:00:00"/>
    <x v="0"/>
    <x v="1"/>
    <x v="924"/>
    <n v="18.62"/>
    <n v="2"/>
    <n v="5.3997999999999999"/>
    <n v="0.28999999999999998"/>
    <n v="2014"/>
    <x v="4"/>
    <n v="5"/>
    <n v="9.31"/>
    <s v="Profit"/>
  </r>
  <r>
    <s v="CA-2014-169061"/>
    <d v="2014-05-03T00:00:00"/>
    <x v="0"/>
    <x v="1"/>
    <x v="496"/>
    <n v="49.631999999999998"/>
    <n v="6"/>
    <n v="16.750800000000002"/>
    <n v="0.33750000000000002"/>
    <n v="2014"/>
    <x v="4"/>
    <n v="5"/>
    <n v="8.2720000000000002"/>
    <s v="Profit"/>
  </r>
  <r>
    <s v="CA-2014-169061"/>
    <d v="2014-05-03T00:00:00"/>
    <x v="0"/>
    <x v="1"/>
    <x v="289"/>
    <n v="97.82"/>
    <n v="2"/>
    <n v="45.9754"/>
    <n v="0.47000000000000003"/>
    <n v="2014"/>
    <x v="4"/>
    <n v="5"/>
    <n v="48.91"/>
    <s v="Profit"/>
  </r>
  <r>
    <s v="CA-2014-113887"/>
    <d v="2014-05-04T00:00:00"/>
    <x v="0"/>
    <x v="1"/>
    <x v="485"/>
    <n v="55.48"/>
    <n v="1"/>
    <n v="26.630400000000002"/>
    <n v="0.48000000000000004"/>
    <n v="2014"/>
    <x v="4"/>
    <n v="5"/>
    <n v="55.48"/>
    <s v="Profit"/>
  </r>
  <r>
    <s v="CA-2014-102988"/>
    <d v="2014-05-04T00:00:00"/>
    <x v="3"/>
    <x v="1"/>
    <x v="647"/>
    <n v="22.96"/>
    <n v="7"/>
    <n v="7.5768000000000004"/>
    <n v="0.33"/>
    <n v="2014"/>
    <x v="4"/>
    <n v="5"/>
    <n v="3.2800000000000002"/>
    <s v="Profit"/>
  </r>
  <r>
    <s v="CA-2014-102988"/>
    <d v="2014-05-04T00:00:00"/>
    <x v="3"/>
    <x v="2"/>
    <x v="1429"/>
    <n v="28.99"/>
    <n v="1"/>
    <n v="8.4070999999999998"/>
    <n v="0.29000000000000004"/>
    <n v="2014"/>
    <x v="4"/>
    <n v="5"/>
    <n v="28.99"/>
    <s v="Profit"/>
  </r>
  <r>
    <s v="CA-2014-102988"/>
    <d v="2014-05-04T00:00:00"/>
    <x v="3"/>
    <x v="1"/>
    <x v="1054"/>
    <n v="12.96"/>
    <n v="2"/>
    <n v="6.3503999999999996"/>
    <n v="0.48999999999999994"/>
    <n v="2014"/>
    <x v="4"/>
    <n v="5"/>
    <n v="6.48"/>
    <s v="Profit"/>
  </r>
  <r>
    <s v="CA-2014-102988"/>
    <d v="2014-05-04T00:00:00"/>
    <x v="3"/>
    <x v="1"/>
    <x v="820"/>
    <n v="22.96"/>
    <n v="7"/>
    <n v="6.6584000000000003"/>
    <n v="0.28999999999999998"/>
    <n v="2014"/>
    <x v="4"/>
    <n v="5"/>
    <n v="3.2800000000000002"/>
    <s v="Profit"/>
  </r>
  <r>
    <s v="CA-2014-102988"/>
    <d v="2014-05-04T00:00:00"/>
    <x v="3"/>
    <x v="1"/>
    <x v="1386"/>
    <n v="4164.05"/>
    <n v="5"/>
    <n v="83.281000000000006"/>
    <n v="0.02"/>
    <n v="2014"/>
    <x v="4"/>
    <n v="5"/>
    <n v="832.81000000000006"/>
    <s v="Profit"/>
  </r>
  <r>
    <s v="CA-2014-151001"/>
    <d v="2014-05-04T00:00:00"/>
    <x v="2"/>
    <x v="1"/>
    <x v="984"/>
    <n v="49.631999999999998"/>
    <n v="4"/>
    <n v="3.7223999999999999"/>
    <n v="7.4999999999999997E-2"/>
    <n v="2014"/>
    <x v="4"/>
    <n v="5"/>
    <n v="12.407999999999999"/>
    <s v="Profit"/>
  </r>
  <r>
    <s v="CA-2014-151001"/>
    <d v="2014-05-04T00:00:00"/>
    <x v="2"/>
    <x v="1"/>
    <x v="661"/>
    <n v="52.095999999999997"/>
    <n v="4"/>
    <n v="3.9072"/>
    <n v="7.5000000000000011E-2"/>
    <n v="2014"/>
    <x v="4"/>
    <n v="5"/>
    <n v="13.023999999999999"/>
    <s v="Profit"/>
  </r>
  <r>
    <s v="CA-2014-149104"/>
    <d v="2014-05-04T00:00:00"/>
    <x v="2"/>
    <x v="1"/>
    <x v="1422"/>
    <n v="26.7"/>
    <n v="2"/>
    <n v="7.476"/>
    <n v="0.28000000000000003"/>
    <n v="2014"/>
    <x v="4"/>
    <n v="5"/>
    <n v="13.35"/>
    <s v="Profit"/>
  </r>
  <r>
    <s v="CA-2014-149104"/>
    <d v="2014-05-04T00:00:00"/>
    <x v="2"/>
    <x v="1"/>
    <x v="836"/>
    <n v="40.200000000000003"/>
    <n v="5"/>
    <n v="18.09"/>
    <n v="0.44999999999999996"/>
    <n v="2014"/>
    <x v="4"/>
    <n v="5"/>
    <n v="8.0400000000000009"/>
    <s v="Profit"/>
  </r>
  <r>
    <s v="CA-2014-149104"/>
    <d v="2014-05-04T00:00:00"/>
    <x v="2"/>
    <x v="1"/>
    <x v="199"/>
    <n v="13.89"/>
    <n v="3"/>
    <n v="4.5837000000000003"/>
    <n v="0.33"/>
    <n v="2014"/>
    <x v="4"/>
    <n v="5"/>
    <n v="4.63"/>
    <s v="Profit"/>
  </r>
  <r>
    <s v="CA-2014-149104"/>
    <d v="2014-05-04T00:00:00"/>
    <x v="2"/>
    <x v="1"/>
    <x v="535"/>
    <n v="689.82"/>
    <n v="6"/>
    <n v="20.694600000000001"/>
    <n v="0.03"/>
    <n v="2014"/>
    <x v="4"/>
    <n v="5"/>
    <n v="114.97000000000001"/>
    <s v="Profit"/>
  </r>
  <r>
    <s v="US-2014-157231"/>
    <d v="2014-05-04T00:00:00"/>
    <x v="3"/>
    <x v="1"/>
    <x v="1230"/>
    <n v="115.36"/>
    <n v="7"/>
    <n v="56.526400000000002"/>
    <n v="0.49000000000000005"/>
    <n v="2014"/>
    <x v="4"/>
    <n v="5"/>
    <n v="16.48"/>
    <s v="Profit"/>
  </r>
  <r>
    <s v="CA-2014-166457"/>
    <d v="2014-05-05T00:00:00"/>
    <x v="3"/>
    <x v="1"/>
    <x v="134"/>
    <n v="9.42"/>
    <n v="3"/>
    <n v="4.2389999999999999"/>
    <n v="0.45"/>
    <n v="2014"/>
    <x v="4"/>
    <n v="5"/>
    <n v="3.14"/>
    <s v="Profit"/>
  </r>
  <r>
    <s v="CA-2014-166457"/>
    <d v="2014-05-05T00:00:00"/>
    <x v="3"/>
    <x v="1"/>
    <x v="266"/>
    <n v="6.56"/>
    <n v="2"/>
    <n v="1.9024000000000001"/>
    <n v="0.29000000000000004"/>
    <n v="2014"/>
    <x v="4"/>
    <n v="5"/>
    <n v="3.28"/>
    <s v="Profit"/>
  </r>
  <r>
    <s v="CA-2014-166457"/>
    <d v="2014-05-05T00:00:00"/>
    <x v="3"/>
    <x v="1"/>
    <x v="1272"/>
    <n v="24.56"/>
    <n v="2"/>
    <n v="11.543200000000001"/>
    <n v="0.47000000000000003"/>
    <n v="2014"/>
    <x v="4"/>
    <n v="5"/>
    <n v="12.28"/>
    <s v="Profit"/>
  </r>
  <r>
    <s v="CA-2014-110219"/>
    <d v="2014-05-05T00:00:00"/>
    <x v="2"/>
    <x v="0"/>
    <x v="952"/>
    <n v="127.869"/>
    <n v="3"/>
    <n v="-9.1334999999999997"/>
    <n v="-7.1428571428571425E-2"/>
    <n v="2014"/>
    <x v="4"/>
    <n v="5"/>
    <n v="42.622999999999998"/>
    <s v="Loss"/>
  </r>
  <r>
    <s v="CA-2014-160738"/>
    <d v="2014-05-05T00:00:00"/>
    <x v="2"/>
    <x v="1"/>
    <x v="1085"/>
    <n v="45.247999999999998"/>
    <n v="2"/>
    <n v="3.9592000000000001"/>
    <n v="8.7500000000000008E-2"/>
    <n v="2014"/>
    <x v="4"/>
    <n v="5"/>
    <n v="22.623999999999999"/>
    <s v="Profit"/>
  </r>
  <r>
    <s v="CA-2014-111934"/>
    <d v="2014-05-05T00:00:00"/>
    <x v="3"/>
    <x v="1"/>
    <x v="60"/>
    <n v="11.88"/>
    <n v="2"/>
    <n v="5.3460000000000001"/>
    <n v="0.44999999999999996"/>
    <n v="2014"/>
    <x v="4"/>
    <n v="5"/>
    <n v="5.94"/>
    <s v="Profit"/>
  </r>
  <r>
    <s v="CA-2014-111934"/>
    <d v="2014-05-05T00:00:00"/>
    <x v="3"/>
    <x v="1"/>
    <x v="124"/>
    <n v="35.44"/>
    <n v="1"/>
    <n v="16.6568"/>
    <n v="0.47000000000000003"/>
    <n v="2014"/>
    <x v="4"/>
    <n v="5"/>
    <n v="35.44"/>
    <s v="Profit"/>
  </r>
  <r>
    <s v="CA-2014-157784"/>
    <d v="2014-05-07T00:00:00"/>
    <x v="3"/>
    <x v="2"/>
    <x v="480"/>
    <n v="479.97"/>
    <n v="3"/>
    <n v="163.18979999999999"/>
    <n v="0.33999999999999997"/>
    <n v="2014"/>
    <x v="4"/>
    <n v="5"/>
    <n v="159.99"/>
    <s v="Profit"/>
  </r>
  <r>
    <s v="CA-2014-157784"/>
    <d v="2014-05-07T00:00:00"/>
    <x v="3"/>
    <x v="1"/>
    <x v="1547"/>
    <n v="14.62"/>
    <n v="2"/>
    <n v="6.8714000000000004"/>
    <n v="0.47000000000000003"/>
    <n v="2014"/>
    <x v="4"/>
    <n v="5"/>
    <n v="7.31"/>
    <s v="Profit"/>
  </r>
  <r>
    <s v="CA-2014-157784"/>
    <d v="2014-05-07T00:00:00"/>
    <x v="3"/>
    <x v="1"/>
    <x v="611"/>
    <n v="19.440000000000001"/>
    <n v="3"/>
    <n v="9.3312000000000008"/>
    <n v="0.48000000000000004"/>
    <n v="2014"/>
    <x v="4"/>
    <n v="5"/>
    <n v="6.48"/>
    <s v="Profit"/>
  </r>
  <r>
    <s v="US-2014-160444"/>
    <d v="2014-05-07T00:00:00"/>
    <x v="2"/>
    <x v="1"/>
    <x v="73"/>
    <n v="220.77600000000001"/>
    <n v="3"/>
    <n v="-44.155200000000001"/>
    <n v="-0.19999999999999998"/>
    <n v="2014"/>
    <x v="4"/>
    <n v="5"/>
    <n v="73.591999999999999"/>
    <s v="Loss"/>
  </r>
  <r>
    <s v="US-2014-160444"/>
    <d v="2014-05-07T00:00:00"/>
    <x v="2"/>
    <x v="1"/>
    <x v="876"/>
    <n v="281.42399999999998"/>
    <n v="11"/>
    <n v="-35.177999999999997"/>
    <n v="-0.125"/>
    <n v="2014"/>
    <x v="4"/>
    <n v="5"/>
    <n v="25.584"/>
    <s v="Loss"/>
  </r>
  <r>
    <s v="CA-2014-107139"/>
    <d v="2014-05-07T00:00:00"/>
    <x v="1"/>
    <x v="1"/>
    <x v="245"/>
    <n v="180.96"/>
    <n v="6"/>
    <n v="67.86"/>
    <n v="0.375"/>
    <n v="2014"/>
    <x v="4"/>
    <n v="5"/>
    <n v="30.16"/>
    <s v="Profit"/>
  </r>
  <r>
    <s v="CA-2014-152849"/>
    <d v="2014-05-07T00:00:00"/>
    <x v="3"/>
    <x v="1"/>
    <x v="1174"/>
    <n v="4.3680000000000003"/>
    <n v="3"/>
    <n v="0.38219999999999998"/>
    <n v="8.7499999999999994E-2"/>
    <n v="2014"/>
    <x v="4"/>
    <n v="5"/>
    <n v="1.4560000000000002"/>
    <s v="Profit"/>
  </r>
  <r>
    <s v="CA-2014-103317"/>
    <d v="2014-05-07T00:00:00"/>
    <x v="3"/>
    <x v="0"/>
    <x v="1063"/>
    <n v="19.52"/>
    <n v="2"/>
    <n v="5.3680000000000003"/>
    <n v="0.27500000000000002"/>
    <n v="2014"/>
    <x v="4"/>
    <n v="5"/>
    <n v="9.76"/>
    <s v="Profit"/>
  </r>
  <r>
    <s v="CA-2014-103317"/>
    <d v="2014-05-07T00:00:00"/>
    <x v="3"/>
    <x v="1"/>
    <x v="143"/>
    <n v="9.81"/>
    <n v="5"/>
    <n v="-6.867"/>
    <n v="-0.7"/>
    <n v="2014"/>
    <x v="4"/>
    <n v="5"/>
    <n v="1.9620000000000002"/>
    <s v="Loss"/>
  </r>
  <r>
    <s v="CA-2014-103317"/>
    <d v="2014-05-07T00:00:00"/>
    <x v="3"/>
    <x v="0"/>
    <x v="1461"/>
    <n v="213.21600000000001"/>
    <n v="3"/>
    <n v="15.991199999999999"/>
    <n v="7.4999999999999997E-2"/>
    <n v="2014"/>
    <x v="4"/>
    <n v="5"/>
    <n v="71.072000000000003"/>
    <s v="Profit"/>
  </r>
  <r>
    <s v="CA-2014-118962"/>
    <d v="2014-05-08T00:00:00"/>
    <x v="1"/>
    <x v="1"/>
    <x v="1283"/>
    <n v="20.94"/>
    <n v="3"/>
    <n v="9.8417999999999992"/>
    <n v="0.46999999999999992"/>
    <n v="2014"/>
    <x v="4"/>
    <n v="5"/>
    <n v="6.98"/>
    <s v="Profit"/>
  </r>
  <r>
    <s v="CA-2014-118962"/>
    <d v="2014-05-08T00:00:00"/>
    <x v="1"/>
    <x v="1"/>
    <x v="1548"/>
    <n v="110.96"/>
    <n v="2"/>
    <n v="53.260800000000003"/>
    <n v="0.48000000000000004"/>
    <n v="2014"/>
    <x v="4"/>
    <n v="5"/>
    <n v="55.48"/>
    <s v="Profit"/>
  </r>
  <r>
    <s v="CA-2014-118962"/>
    <d v="2014-05-08T00:00:00"/>
    <x v="1"/>
    <x v="0"/>
    <x v="411"/>
    <n v="340.14400000000001"/>
    <n v="7"/>
    <n v="21.259"/>
    <n v="6.25E-2"/>
    <n v="2014"/>
    <x v="4"/>
    <n v="5"/>
    <n v="48.591999999999999"/>
    <s v="Profit"/>
  </r>
  <r>
    <s v="CA-2014-150490"/>
    <d v="2014-05-08T00:00:00"/>
    <x v="1"/>
    <x v="2"/>
    <x v="559"/>
    <n v="16.36"/>
    <n v="1"/>
    <n v="1.6359999999999999"/>
    <n v="9.9999999999999992E-2"/>
    <n v="2014"/>
    <x v="4"/>
    <n v="5"/>
    <n v="16.36"/>
    <s v="Profit"/>
  </r>
  <r>
    <s v="CA-2014-150490"/>
    <d v="2014-05-08T00:00:00"/>
    <x v="1"/>
    <x v="1"/>
    <x v="969"/>
    <n v="15.78"/>
    <n v="2"/>
    <n v="0.63119999999999998"/>
    <n v="0.04"/>
    <n v="2014"/>
    <x v="4"/>
    <n v="5"/>
    <n v="7.89"/>
    <s v="Profit"/>
  </r>
  <r>
    <s v="CA-2014-150490"/>
    <d v="2014-05-08T00:00:00"/>
    <x v="1"/>
    <x v="1"/>
    <x v="1182"/>
    <n v="45.98"/>
    <n v="2"/>
    <n v="12.8744"/>
    <n v="0.28000000000000003"/>
    <n v="2014"/>
    <x v="4"/>
    <n v="5"/>
    <n v="22.99"/>
    <s v="Profit"/>
  </r>
  <r>
    <s v="US-2014-117968"/>
    <d v="2014-05-08T00:00:00"/>
    <x v="0"/>
    <x v="1"/>
    <x v="228"/>
    <n v="79.47"/>
    <n v="3"/>
    <n v="22.2516"/>
    <n v="0.28000000000000003"/>
    <n v="2014"/>
    <x v="4"/>
    <n v="5"/>
    <n v="26.49"/>
    <s v="Profit"/>
  </r>
  <r>
    <s v="US-2014-117968"/>
    <d v="2014-05-08T00:00:00"/>
    <x v="0"/>
    <x v="1"/>
    <x v="1549"/>
    <n v="4.5599999999999996"/>
    <n v="2"/>
    <n v="2.0064000000000002"/>
    <n v="0.44000000000000006"/>
    <n v="2014"/>
    <x v="4"/>
    <n v="5"/>
    <n v="2.2799999999999998"/>
    <s v="Profit"/>
  </r>
  <r>
    <s v="US-2014-117968"/>
    <d v="2014-05-08T00:00:00"/>
    <x v="0"/>
    <x v="0"/>
    <x v="244"/>
    <n v="1133.3499999999999"/>
    <n v="5"/>
    <n v="294.67099999999999"/>
    <n v="0.26"/>
    <n v="2014"/>
    <x v="4"/>
    <n v="5"/>
    <n v="226.67"/>
    <s v="Profit"/>
  </r>
  <r>
    <s v="CA-2014-110065"/>
    <d v="2014-05-08T00:00:00"/>
    <x v="0"/>
    <x v="2"/>
    <x v="603"/>
    <n v="135.99"/>
    <n v="1"/>
    <n v="36.717300000000002"/>
    <n v="0.27"/>
    <n v="2014"/>
    <x v="4"/>
    <n v="5"/>
    <n v="135.99"/>
    <s v="Profit"/>
  </r>
  <r>
    <s v="CA-2014-110065"/>
    <d v="2014-05-08T00:00:00"/>
    <x v="0"/>
    <x v="1"/>
    <x v="1549"/>
    <n v="15.96"/>
    <n v="7"/>
    <n v="7.0224000000000002"/>
    <n v="0.44"/>
    <n v="2014"/>
    <x v="4"/>
    <n v="5"/>
    <n v="2.2800000000000002"/>
    <s v="Profit"/>
  </r>
  <r>
    <s v="CA-2014-124723"/>
    <d v="2014-05-08T00:00:00"/>
    <x v="2"/>
    <x v="0"/>
    <x v="1513"/>
    <n v="489.23"/>
    <n v="2"/>
    <n v="41.933999999999997"/>
    <n v="8.5714285714285701E-2"/>
    <n v="2014"/>
    <x v="4"/>
    <n v="5"/>
    <n v="244.61500000000001"/>
    <s v="Profit"/>
  </r>
  <r>
    <s v="CA-2014-106572"/>
    <d v="2014-05-09T00:00:00"/>
    <x v="0"/>
    <x v="1"/>
    <x v="1550"/>
    <n v="264.32"/>
    <n v="2"/>
    <n v="19.824000000000002"/>
    <n v="7.5000000000000011E-2"/>
    <n v="2014"/>
    <x v="4"/>
    <n v="5"/>
    <n v="132.16"/>
    <s v="Profit"/>
  </r>
  <r>
    <s v="CA-2014-136861"/>
    <d v="2014-05-09T00:00:00"/>
    <x v="3"/>
    <x v="0"/>
    <x v="328"/>
    <n v="31.984000000000002"/>
    <n v="2"/>
    <n v="1.9990000000000001"/>
    <n v="6.25E-2"/>
    <n v="2014"/>
    <x v="4"/>
    <n v="5"/>
    <n v="15.992000000000001"/>
    <s v="Profit"/>
  </r>
  <r>
    <s v="CA-2014-152422"/>
    <d v="2014-05-10T00:00:00"/>
    <x v="0"/>
    <x v="1"/>
    <x v="943"/>
    <n v="91.92"/>
    <n v="5"/>
    <n v="11.49"/>
    <n v="0.125"/>
    <n v="2014"/>
    <x v="4"/>
    <n v="5"/>
    <n v="18.384"/>
    <s v="Profit"/>
  </r>
  <r>
    <s v="CA-2014-152233"/>
    <d v="2014-05-10T00:00:00"/>
    <x v="1"/>
    <x v="2"/>
    <x v="1186"/>
    <n v="99.98"/>
    <n v="2"/>
    <n v="34.993000000000002"/>
    <n v="0.35000000000000003"/>
    <n v="2014"/>
    <x v="4"/>
    <n v="5"/>
    <n v="49.99"/>
    <s v="Profit"/>
  </r>
  <r>
    <s v="CA-2014-109134"/>
    <d v="2014-05-11T00:00:00"/>
    <x v="1"/>
    <x v="0"/>
    <x v="1321"/>
    <n v="20.04"/>
    <n v="6"/>
    <n v="8.8176000000000005"/>
    <n v="0.44000000000000006"/>
    <n v="2014"/>
    <x v="4"/>
    <n v="5"/>
    <n v="3.34"/>
    <s v="Profit"/>
  </r>
  <r>
    <s v="CA-2014-133634"/>
    <d v="2014-05-11T00:00:00"/>
    <x v="3"/>
    <x v="2"/>
    <x v="1416"/>
    <n v="47.79"/>
    <n v="3"/>
    <n v="16.2486"/>
    <n v="0.34"/>
    <n v="2014"/>
    <x v="4"/>
    <n v="5"/>
    <n v="15.93"/>
    <s v="Profit"/>
  </r>
  <r>
    <s v="CA-2014-114251"/>
    <d v="2014-05-11T00:00:00"/>
    <x v="0"/>
    <x v="0"/>
    <x v="796"/>
    <n v="273.56799999999998"/>
    <n v="2"/>
    <n v="-34.195999999999998"/>
    <n v="-0.125"/>
    <n v="2014"/>
    <x v="4"/>
    <n v="5"/>
    <n v="136.78399999999999"/>
    <s v="Loss"/>
  </r>
  <r>
    <s v="CA-2014-114251"/>
    <d v="2014-05-11T00:00:00"/>
    <x v="0"/>
    <x v="1"/>
    <x v="268"/>
    <n v="13.194000000000001"/>
    <n v="2"/>
    <n v="-8.7959999999999994"/>
    <n v="-0.66666666666666663"/>
    <n v="2014"/>
    <x v="4"/>
    <n v="5"/>
    <n v="6.5970000000000004"/>
    <s v="Loss"/>
  </r>
  <r>
    <s v="CA-2014-114251"/>
    <d v="2014-05-11T00:00:00"/>
    <x v="0"/>
    <x v="1"/>
    <x v="184"/>
    <n v="1080.096"/>
    <n v="6"/>
    <n v="-94.508399999999995"/>
    <n v="-8.7499999999999994E-2"/>
    <n v="2014"/>
    <x v="4"/>
    <n v="5"/>
    <n v="180.01599999999999"/>
    <s v="Loss"/>
  </r>
  <r>
    <s v="CA-2014-114251"/>
    <d v="2014-05-11T00:00:00"/>
    <x v="0"/>
    <x v="2"/>
    <x v="1407"/>
    <n v="51.56"/>
    <n v="5"/>
    <n v="-6.4450000000000003"/>
    <n v="-0.125"/>
    <n v="2014"/>
    <x v="4"/>
    <n v="5"/>
    <n v="10.312000000000001"/>
    <s v="Loss"/>
  </r>
  <r>
    <s v="CA-2014-114251"/>
    <d v="2014-05-11T00:00:00"/>
    <x v="0"/>
    <x v="2"/>
    <x v="653"/>
    <n v="58.415999999999997"/>
    <n v="2"/>
    <n v="16.794599999999999"/>
    <n v="0.28749999999999998"/>
    <n v="2014"/>
    <x v="4"/>
    <n v="5"/>
    <n v="29.207999999999998"/>
    <s v="Profit"/>
  </r>
  <r>
    <s v="US-2014-114377"/>
    <d v="2014-05-11T00:00:00"/>
    <x v="3"/>
    <x v="0"/>
    <x v="1049"/>
    <n v="149.9"/>
    <n v="5"/>
    <n v="40.472999999999999"/>
    <n v="0.26999999999999996"/>
    <n v="2014"/>
    <x v="4"/>
    <n v="5"/>
    <n v="29.98"/>
    <s v="Profit"/>
  </r>
  <r>
    <s v="CA-2014-106376"/>
    <d v="2014-05-12T00:00:00"/>
    <x v="1"/>
    <x v="1"/>
    <x v="1551"/>
    <n v="1113.0239999999999"/>
    <n v="8"/>
    <n v="111.30240000000001"/>
    <n v="0.10000000000000002"/>
    <n v="2014"/>
    <x v="4"/>
    <n v="5"/>
    <n v="139.12799999999999"/>
    <s v="Profit"/>
  </r>
  <r>
    <s v="CA-2014-106376"/>
    <d v="2014-05-12T00:00:00"/>
    <x v="1"/>
    <x v="2"/>
    <x v="288"/>
    <n v="167.96799999999999"/>
    <n v="4"/>
    <n v="62.988"/>
    <n v="0.375"/>
    <n v="2014"/>
    <x v="4"/>
    <n v="5"/>
    <n v="41.991999999999997"/>
    <s v="Profit"/>
  </r>
  <r>
    <s v="CA-2014-166191"/>
    <d v="2014-05-12T00:00:00"/>
    <x v="2"/>
    <x v="1"/>
    <x v="984"/>
    <n v="24.815999999999999"/>
    <n v="2"/>
    <n v="1.8612"/>
    <n v="7.4999999999999997E-2"/>
    <n v="2014"/>
    <x v="4"/>
    <n v="5"/>
    <n v="12.407999999999999"/>
    <s v="Profit"/>
  </r>
  <r>
    <s v="CA-2014-166191"/>
    <d v="2014-05-12T00:00:00"/>
    <x v="2"/>
    <x v="2"/>
    <x v="517"/>
    <n v="408.74400000000003"/>
    <n v="7"/>
    <n v="76.639499999999998"/>
    <n v="0.18749999999999997"/>
    <n v="2014"/>
    <x v="4"/>
    <n v="5"/>
    <n v="58.392000000000003"/>
    <s v="Profit"/>
  </r>
  <r>
    <s v="CA-2014-138296"/>
    <d v="2014-05-12T00:00:00"/>
    <x v="3"/>
    <x v="1"/>
    <x v="1507"/>
    <n v="24.56"/>
    <n v="2"/>
    <n v="6.8768000000000002"/>
    <n v="0.28000000000000003"/>
    <n v="2014"/>
    <x v="4"/>
    <n v="5"/>
    <n v="12.28"/>
    <s v="Profit"/>
  </r>
  <r>
    <s v="CA-2014-125542"/>
    <d v="2014-05-12T00:00:00"/>
    <x v="0"/>
    <x v="1"/>
    <x v="1100"/>
    <n v="348.488"/>
    <n v="7"/>
    <n v="117.6147"/>
    <n v="0.33750000000000002"/>
    <n v="2014"/>
    <x v="4"/>
    <n v="5"/>
    <n v="49.783999999999999"/>
    <s v="Profit"/>
  </r>
  <r>
    <s v="CA-2014-125542"/>
    <d v="2014-05-12T00:00:00"/>
    <x v="0"/>
    <x v="1"/>
    <x v="930"/>
    <n v="172.73599999999999"/>
    <n v="4"/>
    <n v="-30.2288"/>
    <n v="-0.17500000000000002"/>
    <n v="2014"/>
    <x v="4"/>
    <n v="5"/>
    <n v="43.183999999999997"/>
    <s v="Loss"/>
  </r>
  <r>
    <s v="CA-2014-151162"/>
    <d v="2014-05-12T00:00:00"/>
    <x v="0"/>
    <x v="1"/>
    <x v="69"/>
    <n v="98.376000000000005"/>
    <n v="3"/>
    <n v="35.661299999999997"/>
    <n v="0.36249999999999993"/>
    <n v="2014"/>
    <x v="4"/>
    <n v="5"/>
    <n v="32.792000000000002"/>
    <s v="Profit"/>
  </r>
  <r>
    <s v="CA-2014-151162"/>
    <d v="2014-05-12T00:00:00"/>
    <x v="0"/>
    <x v="1"/>
    <x v="1476"/>
    <n v="29.94"/>
    <n v="4"/>
    <n v="-23.952000000000002"/>
    <n v="-0.8"/>
    <n v="2014"/>
    <x v="4"/>
    <n v="5"/>
    <n v="7.4850000000000003"/>
    <s v="Loss"/>
  </r>
  <r>
    <s v="CA-2014-151162"/>
    <d v="2014-05-12T00:00:00"/>
    <x v="0"/>
    <x v="1"/>
    <x v="1518"/>
    <n v="17.472000000000001"/>
    <n v="3"/>
    <n v="5.6783999999999999"/>
    <n v="0.32499999999999996"/>
    <n v="2014"/>
    <x v="4"/>
    <n v="5"/>
    <n v="5.8240000000000007"/>
    <s v="Profit"/>
  </r>
  <r>
    <s v="CA-2014-151162"/>
    <d v="2014-05-12T00:00:00"/>
    <x v="0"/>
    <x v="2"/>
    <x v="1337"/>
    <n v="36.738"/>
    <n v="1"/>
    <n v="-9.1844999999999999"/>
    <n v="-0.25"/>
    <n v="2014"/>
    <x v="4"/>
    <n v="5"/>
    <n v="36.738"/>
    <s v="Loss"/>
  </r>
  <r>
    <s v="CA-2014-151162"/>
    <d v="2014-05-12T00:00:00"/>
    <x v="0"/>
    <x v="2"/>
    <x v="1459"/>
    <n v="179.94"/>
    <n v="2"/>
    <n v="-44.984999999999999"/>
    <n v="-0.25"/>
    <n v="2014"/>
    <x v="4"/>
    <n v="5"/>
    <n v="89.97"/>
    <s v="Loss"/>
  </r>
  <r>
    <s v="CA-2014-133830"/>
    <d v="2014-05-12T00:00:00"/>
    <x v="1"/>
    <x v="1"/>
    <x v="264"/>
    <n v="26.46"/>
    <n v="9"/>
    <n v="11.907"/>
    <n v="0.45"/>
    <n v="2014"/>
    <x v="4"/>
    <n v="5"/>
    <n v="2.94"/>
    <s v="Profit"/>
  </r>
  <r>
    <s v="CA-2014-133830"/>
    <d v="2014-05-12T00:00:00"/>
    <x v="1"/>
    <x v="1"/>
    <x v="1272"/>
    <n v="49.12"/>
    <n v="4"/>
    <n v="23.086400000000001"/>
    <n v="0.47000000000000003"/>
    <n v="2014"/>
    <x v="4"/>
    <n v="5"/>
    <n v="12.28"/>
    <s v="Profit"/>
  </r>
  <r>
    <s v="CA-2014-133830"/>
    <d v="2014-05-12T00:00:00"/>
    <x v="1"/>
    <x v="1"/>
    <x v="165"/>
    <n v="15"/>
    <n v="3"/>
    <n v="7.2"/>
    <n v="0.48000000000000004"/>
    <n v="2014"/>
    <x v="4"/>
    <n v="5"/>
    <n v="5"/>
    <s v="Profit"/>
  </r>
  <r>
    <s v="CA-2014-150203"/>
    <d v="2014-05-12T00:00:00"/>
    <x v="1"/>
    <x v="1"/>
    <x v="1315"/>
    <n v="250.26"/>
    <n v="6"/>
    <n v="72.575400000000002"/>
    <n v="0.29000000000000004"/>
    <n v="2014"/>
    <x v="4"/>
    <n v="5"/>
    <n v="41.71"/>
    <s v="Profit"/>
  </r>
  <r>
    <s v="CA-2014-130813"/>
    <d v="2014-06-01T00:00:00"/>
    <x v="1"/>
    <x v="1"/>
    <x v="810"/>
    <n v="19.440000000000001"/>
    <n v="3"/>
    <n v="9.3312000000000008"/>
    <n v="0.48000000000000004"/>
    <n v="2014"/>
    <x v="5"/>
    <n v="6"/>
    <n v="6.48"/>
    <s v="Profit"/>
  </r>
  <r>
    <s v="CA-2014-106054"/>
    <d v="2014-06-01T00:00:00"/>
    <x v="3"/>
    <x v="1"/>
    <x v="1152"/>
    <n v="12.78"/>
    <n v="3"/>
    <n v="5.2397999999999998"/>
    <n v="0.41000000000000003"/>
    <n v="2014"/>
    <x v="5"/>
    <n v="6"/>
    <n v="4.26"/>
    <s v="Profit"/>
  </r>
  <r>
    <s v="CA-2014-167199"/>
    <d v="2014-06-01T00:00:00"/>
    <x v="3"/>
    <x v="0"/>
    <x v="1028"/>
    <n v="2573.8200000000002"/>
    <n v="9"/>
    <n v="746.40779999999995"/>
    <n v="0.28999999999999998"/>
    <n v="2014"/>
    <x v="5"/>
    <n v="6"/>
    <n v="285.98"/>
    <s v="Profit"/>
  </r>
  <r>
    <s v="CA-2014-167199"/>
    <d v="2014-06-01T00:00:00"/>
    <x v="3"/>
    <x v="1"/>
    <x v="404"/>
    <n v="609.98"/>
    <n v="2"/>
    <n v="274.49099999999999"/>
    <n v="0.44999999999999996"/>
    <n v="2014"/>
    <x v="5"/>
    <n v="6"/>
    <n v="304.99"/>
    <s v="Profit"/>
  </r>
  <r>
    <s v="CA-2014-167199"/>
    <d v="2014-06-01T00:00:00"/>
    <x v="3"/>
    <x v="1"/>
    <x v="246"/>
    <n v="5.48"/>
    <n v="2"/>
    <n v="1.4796"/>
    <n v="0.26999999999999996"/>
    <n v="2014"/>
    <x v="5"/>
    <n v="6"/>
    <n v="2.74"/>
    <s v="Profit"/>
  </r>
  <r>
    <s v="CA-2014-167199"/>
    <d v="2014-06-01T00:00:00"/>
    <x v="3"/>
    <x v="2"/>
    <x v="77"/>
    <n v="391.98"/>
    <n v="2"/>
    <n v="113.6742"/>
    <n v="0.28999999999999998"/>
    <n v="2014"/>
    <x v="5"/>
    <n v="6"/>
    <n v="195.99"/>
    <s v="Profit"/>
  </r>
  <r>
    <s v="CA-2014-167199"/>
    <d v="2014-06-01T00:00:00"/>
    <x v="3"/>
    <x v="2"/>
    <x v="1552"/>
    <n v="755.96"/>
    <n v="4"/>
    <n v="204.10919999999999"/>
    <n v="0.26999999999999996"/>
    <n v="2014"/>
    <x v="5"/>
    <n v="6"/>
    <n v="188.99"/>
    <s v="Profit"/>
  </r>
  <r>
    <s v="CA-2014-167199"/>
    <d v="2014-06-01T00:00:00"/>
    <x v="3"/>
    <x v="1"/>
    <x v="1184"/>
    <n v="31.12"/>
    <n v="4"/>
    <n v="0.31119999999999998"/>
    <n v="9.9999999999999985E-3"/>
    <n v="2014"/>
    <x v="5"/>
    <n v="6"/>
    <n v="7.78"/>
    <s v="Profit"/>
  </r>
  <r>
    <s v="CA-2014-167199"/>
    <d v="2014-06-01T00:00:00"/>
    <x v="3"/>
    <x v="1"/>
    <x v="1553"/>
    <n v="6.54"/>
    <n v="1"/>
    <n v="3.0084"/>
    <n v="0.45999999999999996"/>
    <n v="2014"/>
    <x v="5"/>
    <n v="6"/>
    <n v="6.54"/>
    <s v="Profit"/>
  </r>
  <r>
    <s v="CA-2014-131905"/>
    <d v="2014-06-02T00:00:00"/>
    <x v="3"/>
    <x v="1"/>
    <x v="1477"/>
    <n v="15"/>
    <n v="4"/>
    <n v="7.2"/>
    <n v="0.48000000000000004"/>
    <n v="2014"/>
    <x v="5"/>
    <n v="6"/>
    <n v="3.75"/>
    <s v="Profit"/>
  </r>
  <r>
    <s v="CA-2014-131905"/>
    <d v="2014-06-02T00:00:00"/>
    <x v="3"/>
    <x v="2"/>
    <x v="776"/>
    <n v="161.61000000000001"/>
    <n v="1"/>
    <n v="42.018599999999999"/>
    <n v="0.25999999999999995"/>
    <n v="2014"/>
    <x v="5"/>
    <n v="6"/>
    <n v="161.61000000000001"/>
    <s v="Profit"/>
  </r>
  <r>
    <s v="CA-2014-131905"/>
    <d v="2014-06-02T00:00:00"/>
    <x v="3"/>
    <x v="2"/>
    <x v="1429"/>
    <n v="144.94999999999999"/>
    <n v="5"/>
    <n v="42.035499999999999"/>
    <n v="0.29000000000000004"/>
    <n v="2014"/>
    <x v="5"/>
    <n v="6"/>
    <n v="28.99"/>
    <s v="Profit"/>
  </r>
  <r>
    <s v="CA-2014-108182"/>
    <d v="2014-06-02T00:00:00"/>
    <x v="2"/>
    <x v="1"/>
    <x v="1554"/>
    <n v="8.952"/>
    <n v="2"/>
    <n v="-14.770799999999999"/>
    <n v="-1.65"/>
    <n v="2014"/>
    <x v="5"/>
    <n v="6"/>
    <n v="4.476"/>
    <s v="Loss"/>
  </r>
  <r>
    <s v="CA-2014-136742"/>
    <d v="2014-06-04T00:00:00"/>
    <x v="0"/>
    <x v="1"/>
    <x v="1476"/>
    <n v="44.91"/>
    <n v="6"/>
    <n v="-35.927999999999997"/>
    <n v="-0.8"/>
    <n v="2014"/>
    <x v="5"/>
    <n v="6"/>
    <n v="7.4849999999999994"/>
    <s v="Loss"/>
  </r>
  <r>
    <s v="US-2014-118486"/>
    <d v="2014-06-04T00:00:00"/>
    <x v="0"/>
    <x v="1"/>
    <x v="1260"/>
    <n v="10.304"/>
    <n v="1"/>
    <n v="-2.1896"/>
    <n v="-0.21249999999999999"/>
    <n v="2014"/>
    <x v="5"/>
    <n v="6"/>
    <n v="10.304"/>
    <s v="Loss"/>
  </r>
  <r>
    <s v="US-2014-118486"/>
    <d v="2014-06-04T00:00:00"/>
    <x v="0"/>
    <x v="0"/>
    <x v="479"/>
    <n v="154.76400000000001"/>
    <n v="3"/>
    <n v="-36.111600000000003"/>
    <n v="-0.23333333333333334"/>
    <n v="2014"/>
    <x v="5"/>
    <n v="6"/>
    <n v="51.588000000000001"/>
    <s v="Loss"/>
  </r>
  <r>
    <s v="US-2014-118486"/>
    <d v="2014-06-04T00:00:00"/>
    <x v="0"/>
    <x v="2"/>
    <x v="517"/>
    <n v="116.78400000000001"/>
    <n v="2"/>
    <n v="21.896999999999998"/>
    <n v="0.18749999999999997"/>
    <n v="2014"/>
    <x v="5"/>
    <n v="6"/>
    <n v="58.392000000000003"/>
    <s v="Profit"/>
  </r>
  <r>
    <s v="CA-2014-169803"/>
    <d v="2014-06-04T00:00:00"/>
    <x v="1"/>
    <x v="0"/>
    <x v="708"/>
    <n v="653.54999999999995"/>
    <n v="3"/>
    <n v="111.1035"/>
    <n v="0.17"/>
    <n v="2014"/>
    <x v="5"/>
    <n v="6"/>
    <n v="217.85"/>
    <s v="Profit"/>
  </r>
  <r>
    <s v="CA-2014-169803"/>
    <d v="2014-06-04T00:00:00"/>
    <x v="1"/>
    <x v="2"/>
    <x v="168"/>
    <n v="33.9"/>
    <n v="2"/>
    <n v="2.0339999999999998"/>
    <n v="0.06"/>
    <n v="2014"/>
    <x v="5"/>
    <n v="6"/>
    <n v="16.95"/>
    <s v="Profit"/>
  </r>
  <r>
    <s v="CA-2014-102652"/>
    <d v="2014-06-04T00:00:00"/>
    <x v="1"/>
    <x v="0"/>
    <x v="1555"/>
    <n v="91.96"/>
    <n v="2"/>
    <n v="15.6332"/>
    <n v="0.17"/>
    <n v="2014"/>
    <x v="5"/>
    <n v="6"/>
    <n v="45.98"/>
    <s v="Profit"/>
  </r>
  <r>
    <s v="CA-2014-102652"/>
    <d v="2014-06-04T00:00:00"/>
    <x v="1"/>
    <x v="0"/>
    <x v="443"/>
    <n v="33.11"/>
    <n v="7"/>
    <n v="12.9129"/>
    <n v="0.39"/>
    <n v="2014"/>
    <x v="5"/>
    <n v="6"/>
    <n v="4.7299999999999995"/>
    <s v="Profit"/>
  </r>
  <r>
    <s v="CA-2014-102652"/>
    <d v="2014-06-04T00:00:00"/>
    <x v="1"/>
    <x v="1"/>
    <x v="1556"/>
    <n v="19.440000000000001"/>
    <n v="3"/>
    <n v="9.3312000000000008"/>
    <n v="0.48000000000000004"/>
    <n v="2014"/>
    <x v="5"/>
    <n v="6"/>
    <n v="6.48"/>
    <s v="Profit"/>
  </r>
  <r>
    <s v="CA-2014-102652"/>
    <d v="2014-06-04T00:00:00"/>
    <x v="1"/>
    <x v="1"/>
    <x v="1006"/>
    <n v="55.48"/>
    <n v="1"/>
    <n v="26.630400000000002"/>
    <n v="0.48000000000000004"/>
    <n v="2014"/>
    <x v="5"/>
    <n v="6"/>
    <n v="55.48"/>
    <s v="Profit"/>
  </r>
  <r>
    <s v="CA-2014-153808"/>
    <d v="2014-06-04T00:00:00"/>
    <x v="1"/>
    <x v="1"/>
    <x v="1541"/>
    <n v="70.95"/>
    <n v="3"/>
    <n v="18.446999999999999"/>
    <n v="0.25999999999999995"/>
    <n v="2014"/>
    <x v="5"/>
    <n v="6"/>
    <n v="23.650000000000002"/>
    <s v="Profit"/>
  </r>
  <r>
    <s v="CA-2014-153808"/>
    <d v="2014-06-04T00:00:00"/>
    <x v="1"/>
    <x v="1"/>
    <x v="815"/>
    <n v="65.567999999999998"/>
    <n v="2"/>
    <n v="23.7684"/>
    <n v="0.36249999999999999"/>
    <n v="2014"/>
    <x v="5"/>
    <n v="6"/>
    <n v="32.783999999999999"/>
    <s v="Profit"/>
  </r>
  <r>
    <s v="CA-2014-153808"/>
    <d v="2014-06-04T00:00:00"/>
    <x v="1"/>
    <x v="2"/>
    <x v="706"/>
    <n v="299.97000000000003"/>
    <n v="3"/>
    <n v="131.98679999999999"/>
    <n v="0.43999999999999995"/>
    <n v="2014"/>
    <x v="5"/>
    <n v="6"/>
    <n v="99.990000000000009"/>
    <s v="Profit"/>
  </r>
  <r>
    <s v="CA-2014-121664"/>
    <d v="2014-06-05T00:00:00"/>
    <x v="1"/>
    <x v="1"/>
    <x v="268"/>
    <n v="140.73599999999999"/>
    <n v="8"/>
    <n v="52.776000000000003"/>
    <n v="0.37500000000000006"/>
    <n v="2014"/>
    <x v="5"/>
    <n v="6"/>
    <n v="17.591999999999999"/>
    <s v="Profit"/>
  </r>
  <r>
    <s v="US-2014-154879"/>
    <d v="2014-06-05T00:00:00"/>
    <x v="1"/>
    <x v="1"/>
    <x v="1557"/>
    <n v="5.78"/>
    <n v="2"/>
    <n v="2.7166000000000001"/>
    <n v="0.47000000000000003"/>
    <n v="2014"/>
    <x v="5"/>
    <n v="6"/>
    <n v="2.89"/>
    <s v="Profit"/>
  </r>
  <r>
    <s v="US-2014-154879"/>
    <d v="2014-06-05T00:00:00"/>
    <x v="1"/>
    <x v="1"/>
    <x v="469"/>
    <n v="107.94"/>
    <n v="6"/>
    <n v="30.223199999999999"/>
    <n v="0.27999999999999997"/>
    <n v="2014"/>
    <x v="5"/>
    <n v="6"/>
    <n v="17.989999999999998"/>
    <s v="Profit"/>
  </r>
  <r>
    <s v="CA-2014-133270"/>
    <d v="2014-06-06T00:00:00"/>
    <x v="0"/>
    <x v="1"/>
    <x v="1558"/>
    <n v="13.36"/>
    <n v="2"/>
    <n v="4.9432"/>
    <n v="0.37"/>
    <n v="2014"/>
    <x v="5"/>
    <n v="6"/>
    <n v="6.68"/>
    <s v="Profit"/>
  </r>
  <r>
    <s v="CA-2014-159520"/>
    <d v="2014-06-06T00:00:00"/>
    <x v="0"/>
    <x v="1"/>
    <x v="521"/>
    <n v="149.54400000000001"/>
    <n v="9"/>
    <n v="50.4711"/>
    <n v="0.33749999999999997"/>
    <n v="2014"/>
    <x v="5"/>
    <n v="6"/>
    <n v="16.616"/>
    <s v="Profit"/>
  </r>
  <r>
    <s v="CA-2014-159520"/>
    <d v="2014-06-06T00:00:00"/>
    <x v="0"/>
    <x v="1"/>
    <x v="1244"/>
    <n v="17.14"/>
    <n v="2"/>
    <n v="4.4564000000000004"/>
    <n v="0.26"/>
    <n v="2014"/>
    <x v="5"/>
    <n v="6"/>
    <n v="8.57"/>
    <s v="Profit"/>
  </r>
  <r>
    <s v="CA-2014-159520"/>
    <d v="2014-06-06T00:00:00"/>
    <x v="0"/>
    <x v="0"/>
    <x v="954"/>
    <n v="991.76400000000001"/>
    <n v="3"/>
    <n v="-347.11739999999998"/>
    <n v="-0.35"/>
    <n v="2014"/>
    <x v="5"/>
    <n v="6"/>
    <n v="330.58800000000002"/>
    <s v="Loss"/>
  </r>
  <r>
    <s v="US-2014-161305"/>
    <d v="2014-06-06T00:00:00"/>
    <x v="2"/>
    <x v="1"/>
    <x v="815"/>
    <n v="24.588000000000001"/>
    <n v="3"/>
    <n v="-38.111400000000003"/>
    <n v="-1.55"/>
    <n v="2014"/>
    <x v="5"/>
    <n v="6"/>
    <n v="8.1959999999999997"/>
    <s v="Loss"/>
  </r>
  <r>
    <s v="US-2014-161305"/>
    <d v="2014-06-06T00:00:00"/>
    <x v="2"/>
    <x v="1"/>
    <x v="720"/>
    <n v="13.984"/>
    <n v="2"/>
    <n v="4.7195999999999998"/>
    <n v="0.33749999999999997"/>
    <n v="2014"/>
    <x v="5"/>
    <n v="6"/>
    <n v="6.992"/>
    <s v="Profit"/>
  </r>
  <r>
    <s v="CA-2014-151897"/>
    <d v="2014-06-06T00:00:00"/>
    <x v="2"/>
    <x v="1"/>
    <x v="1457"/>
    <n v="100.24"/>
    <n v="10"/>
    <n v="33.831000000000003"/>
    <n v="0.33750000000000002"/>
    <n v="2014"/>
    <x v="5"/>
    <n v="6"/>
    <n v="10.023999999999999"/>
    <s v="Profit"/>
  </r>
  <r>
    <s v="CA-2014-169257"/>
    <d v="2014-06-06T00:00:00"/>
    <x v="3"/>
    <x v="1"/>
    <x v="387"/>
    <n v="1.365"/>
    <n v="1"/>
    <n v="-0.91"/>
    <n v="-0.66666666666666674"/>
    <n v="2014"/>
    <x v="5"/>
    <n v="6"/>
    <n v="1.365"/>
    <s v="Loss"/>
  </r>
  <r>
    <s v="CA-2014-169257"/>
    <d v="2014-06-06T00:00:00"/>
    <x v="3"/>
    <x v="1"/>
    <x v="1559"/>
    <n v="62.015999999999998"/>
    <n v="2"/>
    <n v="22.480799999999999"/>
    <n v="0.36249999999999999"/>
    <n v="2014"/>
    <x v="5"/>
    <n v="6"/>
    <n v="31.007999999999999"/>
    <s v="Profit"/>
  </r>
  <r>
    <s v="CA-2014-134278"/>
    <d v="2014-06-07T00:00:00"/>
    <x v="0"/>
    <x v="2"/>
    <x v="627"/>
    <n v="559.99199999999996"/>
    <n v="1"/>
    <n v="174.9975"/>
    <n v="0.3125"/>
    <n v="2014"/>
    <x v="5"/>
    <n v="6"/>
    <n v="559.99199999999996"/>
    <s v="Profit"/>
  </r>
  <r>
    <s v="CA-2014-147543"/>
    <d v="2014-06-07T00:00:00"/>
    <x v="1"/>
    <x v="0"/>
    <x v="90"/>
    <n v="478.48"/>
    <n v="2"/>
    <n v="47.847999999999999"/>
    <n v="9.9999999999999992E-2"/>
    <n v="2014"/>
    <x v="5"/>
    <n v="6"/>
    <n v="239.24"/>
    <s v="Profit"/>
  </r>
  <r>
    <s v="CA-2014-115357"/>
    <d v="2014-06-08T00:00:00"/>
    <x v="3"/>
    <x v="2"/>
    <x v="1534"/>
    <n v="62.91"/>
    <n v="3"/>
    <n v="22.647600000000001"/>
    <n v="0.36000000000000004"/>
    <n v="2014"/>
    <x v="5"/>
    <n v="6"/>
    <n v="20.97"/>
    <s v="Profit"/>
  </r>
  <r>
    <s v="CA-2014-137575"/>
    <d v="2014-06-08T00:00:00"/>
    <x v="0"/>
    <x v="2"/>
    <x v="452"/>
    <n v="199.98"/>
    <n v="2"/>
    <n v="83.991600000000005"/>
    <n v="0.42000000000000004"/>
    <n v="2014"/>
    <x v="5"/>
    <n v="6"/>
    <n v="99.99"/>
    <s v="Profit"/>
  </r>
  <r>
    <s v="CA-2014-130449"/>
    <d v="2014-06-09T00:00:00"/>
    <x v="1"/>
    <x v="0"/>
    <x v="493"/>
    <n v="41.88"/>
    <n v="6"/>
    <n v="12.145200000000001"/>
    <n v="0.28999999999999998"/>
    <n v="2014"/>
    <x v="5"/>
    <n v="6"/>
    <n v="6.98"/>
    <s v="Profit"/>
  </r>
  <r>
    <s v="CA-2014-130449"/>
    <d v="2014-06-09T00:00:00"/>
    <x v="1"/>
    <x v="1"/>
    <x v="1547"/>
    <n v="58.48"/>
    <n v="8"/>
    <n v="27.485600000000002"/>
    <n v="0.47000000000000003"/>
    <n v="2014"/>
    <x v="5"/>
    <n v="6"/>
    <n v="7.31"/>
    <s v="Profit"/>
  </r>
  <r>
    <s v="CA-2014-134677"/>
    <d v="2014-06-10T00:00:00"/>
    <x v="1"/>
    <x v="2"/>
    <x v="1560"/>
    <n v="9.09"/>
    <n v="3"/>
    <n v="1.9089"/>
    <n v="0.21000000000000002"/>
    <n v="2014"/>
    <x v="5"/>
    <n v="6"/>
    <n v="3.03"/>
    <s v="Profit"/>
  </r>
  <r>
    <s v="CA-2014-132542"/>
    <d v="2014-06-10T00:00:00"/>
    <x v="2"/>
    <x v="1"/>
    <x v="797"/>
    <n v="15.36"/>
    <n v="2"/>
    <n v="7.68"/>
    <n v="0.5"/>
    <n v="2014"/>
    <x v="5"/>
    <n v="6"/>
    <n v="7.68"/>
    <s v="Profit"/>
  </r>
  <r>
    <s v="CA-2014-110611"/>
    <d v="2014-06-10T00:00:00"/>
    <x v="0"/>
    <x v="1"/>
    <x v="70"/>
    <n v="83.92"/>
    <n v="5"/>
    <n v="-13.637"/>
    <n v="-0.16250000000000001"/>
    <n v="2014"/>
    <x v="5"/>
    <n v="6"/>
    <n v="16.783999999999999"/>
    <s v="Loss"/>
  </r>
  <r>
    <s v="CA-2014-109680"/>
    <d v="2014-06-10T00:00:00"/>
    <x v="2"/>
    <x v="1"/>
    <x v="520"/>
    <n v="386.34"/>
    <n v="2"/>
    <n v="54.087600000000002"/>
    <n v="0.14000000000000001"/>
    <n v="2014"/>
    <x v="5"/>
    <n v="6"/>
    <n v="193.17"/>
    <s v="Profit"/>
  </r>
  <r>
    <s v="CA-2014-120950"/>
    <d v="2014-06-11T00:00:00"/>
    <x v="3"/>
    <x v="1"/>
    <x v="1525"/>
    <n v="43.68"/>
    <n v="6"/>
    <n v="20.9664"/>
    <n v="0.48"/>
    <n v="2014"/>
    <x v="5"/>
    <n v="6"/>
    <n v="7.28"/>
    <s v="Profit"/>
  </r>
  <r>
    <s v="CA-2014-110030"/>
    <d v="2014-06-12T00:00:00"/>
    <x v="2"/>
    <x v="0"/>
    <x v="707"/>
    <n v="23.975999999999999"/>
    <n v="3"/>
    <n v="-14.3856"/>
    <n v="-0.6"/>
    <n v="2014"/>
    <x v="5"/>
    <n v="6"/>
    <n v="7.992"/>
    <s v="Loss"/>
  </r>
  <r>
    <s v="US-2014-112872"/>
    <d v="2014-06-12T00:00:00"/>
    <x v="1"/>
    <x v="1"/>
    <x v="1265"/>
    <n v="53.423999999999999"/>
    <n v="3"/>
    <n v="4.6745999999999999"/>
    <n v="8.7499999999999994E-2"/>
    <n v="2014"/>
    <x v="5"/>
    <n v="6"/>
    <n v="17.808"/>
    <s v="Profit"/>
  </r>
  <r>
    <s v="US-2014-112872"/>
    <d v="2014-06-12T00:00:00"/>
    <x v="1"/>
    <x v="0"/>
    <x v="954"/>
    <n v="275.49"/>
    <n v="1"/>
    <n v="-170.8038"/>
    <n v="-0.62"/>
    <n v="2014"/>
    <x v="5"/>
    <n v="6"/>
    <n v="275.49"/>
    <s v="Loss"/>
  </r>
  <r>
    <s v="US-2014-140452"/>
    <d v="2014-06-12T00:00:00"/>
    <x v="2"/>
    <x v="1"/>
    <x v="1329"/>
    <n v="14.016"/>
    <n v="4"/>
    <n v="-31.536000000000001"/>
    <n v="-2.25"/>
    <n v="2014"/>
    <x v="5"/>
    <n v="6"/>
    <n v="3.504"/>
    <s v="Loss"/>
  </r>
  <r>
    <s v="US-2014-140452"/>
    <d v="2014-06-12T00:00:00"/>
    <x v="2"/>
    <x v="0"/>
    <x v="479"/>
    <n v="214.95"/>
    <n v="5"/>
    <n v="-120.372"/>
    <n v="-0.56000000000000005"/>
    <n v="2014"/>
    <x v="5"/>
    <n v="6"/>
    <n v="42.989999999999995"/>
    <s v="Loss"/>
  </r>
  <r>
    <s v="US-2014-140452"/>
    <d v="2014-06-12T00:00:00"/>
    <x v="2"/>
    <x v="2"/>
    <x v="636"/>
    <n v="35.04"/>
    <n v="4"/>
    <n v="-7.008"/>
    <n v="-0.2"/>
    <n v="2014"/>
    <x v="5"/>
    <n v="6"/>
    <n v="8.76"/>
    <s v="Loss"/>
  </r>
  <r>
    <s v="US-2014-140452"/>
    <d v="2014-06-12T00:00:00"/>
    <x v="2"/>
    <x v="0"/>
    <x v="1051"/>
    <n v="10.776"/>
    <n v="3"/>
    <n v="-4.8491999999999997"/>
    <n v="-0.45"/>
    <n v="2014"/>
    <x v="5"/>
    <n v="6"/>
    <n v="3.5920000000000001"/>
    <s v="Loss"/>
  </r>
  <r>
    <s v="US-2014-140452"/>
    <d v="2014-06-12T00:00:00"/>
    <x v="2"/>
    <x v="1"/>
    <x v="458"/>
    <n v="4.5999999999999996"/>
    <n v="2"/>
    <n v="-8.0500000000000007"/>
    <n v="-1.7500000000000002"/>
    <n v="2014"/>
    <x v="5"/>
    <n v="6"/>
    <n v="2.2999999999999998"/>
    <s v="Loss"/>
  </r>
  <r>
    <s v="US-2014-140452"/>
    <d v="2014-06-12T00:00:00"/>
    <x v="2"/>
    <x v="1"/>
    <x v="301"/>
    <n v="35.167999999999999"/>
    <n v="2"/>
    <n v="-8.3523999999999994"/>
    <n v="-0.23749999999999999"/>
    <n v="2014"/>
    <x v="5"/>
    <n v="6"/>
    <n v="17.584"/>
    <s v="Loss"/>
  </r>
  <r>
    <s v="CA-2014-106726"/>
    <d v="2014-06-12T00:00:00"/>
    <x v="1"/>
    <x v="1"/>
    <x v="709"/>
    <n v="1261.33"/>
    <n v="7"/>
    <n v="327.94580000000002"/>
    <n v="0.26"/>
    <n v="2014"/>
    <x v="5"/>
    <n v="6"/>
    <n v="180.19"/>
    <s v="Profit"/>
  </r>
  <r>
    <s v="CA-2014-155390"/>
    <d v="2014-06-12T00:00:00"/>
    <x v="3"/>
    <x v="1"/>
    <x v="1102"/>
    <n v="42.207999999999998"/>
    <n v="2"/>
    <n v="13.717599999999999"/>
    <n v="0.32500000000000001"/>
    <n v="2014"/>
    <x v="5"/>
    <n v="6"/>
    <n v="21.103999999999999"/>
    <s v="Profit"/>
  </r>
  <r>
    <s v="CA-2014-105417"/>
    <d v="2014-07-01T00:00:00"/>
    <x v="2"/>
    <x v="0"/>
    <x v="948"/>
    <n v="76.727999999999994"/>
    <n v="3"/>
    <n v="-53.709600000000002"/>
    <n v="-0.70000000000000007"/>
    <n v="2014"/>
    <x v="6"/>
    <n v="7"/>
    <n v="25.575999999999997"/>
    <s v="Loss"/>
  </r>
  <r>
    <s v="CA-2014-105417"/>
    <d v="2014-07-01T00:00:00"/>
    <x v="2"/>
    <x v="1"/>
    <x v="834"/>
    <n v="10.43"/>
    <n v="7"/>
    <n v="-18.252500000000001"/>
    <n v="-1.7500000000000002"/>
    <n v="2014"/>
    <x v="6"/>
    <n v="7"/>
    <n v="1.49"/>
    <s v="Loss"/>
  </r>
  <r>
    <s v="CA-2014-107755"/>
    <d v="2014-07-02T00:00:00"/>
    <x v="0"/>
    <x v="2"/>
    <x v="1561"/>
    <n v="115.36"/>
    <n v="7"/>
    <n v="49.604799999999997"/>
    <n v="0.43"/>
    <n v="2014"/>
    <x v="6"/>
    <n v="7"/>
    <n v="16.48"/>
    <s v="Profit"/>
  </r>
  <r>
    <s v="US-2014-169390"/>
    <d v="2014-07-02T00:00:00"/>
    <x v="0"/>
    <x v="1"/>
    <x v="995"/>
    <n v="64.959999999999994"/>
    <n v="4"/>
    <n v="9.7439999999999998"/>
    <n v="0.15000000000000002"/>
    <n v="2014"/>
    <x v="6"/>
    <n v="7"/>
    <n v="16.239999999999998"/>
    <s v="Profit"/>
  </r>
  <r>
    <s v="CA-2014-156587"/>
    <d v="2014-07-03T00:00:00"/>
    <x v="1"/>
    <x v="0"/>
    <x v="960"/>
    <n v="48.712000000000003"/>
    <n v="1"/>
    <n v="5.4801000000000002"/>
    <n v="0.1125"/>
    <n v="2014"/>
    <x v="6"/>
    <n v="7"/>
    <n v="48.712000000000003"/>
    <s v="Profit"/>
  </r>
  <r>
    <s v="CA-2014-156587"/>
    <d v="2014-07-03T00:00:00"/>
    <x v="1"/>
    <x v="1"/>
    <x v="1489"/>
    <n v="17.940000000000001"/>
    <n v="3"/>
    <n v="4.6643999999999997"/>
    <n v="0.25999999999999995"/>
    <n v="2014"/>
    <x v="6"/>
    <n v="7"/>
    <n v="5.98"/>
    <s v="Profit"/>
  </r>
  <r>
    <s v="CA-2014-156587"/>
    <d v="2014-07-03T00:00:00"/>
    <x v="1"/>
    <x v="1"/>
    <x v="429"/>
    <n v="242.94"/>
    <n v="3"/>
    <n v="4.8587999999999996"/>
    <n v="1.9999999999999997E-2"/>
    <n v="2014"/>
    <x v="6"/>
    <n v="7"/>
    <n v="80.98"/>
    <s v="Profit"/>
  </r>
  <r>
    <s v="US-2014-131982"/>
    <d v="2014-07-03T00:00:00"/>
    <x v="1"/>
    <x v="1"/>
    <x v="126"/>
    <n v="107.648"/>
    <n v="2"/>
    <n v="33.64"/>
    <n v="0.3125"/>
    <n v="2014"/>
    <x v="6"/>
    <n v="7"/>
    <n v="53.823999999999998"/>
    <s v="Profit"/>
  </r>
  <r>
    <s v="CA-2014-104563"/>
    <d v="2014-07-03T00:00:00"/>
    <x v="1"/>
    <x v="1"/>
    <x v="1562"/>
    <n v="20.65"/>
    <n v="5"/>
    <n v="9.4990000000000006"/>
    <n v="0.46000000000000008"/>
    <n v="2014"/>
    <x v="6"/>
    <n v="7"/>
    <n v="4.13"/>
    <s v="Profit"/>
  </r>
  <r>
    <s v="CA-2014-104563"/>
    <d v="2014-07-03T00:00:00"/>
    <x v="1"/>
    <x v="1"/>
    <x v="1209"/>
    <n v="204.9"/>
    <n v="5"/>
    <n v="0"/>
    <n v="0"/>
    <n v="2014"/>
    <x v="6"/>
    <n v="7"/>
    <n v="40.980000000000004"/>
    <s v="Loss"/>
  </r>
  <r>
    <s v="CA-2014-104563"/>
    <d v="2014-07-03T00:00:00"/>
    <x v="1"/>
    <x v="0"/>
    <x v="1563"/>
    <n v="436.70400000000001"/>
    <n v="6"/>
    <n v="21.8352"/>
    <n v="0.05"/>
    <n v="2014"/>
    <x v="6"/>
    <n v="7"/>
    <n v="72.784000000000006"/>
    <s v="Profit"/>
  </r>
  <r>
    <s v="CA-2014-104563"/>
    <d v="2014-07-03T00:00:00"/>
    <x v="1"/>
    <x v="0"/>
    <x v="812"/>
    <n v="481.56799999999998"/>
    <n v="2"/>
    <n v="54.176400000000001"/>
    <n v="0.1125"/>
    <n v="2014"/>
    <x v="6"/>
    <n v="7"/>
    <n v="240.78399999999999"/>
    <s v="Profit"/>
  </r>
  <r>
    <s v="CA-2014-124023"/>
    <d v="2014-07-04T00:00:00"/>
    <x v="3"/>
    <x v="0"/>
    <x v="1288"/>
    <n v="8.9600000000000009"/>
    <n v="2"/>
    <n v="2.7776000000000001"/>
    <n v="0.31"/>
    <n v="2014"/>
    <x v="6"/>
    <n v="7"/>
    <n v="4.4800000000000004"/>
    <s v="Profit"/>
  </r>
  <r>
    <s v="CA-2014-128846"/>
    <d v="2014-07-04T00:00:00"/>
    <x v="3"/>
    <x v="2"/>
    <x v="1308"/>
    <n v="629.95000000000005"/>
    <n v="5"/>
    <n v="163.78700000000001"/>
    <n v="0.26"/>
    <n v="2014"/>
    <x v="6"/>
    <n v="7"/>
    <n v="125.99000000000001"/>
    <s v="Profit"/>
  </r>
  <r>
    <s v="CA-2014-128846"/>
    <d v="2014-07-04T00:00:00"/>
    <x v="3"/>
    <x v="1"/>
    <x v="1258"/>
    <n v="122.97"/>
    <n v="3"/>
    <n v="60.255299999999998"/>
    <n v="0.49"/>
    <n v="2014"/>
    <x v="6"/>
    <n v="7"/>
    <n v="40.99"/>
    <s v="Profit"/>
  </r>
  <r>
    <s v="CA-2014-165806"/>
    <d v="2014-07-04T00:00:00"/>
    <x v="3"/>
    <x v="1"/>
    <x v="41"/>
    <n v="58.32"/>
    <n v="9"/>
    <n v="27.993600000000001"/>
    <n v="0.48"/>
    <n v="2014"/>
    <x v="6"/>
    <n v="7"/>
    <n v="6.48"/>
    <s v="Profit"/>
  </r>
  <r>
    <s v="CA-2014-165806"/>
    <d v="2014-07-04T00:00:00"/>
    <x v="3"/>
    <x v="2"/>
    <x v="1564"/>
    <n v="200.97"/>
    <n v="3"/>
    <n v="50.2425"/>
    <n v="0.25"/>
    <n v="2014"/>
    <x v="6"/>
    <n v="7"/>
    <n v="66.989999999999995"/>
    <s v="Profit"/>
  </r>
  <r>
    <s v="CA-2014-166086"/>
    <d v="2014-07-05T00:00:00"/>
    <x v="0"/>
    <x v="1"/>
    <x v="976"/>
    <n v="16.14"/>
    <n v="3"/>
    <n v="7.9085999999999999"/>
    <n v="0.49"/>
    <n v="2014"/>
    <x v="6"/>
    <n v="7"/>
    <n v="5.38"/>
    <s v="Profit"/>
  </r>
  <r>
    <s v="CA-2014-166086"/>
    <d v="2014-07-05T00:00:00"/>
    <x v="0"/>
    <x v="0"/>
    <x v="483"/>
    <n v="194.25"/>
    <n v="2"/>
    <n v="-38.85"/>
    <n v="-0.2"/>
    <n v="2014"/>
    <x v="6"/>
    <n v="7"/>
    <n v="97.125"/>
    <s v="Loss"/>
  </r>
  <r>
    <s v="CA-2014-166086"/>
    <d v="2014-07-05T00:00:00"/>
    <x v="0"/>
    <x v="1"/>
    <x v="1565"/>
    <n v="8.64"/>
    <n v="3"/>
    <n v="2.5055999999999998"/>
    <n v="0.28999999999999998"/>
    <n v="2014"/>
    <x v="6"/>
    <n v="7"/>
    <n v="2.8800000000000003"/>
    <s v="Profit"/>
  </r>
  <r>
    <s v="CA-2014-166086"/>
    <d v="2014-07-05T00:00:00"/>
    <x v="0"/>
    <x v="0"/>
    <x v="735"/>
    <n v="872.32"/>
    <n v="4"/>
    <n v="244.24959999999999"/>
    <n v="0.27999999999999997"/>
    <n v="2014"/>
    <x v="6"/>
    <n v="7"/>
    <n v="218.08"/>
    <s v="Profit"/>
  </r>
  <r>
    <s v="US-2014-134971"/>
    <d v="2014-07-06T00:00:00"/>
    <x v="2"/>
    <x v="1"/>
    <x v="521"/>
    <n v="12.462"/>
    <n v="3"/>
    <n v="-20.5623"/>
    <n v="-1.6500000000000001"/>
    <n v="2014"/>
    <x v="6"/>
    <n v="7"/>
    <n v="4.1539999999999999"/>
    <s v="Loss"/>
  </r>
  <r>
    <s v="CA-2014-106229"/>
    <d v="2014-07-06T00:00:00"/>
    <x v="2"/>
    <x v="0"/>
    <x v="293"/>
    <n v="268.935"/>
    <n v="3"/>
    <n v="-209.76929999999999"/>
    <n v="-0.77999999999999992"/>
    <n v="2014"/>
    <x v="6"/>
    <n v="7"/>
    <n v="89.644999999999996"/>
    <s v="Loss"/>
  </r>
  <r>
    <s v="US-2014-138758"/>
    <d v="2014-07-07T00:00:00"/>
    <x v="0"/>
    <x v="0"/>
    <x v="474"/>
    <n v="172.18600000000001"/>
    <n v="2"/>
    <n v="-46.736199999999997"/>
    <n v="-0.27142857142857141"/>
    <n v="2014"/>
    <x v="6"/>
    <n v="7"/>
    <n v="86.093000000000004"/>
    <s v="Loss"/>
  </r>
  <r>
    <s v="US-2014-138758"/>
    <d v="2014-07-07T00:00:00"/>
    <x v="0"/>
    <x v="0"/>
    <x v="112"/>
    <n v="69.007999999999996"/>
    <n v="2"/>
    <n v="12.0764"/>
    <n v="0.17500000000000002"/>
    <n v="2014"/>
    <x v="6"/>
    <n v="7"/>
    <n v="34.503999999999998"/>
    <s v="Profit"/>
  </r>
  <r>
    <s v="CA-2014-122882"/>
    <d v="2014-07-09T00:00:00"/>
    <x v="0"/>
    <x v="1"/>
    <x v="429"/>
    <n v="64.784000000000006"/>
    <n v="1"/>
    <n v="-14.5764"/>
    <n v="-0.22499999999999998"/>
    <n v="2014"/>
    <x v="6"/>
    <n v="7"/>
    <n v="64.784000000000006"/>
    <s v="Loss"/>
  </r>
  <r>
    <s v="CA-2014-122882"/>
    <d v="2014-07-09T00:00:00"/>
    <x v="0"/>
    <x v="2"/>
    <x v="396"/>
    <n v="32.381999999999998"/>
    <n v="3"/>
    <n v="4.3175999999999997"/>
    <n v="0.13333333333333333"/>
    <n v="2014"/>
    <x v="6"/>
    <n v="7"/>
    <n v="10.793999999999999"/>
    <s v="Profit"/>
  </r>
  <r>
    <s v="CA-2014-122882"/>
    <d v="2014-07-09T00:00:00"/>
    <x v="0"/>
    <x v="0"/>
    <x v="1268"/>
    <n v="42.368000000000002"/>
    <n v="2"/>
    <n v="8.4735999999999994"/>
    <n v="0.19999999999999998"/>
    <n v="2014"/>
    <x v="6"/>
    <n v="7"/>
    <n v="21.184000000000001"/>
    <s v="Profit"/>
  </r>
  <r>
    <s v="CA-2014-122882"/>
    <d v="2014-07-09T00:00:00"/>
    <x v="0"/>
    <x v="2"/>
    <x v="1566"/>
    <n v="399.54"/>
    <n v="4"/>
    <n v="-559.35599999999999"/>
    <n v="-1.4"/>
    <n v="2014"/>
    <x v="6"/>
    <n v="7"/>
    <n v="99.885000000000005"/>
    <s v="Loss"/>
  </r>
  <r>
    <s v="CA-2014-131002"/>
    <d v="2014-07-09T00:00:00"/>
    <x v="2"/>
    <x v="0"/>
    <x v="1172"/>
    <n v="57.69"/>
    <n v="3"/>
    <n v="23.652899999999999"/>
    <n v="0.41"/>
    <n v="2014"/>
    <x v="6"/>
    <n v="7"/>
    <n v="19.23"/>
    <s v="Profit"/>
  </r>
  <r>
    <s v="CA-2014-131002"/>
    <d v="2014-07-09T00:00:00"/>
    <x v="2"/>
    <x v="1"/>
    <x v="1567"/>
    <n v="42.81"/>
    <n v="3"/>
    <n v="20.120699999999999"/>
    <n v="0.47"/>
    <n v="2014"/>
    <x v="6"/>
    <n v="7"/>
    <n v="14.270000000000001"/>
    <s v="Profit"/>
  </r>
  <r>
    <s v="CA-2014-131002"/>
    <d v="2014-07-09T00:00:00"/>
    <x v="2"/>
    <x v="1"/>
    <x v="890"/>
    <n v="12.96"/>
    <n v="2"/>
    <n v="6.2207999999999997"/>
    <n v="0.47999999999999993"/>
    <n v="2014"/>
    <x v="6"/>
    <n v="7"/>
    <n v="6.48"/>
    <s v="Profit"/>
  </r>
  <r>
    <s v="CA-2014-131002"/>
    <d v="2014-07-09T00:00:00"/>
    <x v="2"/>
    <x v="0"/>
    <x v="626"/>
    <n v="821.88"/>
    <n v="6"/>
    <n v="213.68879999999999"/>
    <n v="0.26"/>
    <n v="2014"/>
    <x v="6"/>
    <n v="7"/>
    <n v="136.97999999999999"/>
    <s v="Profit"/>
  </r>
  <r>
    <s v="CA-2014-131002"/>
    <d v="2014-07-09T00:00:00"/>
    <x v="2"/>
    <x v="2"/>
    <x v="953"/>
    <n v="104.85"/>
    <n v="3"/>
    <n v="28.3095"/>
    <n v="0.27"/>
    <n v="2014"/>
    <x v="6"/>
    <n v="7"/>
    <n v="34.949999999999996"/>
    <s v="Profit"/>
  </r>
  <r>
    <s v="CA-2014-100006"/>
    <d v="2014-07-09T00:00:00"/>
    <x v="0"/>
    <x v="2"/>
    <x v="1568"/>
    <n v="377.97"/>
    <n v="3"/>
    <n v="109.6113"/>
    <n v="0.28999999999999998"/>
    <n v="2014"/>
    <x v="6"/>
    <n v="7"/>
    <n v="125.99000000000001"/>
    <s v="Profit"/>
  </r>
  <r>
    <s v="CA-2014-105165"/>
    <d v="2014-07-09T00:00:00"/>
    <x v="2"/>
    <x v="2"/>
    <x v="120"/>
    <n v="196.77600000000001"/>
    <n v="3"/>
    <n v="14.7582"/>
    <n v="7.4999999999999997E-2"/>
    <n v="2014"/>
    <x v="6"/>
    <n v="7"/>
    <n v="65.591999999999999"/>
    <s v="Profit"/>
  </r>
  <r>
    <s v="CA-2014-105165"/>
    <d v="2014-07-09T00:00:00"/>
    <x v="2"/>
    <x v="1"/>
    <x v="858"/>
    <n v="2.92"/>
    <n v="2"/>
    <n v="-4.8179999999999996"/>
    <n v="-1.65"/>
    <n v="2014"/>
    <x v="6"/>
    <n v="7"/>
    <n v="1.46"/>
    <s v="Loss"/>
  </r>
  <r>
    <s v="CA-2014-105165"/>
    <d v="2014-07-09T00:00:00"/>
    <x v="2"/>
    <x v="0"/>
    <x v="704"/>
    <n v="200.79499999999999"/>
    <n v="1"/>
    <n v="-22.948"/>
    <n v="-0.1142857142857143"/>
    <n v="2014"/>
    <x v="6"/>
    <n v="7"/>
    <n v="200.79499999999999"/>
    <s v="Loss"/>
  </r>
  <r>
    <s v="CA-2014-105165"/>
    <d v="2014-07-09T00:00:00"/>
    <x v="2"/>
    <x v="2"/>
    <x v="1475"/>
    <n v="46.688000000000002"/>
    <n v="4"/>
    <n v="-2.9180000000000001"/>
    <n v="-6.25E-2"/>
    <n v="2014"/>
    <x v="6"/>
    <n v="7"/>
    <n v="11.672000000000001"/>
    <s v="Loss"/>
  </r>
  <r>
    <s v="CA-2014-105165"/>
    <d v="2014-07-09T00:00:00"/>
    <x v="2"/>
    <x v="1"/>
    <x v="518"/>
    <n v="21.864000000000001"/>
    <n v="3"/>
    <n v="3.5529000000000002"/>
    <n v="0.16250000000000001"/>
    <n v="2014"/>
    <x v="6"/>
    <n v="7"/>
    <n v="7.2880000000000003"/>
    <s v="Profit"/>
  </r>
  <r>
    <s v="CA-2014-117765"/>
    <d v="2014-07-09T00:00:00"/>
    <x v="2"/>
    <x v="0"/>
    <x v="479"/>
    <n v="429.9"/>
    <n v="5"/>
    <n v="111.774"/>
    <n v="0.26"/>
    <n v="2014"/>
    <x v="6"/>
    <n v="7"/>
    <n v="85.97999999999999"/>
    <s v="Profit"/>
  </r>
  <r>
    <s v="CA-2014-117765"/>
    <d v="2014-07-09T00:00:00"/>
    <x v="2"/>
    <x v="1"/>
    <x v="103"/>
    <n v="32.06"/>
    <n v="2"/>
    <n v="15.3888"/>
    <n v="0.48"/>
    <n v="2014"/>
    <x v="6"/>
    <n v="7"/>
    <n v="16.03"/>
    <s v="Profit"/>
  </r>
  <r>
    <s v="CA-2014-117765"/>
    <d v="2014-07-09T00:00:00"/>
    <x v="2"/>
    <x v="0"/>
    <x v="1569"/>
    <n v="161.96"/>
    <n v="2"/>
    <n v="45.348799999999997"/>
    <n v="0.27999999999999997"/>
    <n v="2014"/>
    <x v="6"/>
    <n v="7"/>
    <n v="80.98"/>
    <s v="Profit"/>
  </r>
  <r>
    <s v="CA-2014-117765"/>
    <d v="2014-07-09T00:00:00"/>
    <x v="2"/>
    <x v="1"/>
    <x v="675"/>
    <n v="19.86"/>
    <n v="2"/>
    <n v="5.7594000000000003"/>
    <n v="0.29000000000000004"/>
    <n v="2014"/>
    <x v="6"/>
    <n v="7"/>
    <n v="9.93"/>
    <s v="Profit"/>
  </r>
  <r>
    <s v="CA-2014-109918"/>
    <d v="2014-07-09T00:00:00"/>
    <x v="1"/>
    <x v="1"/>
    <x v="1372"/>
    <n v="27.36"/>
    <n v="4"/>
    <n v="7.3872"/>
    <n v="0.27"/>
    <n v="2014"/>
    <x v="6"/>
    <n v="7"/>
    <n v="6.84"/>
    <s v="Profit"/>
  </r>
  <r>
    <s v="CA-2014-109918"/>
    <d v="2014-07-09T00:00:00"/>
    <x v="1"/>
    <x v="1"/>
    <x v="292"/>
    <n v="20.56"/>
    <n v="2"/>
    <n v="9.6631999999999998"/>
    <n v="0.47000000000000003"/>
    <n v="2014"/>
    <x v="6"/>
    <n v="7"/>
    <n v="10.28"/>
    <s v="Profit"/>
  </r>
  <r>
    <s v="CA-2014-109918"/>
    <d v="2014-07-09T00:00:00"/>
    <x v="1"/>
    <x v="1"/>
    <x v="898"/>
    <n v="83.92"/>
    <n v="5"/>
    <n v="31.47"/>
    <n v="0.375"/>
    <n v="2014"/>
    <x v="6"/>
    <n v="7"/>
    <n v="16.783999999999999"/>
    <s v="Profit"/>
  </r>
  <r>
    <s v="CA-2014-126193"/>
    <d v="2014-07-09T00:00:00"/>
    <x v="2"/>
    <x v="1"/>
    <x v="840"/>
    <n v="13.16"/>
    <n v="5"/>
    <n v="4.1124999999999998"/>
    <n v="0.3125"/>
    <n v="2014"/>
    <x v="6"/>
    <n v="7"/>
    <n v="2.6320000000000001"/>
    <s v="Profit"/>
  </r>
  <r>
    <s v="CA-2014-126193"/>
    <d v="2014-07-09T00:00:00"/>
    <x v="2"/>
    <x v="1"/>
    <x v="1400"/>
    <n v="3.8279999999999998"/>
    <n v="3"/>
    <n v="-6.5076000000000001"/>
    <n v="-1.7000000000000002"/>
    <n v="2014"/>
    <x v="6"/>
    <n v="7"/>
    <n v="1.276"/>
    <s v="Loss"/>
  </r>
  <r>
    <s v="CA-2014-126193"/>
    <d v="2014-07-09T00:00:00"/>
    <x v="2"/>
    <x v="1"/>
    <x v="404"/>
    <n v="304.99"/>
    <n v="5"/>
    <n v="-533.73249999999996"/>
    <n v="-1.7499999999999998"/>
    <n v="2014"/>
    <x v="6"/>
    <n v="7"/>
    <n v="60.998000000000005"/>
    <s v="Loss"/>
  </r>
  <r>
    <s v="CA-2014-117429"/>
    <d v="2014-07-10T00:00:00"/>
    <x v="0"/>
    <x v="0"/>
    <x v="1393"/>
    <n v="129.91999999999999"/>
    <n v="5"/>
    <n v="21.111999999999998"/>
    <n v="0.16250000000000001"/>
    <n v="2014"/>
    <x v="6"/>
    <n v="7"/>
    <n v="25.983999999999998"/>
    <s v="Profit"/>
  </r>
  <r>
    <s v="CA-2014-132801"/>
    <d v="2014-07-10T00:00:00"/>
    <x v="2"/>
    <x v="1"/>
    <x v="1278"/>
    <n v="107.44"/>
    <n v="10"/>
    <n v="10.744"/>
    <n v="0.1"/>
    <n v="2014"/>
    <x v="6"/>
    <n v="7"/>
    <n v="10.744"/>
    <s v="Profit"/>
  </r>
  <r>
    <s v="CA-2014-123498"/>
    <d v="2014-07-11T00:00:00"/>
    <x v="2"/>
    <x v="1"/>
    <x v="226"/>
    <n v="26.045999999999999"/>
    <n v="3"/>
    <n v="-44.278199999999998"/>
    <n v="-1.7"/>
    <n v="2014"/>
    <x v="6"/>
    <n v="7"/>
    <n v="8.6820000000000004"/>
    <s v="Loss"/>
  </r>
  <r>
    <s v="CA-2014-123498"/>
    <d v="2014-07-11T00:00:00"/>
    <x v="2"/>
    <x v="1"/>
    <x v="11"/>
    <n v="74.352000000000004"/>
    <n v="3"/>
    <n v="26.9526"/>
    <n v="0.36249999999999999"/>
    <n v="2014"/>
    <x v="6"/>
    <n v="7"/>
    <n v="24.784000000000002"/>
    <s v="Profit"/>
  </r>
  <r>
    <s v="CA-2014-123323"/>
    <d v="2014-07-11T00:00:00"/>
    <x v="1"/>
    <x v="1"/>
    <x v="268"/>
    <n v="123.14400000000001"/>
    <n v="7"/>
    <n v="46.179000000000002"/>
    <n v="0.375"/>
    <n v="2014"/>
    <x v="6"/>
    <n v="7"/>
    <n v="17.592000000000002"/>
    <s v="Profit"/>
  </r>
  <r>
    <s v="CA-2014-159310"/>
    <d v="2014-07-11T00:00:00"/>
    <x v="2"/>
    <x v="0"/>
    <x v="1570"/>
    <n v="683.14400000000001"/>
    <n v="4"/>
    <n v="0"/>
    <n v="0"/>
    <n v="2014"/>
    <x v="6"/>
    <n v="7"/>
    <n v="170.786"/>
    <s v="Loss"/>
  </r>
  <r>
    <s v="CA-2014-159310"/>
    <d v="2014-07-11T00:00:00"/>
    <x v="2"/>
    <x v="1"/>
    <x v="1571"/>
    <n v="1.476"/>
    <n v="3"/>
    <n v="-2.214"/>
    <n v="-1.5"/>
    <n v="2014"/>
    <x v="6"/>
    <n v="7"/>
    <n v="0.49199999999999999"/>
    <s v="Loss"/>
  </r>
  <r>
    <s v="CA-2014-159310"/>
    <d v="2014-07-11T00:00:00"/>
    <x v="2"/>
    <x v="1"/>
    <x v="1572"/>
    <n v="40.712000000000003"/>
    <n v="7"/>
    <n v="3.5623"/>
    <n v="8.7499999999999994E-2"/>
    <n v="2014"/>
    <x v="6"/>
    <n v="7"/>
    <n v="5.8160000000000007"/>
    <s v="Profit"/>
  </r>
  <r>
    <s v="CA-2014-120278"/>
    <d v="2014-07-11T00:00:00"/>
    <x v="2"/>
    <x v="1"/>
    <x v="248"/>
    <n v="245.88"/>
    <n v="6"/>
    <n v="68.846400000000003"/>
    <n v="0.28000000000000003"/>
    <n v="2014"/>
    <x v="6"/>
    <n v="7"/>
    <n v="40.98"/>
    <s v="Profit"/>
  </r>
  <r>
    <s v="CA-2014-120278"/>
    <d v="2014-07-11T00:00:00"/>
    <x v="2"/>
    <x v="1"/>
    <x v="1506"/>
    <n v="36.630000000000003"/>
    <n v="3"/>
    <n v="9.8901000000000003"/>
    <n v="0.27"/>
    <n v="2014"/>
    <x v="6"/>
    <n v="7"/>
    <n v="12.21"/>
    <s v="Profit"/>
  </r>
  <r>
    <s v="CA-2014-120278"/>
    <d v="2014-07-11T00:00:00"/>
    <x v="2"/>
    <x v="1"/>
    <x v="321"/>
    <n v="22.58"/>
    <n v="2"/>
    <n v="5.8708"/>
    <n v="0.26"/>
    <n v="2014"/>
    <x v="6"/>
    <n v="7"/>
    <n v="11.29"/>
    <s v="Profit"/>
  </r>
  <r>
    <s v="CA-2014-120278"/>
    <d v="2014-07-11T00:00:00"/>
    <x v="2"/>
    <x v="1"/>
    <x v="152"/>
    <n v="12.39"/>
    <n v="3"/>
    <n v="5.8232999999999997"/>
    <n v="0.47"/>
    <n v="2014"/>
    <x v="6"/>
    <n v="7"/>
    <n v="4.13"/>
    <s v="Profit"/>
  </r>
  <r>
    <s v="CA-2014-146990"/>
    <d v="2014-07-11T00:00:00"/>
    <x v="0"/>
    <x v="1"/>
    <x v="610"/>
    <n v="5.92"/>
    <n v="4"/>
    <n v="2.8416000000000001"/>
    <n v="0.48000000000000004"/>
    <n v="2014"/>
    <x v="6"/>
    <n v="7"/>
    <n v="1.48"/>
    <s v="Profit"/>
  </r>
  <r>
    <s v="CA-2014-146990"/>
    <d v="2014-07-11T00:00:00"/>
    <x v="0"/>
    <x v="1"/>
    <x v="975"/>
    <n v="30.18"/>
    <n v="3"/>
    <n v="13.8828"/>
    <n v="0.45999999999999996"/>
    <n v="2014"/>
    <x v="6"/>
    <n v="7"/>
    <n v="10.06"/>
    <s v="Profit"/>
  </r>
  <r>
    <s v="US-2014-139640"/>
    <d v="2014-07-11T00:00:00"/>
    <x v="1"/>
    <x v="1"/>
    <x v="611"/>
    <n v="25.92"/>
    <n v="5"/>
    <n v="9.0719999999999992"/>
    <n v="0.34999999999999992"/>
    <n v="2014"/>
    <x v="6"/>
    <n v="7"/>
    <n v="5.1840000000000002"/>
    <s v="Profit"/>
  </r>
  <r>
    <s v="US-2014-139640"/>
    <d v="2014-07-11T00:00:00"/>
    <x v="1"/>
    <x v="1"/>
    <x v="982"/>
    <n v="120.768"/>
    <n v="4"/>
    <n v="9.0576000000000008"/>
    <n v="7.5000000000000011E-2"/>
    <n v="2014"/>
    <x v="6"/>
    <n v="7"/>
    <n v="30.192"/>
    <s v="Profit"/>
  </r>
  <r>
    <s v="CA-2014-159681"/>
    <d v="2014-07-12T00:00:00"/>
    <x v="3"/>
    <x v="1"/>
    <x v="1102"/>
    <n v="105.52"/>
    <n v="4"/>
    <n v="48.539200000000001"/>
    <n v="0.46"/>
    <n v="2014"/>
    <x v="6"/>
    <n v="7"/>
    <n v="26.38"/>
    <s v="Profit"/>
  </r>
  <r>
    <s v="CA-2014-138737"/>
    <d v="2014-07-12T00:00:00"/>
    <x v="1"/>
    <x v="1"/>
    <x v="1509"/>
    <n v="8.64"/>
    <n v="3"/>
    <n v="2.4192"/>
    <n v="0.27999999999999997"/>
    <n v="2014"/>
    <x v="6"/>
    <n v="7"/>
    <n v="2.8800000000000003"/>
    <s v="Profit"/>
  </r>
  <r>
    <s v="CA-2014-101392"/>
    <d v="2014-07-12T00:00:00"/>
    <x v="1"/>
    <x v="1"/>
    <x v="436"/>
    <n v="269.36"/>
    <n v="7"/>
    <n v="70.033600000000007"/>
    <n v="0.26"/>
    <n v="2014"/>
    <x v="6"/>
    <n v="7"/>
    <n v="38.480000000000004"/>
    <s v="Profit"/>
  </r>
  <r>
    <s v="CA-2014-154592"/>
    <d v="2014-07-12T00:00:00"/>
    <x v="1"/>
    <x v="1"/>
    <x v="1001"/>
    <n v="164.88"/>
    <n v="3"/>
    <n v="80.791200000000003"/>
    <n v="0.49000000000000005"/>
    <n v="2014"/>
    <x v="6"/>
    <n v="7"/>
    <n v="54.96"/>
    <s v="Profit"/>
  </r>
  <r>
    <s v="CA-2014-125759"/>
    <d v="2014-08-02T00:00:00"/>
    <x v="1"/>
    <x v="0"/>
    <x v="1404"/>
    <n v="14.56"/>
    <n v="2"/>
    <n v="5.5327999999999999"/>
    <n v="0.38"/>
    <n v="2014"/>
    <x v="7"/>
    <n v="8"/>
    <n v="7.28"/>
    <s v="Profit"/>
  </r>
  <r>
    <s v="CA-2014-100363"/>
    <d v="2014-08-04T00:00:00"/>
    <x v="1"/>
    <x v="1"/>
    <x v="610"/>
    <n v="2.3679999999999999"/>
    <n v="2"/>
    <n v="0.82879999999999998"/>
    <n v="0.35000000000000003"/>
    <n v="2014"/>
    <x v="7"/>
    <n v="8"/>
    <n v="1.1839999999999999"/>
    <s v="Profit"/>
  </r>
  <r>
    <s v="CA-2014-100363"/>
    <d v="2014-08-04T00:00:00"/>
    <x v="1"/>
    <x v="1"/>
    <x v="140"/>
    <n v="19.007999999999999"/>
    <n v="3"/>
    <n v="6.8903999999999996"/>
    <n v="0.36249999999999999"/>
    <n v="2014"/>
    <x v="7"/>
    <n v="8"/>
    <n v="6.3359999999999994"/>
    <s v="Profit"/>
  </r>
  <r>
    <s v="US-2014-118997"/>
    <d v="2014-08-04T00:00:00"/>
    <x v="3"/>
    <x v="0"/>
    <x v="344"/>
    <n v="1215.92"/>
    <n v="8"/>
    <n v="316.13920000000002"/>
    <n v="0.26"/>
    <n v="2014"/>
    <x v="7"/>
    <n v="8"/>
    <n v="151.99"/>
    <s v="Profit"/>
  </r>
  <r>
    <s v="US-2014-163797"/>
    <d v="2014-08-04T00:00:00"/>
    <x v="1"/>
    <x v="1"/>
    <x v="1184"/>
    <n v="49.792000000000002"/>
    <n v="8"/>
    <n v="-11.8256"/>
    <n v="-0.23749999999999999"/>
    <n v="2014"/>
    <x v="7"/>
    <n v="8"/>
    <n v="6.2240000000000002"/>
    <s v="Loss"/>
  </r>
  <r>
    <s v="CA-2014-150581"/>
    <d v="2014-08-04T00:00:00"/>
    <x v="1"/>
    <x v="0"/>
    <x v="269"/>
    <n v="99.591999999999999"/>
    <n v="1"/>
    <n v="2.4897999999999998"/>
    <n v="2.4999999999999998E-2"/>
    <n v="2014"/>
    <x v="7"/>
    <n v="8"/>
    <n v="99.591999999999999"/>
    <s v="Profit"/>
  </r>
  <r>
    <s v="CA-2014-150581"/>
    <d v="2014-08-04T00:00:00"/>
    <x v="1"/>
    <x v="2"/>
    <x v="691"/>
    <n v="399.96"/>
    <n v="4"/>
    <n v="139.98599999999999"/>
    <n v="0.35"/>
    <n v="2014"/>
    <x v="7"/>
    <n v="8"/>
    <n v="99.99"/>
    <s v="Profit"/>
  </r>
  <r>
    <s v="CA-2014-121769"/>
    <d v="2014-08-04T00:00:00"/>
    <x v="0"/>
    <x v="0"/>
    <x v="1573"/>
    <n v="172.11"/>
    <n v="1"/>
    <n v="-94.660499999999999"/>
    <n v="-0.54999999999999993"/>
    <n v="2014"/>
    <x v="7"/>
    <n v="8"/>
    <n v="172.11"/>
    <s v="Loss"/>
  </r>
  <r>
    <s v="CA-2014-116666"/>
    <d v="2014-08-05T00:00:00"/>
    <x v="0"/>
    <x v="2"/>
    <x v="1074"/>
    <n v="1799.97"/>
    <n v="5"/>
    <n v="239.99600000000001"/>
    <n v="0.13333333333333333"/>
    <n v="2014"/>
    <x v="7"/>
    <n v="8"/>
    <n v="359.99400000000003"/>
    <s v="Profit"/>
  </r>
  <r>
    <s v="US-2014-141257"/>
    <d v="2014-08-06T00:00:00"/>
    <x v="1"/>
    <x v="0"/>
    <x v="1570"/>
    <n v="585.55200000000002"/>
    <n v="3"/>
    <n v="73.194000000000003"/>
    <n v="0.125"/>
    <n v="2014"/>
    <x v="7"/>
    <n v="8"/>
    <n v="195.184"/>
    <s v="Profit"/>
  </r>
  <r>
    <s v="US-2014-109162"/>
    <d v="2014-08-06T00:00:00"/>
    <x v="3"/>
    <x v="0"/>
    <x v="959"/>
    <n v="170.352"/>
    <n v="3"/>
    <n v="10.647"/>
    <n v="6.25E-2"/>
    <n v="2014"/>
    <x v="7"/>
    <n v="8"/>
    <n v="56.783999999999999"/>
    <s v="Profit"/>
  </r>
  <r>
    <s v="CA-2014-108147"/>
    <d v="2014-08-06T00:00:00"/>
    <x v="0"/>
    <x v="1"/>
    <x v="621"/>
    <n v="68.48"/>
    <n v="2"/>
    <n v="25.68"/>
    <n v="0.375"/>
    <n v="2014"/>
    <x v="7"/>
    <n v="8"/>
    <n v="34.24"/>
    <s v="Profit"/>
  </r>
  <r>
    <s v="CA-2014-108147"/>
    <d v="2014-08-06T00:00:00"/>
    <x v="0"/>
    <x v="1"/>
    <x v="1415"/>
    <n v="1676.88"/>
    <n v="6"/>
    <n v="83.843999999999994"/>
    <n v="4.9999999999999996E-2"/>
    <n v="2014"/>
    <x v="7"/>
    <n v="8"/>
    <n v="279.48"/>
    <s v="Profit"/>
  </r>
  <r>
    <s v="CA-2014-150301"/>
    <d v="2014-08-07T00:00:00"/>
    <x v="0"/>
    <x v="0"/>
    <x v="959"/>
    <n v="63.881999999999998"/>
    <n v="1"/>
    <n v="10.647"/>
    <n v="0.16666666666666669"/>
    <n v="2014"/>
    <x v="7"/>
    <n v="8"/>
    <n v="63.881999999999998"/>
    <s v="Profit"/>
  </r>
  <r>
    <s v="CA-2014-100090"/>
    <d v="2014-08-07T00:00:00"/>
    <x v="1"/>
    <x v="0"/>
    <x v="1352"/>
    <n v="502.488"/>
    <n v="3"/>
    <n v="-87.935400000000001"/>
    <n v="-0.17500000000000002"/>
    <n v="2014"/>
    <x v="7"/>
    <n v="8"/>
    <n v="167.49600000000001"/>
    <s v="Loss"/>
  </r>
  <r>
    <s v="CA-2014-100090"/>
    <d v="2014-08-07T00:00:00"/>
    <x v="1"/>
    <x v="1"/>
    <x v="801"/>
    <n v="196.70400000000001"/>
    <n v="6"/>
    <n v="68.846400000000003"/>
    <n v="0.35"/>
    <n v="2014"/>
    <x v="7"/>
    <n v="8"/>
    <n v="32.783999999999999"/>
    <s v="Profit"/>
  </r>
  <r>
    <s v="CA-2014-131450"/>
    <d v="2014-08-08T00:00:00"/>
    <x v="1"/>
    <x v="1"/>
    <x v="9"/>
    <n v="76.12"/>
    <n v="2"/>
    <n v="22.0748"/>
    <n v="0.28999999999999998"/>
    <n v="2014"/>
    <x v="7"/>
    <n v="8"/>
    <n v="38.06"/>
    <s v="Profit"/>
  </r>
  <r>
    <s v="CA-2014-131450"/>
    <d v="2014-08-08T00:00:00"/>
    <x v="1"/>
    <x v="2"/>
    <x v="668"/>
    <n v="1199.9760000000001"/>
    <n v="3"/>
    <n v="434.99130000000002"/>
    <n v="0.36249999999999999"/>
    <n v="2014"/>
    <x v="7"/>
    <n v="8"/>
    <n v="399.99200000000002"/>
    <s v="Profit"/>
  </r>
  <r>
    <s v="CA-2014-131450"/>
    <d v="2014-08-08T00:00:00"/>
    <x v="1"/>
    <x v="2"/>
    <x v="1574"/>
    <n v="445.96"/>
    <n v="5"/>
    <n v="55.744999999999997"/>
    <n v="0.125"/>
    <n v="2014"/>
    <x v="7"/>
    <n v="8"/>
    <n v="89.191999999999993"/>
    <s v="Profit"/>
  </r>
  <r>
    <s v="CA-2014-131450"/>
    <d v="2014-08-08T00:00:00"/>
    <x v="1"/>
    <x v="0"/>
    <x v="1575"/>
    <n v="327.76"/>
    <n v="8"/>
    <n v="91.772800000000004"/>
    <n v="0.28000000000000003"/>
    <n v="2014"/>
    <x v="7"/>
    <n v="8"/>
    <n v="40.97"/>
    <s v="Profit"/>
  </r>
  <r>
    <s v="CA-2014-151708"/>
    <d v="2014-08-08T00:00:00"/>
    <x v="1"/>
    <x v="0"/>
    <x v="1090"/>
    <n v="121.376"/>
    <n v="4"/>
    <n v="-3.0344000000000002"/>
    <n v="-2.5000000000000001E-2"/>
    <n v="2014"/>
    <x v="7"/>
    <n v="8"/>
    <n v="30.344000000000001"/>
    <s v="Loss"/>
  </r>
  <r>
    <s v="CA-2014-151708"/>
    <d v="2014-08-08T00:00:00"/>
    <x v="1"/>
    <x v="2"/>
    <x v="818"/>
    <n v="95.975999999999999"/>
    <n v="3"/>
    <n v="-10.7973"/>
    <n v="-0.1125"/>
    <n v="2014"/>
    <x v="7"/>
    <n v="8"/>
    <n v="31.992000000000001"/>
    <s v="Loss"/>
  </r>
  <r>
    <s v="CA-2014-154669"/>
    <d v="2014-08-08T00:00:00"/>
    <x v="1"/>
    <x v="1"/>
    <x v="436"/>
    <n v="423.28"/>
    <n v="11"/>
    <n v="110.0528"/>
    <n v="0.26"/>
    <n v="2014"/>
    <x v="7"/>
    <n v="8"/>
    <n v="38.479999999999997"/>
    <s v="Profit"/>
  </r>
  <r>
    <s v="CA-2014-124478"/>
    <d v="2014-08-08T00:00:00"/>
    <x v="2"/>
    <x v="2"/>
    <x v="1482"/>
    <n v="549.99"/>
    <n v="1"/>
    <n v="274.995"/>
    <n v="0.5"/>
    <n v="2014"/>
    <x v="7"/>
    <n v="8"/>
    <n v="549.99"/>
    <s v="Profit"/>
  </r>
  <r>
    <s v="CA-2014-124478"/>
    <d v="2014-08-08T00:00:00"/>
    <x v="2"/>
    <x v="1"/>
    <x v="1576"/>
    <n v="167.535"/>
    <n v="3"/>
    <n v="37.229999999999997"/>
    <n v="0.22222222222222221"/>
    <n v="2014"/>
    <x v="7"/>
    <n v="8"/>
    <n v="55.844999999999999"/>
    <s v="Profit"/>
  </r>
  <r>
    <s v="CA-2014-124478"/>
    <d v="2014-08-08T00:00:00"/>
    <x v="2"/>
    <x v="1"/>
    <x v="951"/>
    <n v="38.340000000000003"/>
    <n v="3"/>
    <n v="17.253"/>
    <n v="0.44999999999999996"/>
    <n v="2014"/>
    <x v="7"/>
    <n v="8"/>
    <n v="12.780000000000001"/>
    <s v="Profit"/>
  </r>
  <r>
    <s v="CA-2014-124478"/>
    <d v="2014-08-08T00:00:00"/>
    <x v="2"/>
    <x v="0"/>
    <x v="1051"/>
    <n v="53.88"/>
    <n v="6"/>
    <n v="22.6296"/>
    <n v="0.42"/>
    <n v="2014"/>
    <x v="7"/>
    <n v="8"/>
    <n v="8.98"/>
    <s v="Profit"/>
  </r>
  <r>
    <s v="CA-2014-124478"/>
    <d v="2014-08-08T00:00:00"/>
    <x v="2"/>
    <x v="2"/>
    <x v="1526"/>
    <n v="299.98"/>
    <n v="2"/>
    <n v="83.994399999999999"/>
    <n v="0.27999999999999997"/>
    <n v="2014"/>
    <x v="7"/>
    <n v="8"/>
    <n v="149.99"/>
    <s v="Profit"/>
  </r>
  <r>
    <s v="CA-2014-156790"/>
    <d v="2014-08-08T00:00:00"/>
    <x v="3"/>
    <x v="0"/>
    <x v="527"/>
    <n v="155.45599999999999"/>
    <n v="4"/>
    <n v="-7.7728000000000002"/>
    <n v="-0.05"/>
    <n v="2014"/>
    <x v="7"/>
    <n v="8"/>
    <n v="38.863999999999997"/>
    <s v="Loss"/>
  </r>
  <r>
    <s v="CA-2014-139892"/>
    <d v="2014-08-09T00:00:00"/>
    <x v="2"/>
    <x v="1"/>
    <x v="685"/>
    <n v="9.9359999999999999"/>
    <n v="3"/>
    <n v="2.7324000000000002"/>
    <n v="0.27500000000000002"/>
    <n v="2014"/>
    <x v="7"/>
    <n v="8"/>
    <n v="3.3119999999999998"/>
    <s v="Profit"/>
  </r>
  <r>
    <s v="CA-2014-139892"/>
    <d v="2014-08-09T00:00:00"/>
    <x v="2"/>
    <x v="2"/>
    <x v="555"/>
    <n v="8159.9520000000002"/>
    <n v="8"/>
    <n v="-1359.992"/>
    <n v="-0.16666666666666666"/>
    <n v="2014"/>
    <x v="7"/>
    <n v="8"/>
    <n v="1019.994"/>
    <s v="Loss"/>
  </r>
  <r>
    <s v="CA-2014-139892"/>
    <d v="2014-08-09T00:00:00"/>
    <x v="2"/>
    <x v="1"/>
    <x v="535"/>
    <n v="275.928"/>
    <n v="3"/>
    <n v="-58.634700000000002"/>
    <n v="-0.21250000000000002"/>
    <n v="2014"/>
    <x v="7"/>
    <n v="8"/>
    <n v="91.975999999999999"/>
    <s v="Loss"/>
  </r>
  <r>
    <s v="CA-2014-139892"/>
    <d v="2014-08-09T00:00:00"/>
    <x v="2"/>
    <x v="0"/>
    <x v="1204"/>
    <n v="1740.06"/>
    <n v="9"/>
    <n v="-24.858000000000001"/>
    <n v="-1.4285714285714287E-2"/>
    <n v="2014"/>
    <x v="7"/>
    <n v="8"/>
    <n v="193.34"/>
    <s v="Loss"/>
  </r>
  <r>
    <s v="CA-2014-139892"/>
    <d v="2014-08-09T00:00:00"/>
    <x v="2"/>
    <x v="1"/>
    <x v="1558"/>
    <n v="32.064"/>
    <n v="6"/>
    <n v="6.8136000000000001"/>
    <n v="0.21249999999999999"/>
    <n v="2014"/>
    <x v="7"/>
    <n v="8"/>
    <n v="5.3440000000000003"/>
    <s v="Profit"/>
  </r>
  <r>
    <s v="CA-2014-139892"/>
    <d v="2014-08-09T00:00:00"/>
    <x v="2"/>
    <x v="1"/>
    <x v="1235"/>
    <n v="177.98"/>
    <n v="5"/>
    <n v="-453.84899999999999"/>
    <n v="-2.5500000000000003"/>
    <n v="2014"/>
    <x v="7"/>
    <n v="8"/>
    <n v="35.595999999999997"/>
    <s v="Loss"/>
  </r>
  <r>
    <s v="CA-2014-139892"/>
    <d v="2014-08-09T00:00:00"/>
    <x v="2"/>
    <x v="2"/>
    <x v="42"/>
    <n v="143.976"/>
    <n v="3"/>
    <n v="8.9984999999999999"/>
    <n v="6.25E-2"/>
    <n v="2014"/>
    <x v="7"/>
    <n v="8"/>
    <n v="47.991999999999997"/>
    <s v="Profit"/>
  </r>
  <r>
    <s v="CA-2014-132500"/>
    <d v="2014-08-09T00:00:00"/>
    <x v="1"/>
    <x v="2"/>
    <x v="907"/>
    <n v="49.98"/>
    <n v="2"/>
    <n v="8.4966000000000008"/>
    <n v="0.17000000000000004"/>
    <n v="2014"/>
    <x v="7"/>
    <n v="8"/>
    <n v="24.99"/>
    <s v="Profit"/>
  </r>
  <r>
    <s v="US-2014-115987"/>
    <d v="2014-08-09T00:00:00"/>
    <x v="2"/>
    <x v="1"/>
    <x v="449"/>
    <n v="51.183999999999997"/>
    <n v="4"/>
    <n v="-79.3352"/>
    <n v="-1.55"/>
    <n v="2014"/>
    <x v="7"/>
    <n v="8"/>
    <n v="12.795999999999999"/>
    <s v="Loss"/>
  </r>
  <r>
    <s v="CA-2014-163293"/>
    <d v="2014-08-09T00:00:00"/>
    <x v="3"/>
    <x v="2"/>
    <x v="1213"/>
    <n v="32.97"/>
    <n v="3"/>
    <n v="12.8583"/>
    <n v="0.39"/>
    <n v="2014"/>
    <x v="7"/>
    <n v="8"/>
    <n v="10.99"/>
    <s v="Profit"/>
  </r>
  <r>
    <s v="CA-2014-163293"/>
    <d v="2014-08-09T00:00:00"/>
    <x v="3"/>
    <x v="2"/>
    <x v="1534"/>
    <n v="83.88"/>
    <n v="4"/>
    <n v="30.1968"/>
    <n v="0.36000000000000004"/>
    <n v="2014"/>
    <x v="7"/>
    <n v="8"/>
    <n v="20.97"/>
    <s v="Profit"/>
  </r>
  <r>
    <s v="CA-2014-168592"/>
    <d v="2014-08-09T00:00:00"/>
    <x v="1"/>
    <x v="1"/>
    <x v="779"/>
    <n v="56.65"/>
    <n v="5"/>
    <n v="24.359500000000001"/>
    <n v="0.43000000000000005"/>
    <n v="2014"/>
    <x v="7"/>
    <n v="8"/>
    <n v="11.33"/>
    <s v="Profit"/>
  </r>
  <r>
    <s v="CA-2014-168592"/>
    <d v="2014-08-09T00:00:00"/>
    <x v="1"/>
    <x v="1"/>
    <x v="1473"/>
    <n v="14.97"/>
    <n v="1"/>
    <n v="4.1916000000000002"/>
    <n v="0.28000000000000003"/>
    <n v="2014"/>
    <x v="7"/>
    <n v="8"/>
    <n v="14.97"/>
    <s v="Profit"/>
  </r>
  <r>
    <s v="CA-2014-168592"/>
    <d v="2014-08-09T00:00:00"/>
    <x v="1"/>
    <x v="1"/>
    <x v="1178"/>
    <n v="4.0199999999999996"/>
    <n v="2"/>
    <n v="1.9698"/>
    <n v="0.49000000000000005"/>
    <n v="2014"/>
    <x v="7"/>
    <n v="8"/>
    <n v="2.0099999999999998"/>
    <s v="Profit"/>
  </r>
  <r>
    <s v="CA-2014-128839"/>
    <d v="2014-08-09T00:00:00"/>
    <x v="3"/>
    <x v="1"/>
    <x v="165"/>
    <n v="45"/>
    <n v="9"/>
    <n v="21.6"/>
    <n v="0.48000000000000004"/>
    <n v="2014"/>
    <x v="7"/>
    <n v="8"/>
    <n v="5"/>
    <s v="Profit"/>
  </r>
  <r>
    <s v="CA-2014-128839"/>
    <d v="2014-08-09T00:00:00"/>
    <x v="3"/>
    <x v="2"/>
    <x v="1577"/>
    <n v="209.97"/>
    <n v="3"/>
    <n v="90.287099999999995"/>
    <n v="0.43"/>
    <n v="2014"/>
    <x v="7"/>
    <n v="8"/>
    <n v="69.989999999999995"/>
    <s v="Profit"/>
  </r>
  <r>
    <s v="CA-2014-123127"/>
    <d v="2014-08-09T00:00:00"/>
    <x v="0"/>
    <x v="1"/>
    <x v="211"/>
    <n v="16.78"/>
    <n v="2"/>
    <n v="4.1950000000000003"/>
    <n v="0.25"/>
    <n v="2014"/>
    <x v="7"/>
    <n v="8"/>
    <n v="8.39"/>
    <s v="Profit"/>
  </r>
  <r>
    <s v="CA-2014-107818"/>
    <d v="2014-08-09T00:00:00"/>
    <x v="1"/>
    <x v="1"/>
    <x v="264"/>
    <n v="5.88"/>
    <n v="2"/>
    <n v="2.6459999999999999"/>
    <n v="0.45"/>
    <n v="2014"/>
    <x v="7"/>
    <n v="8"/>
    <n v="2.94"/>
    <s v="Profit"/>
  </r>
  <r>
    <s v="CA-2014-107818"/>
    <d v="2014-08-09T00:00:00"/>
    <x v="1"/>
    <x v="0"/>
    <x v="207"/>
    <n v="975.92"/>
    <n v="5"/>
    <n v="121.99"/>
    <n v="0.125"/>
    <n v="2014"/>
    <x v="7"/>
    <n v="8"/>
    <n v="195.184"/>
    <s v="Profit"/>
  </r>
  <r>
    <s v="CA-2014-107818"/>
    <d v="2014-08-09T00:00:00"/>
    <x v="1"/>
    <x v="1"/>
    <x v="413"/>
    <n v="303.83999999999997"/>
    <n v="8"/>
    <n v="91.152000000000001"/>
    <n v="0.30000000000000004"/>
    <n v="2014"/>
    <x v="7"/>
    <n v="8"/>
    <n v="37.979999999999997"/>
    <s v="Profit"/>
  </r>
  <r>
    <s v="CA-2014-107818"/>
    <d v="2014-08-09T00:00:00"/>
    <x v="1"/>
    <x v="1"/>
    <x v="546"/>
    <n v="485.88"/>
    <n v="6"/>
    <n v="19.435199999999998"/>
    <n v="3.9999999999999994E-2"/>
    <n v="2014"/>
    <x v="7"/>
    <n v="8"/>
    <n v="80.98"/>
    <s v="Profit"/>
  </r>
  <r>
    <s v="CA-2014-146283"/>
    <d v="2014-08-09T00:00:00"/>
    <x v="2"/>
    <x v="1"/>
    <x v="1578"/>
    <n v="17.904"/>
    <n v="2"/>
    <n v="6.2664"/>
    <n v="0.35"/>
    <n v="2014"/>
    <x v="7"/>
    <n v="8"/>
    <n v="8.952"/>
    <s v="Profit"/>
  </r>
  <r>
    <s v="CA-2014-146283"/>
    <d v="2014-08-09T00:00:00"/>
    <x v="2"/>
    <x v="0"/>
    <x v="1204"/>
    <n v="966.7"/>
    <n v="5"/>
    <n v="-13.81"/>
    <n v="-1.4285714285714285E-2"/>
    <n v="2014"/>
    <x v="7"/>
    <n v="8"/>
    <n v="193.34"/>
    <s v="Loss"/>
  </r>
  <r>
    <s v="CA-2014-146283"/>
    <d v="2014-08-09T00:00:00"/>
    <x v="2"/>
    <x v="1"/>
    <x v="1053"/>
    <n v="182.11199999999999"/>
    <n v="6"/>
    <n v="61.462800000000001"/>
    <n v="0.33750000000000002"/>
    <n v="2014"/>
    <x v="7"/>
    <n v="8"/>
    <n v="30.352"/>
    <s v="Profit"/>
  </r>
  <r>
    <s v="CA-2014-146815"/>
    <d v="2014-08-09T00:00:00"/>
    <x v="0"/>
    <x v="0"/>
    <x v="1484"/>
    <n v="172.76400000000001"/>
    <n v="2"/>
    <n v="13.437200000000001"/>
    <n v="7.7777777777777779E-2"/>
    <n v="2014"/>
    <x v="7"/>
    <n v="8"/>
    <n v="86.382000000000005"/>
    <s v="Profit"/>
  </r>
  <r>
    <s v="CA-2014-146815"/>
    <d v="2014-08-09T00:00:00"/>
    <x v="0"/>
    <x v="1"/>
    <x v="201"/>
    <n v="3.52"/>
    <n v="2"/>
    <n v="1.6896"/>
    <n v="0.48"/>
    <n v="2014"/>
    <x v="7"/>
    <n v="8"/>
    <n v="1.76"/>
    <s v="Profit"/>
  </r>
  <r>
    <s v="CA-2014-140032"/>
    <d v="2014-08-09T00:00:00"/>
    <x v="1"/>
    <x v="1"/>
    <x v="1579"/>
    <n v="8.6080000000000005"/>
    <n v="2"/>
    <n v="3.0127999999999999"/>
    <n v="0.35"/>
    <n v="2014"/>
    <x v="7"/>
    <n v="8"/>
    <n v="4.3040000000000003"/>
    <s v="Profit"/>
  </r>
  <r>
    <s v="CA-2014-142951"/>
    <d v="2014-08-10T00:00:00"/>
    <x v="3"/>
    <x v="2"/>
    <x v="22"/>
    <n v="23.472000000000001"/>
    <n v="3"/>
    <n v="4.9878"/>
    <n v="0.21249999999999999"/>
    <n v="2014"/>
    <x v="7"/>
    <n v="8"/>
    <n v="7.8240000000000007"/>
    <s v="Profit"/>
  </r>
  <r>
    <s v="CA-2014-119977"/>
    <d v="2014-08-10T00:00:00"/>
    <x v="0"/>
    <x v="1"/>
    <x v="913"/>
    <n v="123.92"/>
    <n v="4"/>
    <n v="55.764000000000003"/>
    <n v="0.45"/>
    <n v="2014"/>
    <x v="7"/>
    <n v="8"/>
    <n v="30.98"/>
    <s v="Profit"/>
  </r>
  <r>
    <s v="US-2014-126340"/>
    <d v="2014-08-11T00:00:00"/>
    <x v="1"/>
    <x v="2"/>
    <x v="599"/>
    <n v="333.57600000000002"/>
    <n v="3"/>
    <n v="25.0182"/>
    <n v="7.4999999999999997E-2"/>
    <n v="2014"/>
    <x v="7"/>
    <n v="8"/>
    <n v="111.19200000000001"/>
    <s v="Profit"/>
  </r>
  <r>
    <s v="CA-2014-104773"/>
    <d v="2014-08-12T00:00:00"/>
    <x v="2"/>
    <x v="1"/>
    <x v="1326"/>
    <n v="60.415999999999997"/>
    <n v="2"/>
    <n v="6.0415999999999999"/>
    <n v="0.1"/>
    <n v="2014"/>
    <x v="7"/>
    <n v="8"/>
    <n v="30.207999999999998"/>
    <s v="Profit"/>
  </r>
  <r>
    <s v="CA-2014-129364"/>
    <d v="2014-08-12T00:00:00"/>
    <x v="1"/>
    <x v="1"/>
    <x v="132"/>
    <n v="27.888000000000002"/>
    <n v="7"/>
    <n v="9.0635999999999992"/>
    <n v="0.32499999999999996"/>
    <n v="2014"/>
    <x v="7"/>
    <n v="8"/>
    <n v="3.9840000000000004"/>
    <s v="Profit"/>
  </r>
  <r>
    <s v="CA-2014-129364"/>
    <d v="2014-08-12T00:00:00"/>
    <x v="1"/>
    <x v="1"/>
    <x v="990"/>
    <n v="6.4560000000000004"/>
    <n v="4"/>
    <n v="-4.5191999999999997"/>
    <n v="-0.7"/>
    <n v="2014"/>
    <x v="7"/>
    <n v="8"/>
    <n v="1.6140000000000001"/>
    <s v="Loss"/>
  </r>
  <r>
    <s v="CA-2014-129364"/>
    <d v="2014-08-12T00:00:00"/>
    <x v="1"/>
    <x v="2"/>
    <x v="473"/>
    <n v="52.68"/>
    <n v="3"/>
    <n v="19.754999999999999"/>
    <n v="0.375"/>
    <n v="2014"/>
    <x v="7"/>
    <n v="8"/>
    <n v="17.559999999999999"/>
    <s v="Profit"/>
  </r>
  <r>
    <s v="CA-2014-129364"/>
    <d v="2014-08-12T00:00:00"/>
    <x v="1"/>
    <x v="1"/>
    <x v="1580"/>
    <n v="13.88"/>
    <n v="5"/>
    <n v="-2.6025"/>
    <n v="-0.1875"/>
    <n v="2014"/>
    <x v="7"/>
    <n v="8"/>
    <n v="2.7760000000000002"/>
    <s v="Loss"/>
  </r>
  <r>
    <s v="CA-2014-129364"/>
    <d v="2014-08-12T00:00:00"/>
    <x v="1"/>
    <x v="2"/>
    <x v="925"/>
    <n v="103.92"/>
    <n v="10"/>
    <n v="-18.186"/>
    <n v="-0.17499999999999999"/>
    <n v="2014"/>
    <x v="7"/>
    <n v="8"/>
    <n v="10.391999999999999"/>
    <s v="Loss"/>
  </r>
  <r>
    <s v="CA-2014-129364"/>
    <d v="2014-08-12T00:00:00"/>
    <x v="1"/>
    <x v="1"/>
    <x v="27"/>
    <n v="11.52"/>
    <n v="5"/>
    <n v="3.7440000000000002"/>
    <n v="0.32500000000000001"/>
    <n v="2014"/>
    <x v="7"/>
    <n v="8"/>
    <n v="2.3039999999999998"/>
    <s v="Profit"/>
  </r>
  <r>
    <s v="CA-2014-129364"/>
    <d v="2014-08-12T00:00:00"/>
    <x v="1"/>
    <x v="1"/>
    <x v="1581"/>
    <n v="10.368"/>
    <n v="2"/>
    <n v="3.6288"/>
    <n v="0.35"/>
    <n v="2014"/>
    <x v="7"/>
    <n v="8"/>
    <n v="5.1840000000000002"/>
    <s v="Profit"/>
  </r>
  <r>
    <s v="CA-2014-129364"/>
    <d v="2014-08-12T00:00:00"/>
    <x v="1"/>
    <x v="1"/>
    <x v="661"/>
    <n v="39.072000000000003"/>
    <n v="3"/>
    <n v="2.9304000000000001"/>
    <n v="7.4999999999999997E-2"/>
    <n v="2014"/>
    <x v="7"/>
    <n v="8"/>
    <n v="13.024000000000001"/>
    <s v="Profit"/>
  </r>
  <r>
    <s v="CA-2014-135608"/>
    <d v="2014-08-12T00:00:00"/>
    <x v="1"/>
    <x v="1"/>
    <x v="1042"/>
    <n v="45.68"/>
    <n v="2"/>
    <n v="21.012799999999999"/>
    <n v="0.45999999999999996"/>
    <n v="2014"/>
    <x v="7"/>
    <n v="8"/>
    <n v="22.84"/>
    <s v="Profit"/>
  </r>
  <r>
    <s v="CA-2014-135608"/>
    <d v="2014-08-12T00:00:00"/>
    <x v="1"/>
    <x v="0"/>
    <x v="85"/>
    <n v="603.91999999999996"/>
    <n v="5"/>
    <n v="45.293999999999997"/>
    <n v="7.4999999999999997E-2"/>
    <n v="2014"/>
    <x v="7"/>
    <n v="8"/>
    <n v="120.78399999999999"/>
    <s v="Profit"/>
  </r>
  <r>
    <s v="CA-2014-144071"/>
    <d v="2014-08-12T00:00:00"/>
    <x v="1"/>
    <x v="0"/>
    <x v="1582"/>
    <n v="39.880000000000003"/>
    <n v="2"/>
    <n v="11.166399999999999"/>
    <n v="0.27999999999999997"/>
    <n v="2014"/>
    <x v="7"/>
    <n v="8"/>
    <n v="19.940000000000001"/>
    <s v="Profit"/>
  </r>
  <r>
    <s v="CA-2014-144071"/>
    <d v="2014-08-12T00:00:00"/>
    <x v="1"/>
    <x v="0"/>
    <x v="1268"/>
    <n v="79.44"/>
    <n v="3"/>
    <n v="28.598400000000002"/>
    <n v="0.36000000000000004"/>
    <n v="2014"/>
    <x v="7"/>
    <n v="8"/>
    <n v="26.48"/>
    <s v="Profit"/>
  </r>
  <r>
    <s v="CA-2014-135405"/>
    <d v="2014-09-01T00:00:00"/>
    <x v="2"/>
    <x v="1"/>
    <x v="893"/>
    <n v="9.3439999999999994"/>
    <n v="2"/>
    <n v="1.1679999999999999"/>
    <n v="0.125"/>
    <n v="2014"/>
    <x v="8"/>
    <n v="9"/>
    <n v="4.6719999999999997"/>
    <s v="Profit"/>
  </r>
  <r>
    <s v="CA-2014-135405"/>
    <d v="2014-09-01T00:00:00"/>
    <x v="2"/>
    <x v="2"/>
    <x v="616"/>
    <n v="31.2"/>
    <n v="3"/>
    <n v="9.75"/>
    <n v="0.3125"/>
    <n v="2014"/>
    <x v="8"/>
    <n v="9"/>
    <n v="10.4"/>
    <s v="Profit"/>
  </r>
  <r>
    <s v="US-2014-102071"/>
    <d v="2014-09-05T00:00:00"/>
    <x v="1"/>
    <x v="2"/>
    <x v="168"/>
    <n v="67.8"/>
    <n v="4"/>
    <n v="4.0679999999999996"/>
    <n v="0.06"/>
    <n v="2014"/>
    <x v="8"/>
    <n v="9"/>
    <n v="16.95"/>
    <s v="Profit"/>
  </r>
  <r>
    <s v="US-2014-102071"/>
    <d v="2014-09-05T00:00:00"/>
    <x v="1"/>
    <x v="2"/>
    <x v="157"/>
    <n v="167.97"/>
    <n v="3"/>
    <n v="40.312800000000003"/>
    <n v="0.24000000000000002"/>
    <n v="2014"/>
    <x v="8"/>
    <n v="9"/>
    <n v="55.99"/>
    <s v="Profit"/>
  </r>
  <r>
    <s v="CA-2014-158771"/>
    <d v="2014-09-05T00:00:00"/>
    <x v="3"/>
    <x v="1"/>
    <x v="1583"/>
    <n v="83.25"/>
    <n v="3"/>
    <n v="14.984999999999999"/>
    <n v="0.18"/>
    <n v="2014"/>
    <x v="8"/>
    <n v="9"/>
    <n v="27.75"/>
    <s v="Profit"/>
  </r>
  <r>
    <s v="CA-2014-158771"/>
    <d v="2014-09-05T00:00:00"/>
    <x v="3"/>
    <x v="1"/>
    <x v="154"/>
    <n v="9.4499999999999993"/>
    <n v="3"/>
    <n v="4.5359999999999996"/>
    <n v="0.48"/>
    <n v="2014"/>
    <x v="8"/>
    <n v="9"/>
    <n v="3.15"/>
    <s v="Profit"/>
  </r>
  <r>
    <s v="CA-2014-158771"/>
    <d v="2014-09-05T00:00:00"/>
    <x v="3"/>
    <x v="1"/>
    <x v="1584"/>
    <n v="20.65"/>
    <n v="5"/>
    <n v="9.4990000000000006"/>
    <n v="0.46000000000000008"/>
    <n v="2014"/>
    <x v="8"/>
    <n v="9"/>
    <n v="4.13"/>
    <s v="Profit"/>
  </r>
  <r>
    <s v="CA-2014-158771"/>
    <d v="2014-09-05T00:00:00"/>
    <x v="3"/>
    <x v="1"/>
    <x v="1585"/>
    <n v="45.36"/>
    <n v="7"/>
    <n v="21.7728"/>
    <n v="0.48"/>
    <n v="2014"/>
    <x v="8"/>
    <n v="9"/>
    <n v="6.4799999999999995"/>
    <s v="Profit"/>
  </r>
  <r>
    <s v="CA-2014-115812"/>
    <d v="2014-09-06T00:00:00"/>
    <x v="1"/>
    <x v="0"/>
    <x v="493"/>
    <n v="48.86"/>
    <n v="7"/>
    <n v="14.1694"/>
    <n v="0.28999999999999998"/>
    <n v="2014"/>
    <x v="8"/>
    <n v="9"/>
    <n v="6.9799999999999995"/>
    <s v="Profit"/>
  </r>
  <r>
    <s v="CA-2014-115812"/>
    <d v="2014-09-06T00:00:00"/>
    <x v="1"/>
    <x v="1"/>
    <x v="1174"/>
    <n v="7.28"/>
    <n v="4"/>
    <n v="1.9656"/>
    <n v="0.27"/>
    <n v="2014"/>
    <x v="8"/>
    <n v="9"/>
    <n v="1.82"/>
    <s v="Profit"/>
  </r>
  <r>
    <s v="CA-2014-115812"/>
    <d v="2014-09-06T00:00:00"/>
    <x v="1"/>
    <x v="2"/>
    <x v="1065"/>
    <n v="907.15200000000004"/>
    <n v="6"/>
    <n v="90.715199999999996"/>
    <n v="9.9999999999999992E-2"/>
    <n v="2014"/>
    <x v="8"/>
    <n v="9"/>
    <n v="151.19200000000001"/>
    <s v="Profit"/>
  </r>
  <r>
    <s v="CA-2014-115812"/>
    <d v="2014-09-06T00:00:00"/>
    <x v="1"/>
    <x v="1"/>
    <x v="381"/>
    <n v="18.504000000000001"/>
    <n v="3"/>
    <n v="5.7824999999999998"/>
    <n v="0.31249999999999994"/>
    <n v="2014"/>
    <x v="8"/>
    <n v="9"/>
    <n v="6.1680000000000001"/>
    <s v="Profit"/>
  </r>
  <r>
    <s v="CA-2014-115812"/>
    <d v="2014-09-06T00:00:00"/>
    <x v="1"/>
    <x v="1"/>
    <x v="943"/>
    <n v="114.9"/>
    <n v="5"/>
    <n v="34.47"/>
    <n v="0.3"/>
    <n v="2014"/>
    <x v="8"/>
    <n v="9"/>
    <n v="22.98"/>
    <s v="Profit"/>
  </r>
  <r>
    <s v="CA-2014-115812"/>
    <d v="2014-09-06T00:00:00"/>
    <x v="1"/>
    <x v="0"/>
    <x v="994"/>
    <n v="1706.184"/>
    <n v="9"/>
    <n v="85.309200000000004"/>
    <n v="0.05"/>
    <n v="2014"/>
    <x v="8"/>
    <n v="9"/>
    <n v="189.57599999999999"/>
    <s v="Profit"/>
  </r>
  <r>
    <s v="CA-2014-115812"/>
    <d v="2014-09-06T00:00:00"/>
    <x v="1"/>
    <x v="2"/>
    <x v="595"/>
    <n v="911.42399999999998"/>
    <n v="4"/>
    <n v="68.356800000000007"/>
    <n v="7.5000000000000011E-2"/>
    <n v="2014"/>
    <x v="8"/>
    <n v="9"/>
    <n v="227.85599999999999"/>
    <s v="Profit"/>
  </r>
  <r>
    <s v="CA-2014-133753"/>
    <d v="2014-09-06T00:00:00"/>
    <x v="2"/>
    <x v="2"/>
    <x v="1266"/>
    <n v="7.992"/>
    <n v="1"/>
    <n v="0.59940000000000004"/>
    <n v="7.5000000000000011E-2"/>
    <n v="2014"/>
    <x v="8"/>
    <n v="9"/>
    <n v="7.992"/>
    <s v="Profit"/>
  </r>
  <r>
    <s v="CA-2014-133753"/>
    <d v="2014-09-06T00:00:00"/>
    <x v="2"/>
    <x v="2"/>
    <x v="423"/>
    <n v="63.984000000000002"/>
    <n v="2"/>
    <n v="10.397399999999999"/>
    <n v="0.16249999999999998"/>
    <n v="2014"/>
    <x v="8"/>
    <n v="9"/>
    <n v="31.992000000000001"/>
    <s v="Profit"/>
  </r>
  <r>
    <s v="CA-2014-133753"/>
    <d v="2014-09-06T00:00:00"/>
    <x v="2"/>
    <x v="1"/>
    <x v="895"/>
    <n v="70.367999999999995"/>
    <n v="2"/>
    <n v="6.1571999999999996"/>
    <n v="8.7499999999999994E-2"/>
    <n v="2014"/>
    <x v="8"/>
    <n v="9"/>
    <n v="35.183999999999997"/>
    <s v="Profit"/>
  </r>
  <r>
    <s v="CA-2014-133851"/>
    <d v="2014-09-06T00:00:00"/>
    <x v="1"/>
    <x v="1"/>
    <x v="118"/>
    <n v="7.36"/>
    <n v="2"/>
    <n v="0.1472"/>
    <n v="0.02"/>
    <n v="2014"/>
    <x v="8"/>
    <n v="9"/>
    <n v="3.68"/>
    <s v="Profit"/>
  </r>
  <r>
    <s v="CA-2014-133851"/>
    <d v="2014-09-06T00:00:00"/>
    <x v="1"/>
    <x v="1"/>
    <x v="1403"/>
    <n v="23.1"/>
    <n v="2"/>
    <n v="10.625999999999999"/>
    <n v="0.45999999999999996"/>
    <n v="2014"/>
    <x v="8"/>
    <n v="9"/>
    <n v="11.55"/>
    <s v="Profit"/>
  </r>
  <r>
    <s v="CA-2014-132612"/>
    <d v="2014-09-06T00:00:00"/>
    <x v="3"/>
    <x v="0"/>
    <x v="129"/>
    <n v="1441.3"/>
    <n v="7"/>
    <n v="245.02099999999999"/>
    <n v="0.16999999999999998"/>
    <n v="2014"/>
    <x v="8"/>
    <n v="9"/>
    <n v="205.9"/>
    <s v="Profit"/>
  </r>
  <r>
    <s v="CA-2014-160262"/>
    <d v="2014-09-06T00:00:00"/>
    <x v="1"/>
    <x v="1"/>
    <x v="400"/>
    <n v="18.059999999999999"/>
    <n v="7"/>
    <n v="4.6955999999999998"/>
    <n v="0.26"/>
    <n v="2014"/>
    <x v="8"/>
    <n v="9"/>
    <n v="2.5799999999999996"/>
    <s v="Profit"/>
  </r>
  <r>
    <s v="CA-2014-160262"/>
    <d v="2014-09-06T00:00:00"/>
    <x v="1"/>
    <x v="1"/>
    <x v="1102"/>
    <n v="79.14"/>
    <n v="3"/>
    <n v="36.404400000000003"/>
    <n v="0.46"/>
    <n v="2014"/>
    <x v="8"/>
    <n v="9"/>
    <n v="26.38"/>
    <s v="Profit"/>
  </r>
  <r>
    <s v="CA-2014-160262"/>
    <d v="2014-09-06T00:00:00"/>
    <x v="1"/>
    <x v="0"/>
    <x v="1586"/>
    <n v="37.4"/>
    <n v="2"/>
    <n v="14.212"/>
    <n v="0.38"/>
    <n v="2014"/>
    <x v="8"/>
    <n v="9"/>
    <n v="18.7"/>
    <s v="Profit"/>
  </r>
  <r>
    <s v="CA-2014-165379"/>
    <d v="2014-09-07T00:00:00"/>
    <x v="2"/>
    <x v="1"/>
    <x v="587"/>
    <n v="10.368"/>
    <n v="2"/>
    <n v="3.6288"/>
    <n v="0.35"/>
    <n v="2014"/>
    <x v="8"/>
    <n v="9"/>
    <n v="5.1840000000000002"/>
    <s v="Profit"/>
  </r>
  <r>
    <s v="CA-2014-165379"/>
    <d v="2014-09-07T00:00:00"/>
    <x v="2"/>
    <x v="1"/>
    <x v="865"/>
    <n v="14.352"/>
    <n v="3"/>
    <n v="4.4850000000000003"/>
    <n v="0.3125"/>
    <n v="2014"/>
    <x v="8"/>
    <n v="9"/>
    <n v="4.7839999999999998"/>
    <s v="Profit"/>
  </r>
  <r>
    <s v="CA-2014-114125"/>
    <d v="2014-09-07T00:00:00"/>
    <x v="1"/>
    <x v="1"/>
    <x v="511"/>
    <n v="2.88"/>
    <n v="1"/>
    <n v="1.4112"/>
    <n v="0.49000000000000005"/>
    <n v="2014"/>
    <x v="8"/>
    <n v="9"/>
    <n v="2.88"/>
    <s v="Profit"/>
  </r>
  <r>
    <s v="CA-2014-114125"/>
    <d v="2014-09-07T00:00:00"/>
    <x v="1"/>
    <x v="1"/>
    <x v="119"/>
    <n v="41.904000000000003"/>
    <n v="6"/>
    <n v="14.1426"/>
    <n v="0.33749999999999997"/>
    <n v="2014"/>
    <x v="8"/>
    <n v="9"/>
    <n v="6.9840000000000009"/>
    <s v="Profit"/>
  </r>
  <r>
    <s v="CA-2014-114125"/>
    <d v="2014-09-07T00:00:00"/>
    <x v="1"/>
    <x v="1"/>
    <x v="1104"/>
    <n v="23.92"/>
    <n v="4"/>
    <n v="4.0663999999999998"/>
    <n v="0.16999999999999998"/>
    <n v="2014"/>
    <x v="8"/>
    <n v="9"/>
    <n v="5.98"/>
    <s v="Profit"/>
  </r>
  <r>
    <s v="CA-2014-113271"/>
    <d v="2014-09-07T00:00:00"/>
    <x v="1"/>
    <x v="1"/>
    <x v="1537"/>
    <n v="14.304"/>
    <n v="6"/>
    <n v="4.6487999999999996"/>
    <n v="0.32499999999999996"/>
    <n v="2014"/>
    <x v="8"/>
    <n v="9"/>
    <n v="2.3839999999999999"/>
    <s v="Profit"/>
  </r>
  <r>
    <s v="CA-2014-113271"/>
    <d v="2014-09-07T00:00:00"/>
    <x v="1"/>
    <x v="0"/>
    <x v="316"/>
    <n v="119.833"/>
    <n v="1"/>
    <n v="7.0490000000000004"/>
    <n v="5.8823529411764712E-2"/>
    <n v="2014"/>
    <x v="8"/>
    <n v="9"/>
    <n v="119.833"/>
    <s v="Profit"/>
  </r>
  <r>
    <s v="CA-2014-113271"/>
    <d v="2014-09-07T00:00:00"/>
    <x v="1"/>
    <x v="1"/>
    <x v="315"/>
    <n v="5.56"/>
    <n v="2"/>
    <n v="2.2240000000000002"/>
    <n v="0.40000000000000008"/>
    <n v="2014"/>
    <x v="8"/>
    <n v="9"/>
    <n v="2.78"/>
    <s v="Profit"/>
  </r>
  <r>
    <s v="CA-2014-113271"/>
    <d v="2014-09-07T00:00:00"/>
    <x v="1"/>
    <x v="1"/>
    <x v="1587"/>
    <n v="32.4"/>
    <n v="5"/>
    <n v="15.552"/>
    <n v="0.48"/>
    <n v="2014"/>
    <x v="8"/>
    <n v="9"/>
    <n v="6.4799999999999995"/>
    <s v="Profit"/>
  </r>
  <r>
    <s v="CA-2014-167850"/>
    <d v="2014-09-08T00:00:00"/>
    <x v="3"/>
    <x v="2"/>
    <x v="1574"/>
    <n v="178.38399999999999"/>
    <n v="2"/>
    <n v="22.297999999999998"/>
    <n v="0.125"/>
    <n v="2014"/>
    <x v="8"/>
    <n v="9"/>
    <n v="89.191999999999993"/>
    <s v="Profit"/>
  </r>
  <r>
    <s v="CA-2014-167850"/>
    <d v="2014-09-08T00:00:00"/>
    <x v="3"/>
    <x v="1"/>
    <x v="860"/>
    <n v="15.552"/>
    <n v="3"/>
    <n v="5.4432"/>
    <n v="0.35000000000000003"/>
    <n v="2014"/>
    <x v="8"/>
    <n v="9"/>
    <n v="5.1840000000000002"/>
    <s v="Profit"/>
  </r>
  <r>
    <s v="CA-2014-110527"/>
    <d v="2014-09-08T00:00:00"/>
    <x v="1"/>
    <x v="1"/>
    <x v="18"/>
    <n v="20.88"/>
    <n v="8"/>
    <n v="9.6047999999999991"/>
    <n v="0.45999999999999996"/>
    <n v="2014"/>
    <x v="8"/>
    <n v="9"/>
    <n v="2.61"/>
    <s v="Profit"/>
  </r>
  <r>
    <s v="CA-2014-166471"/>
    <d v="2014-09-08T00:00:00"/>
    <x v="1"/>
    <x v="2"/>
    <x v="993"/>
    <n v="1091.1679999999999"/>
    <n v="4"/>
    <n v="68.197999999999993"/>
    <n v="6.25E-2"/>
    <n v="2014"/>
    <x v="8"/>
    <n v="9"/>
    <n v="272.79199999999997"/>
    <s v="Profit"/>
  </r>
  <r>
    <s v="CA-2014-166471"/>
    <d v="2014-09-08T00:00:00"/>
    <x v="1"/>
    <x v="2"/>
    <x v="1588"/>
    <n v="219.16800000000001"/>
    <n v="2"/>
    <n v="-43.833599999999997"/>
    <n v="-0.19999999999999998"/>
    <n v="2014"/>
    <x v="8"/>
    <n v="9"/>
    <n v="109.584"/>
    <s v="Loss"/>
  </r>
  <r>
    <s v="CA-2014-169726"/>
    <d v="2014-09-08T00:00:00"/>
    <x v="1"/>
    <x v="1"/>
    <x v="842"/>
    <n v="2060.7440000000001"/>
    <n v="7"/>
    <n v="643.98249999999996"/>
    <n v="0.31249999999999994"/>
    <n v="2014"/>
    <x v="8"/>
    <n v="9"/>
    <n v="294.392"/>
    <s v="Profit"/>
  </r>
  <r>
    <s v="CA-2014-141901"/>
    <d v="2014-09-08T00:00:00"/>
    <x v="1"/>
    <x v="1"/>
    <x v="1296"/>
    <n v="5.98"/>
    <n v="1"/>
    <n v="2.6909999999999998"/>
    <n v="0.44999999999999996"/>
    <n v="2014"/>
    <x v="8"/>
    <n v="9"/>
    <n v="5.98"/>
    <s v="Profit"/>
  </r>
  <r>
    <s v="CA-2014-161249"/>
    <d v="2014-09-08T00:00:00"/>
    <x v="1"/>
    <x v="1"/>
    <x v="203"/>
    <n v="4.4640000000000004"/>
    <n v="3"/>
    <n v="-0.9486"/>
    <n v="-0.21249999999999997"/>
    <n v="2014"/>
    <x v="8"/>
    <n v="9"/>
    <n v="1.4880000000000002"/>
    <s v="Loss"/>
  </r>
  <r>
    <s v="CA-2014-161249"/>
    <d v="2014-09-08T00:00:00"/>
    <x v="1"/>
    <x v="1"/>
    <x v="450"/>
    <n v="9.3450000000000006"/>
    <n v="5"/>
    <n v="-6.5415000000000001"/>
    <n v="-0.7"/>
    <n v="2014"/>
    <x v="8"/>
    <n v="9"/>
    <n v="1.8690000000000002"/>
    <s v="Loss"/>
  </r>
  <r>
    <s v="CA-2014-144407"/>
    <d v="2014-09-09T00:00:00"/>
    <x v="2"/>
    <x v="1"/>
    <x v="420"/>
    <n v="103.6"/>
    <n v="7"/>
    <n v="51.8"/>
    <n v="0.5"/>
    <n v="2014"/>
    <x v="8"/>
    <n v="9"/>
    <n v="14.799999999999999"/>
    <s v="Profit"/>
  </r>
  <r>
    <s v="CA-2014-126403"/>
    <d v="2014-09-09T00:00:00"/>
    <x v="0"/>
    <x v="1"/>
    <x v="1548"/>
    <n v="166.44"/>
    <n v="3"/>
    <n v="79.891199999999998"/>
    <n v="0.48"/>
    <n v="2014"/>
    <x v="8"/>
    <n v="9"/>
    <n v="55.48"/>
    <s v="Profit"/>
  </r>
  <r>
    <s v="CA-2014-126403"/>
    <d v="2014-09-09T00:00:00"/>
    <x v="0"/>
    <x v="0"/>
    <x v="1589"/>
    <n v="785.88"/>
    <n v="6"/>
    <n v="212.1876"/>
    <n v="0.27"/>
    <n v="2014"/>
    <x v="8"/>
    <n v="9"/>
    <n v="130.97999999999999"/>
    <s v="Profit"/>
  </r>
  <r>
    <s v="CA-2014-126403"/>
    <d v="2014-09-09T00:00:00"/>
    <x v="0"/>
    <x v="1"/>
    <x v="1156"/>
    <n v="26.2"/>
    <n v="2"/>
    <n v="12.837999999999999"/>
    <n v="0.49"/>
    <n v="2014"/>
    <x v="8"/>
    <n v="9"/>
    <n v="13.1"/>
    <s v="Profit"/>
  </r>
  <r>
    <s v="CA-2014-126403"/>
    <d v="2014-09-09T00:00:00"/>
    <x v="0"/>
    <x v="1"/>
    <x v="1333"/>
    <n v="1325.85"/>
    <n v="5"/>
    <n v="238.65299999999999"/>
    <n v="0.18"/>
    <n v="2014"/>
    <x v="8"/>
    <n v="9"/>
    <n v="265.16999999999996"/>
    <s v="Profit"/>
  </r>
  <r>
    <s v="CA-2014-102869"/>
    <d v="2014-09-09T00:00:00"/>
    <x v="0"/>
    <x v="1"/>
    <x v="803"/>
    <n v="15.552"/>
    <n v="3"/>
    <n v="5.4432"/>
    <n v="0.35000000000000003"/>
    <n v="2014"/>
    <x v="8"/>
    <n v="9"/>
    <n v="5.1840000000000002"/>
    <s v="Profit"/>
  </r>
  <r>
    <s v="CA-2014-102869"/>
    <d v="2014-09-09T00:00:00"/>
    <x v="0"/>
    <x v="2"/>
    <x v="589"/>
    <n v="64.703999999999994"/>
    <n v="6"/>
    <n v="-4.8528000000000002"/>
    <n v="-7.5000000000000011E-2"/>
    <n v="2014"/>
    <x v="8"/>
    <n v="9"/>
    <n v="10.783999999999999"/>
    <s v="Loss"/>
  </r>
  <r>
    <s v="CA-2014-102869"/>
    <d v="2014-09-09T00:00:00"/>
    <x v="0"/>
    <x v="0"/>
    <x v="1499"/>
    <n v="17.472000000000001"/>
    <n v="3"/>
    <n v="5.0232000000000001"/>
    <n v="0.28749999999999998"/>
    <n v="2014"/>
    <x v="8"/>
    <n v="9"/>
    <n v="5.8240000000000007"/>
    <s v="Profit"/>
  </r>
  <r>
    <s v="CA-2014-102869"/>
    <d v="2014-09-09T00:00:00"/>
    <x v="0"/>
    <x v="2"/>
    <x v="338"/>
    <n v="135.51599999999999"/>
    <n v="1"/>
    <n v="-31.6204"/>
    <n v="-0.23333333333333334"/>
    <n v="2014"/>
    <x v="8"/>
    <n v="9"/>
    <n v="135.51599999999999"/>
    <s v="Loss"/>
  </r>
  <r>
    <s v="US-2014-115196"/>
    <d v="2014-09-09T00:00:00"/>
    <x v="3"/>
    <x v="2"/>
    <x v="1590"/>
    <n v="1299.99"/>
    <n v="2"/>
    <n v="-571.99559999999997"/>
    <n v="-0.43999999999999995"/>
    <n v="2014"/>
    <x v="8"/>
    <n v="9"/>
    <n v="649.995"/>
    <s v="Loss"/>
  </r>
  <r>
    <s v="US-2014-131870"/>
    <d v="2014-09-09T00:00:00"/>
    <x v="0"/>
    <x v="0"/>
    <x v="389"/>
    <n v="60.671999999999997"/>
    <n v="6"/>
    <n v="12.892799999999999"/>
    <n v="0.21249999999999999"/>
    <n v="2014"/>
    <x v="8"/>
    <n v="9"/>
    <n v="10.112"/>
    <s v="Profit"/>
  </r>
  <r>
    <s v="US-2014-131870"/>
    <d v="2014-09-09T00:00:00"/>
    <x v="0"/>
    <x v="1"/>
    <x v="1522"/>
    <n v="30.815999999999999"/>
    <n v="9"/>
    <n v="2.6964000000000001"/>
    <n v="8.7500000000000008E-2"/>
    <n v="2014"/>
    <x v="8"/>
    <n v="9"/>
    <n v="3.4239999999999999"/>
    <s v="Profit"/>
  </r>
  <r>
    <s v="CA-2014-103527"/>
    <d v="2014-09-09T00:00:00"/>
    <x v="2"/>
    <x v="1"/>
    <x v="1591"/>
    <n v="10.896000000000001"/>
    <n v="3"/>
    <n v="3.4049999999999998"/>
    <n v="0.31249999999999994"/>
    <n v="2014"/>
    <x v="8"/>
    <n v="9"/>
    <n v="3.6320000000000001"/>
    <s v="Profit"/>
  </r>
  <r>
    <s v="CA-2014-137911"/>
    <d v="2014-09-10T00:00:00"/>
    <x v="3"/>
    <x v="1"/>
    <x v="485"/>
    <n v="88.768000000000001"/>
    <n v="2"/>
    <n v="31.0688"/>
    <n v="0.35"/>
    <n v="2014"/>
    <x v="8"/>
    <n v="9"/>
    <n v="44.384"/>
    <s v="Profit"/>
  </r>
  <r>
    <s v="CA-2014-138240"/>
    <d v="2014-09-10T00:00:00"/>
    <x v="1"/>
    <x v="1"/>
    <x v="1077"/>
    <n v="144.6"/>
    <n v="3"/>
    <n v="41.933999999999997"/>
    <n v="0.28999999999999998"/>
    <n v="2014"/>
    <x v="8"/>
    <n v="9"/>
    <n v="48.199999999999996"/>
    <s v="Profit"/>
  </r>
  <r>
    <s v="CA-2014-138240"/>
    <d v="2014-09-10T00:00:00"/>
    <x v="1"/>
    <x v="2"/>
    <x v="1262"/>
    <n v="15.992000000000001"/>
    <n v="1"/>
    <n v="-2.9984999999999999"/>
    <n v="-0.18749999999999997"/>
    <n v="2014"/>
    <x v="8"/>
    <n v="9"/>
    <n v="15.992000000000001"/>
    <s v="Loss"/>
  </r>
  <r>
    <s v="CA-2014-144666"/>
    <d v="2014-09-11T00:00:00"/>
    <x v="1"/>
    <x v="1"/>
    <x v="3"/>
    <n v="340.92"/>
    <n v="3"/>
    <n v="3.4091999999999998"/>
    <n v="9.9999999999999985E-3"/>
    <n v="2014"/>
    <x v="8"/>
    <n v="9"/>
    <n v="113.64"/>
    <s v="Profit"/>
  </r>
  <r>
    <s v="CA-2014-144666"/>
    <d v="2014-09-11T00:00:00"/>
    <x v="1"/>
    <x v="0"/>
    <x v="519"/>
    <n v="222.666"/>
    <n v="2"/>
    <n v="10.478400000000001"/>
    <n v="4.7058823529411771E-2"/>
    <n v="2014"/>
    <x v="8"/>
    <n v="9"/>
    <n v="111.333"/>
    <s v="Profit"/>
  </r>
  <r>
    <s v="CA-2014-144666"/>
    <d v="2014-09-11T00:00:00"/>
    <x v="1"/>
    <x v="2"/>
    <x v="1438"/>
    <n v="703.96799999999996"/>
    <n v="4"/>
    <n v="87.995999999999995"/>
    <n v="0.125"/>
    <n v="2014"/>
    <x v="8"/>
    <n v="9"/>
    <n v="175.99199999999999"/>
    <s v="Profit"/>
  </r>
  <r>
    <s v="CA-2014-144666"/>
    <d v="2014-09-11T00:00:00"/>
    <x v="1"/>
    <x v="1"/>
    <x v="659"/>
    <n v="92.52"/>
    <n v="6"/>
    <n v="24.980399999999999"/>
    <n v="0.27"/>
    <n v="2014"/>
    <x v="8"/>
    <n v="9"/>
    <n v="15.42"/>
    <s v="Profit"/>
  </r>
  <r>
    <s v="CA-2014-144666"/>
    <d v="2014-09-11T00:00:00"/>
    <x v="1"/>
    <x v="1"/>
    <x v="1485"/>
    <n v="62.65"/>
    <n v="7"/>
    <n v="28.818999999999999"/>
    <n v="0.46"/>
    <n v="2014"/>
    <x v="8"/>
    <n v="9"/>
    <n v="8.9499999999999993"/>
    <s v="Profit"/>
  </r>
  <r>
    <s v="CA-2014-144666"/>
    <d v="2014-09-11T00:00:00"/>
    <x v="1"/>
    <x v="1"/>
    <x v="1173"/>
    <n v="94.85"/>
    <n v="5"/>
    <n v="45.527999999999999"/>
    <n v="0.48000000000000004"/>
    <n v="2014"/>
    <x v="8"/>
    <n v="9"/>
    <n v="18.97"/>
    <s v="Profit"/>
  </r>
  <r>
    <s v="CA-2014-103219"/>
    <d v="2014-09-11T00:00:00"/>
    <x v="0"/>
    <x v="0"/>
    <x v="1096"/>
    <n v="56.52"/>
    <n v="9"/>
    <n v="21.477599999999999"/>
    <n v="0.37999999999999995"/>
    <n v="2014"/>
    <x v="8"/>
    <n v="9"/>
    <n v="6.28"/>
    <s v="Profit"/>
  </r>
  <r>
    <s v="CA-2014-104976"/>
    <d v="2014-09-12T00:00:00"/>
    <x v="1"/>
    <x v="1"/>
    <x v="542"/>
    <n v="34.68"/>
    <n v="6"/>
    <n v="16.993200000000002"/>
    <n v="0.49000000000000005"/>
    <n v="2014"/>
    <x v="8"/>
    <n v="9"/>
    <n v="5.78"/>
    <s v="Profit"/>
  </r>
  <r>
    <s v="CA-2014-101175"/>
    <d v="2014-09-12T00:00:00"/>
    <x v="1"/>
    <x v="1"/>
    <x v="393"/>
    <n v="100.70399999999999"/>
    <n v="6"/>
    <n v="-1.2587999999999999"/>
    <n v="-1.2500000000000001E-2"/>
    <n v="2014"/>
    <x v="8"/>
    <n v="9"/>
    <n v="16.783999999999999"/>
    <s v="Loss"/>
  </r>
  <r>
    <s v="CA-2014-109932"/>
    <d v="2014-09-12T00:00:00"/>
    <x v="2"/>
    <x v="1"/>
    <x v="871"/>
    <n v="10.688000000000001"/>
    <n v="2"/>
    <n v="3.7408000000000001"/>
    <n v="0.35"/>
    <n v="2014"/>
    <x v="8"/>
    <n v="9"/>
    <n v="5.3440000000000003"/>
    <s v="Profit"/>
  </r>
  <r>
    <s v="CA-2014-109932"/>
    <d v="2014-09-12T00:00:00"/>
    <x v="2"/>
    <x v="1"/>
    <x v="683"/>
    <n v="237.096"/>
    <n v="3"/>
    <n v="20.745899999999999"/>
    <n v="8.7499999999999994E-2"/>
    <n v="2014"/>
    <x v="8"/>
    <n v="9"/>
    <n v="79.031999999999996"/>
    <s v="Profit"/>
  </r>
  <r>
    <s v="CA-2014-169649"/>
    <d v="2014-09-12T00:00:00"/>
    <x v="2"/>
    <x v="1"/>
    <x v="548"/>
    <n v="8.4480000000000004"/>
    <n v="2"/>
    <n v="2.9567999999999999"/>
    <n v="0.35"/>
    <n v="2014"/>
    <x v="8"/>
    <n v="9"/>
    <n v="4.2240000000000002"/>
    <s v="Profit"/>
  </r>
  <r>
    <s v="CA-2014-169649"/>
    <d v="2014-09-12T00:00:00"/>
    <x v="2"/>
    <x v="1"/>
    <x v="1592"/>
    <n v="20.388000000000002"/>
    <n v="2"/>
    <n v="-53.008800000000001"/>
    <n v="-2.5999999999999996"/>
    <n v="2014"/>
    <x v="8"/>
    <n v="9"/>
    <n v="10.194000000000001"/>
    <s v="Loss"/>
  </r>
  <r>
    <s v="CA-2014-138128"/>
    <d v="2014-09-12T00:00:00"/>
    <x v="0"/>
    <x v="1"/>
    <x v="951"/>
    <n v="30.672000000000001"/>
    <n v="3"/>
    <n v="9.5850000000000009"/>
    <n v="0.3125"/>
    <n v="2014"/>
    <x v="8"/>
    <n v="9"/>
    <n v="10.224"/>
    <s v="Profit"/>
  </r>
  <r>
    <s v="CA-2014-138128"/>
    <d v="2014-09-12T00:00:00"/>
    <x v="0"/>
    <x v="2"/>
    <x v="1593"/>
    <n v="1079.9760000000001"/>
    <n v="4"/>
    <n v="125.99720000000001"/>
    <n v="0.11666666666666665"/>
    <n v="2014"/>
    <x v="8"/>
    <n v="9"/>
    <n v="269.99400000000003"/>
    <s v="Profit"/>
  </r>
  <r>
    <s v="CA-2014-149020"/>
    <d v="2014-10-01T00:00:00"/>
    <x v="3"/>
    <x v="1"/>
    <x v="832"/>
    <n v="2.89"/>
    <n v="1"/>
    <n v="1.3583000000000001"/>
    <n v="0.47000000000000003"/>
    <n v="2014"/>
    <x v="9"/>
    <n v="10"/>
    <n v="2.89"/>
    <s v="Profit"/>
  </r>
  <r>
    <s v="CA-2014-149020"/>
    <d v="2014-10-01T00:00:00"/>
    <x v="3"/>
    <x v="0"/>
    <x v="1271"/>
    <n v="51.94"/>
    <n v="1"/>
    <n v="21.295400000000001"/>
    <n v="0.41000000000000003"/>
    <n v="2014"/>
    <x v="9"/>
    <n v="10"/>
    <n v="51.94"/>
    <s v="Profit"/>
  </r>
  <r>
    <s v="US-2014-100279"/>
    <d v="2014-10-03T00:00:00"/>
    <x v="2"/>
    <x v="1"/>
    <x v="1578"/>
    <n v="22.38"/>
    <n v="2"/>
    <n v="10.7424"/>
    <n v="0.48000000000000004"/>
    <n v="2014"/>
    <x v="9"/>
    <n v="10"/>
    <n v="11.19"/>
    <s v="Profit"/>
  </r>
  <r>
    <s v="US-2014-140116"/>
    <d v="2014-10-03T00:00:00"/>
    <x v="1"/>
    <x v="1"/>
    <x v="1333"/>
    <n v="636.40800000000002"/>
    <n v="3"/>
    <n v="-15.9102"/>
    <n v="-2.4999999999999998E-2"/>
    <n v="2014"/>
    <x v="9"/>
    <n v="10"/>
    <n v="212.136"/>
    <s v="Loss"/>
  </r>
  <r>
    <s v="US-2014-140116"/>
    <d v="2014-10-03T00:00:00"/>
    <x v="1"/>
    <x v="1"/>
    <x v="1067"/>
    <n v="83.168000000000006"/>
    <n v="4"/>
    <n v="9.3564000000000007"/>
    <n v="0.1125"/>
    <n v="2014"/>
    <x v="9"/>
    <n v="10"/>
    <n v="20.792000000000002"/>
    <s v="Profit"/>
  </r>
  <r>
    <s v="CA-2014-159709"/>
    <d v="2014-10-05T00:00:00"/>
    <x v="1"/>
    <x v="1"/>
    <x v="1130"/>
    <n v="158.13"/>
    <n v="3"/>
    <n v="77.483699999999999"/>
    <n v="0.49"/>
    <n v="2014"/>
    <x v="9"/>
    <n v="10"/>
    <n v="52.71"/>
    <s v="Profit"/>
  </r>
  <r>
    <s v="CA-2014-159709"/>
    <d v="2014-10-05T00:00:00"/>
    <x v="1"/>
    <x v="2"/>
    <x v="955"/>
    <n v="43.6"/>
    <n v="5"/>
    <n v="4.3600000000000003"/>
    <n v="0.1"/>
    <n v="2014"/>
    <x v="9"/>
    <n v="10"/>
    <n v="8.7200000000000006"/>
    <s v="Profit"/>
  </r>
  <r>
    <s v="CA-2014-114181"/>
    <d v="2014-10-05T00:00:00"/>
    <x v="0"/>
    <x v="0"/>
    <x v="457"/>
    <n v="349.96499999999997"/>
    <n v="7"/>
    <n v="-216.97829999999999"/>
    <n v="-0.62"/>
    <n v="2014"/>
    <x v="9"/>
    <n v="10"/>
    <n v="49.994999999999997"/>
    <s v="Loss"/>
  </r>
  <r>
    <s v="CA-2014-114181"/>
    <d v="2014-10-05T00:00:00"/>
    <x v="0"/>
    <x v="1"/>
    <x v="434"/>
    <n v="22.32"/>
    <n v="5"/>
    <n v="5.3010000000000002"/>
    <n v="0.23750000000000002"/>
    <n v="2014"/>
    <x v="9"/>
    <n v="10"/>
    <n v="4.4640000000000004"/>
    <s v="Profit"/>
  </r>
  <r>
    <s v="CA-2014-103310"/>
    <d v="2014-10-05T00:00:00"/>
    <x v="1"/>
    <x v="1"/>
    <x v="1079"/>
    <n v="39.96"/>
    <n v="2"/>
    <n v="19.180800000000001"/>
    <n v="0.48000000000000004"/>
    <n v="2014"/>
    <x v="9"/>
    <n v="10"/>
    <n v="19.98"/>
    <s v="Profit"/>
  </r>
  <r>
    <s v="CA-2014-103310"/>
    <d v="2014-10-05T00:00:00"/>
    <x v="1"/>
    <x v="2"/>
    <x v="213"/>
    <n v="1432"/>
    <n v="5"/>
    <n v="125.3"/>
    <n v="8.7499999999999994E-2"/>
    <n v="2014"/>
    <x v="9"/>
    <n v="10"/>
    <n v="286.39999999999998"/>
    <s v="Profit"/>
  </r>
  <r>
    <s v="CA-2014-103310"/>
    <d v="2014-10-05T00:00:00"/>
    <x v="1"/>
    <x v="1"/>
    <x v="1594"/>
    <n v="41.04"/>
    <n v="6"/>
    <n v="11.0808"/>
    <n v="0.27"/>
    <n v="2014"/>
    <x v="9"/>
    <n v="10"/>
    <n v="6.84"/>
    <s v="Profit"/>
  </r>
  <r>
    <s v="CA-2014-103310"/>
    <d v="2014-10-05T00:00:00"/>
    <x v="1"/>
    <x v="0"/>
    <x v="839"/>
    <n v="256.78399999999999"/>
    <n v="1"/>
    <n v="32.097999999999999"/>
    <n v="0.125"/>
    <n v="2014"/>
    <x v="9"/>
    <n v="10"/>
    <n v="256.78399999999999"/>
    <s v="Profit"/>
  </r>
  <r>
    <s v="CA-2014-144281"/>
    <d v="2014-10-06T00:00:00"/>
    <x v="2"/>
    <x v="1"/>
    <x v="642"/>
    <n v="491.55"/>
    <n v="5"/>
    <n v="240.8595"/>
    <n v="0.49"/>
    <n v="2014"/>
    <x v="9"/>
    <n v="10"/>
    <n v="98.31"/>
    <s v="Profit"/>
  </r>
  <r>
    <s v="US-2014-138835"/>
    <d v="2014-10-09T00:00:00"/>
    <x v="3"/>
    <x v="1"/>
    <x v="1082"/>
    <n v="9.64"/>
    <n v="2"/>
    <n v="4.7236000000000002"/>
    <n v="0.49"/>
    <n v="2014"/>
    <x v="9"/>
    <n v="10"/>
    <n v="4.82"/>
    <s v="Profit"/>
  </r>
  <r>
    <s v="CA-2014-125731"/>
    <d v="2014-10-09T00:00:00"/>
    <x v="1"/>
    <x v="1"/>
    <x v="1515"/>
    <n v="21.728000000000002"/>
    <n v="7"/>
    <n v="7.6048"/>
    <n v="0.35"/>
    <n v="2014"/>
    <x v="9"/>
    <n v="10"/>
    <n v="3.1040000000000001"/>
    <s v="Profit"/>
  </r>
  <r>
    <s v="CA-2014-125731"/>
    <d v="2014-10-09T00:00:00"/>
    <x v="1"/>
    <x v="0"/>
    <x v="861"/>
    <n v="1487.04"/>
    <n v="5"/>
    <n v="148.70400000000001"/>
    <n v="0.1"/>
    <n v="2014"/>
    <x v="9"/>
    <n v="10"/>
    <n v="297.40800000000002"/>
    <s v="Profit"/>
  </r>
  <r>
    <s v="CA-2014-113383"/>
    <d v="2014-10-09T00:00:00"/>
    <x v="0"/>
    <x v="1"/>
    <x v="488"/>
    <n v="81.92"/>
    <n v="4"/>
    <n v="22.118400000000001"/>
    <n v="0.27"/>
    <n v="2014"/>
    <x v="9"/>
    <n v="10"/>
    <n v="20.48"/>
    <s v="Profit"/>
  </r>
  <r>
    <s v="CA-2014-113383"/>
    <d v="2014-10-09T00:00:00"/>
    <x v="0"/>
    <x v="0"/>
    <x v="1458"/>
    <n v="254.9"/>
    <n v="5"/>
    <n v="76.47"/>
    <n v="0.3"/>
    <n v="2014"/>
    <x v="9"/>
    <n v="10"/>
    <n v="50.980000000000004"/>
    <s v="Profit"/>
  </r>
  <r>
    <s v="CA-2014-140403"/>
    <d v="2014-10-10T00:00:00"/>
    <x v="1"/>
    <x v="0"/>
    <x v="1232"/>
    <n v="122.352"/>
    <n v="3"/>
    <n v="13.7646"/>
    <n v="0.11249999999999999"/>
    <n v="2014"/>
    <x v="9"/>
    <n v="10"/>
    <n v="40.783999999999999"/>
    <s v="Profit"/>
  </r>
  <r>
    <s v="CA-2014-140403"/>
    <d v="2014-10-10T00:00:00"/>
    <x v="1"/>
    <x v="1"/>
    <x v="309"/>
    <n v="15.28"/>
    <n v="2"/>
    <n v="7.4871999999999996"/>
    <n v="0.49"/>
    <n v="2014"/>
    <x v="9"/>
    <n v="10"/>
    <n v="7.64"/>
    <s v="Profit"/>
  </r>
  <r>
    <s v="CA-2014-150329"/>
    <d v="2014-10-10T00:00:00"/>
    <x v="1"/>
    <x v="0"/>
    <x v="128"/>
    <n v="46.872"/>
    <n v="7"/>
    <n v="3.5154000000000001"/>
    <n v="7.4999999999999997E-2"/>
    <n v="2014"/>
    <x v="9"/>
    <n v="10"/>
    <n v="6.6959999999999997"/>
    <s v="Profit"/>
  </r>
  <r>
    <s v="CA-2014-103492"/>
    <d v="2014-10-10T00:00:00"/>
    <x v="2"/>
    <x v="2"/>
    <x v="1526"/>
    <n v="719.952"/>
    <n v="6"/>
    <n v="71.995199999999997"/>
    <n v="9.9999999999999992E-2"/>
    <n v="2014"/>
    <x v="9"/>
    <n v="10"/>
    <n v="119.992"/>
    <s v="Profit"/>
  </r>
  <r>
    <s v="CA-2014-103492"/>
    <d v="2014-10-10T00:00:00"/>
    <x v="2"/>
    <x v="2"/>
    <x v="1292"/>
    <n v="755.94399999999996"/>
    <n v="7"/>
    <n v="66.145099999999999"/>
    <n v="8.7500000000000008E-2"/>
    <n v="2014"/>
    <x v="9"/>
    <n v="10"/>
    <n v="107.99199999999999"/>
    <s v="Profit"/>
  </r>
  <r>
    <s v="CA-2014-103492"/>
    <d v="2014-10-10T00:00:00"/>
    <x v="2"/>
    <x v="1"/>
    <x v="1368"/>
    <n v="11.98"/>
    <n v="5"/>
    <n v="-19.167999999999999"/>
    <n v="-1.5999999999999999"/>
    <n v="2014"/>
    <x v="9"/>
    <n v="10"/>
    <n v="2.3959999999999999"/>
    <s v="Loss"/>
  </r>
  <r>
    <s v="CA-2014-103492"/>
    <d v="2014-10-10T00:00:00"/>
    <x v="2"/>
    <x v="1"/>
    <x v="778"/>
    <n v="0.89800000000000002"/>
    <n v="1"/>
    <n v="-1.5714999999999999"/>
    <n v="-1.7499999999999998"/>
    <n v="2014"/>
    <x v="9"/>
    <n v="10"/>
    <n v="0.89800000000000002"/>
    <s v="Loss"/>
  </r>
  <r>
    <s v="US-2014-105137"/>
    <d v="2014-10-10T00:00:00"/>
    <x v="0"/>
    <x v="2"/>
    <x v="1595"/>
    <n v="101.994"/>
    <n v="2"/>
    <n v="-71.395799999999994"/>
    <n v="-0.7"/>
    <n v="2014"/>
    <x v="9"/>
    <n v="10"/>
    <n v="50.997"/>
    <s v="Loss"/>
  </r>
  <r>
    <s v="US-2014-105137"/>
    <d v="2014-10-10T00:00:00"/>
    <x v="0"/>
    <x v="1"/>
    <x v="230"/>
    <n v="18.263999999999999"/>
    <n v="2"/>
    <n v="-13.393599999999999"/>
    <n v="-0.73333333333333328"/>
    <n v="2014"/>
    <x v="9"/>
    <n v="10"/>
    <n v="9.1319999999999997"/>
    <s v="Loss"/>
  </r>
  <r>
    <s v="US-2014-134054"/>
    <d v="2014-10-10T00:00:00"/>
    <x v="1"/>
    <x v="1"/>
    <x v="1596"/>
    <n v="255.85"/>
    <n v="7"/>
    <n v="112.574"/>
    <n v="0.44"/>
    <n v="2014"/>
    <x v="9"/>
    <n v="10"/>
    <n v="36.549999999999997"/>
    <s v="Profit"/>
  </r>
  <r>
    <s v="CA-2014-158372"/>
    <d v="2014-10-11T00:00:00"/>
    <x v="1"/>
    <x v="2"/>
    <x v="1306"/>
    <n v="601.53599999999994"/>
    <n v="8"/>
    <n v="60.153599999999997"/>
    <n v="0.1"/>
    <n v="2014"/>
    <x v="9"/>
    <n v="10"/>
    <n v="75.191999999999993"/>
    <s v="Profit"/>
  </r>
  <r>
    <s v="CA-2014-158372"/>
    <d v="2014-10-11T00:00:00"/>
    <x v="1"/>
    <x v="2"/>
    <x v="1213"/>
    <n v="10.99"/>
    <n v="1"/>
    <n v="4.2861000000000002"/>
    <n v="0.39"/>
    <n v="2014"/>
    <x v="9"/>
    <n v="10"/>
    <n v="10.99"/>
    <s v="Profit"/>
  </r>
  <r>
    <s v="CA-2014-158372"/>
    <d v="2014-10-11T00:00:00"/>
    <x v="1"/>
    <x v="0"/>
    <x v="1582"/>
    <n v="39.880000000000003"/>
    <n v="2"/>
    <n v="11.166399999999999"/>
    <n v="0.27999999999999997"/>
    <n v="2014"/>
    <x v="9"/>
    <n v="10"/>
    <n v="19.940000000000001"/>
    <s v="Profit"/>
  </r>
  <r>
    <s v="CA-2014-158372"/>
    <d v="2014-10-11T00:00:00"/>
    <x v="1"/>
    <x v="1"/>
    <x v="489"/>
    <n v="62.24"/>
    <n v="8"/>
    <n v="28.007999999999999"/>
    <n v="0.44999999999999996"/>
    <n v="2014"/>
    <x v="9"/>
    <n v="10"/>
    <n v="7.78"/>
    <s v="Profit"/>
  </r>
  <r>
    <s v="CA-2014-158372"/>
    <d v="2014-10-11T00:00:00"/>
    <x v="1"/>
    <x v="0"/>
    <x v="715"/>
    <n v="53.2"/>
    <n v="5"/>
    <n v="14.896000000000001"/>
    <n v="0.28000000000000003"/>
    <n v="2014"/>
    <x v="9"/>
    <n v="10"/>
    <n v="10.64"/>
    <s v="Profit"/>
  </r>
  <r>
    <s v="CA-2014-158372"/>
    <d v="2014-10-11T00:00:00"/>
    <x v="1"/>
    <x v="1"/>
    <x v="1110"/>
    <n v="39.840000000000003"/>
    <n v="8"/>
    <n v="18.3264"/>
    <n v="0.45999999999999996"/>
    <n v="2014"/>
    <x v="9"/>
    <n v="10"/>
    <n v="4.9800000000000004"/>
    <s v="Profit"/>
  </r>
  <r>
    <s v="CA-2014-121006"/>
    <d v="2014-10-11T00:00:00"/>
    <x v="2"/>
    <x v="1"/>
    <x v="1483"/>
    <n v="3.9"/>
    <n v="2"/>
    <n v="1.5209999999999999"/>
    <n v="0.38999999999999996"/>
    <n v="2014"/>
    <x v="9"/>
    <n v="10"/>
    <n v="1.95"/>
    <s v="Profit"/>
  </r>
  <r>
    <s v="CA-2014-121006"/>
    <d v="2014-10-11T00:00:00"/>
    <x v="2"/>
    <x v="1"/>
    <x v="1233"/>
    <n v="12.84"/>
    <n v="3"/>
    <n v="5.7779999999999996"/>
    <n v="0.44999999999999996"/>
    <n v="2014"/>
    <x v="9"/>
    <n v="10"/>
    <n v="4.28"/>
    <s v="Profit"/>
  </r>
  <r>
    <s v="CA-2014-121006"/>
    <d v="2014-10-11T00:00:00"/>
    <x v="2"/>
    <x v="1"/>
    <x v="138"/>
    <n v="15.84"/>
    <n v="3"/>
    <n v="7.1280000000000001"/>
    <n v="0.45"/>
    <n v="2014"/>
    <x v="9"/>
    <n v="10"/>
    <n v="5.28"/>
    <s v="Profit"/>
  </r>
  <r>
    <s v="CA-2014-121006"/>
    <d v="2014-10-11T00:00:00"/>
    <x v="2"/>
    <x v="0"/>
    <x v="59"/>
    <n v="563.94000000000005"/>
    <n v="3"/>
    <n v="112.788"/>
    <n v="0.19999999999999998"/>
    <n v="2014"/>
    <x v="9"/>
    <n v="10"/>
    <n v="187.98000000000002"/>
    <s v="Profit"/>
  </r>
  <r>
    <s v="CA-2014-121006"/>
    <d v="2014-10-11T00:00:00"/>
    <x v="2"/>
    <x v="1"/>
    <x v="393"/>
    <n v="62.94"/>
    <n v="3"/>
    <n v="11.958600000000001"/>
    <n v="0.19"/>
    <n v="2014"/>
    <x v="9"/>
    <n v="10"/>
    <n v="20.98"/>
    <s v="Profit"/>
  </r>
  <r>
    <s v="CA-2014-121006"/>
    <d v="2014-10-11T00:00:00"/>
    <x v="2"/>
    <x v="1"/>
    <x v="251"/>
    <n v="535.41"/>
    <n v="3"/>
    <n v="160.62299999999999"/>
    <n v="0.3"/>
    <n v="2014"/>
    <x v="9"/>
    <n v="10"/>
    <n v="178.47"/>
    <s v="Profit"/>
  </r>
  <r>
    <s v="CA-2014-148488"/>
    <d v="2014-10-12T00:00:00"/>
    <x v="0"/>
    <x v="1"/>
    <x v="1597"/>
    <n v="11.36"/>
    <n v="2"/>
    <n v="5.2256"/>
    <n v="0.46"/>
    <n v="2014"/>
    <x v="9"/>
    <n v="10"/>
    <n v="5.68"/>
    <s v="Profit"/>
  </r>
  <r>
    <s v="CA-2014-148488"/>
    <d v="2014-10-12T00:00:00"/>
    <x v="0"/>
    <x v="1"/>
    <x v="968"/>
    <n v="106.34399999999999"/>
    <n v="7"/>
    <n v="37.220399999999998"/>
    <n v="0.35"/>
    <n v="2014"/>
    <x v="9"/>
    <n v="10"/>
    <n v="15.191999999999998"/>
    <s v="Profit"/>
  </r>
  <r>
    <s v="US-2014-112991"/>
    <d v="2014-10-12T00:00:00"/>
    <x v="1"/>
    <x v="0"/>
    <x v="1414"/>
    <n v="338.35199999999998"/>
    <n v="3"/>
    <n v="4.2294"/>
    <n v="1.2500000000000001E-2"/>
    <n v="2014"/>
    <x v="9"/>
    <n v="10"/>
    <n v="112.78399999999999"/>
    <s v="Profit"/>
  </r>
  <r>
    <s v="US-2014-112991"/>
    <d v="2014-10-12T00:00:00"/>
    <x v="1"/>
    <x v="1"/>
    <x v="1198"/>
    <n v="25.92"/>
    <n v="4"/>
    <n v="12.441599999999999"/>
    <n v="0.47999999999999993"/>
    <n v="2014"/>
    <x v="9"/>
    <n v="10"/>
    <n v="6.48"/>
    <s v="Profit"/>
  </r>
  <r>
    <s v="US-2014-112991"/>
    <d v="2014-10-12T00:00:00"/>
    <x v="1"/>
    <x v="1"/>
    <x v="1115"/>
    <n v="91.36"/>
    <n v="4"/>
    <n v="42.025599999999997"/>
    <n v="0.45999999999999996"/>
    <n v="2014"/>
    <x v="9"/>
    <n v="10"/>
    <n v="22.84"/>
    <s v="Profit"/>
  </r>
  <r>
    <s v="CA-2014-130092"/>
    <d v="2014-11-01T00:00:00"/>
    <x v="0"/>
    <x v="0"/>
    <x v="1246"/>
    <n v="9.94"/>
    <n v="2"/>
    <n v="3.0813999999999999"/>
    <n v="0.31"/>
    <n v="2014"/>
    <x v="10"/>
    <n v="11"/>
    <n v="4.97"/>
    <s v="Profit"/>
  </r>
  <r>
    <s v="CA-2014-127614"/>
    <d v="2014-11-02T00:00:00"/>
    <x v="3"/>
    <x v="2"/>
    <x v="481"/>
    <n v="234.45"/>
    <n v="3"/>
    <n v="103.158"/>
    <n v="0.44"/>
    <n v="2014"/>
    <x v="10"/>
    <n v="11"/>
    <n v="78.149999999999991"/>
    <s v="Profit"/>
  </r>
  <r>
    <s v="CA-2014-127614"/>
    <d v="2014-11-02T00:00:00"/>
    <x v="3"/>
    <x v="0"/>
    <x v="1352"/>
    <n v="1256.22"/>
    <n v="6"/>
    <n v="75.373199999999997"/>
    <n v="0.06"/>
    <n v="2014"/>
    <x v="10"/>
    <n v="11"/>
    <n v="209.37"/>
    <s v="Profit"/>
  </r>
  <r>
    <s v="CA-2014-127614"/>
    <d v="2014-11-02T00:00:00"/>
    <x v="3"/>
    <x v="1"/>
    <x v="119"/>
    <n v="17.46"/>
    <n v="2"/>
    <n v="8.2062000000000008"/>
    <n v="0.47000000000000003"/>
    <n v="2014"/>
    <x v="10"/>
    <n v="11"/>
    <n v="8.73"/>
    <s v="Profit"/>
  </r>
  <r>
    <s v="CA-2014-168368"/>
    <d v="2014-11-02T00:00:00"/>
    <x v="2"/>
    <x v="0"/>
    <x v="952"/>
    <n v="60.89"/>
    <n v="1"/>
    <n v="15.2225"/>
    <n v="0.25"/>
    <n v="2014"/>
    <x v="10"/>
    <n v="11"/>
    <n v="60.89"/>
    <s v="Profit"/>
  </r>
  <r>
    <s v="CA-2014-168368"/>
    <d v="2014-11-02T00:00:00"/>
    <x v="2"/>
    <x v="1"/>
    <x v="98"/>
    <n v="14.94"/>
    <n v="3"/>
    <n v="6.8723999999999998"/>
    <n v="0.46"/>
    <n v="2014"/>
    <x v="10"/>
    <n v="11"/>
    <n v="4.9799999999999995"/>
    <s v="Profit"/>
  </r>
  <r>
    <s v="CA-2014-168368"/>
    <d v="2014-11-02T00:00:00"/>
    <x v="2"/>
    <x v="1"/>
    <x v="503"/>
    <n v="9.64"/>
    <n v="2"/>
    <n v="4.4344000000000001"/>
    <n v="0.45999999999999996"/>
    <n v="2014"/>
    <x v="10"/>
    <n v="11"/>
    <n v="4.82"/>
    <s v="Profit"/>
  </r>
  <r>
    <s v="CA-2014-168368"/>
    <d v="2014-11-02T00:00:00"/>
    <x v="2"/>
    <x v="0"/>
    <x v="1378"/>
    <n v="332.94"/>
    <n v="3"/>
    <n v="53.270400000000002"/>
    <n v="0.16"/>
    <n v="2014"/>
    <x v="10"/>
    <n v="11"/>
    <n v="110.98"/>
    <s v="Profit"/>
  </r>
  <r>
    <s v="CA-2014-168368"/>
    <d v="2014-11-02T00:00:00"/>
    <x v="2"/>
    <x v="1"/>
    <x v="1237"/>
    <n v="51.9"/>
    <n v="3"/>
    <n v="24.393000000000001"/>
    <n v="0.47000000000000003"/>
    <n v="2014"/>
    <x v="10"/>
    <n v="11"/>
    <n v="17.3"/>
    <s v="Profit"/>
  </r>
  <r>
    <s v="CA-2014-168368"/>
    <d v="2014-11-02T00:00:00"/>
    <x v="2"/>
    <x v="1"/>
    <x v="919"/>
    <n v="64.959999999999994"/>
    <n v="2"/>
    <n v="2.5983999999999998"/>
    <n v="0.04"/>
    <n v="2014"/>
    <x v="10"/>
    <n v="11"/>
    <n v="32.479999999999997"/>
    <s v="Profit"/>
  </r>
  <r>
    <s v="CA-2014-166884"/>
    <d v="2014-11-03T00:00:00"/>
    <x v="0"/>
    <x v="0"/>
    <x v="96"/>
    <n v="8.32"/>
    <n v="5"/>
    <n v="2.2879999999999998"/>
    <n v="0.27499999999999997"/>
    <n v="2014"/>
    <x v="10"/>
    <n v="11"/>
    <n v="1.6640000000000001"/>
    <s v="Profit"/>
  </r>
  <r>
    <s v="CA-2014-166884"/>
    <d v="2014-11-03T00:00:00"/>
    <x v="0"/>
    <x v="1"/>
    <x v="870"/>
    <n v="10.464"/>
    <n v="6"/>
    <n v="1.7003999999999999"/>
    <n v="0.16249999999999998"/>
    <n v="2014"/>
    <x v="10"/>
    <n v="11"/>
    <n v="1.744"/>
    <s v="Profit"/>
  </r>
  <r>
    <s v="CA-2014-158337"/>
    <d v="2014-11-03T00:00:00"/>
    <x v="0"/>
    <x v="1"/>
    <x v="489"/>
    <n v="108.92"/>
    <n v="14"/>
    <n v="49.014000000000003"/>
    <n v="0.45"/>
    <n v="2014"/>
    <x v="10"/>
    <n v="11"/>
    <n v="7.78"/>
    <s v="Profit"/>
  </r>
  <r>
    <s v="CA-2014-114790"/>
    <d v="2014-11-03T00:00:00"/>
    <x v="3"/>
    <x v="1"/>
    <x v="848"/>
    <n v="146.76"/>
    <n v="3"/>
    <n v="38.157600000000002"/>
    <n v="0.26"/>
    <n v="2014"/>
    <x v="10"/>
    <n v="11"/>
    <n v="48.919999999999995"/>
    <s v="Profit"/>
  </r>
  <r>
    <s v="CA-2014-114790"/>
    <d v="2014-11-03T00:00:00"/>
    <x v="3"/>
    <x v="2"/>
    <x v="1561"/>
    <n v="32.96"/>
    <n v="2"/>
    <n v="14.172800000000001"/>
    <n v="0.43"/>
    <n v="2014"/>
    <x v="10"/>
    <n v="11"/>
    <n v="16.48"/>
    <s v="Profit"/>
  </r>
  <r>
    <s v="CA-2014-114790"/>
    <d v="2014-11-03T00:00:00"/>
    <x v="3"/>
    <x v="2"/>
    <x v="1468"/>
    <n v="587.97"/>
    <n v="3"/>
    <n v="164.63159999999999"/>
    <n v="0.27999999999999997"/>
    <n v="2014"/>
    <x v="10"/>
    <n v="11"/>
    <n v="195.99"/>
    <s v="Profit"/>
  </r>
  <r>
    <s v="CA-2014-114790"/>
    <d v="2014-11-03T00:00:00"/>
    <x v="3"/>
    <x v="1"/>
    <x v="1432"/>
    <n v="14.94"/>
    <n v="3"/>
    <n v="7.0217999999999998"/>
    <n v="0.47000000000000003"/>
    <n v="2014"/>
    <x v="10"/>
    <n v="11"/>
    <n v="4.9799999999999995"/>
    <s v="Profit"/>
  </r>
  <r>
    <s v="US-2014-103338"/>
    <d v="2014-11-03T00:00:00"/>
    <x v="1"/>
    <x v="1"/>
    <x v="1033"/>
    <n v="7.98"/>
    <n v="3"/>
    <n v="2.0748000000000002"/>
    <n v="0.26"/>
    <n v="2014"/>
    <x v="10"/>
    <n v="11"/>
    <n v="2.66"/>
    <s v="Profit"/>
  </r>
  <r>
    <s v="US-2014-102715"/>
    <d v="2014-11-04T00:00:00"/>
    <x v="3"/>
    <x v="1"/>
    <x v="1012"/>
    <n v="6.9119999999999999"/>
    <n v="3"/>
    <n v="2.3328000000000002"/>
    <n v="0.33750000000000002"/>
    <n v="2014"/>
    <x v="10"/>
    <n v="11"/>
    <n v="2.3039999999999998"/>
    <s v="Profit"/>
  </r>
  <r>
    <s v="US-2014-102715"/>
    <d v="2014-11-04T00:00:00"/>
    <x v="3"/>
    <x v="2"/>
    <x v="1239"/>
    <n v="383.976"/>
    <n v="3"/>
    <n v="81.594899999999996"/>
    <n v="0.21249999999999999"/>
    <n v="2014"/>
    <x v="10"/>
    <n v="11"/>
    <n v="127.992"/>
    <s v="Profit"/>
  </r>
  <r>
    <s v="US-2014-102715"/>
    <d v="2014-11-04T00:00:00"/>
    <x v="3"/>
    <x v="1"/>
    <x v="1332"/>
    <n v="10.368"/>
    <n v="2"/>
    <n v="3.6288"/>
    <n v="0.35"/>
    <n v="2014"/>
    <x v="10"/>
    <n v="11"/>
    <n v="5.1840000000000002"/>
    <s v="Profit"/>
  </r>
  <r>
    <s v="US-2014-102715"/>
    <d v="2014-11-04T00:00:00"/>
    <x v="3"/>
    <x v="2"/>
    <x v="1397"/>
    <n v="335.94400000000002"/>
    <n v="7"/>
    <n v="41.993000000000002"/>
    <n v="0.125"/>
    <n v="2014"/>
    <x v="10"/>
    <n v="11"/>
    <n v="47.992000000000004"/>
    <s v="Profit"/>
  </r>
  <r>
    <s v="US-2014-121734"/>
    <d v="2014-11-04T00:00:00"/>
    <x v="1"/>
    <x v="1"/>
    <x v="1368"/>
    <n v="9.5839999999999996"/>
    <n v="1"/>
    <n v="3.3544"/>
    <n v="0.35000000000000003"/>
    <n v="2014"/>
    <x v="10"/>
    <n v="11"/>
    <n v="9.5839999999999996"/>
    <s v="Profit"/>
  </r>
  <r>
    <s v="CA-2014-138940"/>
    <d v="2014-11-04T00:00:00"/>
    <x v="2"/>
    <x v="2"/>
    <x v="1322"/>
    <n v="758.35199999999998"/>
    <n v="6"/>
    <n v="265.42320000000001"/>
    <n v="0.35000000000000003"/>
    <n v="2014"/>
    <x v="10"/>
    <n v="11"/>
    <n v="126.392"/>
    <s v="Profit"/>
  </r>
  <r>
    <s v="CA-2014-110555"/>
    <d v="2014-11-04T00:00:00"/>
    <x v="1"/>
    <x v="1"/>
    <x v="1347"/>
    <n v="87.08"/>
    <n v="7"/>
    <n v="24.382400000000001"/>
    <n v="0.28000000000000003"/>
    <n v="2014"/>
    <x v="10"/>
    <n v="11"/>
    <n v="12.44"/>
    <s v="Profit"/>
  </r>
  <r>
    <s v="CA-2014-110555"/>
    <d v="2014-11-04T00:00:00"/>
    <x v="1"/>
    <x v="2"/>
    <x v="78"/>
    <n v="105.584"/>
    <n v="2"/>
    <n v="9.2385999999999999"/>
    <n v="8.7499999999999994E-2"/>
    <n v="2014"/>
    <x v="10"/>
    <n v="11"/>
    <n v="52.792000000000002"/>
    <s v="Profit"/>
  </r>
  <r>
    <s v="CA-2014-110555"/>
    <d v="2014-11-04T00:00:00"/>
    <x v="1"/>
    <x v="2"/>
    <x v="947"/>
    <n v="217.44"/>
    <n v="6"/>
    <n v="91.324799999999996"/>
    <n v="0.42"/>
    <n v="2014"/>
    <x v="10"/>
    <n v="11"/>
    <n v="36.24"/>
    <s v="Profit"/>
  </r>
  <r>
    <s v="CA-2014-103849"/>
    <d v="2014-11-05T00:00:00"/>
    <x v="2"/>
    <x v="2"/>
    <x v="552"/>
    <n v="58.112000000000002"/>
    <n v="2"/>
    <n v="7.2640000000000002"/>
    <n v="0.125"/>
    <n v="2014"/>
    <x v="10"/>
    <n v="11"/>
    <n v="29.056000000000001"/>
    <s v="Profit"/>
  </r>
  <r>
    <s v="CA-2014-103849"/>
    <d v="2014-11-05T00:00:00"/>
    <x v="2"/>
    <x v="2"/>
    <x v="1356"/>
    <n v="100.792"/>
    <n v="1"/>
    <n v="6.2995000000000001"/>
    <n v="6.25E-2"/>
    <n v="2014"/>
    <x v="10"/>
    <n v="11"/>
    <n v="100.792"/>
    <s v="Profit"/>
  </r>
  <r>
    <s v="CA-2014-103849"/>
    <d v="2014-11-05T00:00:00"/>
    <x v="2"/>
    <x v="0"/>
    <x v="305"/>
    <n v="66.111999999999995"/>
    <n v="4"/>
    <n v="-84.2928"/>
    <n v="-1.2750000000000001"/>
    <n v="2014"/>
    <x v="10"/>
    <n v="11"/>
    <n v="16.527999999999999"/>
    <s v="Loss"/>
  </r>
  <r>
    <s v="CA-2014-139017"/>
    <d v="2014-11-05T00:00:00"/>
    <x v="2"/>
    <x v="2"/>
    <x v="492"/>
    <n v="46.863999999999997"/>
    <n v="2"/>
    <n v="7.6154000000000002"/>
    <n v="0.16250000000000001"/>
    <n v="2014"/>
    <x v="10"/>
    <n v="11"/>
    <n v="23.431999999999999"/>
    <s v="Profit"/>
  </r>
  <r>
    <s v="CA-2014-127523"/>
    <d v="2014-11-05T00:00:00"/>
    <x v="0"/>
    <x v="1"/>
    <x v="19"/>
    <n v="35.909999999999997"/>
    <n v="3"/>
    <n v="9.6957000000000004"/>
    <n v="0.27"/>
    <n v="2014"/>
    <x v="10"/>
    <n v="11"/>
    <n v="11.969999999999999"/>
    <s v="Profit"/>
  </r>
  <r>
    <s v="CA-2014-152100"/>
    <d v="2014-11-05T00:00:00"/>
    <x v="2"/>
    <x v="0"/>
    <x v="1005"/>
    <n v="1212.96"/>
    <n v="8"/>
    <n v="-69.311999999999998"/>
    <n v="-5.7142857142857141E-2"/>
    <n v="2014"/>
    <x v="10"/>
    <n v="11"/>
    <n v="151.62"/>
    <s v="Loss"/>
  </r>
  <r>
    <s v="CA-2014-119172"/>
    <d v="2014-11-05T00:00:00"/>
    <x v="2"/>
    <x v="1"/>
    <x v="1518"/>
    <n v="17.472000000000001"/>
    <n v="3"/>
    <n v="5.6783999999999999"/>
    <n v="0.32499999999999996"/>
    <n v="2014"/>
    <x v="10"/>
    <n v="11"/>
    <n v="5.8240000000000007"/>
    <s v="Profit"/>
  </r>
  <r>
    <s v="CA-2014-119172"/>
    <d v="2014-11-05T00:00:00"/>
    <x v="2"/>
    <x v="1"/>
    <x v="699"/>
    <n v="104.58"/>
    <n v="9"/>
    <n v="-172.55699999999999"/>
    <n v="-1.65"/>
    <n v="2014"/>
    <x v="10"/>
    <n v="11"/>
    <n v="11.62"/>
    <s v="Loss"/>
  </r>
  <r>
    <s v="CA-2014-163552"/>
    <d v="2014-11-07T00:00:00"/>
    <x v="0"/>
    <x v="1"/>
    <x v="124"/>
    <n v="177.2"/>
    <n v="5"/>
    <n v="83.284000000000006"/>
    <n v="0.47000000000000008"/>
    <n v="2014"/>
    <x v="10"/>
    <n v="11"/>
    <n v="35.44"/>
    <s v="Profit"/>
  </r>
  <r>
    <s v="CA-2014-163552"/>
    <d v="2014-11-07T00:00:00"/>
    <x v="0"/>
    <x v="2"/>
    <x v="153"/>
    <n v="197.97"/>
    <n v="3"/>
    <n v="57.411299999999997"/>
    <n v="0.28999999999999998"/>
    <n v="2014"/>
    <x v="10"/>
    <n v="11"/>
    <n v="65.989999999999995"/>
    <s v="Profit"/>
  </r>
  <r>
    <s v="CA-2014-163552"/>
    <d v="2014-11-07T00:00:00"/>
    <x v="0"/>
    <x v="0"/>
    <x v="100"/>
    <n v="854.94"/>
    <n v="3"/>
    <n v="213.73500000000001"/>
    <n v="0.25"/>
    <n v="2014"/>
    <x v="10"/>
    <n v="11"/>
    <n v="284.98"/>
    <s v="Profit"/>
  </r>
  <r>
    <s v="CA-2014-163552"/>
    <d v="2014-11-07T00:00:00"/>
    <x v="0"/>
    <x v="0"/>
    <x v="330"/>
    <n v="124.11"/>
    <n v="9"/>
    <n v="52.126199999999997"/>
    <n v="0.42"/>
    <n v="2014"/>
    <x v="10"/>
    <n v="11"/>
    <n v="13.79"/>
    <s v="Profit"/>
  </r>
  <r>
    <s v="CA-2014-163552"/>
    <d v="2014-11-07T00:00:00"/>
    <x v="0"/>
    <x v="1"/>
    <x v="1460"/>
    <n v="14.4"/>
    <n v="5"/>
    <n v="7.056"/>
    <n v="0.49"/>
    <n v="2014"/>
    <x v="10"/>
    <n v="11"/>
    <n v="2.88"/>
    <s v="Profit"/>
  </r>
  <r>
    <s v="CA-2014-123225"/>
    <d v="2014-11-07T00:00:00"/>
    <x v="2"/>
    <x v="2"/>
    <x v="1013"/>
    <n v="575.96799999999996"/>
    <n v="4"/>
    <n v="43.197600000000001"/>
    <n v="7.5000000000000011E-2"/>
    <n v="2014"/>
    <x v="10"/>
    <n v="11"/>
    <n v="143.99199999999999"/>
    <s v="Profit"/>
  </r>
  <r>
    <s v="CA-2014-123225"/>
    <d v="2014-11-07T00:00:00"/>
    <x v="2"/>
    <x v="1"/>
    <x v="1023"/>
    <n v="10.368"/>
    <n v="2"/>
    <n v="3.6288"/>
    <n v="0.35"/>
    <n v="2014"/>
    <x v="10"/>
    <n v="11"/>
    <n v="5.1840000000000002"/>
    <s v="Profit"/>
  </r>
  <r>
    <s v="CA-2014-133305"/>
    <d v="2014-11-07T00:00:00"/>
    <x v="0"/>
    <x v="1"/>
    <x v="300"/>
    <n v="49.12"/>
    <n v="4"/>
    <n v="23.086400000000001"/>
    <n v="0.47000000000000003"/>
    <n v="2014"/>
    <x v="10"/>
    <n v="11"/>
    <n v="12.28"/>
    <s v="Profit"/>
  </r>
  <r>
    <s v="CA-2014-133305"/>
    <d v="2014-11-07T00:00:00"/>
    <x v="0"/>
    <x v="1"/>
    <x v="781"/>
    <n v="18.28"/>
    <n v="5"/>
    <n v="6.3979999999999997"/>
    <n v="0.35"/>
    <n v="2014"/>
    <x v="10"/>
    <n v="11"/>
    <n v="3.6560000000000001"/>
    <s v="Profit"/>
  </r>
  <r>
    <s v="CA-2014-166555"/>
    <d v="2014-11-07T00:00:00"/>
    <x v="0"/>
    <x v="2"/>
    <x v="84"/>
    <n v="164.85"/>
    <n v="3"/>
    <n v="47.8065"/>
    <n v="0.29000000000000004"/>
    <n v="2014"/>
    <x v="10"/>
    <n v="11"/>
    <n v="54.949999999999996"/>
    <s v="Profit"/>
  </r>
  <r>
    <s v="CA-2014-127012"/>
    <d v="2014-11-08T00:00:00"/>
    <x v="1"/>
    <x v="0"/>
    <x v="191"/>
    <n v="12.35"/>
    <n v="1"/>
    <n v="5.4340000000000002"/>
    <n v="0.44"/>
    <n v="2014"/>
    <x v="10"/>
    <n v="11"/>
    <n v="12.35"/>
    <s v="Profit"/>
  </r>
  <r>
    <s v="CA-2014-127012"/>
    <d v="2014-11-08T00:00:00"/>
    <x v="1"/>
    <x v="1"/>
    <x v="237"/>
    <n v="40.97"/>
    <n v="1"/>
    <n v="10.652200000000001"/>
    <n v="0.26"/>
    <n v="2014"/>
    <x v="10"/>
    <n v="11"/>
    <n v="40.97"/>
    <s v="Profit"/>
  </r>
  <r>
    <s v="CA-2014-127012"/>
    <d v="2014-11-08T00:00:00"/>
    <x v="1"/>
    <x v="1"/>
    <x v="656"/>
    <n v="22.96"/>
    <n v="2"/>
    <n v="10.7912"/>
    <n v="0.47"/>
    <n v="2014"/>
    <x v="10"/>
    <n v="11"/>
    <n v="11.48"/>
    <s v="Profit"/>
  </r>
  <r>
    <s v="CA-2014-154641"/>
    <d v="2014-11-08T00:00:00"/>
    <x v="0"/>
    <x v="1"/>
    <x v="1481"/>
    <n v="375.34"/>
    <n v="1"/>
    <n v="18.766999999999999"/>
    <n v="0.05"/>
    <n v="2014"/>
    <x v="10"/>
    <n v="11"/>
    <n v="375.34"/>
    <s v="Profit"/>
  </r>
  <r>
    <s v="CA-2014-112837"/>
    <d v="2014-11-09T00:00:00"/>
    <x v="1"/>
    <x v="0"/>
    <x v="21"/>
    <n v="127.95"/>
    <n v="3"/>
    <n v="21.7515"/>
    <n v="0.16999999999999998"/>
    <n v="2014"/>
    <x v="10"/>
    <n v="11"/>
    <n v="42.65"/>
    <s v="Profit"/>
  </r>
  <r>
    <s v="US-2014-126571"/>
    <d v="2014-11-10T00:00:00"/>
    <x v="0"/>
    <x v="1"/>
    <x v="147"/>
    <n v="281.904"/>
    <n v="2"/>
    <n v="10.571400000000001"/>
    <n v="3.7500000000000006E-2"/>
    <n v="2014"/>
    <x v="10"/>
    <n v="11"/>
    <n v="140.952"/>
    <s v="Profit"/>
  </r>
  <r>
    <s v="US-2014-126571"/>
    <d v="2014-11-10T00:00:00"/>
    <x v="0"/>
    <x v="1"/>
    <x v="956"/>
    <n v="201.43199999999999"/>
    <n v="3"/>
    <n v="67.9833"/>
    <n v="0.33750000000000002"/>
    <n v="2014"/>
    <x v="10"/>
    <n v="11"/>
    <n v="67.143999999999991"/>
    <s v="Profit"/>
  </r>
  <r>
    <s v="CA-2014-116834"/>
    <d v="2014-11-10T00:00:00"/>
    <x v="1"/>
    <x v="0"/>
    <x v="151"/>
    <n v="63.47"/>
    <n v="11"/>
    <n v="19.041"/>
    <n v="0.3"/>
    <n v="2014"/>
    <x v="10"/>
    <n v="11"/>
    <n v="5.77"/>
    <s v="Profit"/>
  </r>
  <r>
    <s v="CA-2014-116834"/>
    <d v="2014-11-10T00:00:00"/>
    <x v="1"/>
    <x v="2"/>
    <x v="280"/>
    <n v="345"/>
    <n v="5"/>
    <n v="58.65"/>
    <n v="0.16999999999999998"/>
    <n v="2014"/>
    <x v="10"/>
    <n v="11"/>
    <n v="69"/>
    <s v="Profit"/>
  </r>
  <r>
    <s v="CA-2014-157924"/>
    <d v="2014-11-10T00:00:00"/>
    <x v="1"/>
    <x v="1"/>
    <x v="674"/>
    <n v="31.92"/>
    <n v="4"/>
    <n v="8.2992000000000008"/>
    <n v="0.26"/>
    <n v="2014"/>
    <x v="10"/>
    <n v="11"/>
    <n v="7.98"/>
    <s v="Profit"/>
  </r>
  <r>
    <s v="CA-2014-157924"/>
    <d v="2014-11-10T00:00:00"/>
    <x v="1"/>
    <x v="0"/>
    <x v="1080"/>
    <n v="433.56799999999998"/>
    <n v="2"/>
    <n v="-65.035200000000003"/>
    <n v="-0.15000000000000002"/>
    <n v="2014"/>
    <x v="10"/>
    <n v="11"/>
    <n v="216.78399999999999"/>
    <s v="Loss"/>
  </r>
  <r>
    <s v="CA-2014-114314"/>
    <d v="2014-11-10T00:00:00"/>
    <x v="3"/>
    <x v="1"/>
    <x v="985"/>
    <n v="7.31"/>
    <n v="1"/>
    <n v="3.4357000000000002"/>
    <n v="0.47000000000000003"/>
    <n v="2014"/>
    <x v="10"/>
    <n v="11"/>
    <n v="7.31"/>
    <s v="Profit"/>
  </r>
  <r>
    <s v="CA-2014-114314"/>
    <d v="2014-11-10T00:00:00"/>
    <x v="3"/>
    <x v="0"/>
    <x v="1495"/>
    <n v="8.92"/>
    <n v="4"/>
    <n v="3.9247999999999998"/>
    <n v="0.44"/>
    <n v="2014"/>
    <x v="10"/>
    <n v="11"/>
    <n v="2.23"/>
    <s v="Profit"/>
  </r>
  <r>
    <s v="CA-2014-128538"/>
    <d v="2014-11-10T00:00:00"/>
    <x v="1"/>
    <x v="1"/>
    <x v="309"/>
    <n v="7.64"/>
    <n v="1"/>
    <n v="3.7435999999999998"/>
    <n v="0.49"/>
    <n v="2014"/>
    <x v="10"/>
    <n v="11"/>
    <n v="7.64"/>
    <s v="Profit"/>
  </r>
  <r>
    <s v="CA-2014-105893"/>
    <d v="2014-11-11T00:00:00"/>
    <x v="2"/>
    <x v="1"/>
    <x v="1293"/>
    <n v="665.88"/>
    <n v="6"/>
    <n v="13.317600000000001"/>
    <n v="0.02"/>
    <n v="2014"/>
    <x v="10"/>
    <n v="11"/>
    <n v="110.98"/>
    <s v="Profit"/>
  </r>
  <r>
    <s v="CA-2014-163419"/>
    <d v="2014-11-11T00:00:00"/>
    <x v="1"/>
    <x v="1"/>
    <x v="1134"/>
    <n v="3.3919999999999999"/>
    <n v="1"/>
    <n v="0.80559999999999998"/>
    <n v="0.23749999999999999"/>
    <n v="2014"/>
    <x v="10"/>
    <n v="11"/>
    <n v="3.3919999999999999"/>
    <s v="Profit"/>
  </r>
  <r>
    <s v="CA-2014-163419"/>
    <d v="2014-11-11T00:00:00"/>
    <x v="1"/>
    <x v="2"/>
    <x v="1135"/>
    <n v="559.98400000000004"/>
    <n v="2"/>
    <n v="55.998399999999997"/>
    <n v="9.9999999999999992E-2"/>
    <n v="2014"/>
    <x v="10"/>
    <n v="11"/>
    <n v="279.99200000000002"/>
    <s v="Profit"/>
  </r>
  <r>
    <s v="CA-2014-163419"/>
    <d v="2014-11-11T00:00:00"/>
    <x v="1"/>
    <x v="0"/>
    <x v="979"/>
    <n v="603.91999999999996"/>
    <n v="5"/>
    <n v="75.489999999999995"/>
    <n v="0.125"/>
    <n v="2014"/>
    <x v="10"/>
    <n v="11"/>
    <n v="120.78399999999999"/>
    <s v="Profit"/>
  </r>
  <r>
    <s v="CA-2014-165309"/>
    <d v="2014-11-11T00:00:00"/>
    <x v="2"/>
    <x v="1"/>
    <x v="320"/>
    <n v="896.99"/>
    <n v="5"/>
    <n v="-1480.0335"/>
    <n v="-1.65"/>
    <n v="2014"/>
    <x v="10"/>
    <n v="11"/>
    <n v="179.398"/>
    <s v="Loss"/>
  </r>
  <r>
    <s v="CA-2014-165309"/>
    <d v="2014-11-11T00:00:00"/>
    <x v="2"/>
    <x v="1"/>
    <x v="1218"/>
    <n v="1.234"/>
    <n v="1"/>
    <n v="-1.9743999999999999"/>
    <n v="-1.5999999999999999"/>
    <n v="2014"/>
    <x v="10"/>
    <n v="11"/>
    <n v="1.234"/>
    <s v="Loss"/>
  </r>
  <r>
    <s v="CA-2014-165309"/>
    <d v="2014-11-11T00:00:00"/>
    <x v="2"/>
    <x v="1"/>
    <x v="1413"/>
    <n v="67.56"/>
    <n v="3"/>
    <n v="6.7560000000000002"/>
    <n v="0.1"/>
    <n v="2014"/>
    <x v="10"/>
    <n v="11"/>
    <n v="22.52"/>
    <s v="Profit"/>
  </r>
  <r>
    <s v="CA-2014-165309"/>
    <d v="2014-11-11T00:00:00"/>
    <x v="2"/>
    <x v="1"/>
    <x v="227"/>
    <n v="21.72"/>
    <n v="5"/>
    <n v="7.8734999999999999"/>
    <n v="0.36249999999999999"/>
    <n v="2014"/>
    <x v="10"/>
    <n v="11"/>
    <n v="4.3439999999999994"/>
    <s v="Profit"/>
  </r>
  <r>
    <s v="CA-2014-165309"/>
    <d v="2014-11-11T00:00:00"/>
    <x v="2"/>
    <x v="1"/>
    <x v="69"/>
    <n v="262.33600000000001"/>
    <n v="8"/>
    <n v="95.096800000000002"/>
    <n v="0.36249999999999999"/>
    <n v="2014"/>
    <x v="10"/>
    <n v="11"/>
    <n v="32.792000000000002"/>
    <s v="Profit"/>
  </r>
  <r>
    <s v="CA-2014-165309"/>
    <d v="2014-11-11T00:00:00"/>
    <x v="2"/>
    <x v="2"/>
    <x v="445"/>
    <n v="148.47999999999999"/>
    <n v="2"/>
    <n v="16.704000000000001"/>
    <n v="0.11250000000000002"/>
    <n v="2014"/>
    <x v="10"/>
    <n v="11"/>
    <n v="74.239999999999995"/>
    <s v="Profit"/>
  </r>
  <r>
    <s v="CA-2014-165309"/>
    <d v="2014-11-11T00:00:00"/>
    <x v="2"/>
    <x v="2"/>
    <x v="1387"/>
    <n v="241.17599999999999"/>
    <n v="3"/>
    <n v="15.073499999999999"/>
    <n v="6.25E-2"/>
    <n v="2014"/>
    <x v="10"/>
    <n v="11"/>
    <n v="80.391999999999996"/>
    <s v="Profit"/>
  </r>
  <r>
    <s v="CA-2014-105270"/>
    <d v="2014-11-11T00:00:00"/>
    <x v="1"/>
    <x v="1"/>
    <x v="563"/>
    <n v="30.48"/>
    <n v="3"/>
    <n v="7.9248000000000003"/>
    <n v="0.26"/>
    <n v="2014"/>
    <x v="10"/>
    <n v="11"/>
    <n v="10.16"/>
    <s v="Profit"/>
  </r>
  <r>
    <s v="CA-2014-105270"/>
    <d v="2014-11-11T00:00:00"/>
    <x v="1"/>
    <x v="0"/>
    <x v="1598"/>
    <n v="112.648"/>
    <n v="1"/>
    <n v="11.264799999999999"/>
    <n v="9.9999999999999992E-2"/>
    <n v="2014"/>
    <x v="10"/>
    <n v="11"/>
    <n v="112.648"/>
    <s v="Profit"/>
  </r>
  <r>
    <s v="CA-2014-155796"/>
    <d v="2014-11-11T00:00:00"/>
    <x v="0"/>
    <x v="0"/>
    <x v="1599"/>
    <n v="23.968"/>
    <n v="2"/>
    <n v="7.7896000000000001"/>
    <n v="0.32500000000000001"/>
    <n v="2014"/>
    <x v="10"/>
    <n v="11"/>
    <n v="11.984"/>
    <s v="Profit"/>
  </r>
  <r>
    <s v="CA-2014-155796"/>
    <d v="2014-11-11T00:00:00"/>
    <x v="0"/>
    <x v="0"/>
    <x v="1191"/>
    <n v="521.96"/>
    <n v="4"/>
    <n v="-250.54079999999999"/>
    <n v="-0.47999999999999993"/>
    <n v="2014"/>
    <x v="10"/>
    <n v="11"/>
    <n v="130.49"/>
    <s v="Loss"/>
  </r>
  <r>
    <s v="CA-2014-140732"/>
    <d v="2014-11-11T00:00:00"/>
    <x v="1"/>
    <x v="2"/>
    <x v="1528"/>
    <n v="575.928"/>
    <n v="9"/>
    <n v="57.592799999999997"/>
    <n v="9.9999999999999992E-2"/>
    <n v="2014"/>
    <x v="10"/>
    <n v="11"/>
    <n v="63.991999999999997"/>
    <s v="Profit"/>
  </r>
  <r>
    <s v="CA-2014-140732"/>
    <d v="2014-11-11T00:00:00"/>
    <x v="1"/>
    <x v="1"/>
    <x v="845"/>
    <n v="7.78"/>
    <n v="2"/>
    <n v="2.0228000000000002"/>
    <n v="0.26"/>
    <n v="2014"/>
    <x v="10"/>
    <n v="11"/>
    <n v="3.89"/>
    <s v="Profit"/>
  </r>
  <r>
    <s v="CA-2014-140732"/>
    <d v="2014-11-11T00:00:00"/>
    <x v="1"/>
    <x v="1"/>
    <x v="1600"/>
    <n v="123.92"/>
    <n v="4"/>
    <n v="55.764000000000003"/>
    <n v="0.45"/>
    <n v="2014"/>
    <x v="10"/>
    <n v="11"/>
    <n v="30.98"/>
    <s v="Profit"/>
  </r>
  <r>
    <s v="CA-2014-128524"/>
    <d v="2014-11-11T00:00:00"/>
    <x v="1"/>
    <x v="1"/>
    <x v="943"/>
    <n v="22.98"/>
    <n v="1"/>
    <n v="6.8940000000000001"/>
    <n v="0.3"/>
    <n v="2014"/>
    <x v="10"/>
    <n v="11"/>
    <n v="22.98"/>
    <s v="Profit"/>
  </r>
  <r>
    <s v="CA-2014-128524"/>
    <d v="2014-11-11T00:00:00"/>
    <x v="1"/>
    <x v="2"/>
    <x v="1475"/>
    <n v="102.13"/>
    <n v="7"/>
    <n v="15.3195"/>
    <n v="0.15"/>
    <n v="2014"/>
    <x v="10"/>
    <n v="11"/>
    <n v="14.59"/>
    <s v="Profit"/>
  </r>
  <r>
    <s v="CA-2014-128524"/>
    <d v="2014-11-11T00:00:00"/>
    <x v="1"/>
    <x v="1"/>
    <x v="784"/>
    <n v="2033.5840000000001"/>
    <n v="2"/>
    <n v="762.59400000000005"/>
    <n v="0.375"/>
    <n v="2014"/>
    <x v="10"/>
    <n v="11"/>
    <n v="1016.792"/>
    <s v="Profit"/>
  </r>
  <r>
    <s v="US-2014-140914"/>
    <d v="2014-11-11T00:00:00"/>
    <x v="2"/>
    <x v="0"/>
    <x v="613"/>
    <n v="10.984"/>
    <n v="2"/>
    <n v="-7.9634"/>
    <n v="-0.72499999999999998"/>
    <n v="2014"/>
    <x v="10"/>
    <n v="11"/>
    <n v="5.492"/>
    <s v="Loss"/>
  </r>
  <r>
    <s v="US-2014-140914"/>
    <d v="2014-11-11T00:00:00"/>
    <x v="2"/>
    <x v="0"/>
    <x v="100"/>
    <n v="797.94399999999996"/>
    <n v="4"/>
    <n v="-56.996000000000002"/>
    <n v="-7.1428571428571438E-2"/>
    <n v="2014"/>
    <x v="10"/>
    <n v="11"/>
    <n v="199.48599999999999"/>
    <s v="Loss"/>
  </r>
  <r>
    <s v="US-2014-143287"/>
    <d v="2014-11-11T00:00:00"/>
    <x v="0"/>
    <x v="1"/>
    <x v="835"/>
    <n v="46.35"/>
    <n v="5"/>
    <n v="21.784500000000001"/>
    <n v="0.47000000000000003"/>
    <n v="2014"/>
    <x v="10"/>
    <n v="11"/>
    <n v="9.27"/>
    <s v="Profit"/>
  </r>
  <r>
    <s v="US-2014-143287"/>
    <d v="2014-11-11T00:00:00"/>
    <x v="0"/>
    <x v="1"/>
    <x v="1267"/>
    <n v="223.92"/>
    <n v="4"/>
    <n v="109.7208"/>
    <n v="0.49"/>
    <n v="2014"/>
    <x v="10"/>
    <n v="11"/>
    <n v="55.98"/>
    <s v="Profit"/>
  </r>
  <r>
    <s v="US-2014-143287"/>
    <d v="2014-11-11T00:00:00"/>
    <x v="0"/>
    <x v="1"/>
    <x v="933"/>
    <n v="7.3"/>
    <n v="2"/>
    <n v="2.19"/>
    <n v="0.3"/>
    <n v="2014"/>
    <x v="10"/>
    <n v="11"/>
    <n v="3.65"/>
    <s v="Profit"/>
  </r>
  <r>
    <s v="US-2014-110674"/>
    <d v="2014-12-02T00:00:00"/>
    <x v="1"/>
    <x v="0"/>
    <x v="868"/>
    <n v="129.56800000000001"/>
    <n v="2"/>
    <n v="-24.294"/>
    <n v="-0.1875"/>
    <n v="2014"/>
    <x v="11"/>
    <n v="12"/>
    <n v="64.784000000000006"/>
    <s v="Loss"/>
  </r>
  <r>
    <s v="CA-2014-154599"/>
    <d v="2014-12-04T00:00:00"/>
    <x v="1"/>
    <x v="2"/>
    <x v="286"/>
    <n v="1075.088"/>
    <n v="14"/>
    <n v="94.0702"/>
    <n v="8.7500000000000008E-2"/>
    <n v="2014"/>
    <x v="11"/>
    <n v="12"/>
    <n v="76.792000000000002"/>
    <s v="Profit"/>
  </r>
  <r>
    <s v="CA-2014-154599"/>
    <d v="2014-12-04T00:00:00"/>
    <x v="1"/>
    <x v="2"/>
    <x v="351"/>
    <n v="438.36799999999999"/>
    <n v="4"/>
    <n v="38.357199999999999"/>
    <n v="8.7499999999999994E-2"/>
    <n v="2014"/>
    <x v="11"/>
    <n v="12"/>
    <n v="109.592"/>
    <s v="Profit"/>
  </r>
  <r>
    <s v="CA-2014-154599"/>
    <d v="2014-12-04T00:00:00"/>
    <x v="1"/>
    <x v="1"/>
    <x v="80"/>
    <n v="18.088000000000001"/>
    <n v="7"/>
    <n v="6.5568999999999997"/>
    <n v="0.36249999999999999"/>
    <n v="2014"/>
    <x v="11"/>
    <n v="12"/>
    <n v="2.5840000000000001"/>
    <s v="Profit"/>
  </r>
  <r>
    <s v="CA-2014-154599"/>
    <d v="2014-12-04T00:00:00"/>
    <x v="1"/>
    <x v="0"/>
    <x v="769"/>
    <n v="308.49900000000002"/>
    <n v="3"/>
    <n v="-18.146999999999998"/>
    <n v="-5.8823529411764698E-2"/>
    <n v="2014"/>
    <x v="11"/>
    <n v="12"/>
    <n v="102.83300000000001"/>
    <s v="Loss"/>
  </r>
  <r>
    <s v="US-2014-158365"/>
    <d v="2014-12-04T00:00:00"/>
    <x v="2"/>
    <x v="1"/>
    <x v="412"/>
    <n v="32.4"/>
    <n v="5"/>
    <n v="15.552"/>
    <n v="0.48"/>
    <n v="2014"/>
    <x v="11"/>
    <n v="12"/>
    <n v="6.4799999999999995"/>
    <s v="Profit"/>
  </r>
  <r>
    <s v="CA-2014-142979"/>
    <d v="2014-12-04T00:00:00"/>
    <x v="1"/>
    <x v="1"/>
    <x v="713"/>
    <n v="39.68"/>
    <n v="2"/>
    <n v="16.268799999999999"/>
    <n v="0.41"/>
    <n v="2014"/>
    <x v="11"/>
    <n v="12"/>
    <n v="19.84"/>
    <s v="Profit"/>
  </r>
  <r>
    <s v="CA-2014-127159"/>
    <d v="2014-12-05T00:00:00"/>
    <x v="2"/>
    <x v="0"/>
    <x v="1246"/>
    <n v="34.79"/>
    <n v="7"/>
    <n v="10.7849"/>
    <n v="0.31"/>
    <n v="2014"/>
    <x v="11"/>
    <n v="12"/>
    <n v="4.97"/>
    <s v="Profit"/>
  </r>
  <r>
    <s v="CA-2014-155887"/>
    <d v="2014-12-05T00:00:00"/>
    <x v="0"/>
    <x v="0"/>
    <x v="762"/>
    <n v="700.05600000000004"/>
    <n v="3"/>
    <n v="-130.0104"/>
    <n v="-0.18571428571428572"/>
    <n v="2014"/>
    <x v="11"/>
    <n v="12"/>
    <n v="233.352"/>
    <s v="Loss"/>
  </r>
  <r>
    <s v="CA-2014-129924"/>
    <d v="2014-12-07T00:00:00"/>
    <x v="1"/>
    <x v="1"/>
    <x v="1082"/>
    <n v="7.7119999999999997"/>
    <n v="2"/>
    <n v="2.7955999999999999"/>
    <n v="0.36249999999999999"/>
    <n v="2014"/>
    <x v="11"/>
    <n v="12"/>
    <n v="3.8559999999999999"/>
    <s v="Profit"/>
  </r>
  <r>
    <s v="CA-2014-129924"/>
    <d v="2014-12-07T00:00:00"/>
    <x v="1"/>
    <x v="0"/>
    <x v="421"/>
    <n v="698.35199999999998"/>
    <n v="3"/>
    <n v="-17.4588"/>
    <n v="-2.5000000000000001E-2"/>
    <n v="2014"/>
    <x v="11"/>
    <n v="12"/>
    <n v="232.78399999999999"/>
    <s v="Loss"/>
  </r>
  <r>
    <s v="CA-2014-110184"/>
    <d v="2014-12-07T00:00:00"/>
    <x v="1"/>
    <x v="1"/>
    <x v="1583"/>
    <n v="249.75"/>
    <n v="9"/>
    <n v="44.954999999999998"/>
    <n v="0.18"/>
    <n v="2014"/>
    <x v="11"/>
    <n v="12"/>
    <n v="27.75"/>
    <s v="Profit"/>
  </r>
  <r>
    <s v="CA-2014-110184"/>
    <d v="2014-12-07T00:00:00"/>
    <x v="1"/>
    <x v="2"/>
    <x v="578"/>
    <n v="255.93600000000001"/>
    <n v="8"/>
    <n v="28.7928"/>
    <n v="0.11249999999999999"/>
    <n v="2014"/>
    <x v="11"/>
    <n v="12"/>
    <n v="31.992000000000001"/>
    <s v="Profit"/>
  </r>
  <r>
    <s v="CA-2014-131310"/>
    <d v="2014-12-07T00:00:00"/>
    <x v="1"/>
    <x v="0"/>
    <x v="431"/>
    <n v="123.136"/>
    <n v="4"/>
    <n v="13.8528"/>
    <n v="0.1125"/>
    <n v="2014"/>
    <x v="11"/>
    <n v="12"/>
    <n v="30.783999999999999"/>
    <s v="Profit"/>
  </r>
  <r>
    <s v="CA-2014-131310"/>
    <d v="2014-12-07T00:00:00"/>
    <x v="1"/>
    <x v="1"/>
    <x v="426"/>
    <n v="11.263999999999999"/>
    <n v="4"/>
    <n v="3.8016000000000001"/>
    <n v="0.33750000000000002"/>
    <n v="2014"/>
    <x v="11"/>
    <n v="12"/>
    <n v="2.8159999999999998"/>
    <s v="Profit"/>
  </r>
  <r>
    <s v="CA-2014-124807"/>
    <d v="2014-12-07T00:00:00"/>
    <x v="2"/>
    <x v="1"/>
    <x v="1417"/>
    <n v="35.856000000000002"/>
    <n v="9"/>
    <n v="12.9978"/>
    <n v="0.36249999999999999"/>
    <n v="2014"/>
    <x v="11"/>
    <n v="12"/>
    <n v="3.984"/>
    <s v="Profit"/>
  </r>
  <r>
    <s v="CA-2014-124807"/>
    <d v="2014-12-07T00:00:00"/>
    <x v="2"/>
    <x v="2"/>
    <x v="1014"/>
    <n v="23.84"/>
    <n v="4"/>
    <n v="3.278"/>
    <n v="0.13750000000000001"/>
    <n v="2014"/>
    <x v="11"/>
    <n v="12"/>
    <n v="5.96"/>
    <s v="Profit"/>
  </r>
  <r>
    <s v="CA-2014-161508"/>
    <d v="2014-12-07T00:00:00"/>
    <x v="2"/>
    <x v="0"/>
    <x v="977"/>
    <n v="512.35799999999995"/>
    <n v="3"/>
    <n v="-14.6388"/>
    <n v="-2.8571428571428574E-2"/>
    <n v="2014"/>
    <x v="11"/>
    <n v="12"/>
    <n v="170.78599999999997"/>
    <s v="Loss"/>
  </r>
  <r>
    <s v="CA-2014-161508"/>
    <d v="2014-12-07T00:00:00"/>
    <x v="2"/>
    <x v="1"/>
    <x v="870"/>
    <n v="3.488"/>
    <n v="2"/>
    <n v="0.56679999999999997"/>
    <n v="0.16250000000000001"/>
    <n v="2014"/>
    <x v="11"/>
    <n v="12"/>
    <n v="1.744"/>
    <s v="Profit"/>
  </r>
  <r>
    <s v="CA-2014-161508"/>
    <d v="2014-12-07T00:00:00"/>
    <x v="2"/>
    <x v="1"/>
    <x v="6"/>
    <n v="22.288"/>
    <n v="7"/>
    <n v="3.9003999999999999"/>
    <n v="0.17499999999999999"/>
    <n v="2014"/>
    <x v="11"/>
    <n v="12"/>
    <n v="3.1840000000000002"/>
    <s v="Profit"/>
  </r>
  <r>
    <s v="CA-2014-161508"/>
    <d v="2014-12-07T00:00:00"/>
    <x v="2"/>
    <x v="1"/>
    <x v="871"/>
    <n v="16.032"/>
    <n v="3"/>
    <n v="5.6112000000000002"/>
    <n v="0.35000000000000003"/>
    <n v="2014"/>
    <x v="11"/>
    <n v="12"/>
    <n v="5.3440000000000003"/>
    <s v="Profit"/>
  </r>
  <r>
    <s v="CA-2014-109302"/>
    <d v="2014-12-08T00:00:00"/>
    <x v="0"/>
    <x v="1"/>
    <x v="183"/>
    <n v="196.21"/>
    <n v="7"/>
    <n v="98.105000000000004"/>
    <n v="0.5"/>
    <n v="2014"/>
    <x v="11"/>
    <n v="12"/>
    <n v="28.03"/>
    <s v="Profit"/>
  </r>
  <r>
    <s v="CA-2014-109897"/>
    <d v="2014-12-08T00:00:00"/>
    <x v="1"/>
    <x v="2"/>
    <x v="1277"/>
    <n v="806.33600000000001"/>
    <n v="8"/>
    <n v="50.396000000000001"/>
    <n v="6.25E-2"/>
    <n v="2014"/>
    <x v="11"/>
    <n v="12"/>
    <n v="100.792"/>
    <s v="Profit"/>
  </r>
  <r>
    <s v="CA-2014-109897"/>
    <d v="2014-12-08T00:00:00"/>
    <x v="1"/>
    <x v="0"/>
    <x v="1427"/>
    <n v="85.44"/>
    <n v="3"/>
    <n v="31.6128"/>
    <n v="0.37"/>
    <n v="2014"/>
    <x v="11"/>
    <n v="12"/>
    <n v="28.48"/>
    <s v="Profit"/>
  </r>
  <r>
    <s v="CA-2014-156244"/>
    <d v="2014-12-08T00:00:00"/>
    <x v="3"/>
    <x v="1"/>
    <x v="1084"/>
    <n v="31.103999999999999"/>
    <n v="6"/>
    <n v="10.8864"/>
    <n v="0.35000000000000003"/>
    <n v="2014"/>
    <x v="11"/>
    <n v="12"/>
    <n v="5.1840000000000002"/>
    <s v="Profit"/>
  </r>
  <r>
    <s v="CA-2014-156244"/>
    <d v="2014-12-08T00:00:00"/>
    <x v="3"/>
    <x v="1"/>
    <x v="224"/>
    <n v="47.96"/>
    <n v="5"/>
    <n v="4.1965000000000003"/>
    <n v="8.7500000000000008E-2"/>
    <n v="2014"/>
    <x v="11"/>
    <n v="12"/>
    <n v="9.5920000000000005"/>
    <s v="Profit"/>
  </r>
  <r>
    <s v="CA-2014-156244"/>
    <d v="2014-12-08T00:00:00"/>
    <x v="3"/>
    <x v="2"/>
    <x v="593"/>
    <n v="158.928"/>
    <n v="7"/>
    <n v="41.718600000000002"/>
    <n v="0.26250000000000001"/>
    <n v="2014"/>
    <x v="11"/>
    <n v="12"/>
    <n v="22.704000000000001"/>
    <s v="Profit"/>
  </r>
  <r>
    <s v="CA-2014-156244"/>
    <d v="2014-12-08T00:00:00"/>
    <x v="3"/>
    <x v="1"/>
    <x v="1018"/>
    <n v="211.24799999999999"/>
    <n v="6"/>
    <n v="15.8436"/>
    <n v="7.5000000000000011E-2"/>
    <n v="2014"/>
    <x v="11"/>
    <n v="12"/>
    <n v="35.207999999999998"/>
    <s v="Profit"/>
  </r>
  <r>
    <s v="CA-2014-156244"/>
    <d v="2014-12-08T00:00:00"/>
    <x v="3"/>
    <x v="1"/>
    <x v="1580"/>
    <n v="5.5519999999999996"/>
    <n v="2"/>
    <n v="-1.0409999999999999"/>
    <n v="-0.1875"/>
    <n v="2014"/>
    <x v="11"/>
    <n v="12"/>
    <n v="2.7759999999999998"/>
    <s v="Loss"/>
  </r>
  <r>
    <s v="CA-2014-156244"/>
    <d v="2014-12-08T00:00:00"/>
    <x v="3"/>
    <x v="1"/>
    <x v="726"/>
    <n v="2.952"/>
    <n v="1"/>
    <n v="0.99629999999999996"/>
    <n v="0.33749999999999997"/>
    <n v="2014"/>
    <x v="11"/>
    <n v="12"/>
    <n v="2.952"/>
    <s v="Profit"/>
  </r>
  <r>
    <s v="CA-2014-153927"/>
    <d v="2014-12-08T00:00:00"/>
    <x v="3"/>
    <x v="1"/>
    <x v="169"/>
    <n v="14.04"/>
    <n v="3"/>
    <n v="6.7392000000000003"/>
    <n v="0.48000000000000004"/>
    <n v="2014"/>
    <x v="11"/>
    <n v="12"/>
    <n v="4.68"/>
    <s v="Profit"/>
  </r>
  <r>
    <s v="CA-2014-153927"/>
    <d v="2014-12-08T00:00:00"/>
    <x v="3"/>
    <x v="2"/>
    <x v="1534"/>
    <n v="272.61"/>
    <n v="13"/>
    <n v="98.139600000000002"/>
    <n v="0.36"/>
    <n v="2014"/>
    <x v="11"/>
    <n v="12"/>
    <n v="20.970000000000002"/>
    <s v="Profit"/>
  </r>
  <r>
    <s v="CA-2014-101476"/>
    <d v="2014-12-09T00:00:00"/>
    <x v="0"/>
    <x v="2"/>
    <x v="1577"/>
    <n v="69.989999999999995"/>
    <n v="1"/>
    <n v="30.095700000000001"/>
    <n v="0.43000000000000005"/>
    <n v="2014"/>
    <x v="11"/>
    <n v="12"/>
    <n v="69.989999999999995"/>
    <s v="Profit"/>
  </r>
  <r>
    <s v="CA-2014-138527"/>
    <d v="2014-12-09T00:00:00"/>
    <x v="3"/>
    <x v="1"/>
    <x v="214"/>
    <n v="10.368"/>
    <n v="2"/>
    <n v="3.6288"/>
    <n v="0.35"/>
    <n v="2014"/>
    <x v="11"/>
    <n v="12"/>
    <n v="5.1840000000000002"/>
    <s v="Profit"/>
  </r>
  <r>
    <s v="CA-2014-138527"/>
    <d v="2014-12-09T00:00:00"/>
    <x v="3"/>
    <x v="1"/>
    <x v="1315"/>
    <n v="166.84"/>
    <n v="5"/>
    <n v="18.769500000000001"/>
    <n v="0.1125"/>
    <n v="2014"/>
    <x v="11"/>
    <n v="12"/>
    <n v="33.368000000000002"/>
    <s v="Profit"/>
  </r>
  <r>
    <s v="CA-2014-138527"/>
    <d v="2014-12-09T00:00:00"/>
    <x v="3"/>
    <x v="2"/>
    <x v="1601"/>
    <n v="15.215999999999999"/>
    <n v="1"/>
    <n v="2.2824"/>
    <n v="0.15"/>
    <n v="2014"/>
    <x v="11"/>
    <n v="12"/>
    <n v="15.215999999999999"/>
    <s v="Profit"/>
  </r>
  <r>
    <s v="US-2014-150924"/>
    <d v="2014-12-09T00:00:00"/>
    <x v="2"/>
    <x v="1"/>
    <x v="427"/>
    <n v="5.18"/>
    <n v="5"/>
    <n v="-8.0289999999999999"/>
    <n v="-1.55"/>
    <n v="2014"/>
    <x v="11"/>
    <n v="12"/>
    <n v="1.036"/>
    <s v="Loss"/>
  </r>
  <r>
    <s v="CA-2014-103702"/>
    <d v="2014-12-09T00:00:00"/>
    <x v="0"/>
    <x v="1"/>
    <x v="230"/>
    <n v="63.923999999999999"/>
    <n v="7"/>
    <n v="-46.877600000000001"/>
    <n v="-0.73333333333333339"/>
    <n v="2014"/>
    <x v="11"/>
    <n v="12"/>
    <n v="9.1319999999999997"/>
    <s v="Loss"/>
  </r>
  <r>
    <s v="US-2014-119081"/>
    <d v="2014-12-09T00:00:00"/>
    <x v="2"/>
    <x v="1"/>
    <x v="879"/>
    <n v="357.93"/>
    <n v="3"/>
    <n v="7.1585999999999999"/>
    <n v="0.02"/>
    <n v="2014"/>
    <x v="11"/>
    <n v="12"/>
    <n v="119.31"/>
    <s v="Profit"/>
  </r>
  <r>
    <s v="US-2014-119081"/>
    <d v="2014-12-09T00:00:00"/>
    <x v="2"/>
    <x v="2"/>
    <x v="1382"/>
    <n v="57.4"/>
    <n v="5"/>
    <n v="10.906000000000001"/>
    <n v="0.19"/>
    <n v="2014"/>
    <x v="11"/>
    <n v="12"/>
    <n v="11.48"/>
    <s v="Profit"/>
  </r>
  <r>
    <s v="US-2014-119081"/>
    <d v="2014-12-09T00:00:00"/>
    <x v="2"/>
    <x v="1"/>
    <x v="1602"/>
    <n v="331.96"/>
    <n v="2"/>
    <n v="149.38200000000001"/>
    <n v="0.45000000000000007"/>
    <n v="2014"/>
    <x v="11"/>
    <n v="12"/>
    <n v="165.98"/>
    <s v="Profit"/>
  </r>
  <r>
    <s v="US-2014-119081"/>
    <d v="2014-12-09T00:00:00"/>
    <x v="2"/>
    <x v="0"/>
    <x v="1488"/>
    <n v="40.56"/>
    <n v="2"/>
    <n v="12.979200000000001"/>
    <n v="0.32"/>
    <n v="2014"/>
    <x v="11"/>
    <n v="12"/>
    <n v="20.28"/>
    <s v="Profit"/>
  </r>
  <r>
    <s v="CA-2014-116246"/>
    <d v="2014-12-09T00:00:00"/>
    <x v="0"/>
    <x v="0"/>
    <x v="25"/>
    <n v="3785.2919999999999"/>
    <n v="6"/>
    <n v="420.58800000000002"/>
    <n v="0.11111111111111112"/>
    <n v="2014"/>
    <x v="11"/>
    <n v="12"/>
    <n v="630.88199999999995"/>
    <s v="Profit"/>
  </r>
  <r>
    <s v="CA-2014-139451"/>
    <d v="2014-12-10T00:00:00"/>
    <x v="1"/>
    <x v="1"/>
    <x v="310"/>
    <n v="14.9"/>
    <n v="5"/>
    <n v="4.1719999999999997"/>
    <n v="0.27999999999999997"/>
    <n v="2014"/>
    <x v="11"/>
    <n v="12"/>
    <n v="2.98"/>
    <s v="Profit"/>
  </r>
  <r>
    <s v="CA-2014-139451"/>
    <d v="2014-12-10T00:00:00"/>
    <x v="1"/>
    <x v="1"/>
    <x v="827"/>
    <n v="21.39"/>
    <n v="1"/>
    <n v="6.2031000000000001"/>
    <n v="0.28999999999999998"/>
    <n v="2014"/>
    <x v="11"/>
    <n v="12"/>
    <n v="21.39"/>
    <s v="Profit"/>
  </r>
  <r>
    <s v="US-2014-154655"/>
    <d v="2014-12-10T00:00:00"/>
    <x v="2"/>
    <x v="1"/>
    <x v="1603"/>
    <n v="22.24"/>
    <n v="2"/>
    <n v="2.5019999999999998"/>
    <n v="0.1125"/>
    <n v="2014"/>
    <x v="11"/>
    <n v="12"/>
    <n v="11.12"/>
    <s v="Profit"/>
  </r>
  <r>
    <s v="CA-2014-151078"/>
    <d v="2014-12-11T00:00:00"/>
    <x v="2"/>
    <x v="1"/>
    <x v="1412"/>
    <n v="49.631999999999998"/>
    <n v="4"/>
    <n v="4.9631999999999996"/>
    <n v="9.9999999999999992E-2"/>
    <n v="2014"/>
    <x v="11"/>
    <n v="12"/>
    <n v="12.407999999999999"/>
    <s v="Profit"/>
  </r>
  <r>
    <s v="CA-2014-151295"/>
    <d v="2014-12-11T00:00:00"/>
    <x v="1"/>
    <x v="1"/>
    <x v="1604"/>
    <n v="11.96"/>
    <n v="2"/>
    <n v="5.8604000000000003"/>
    <n v="0.49"/>
    <n v="2014"/>
    <x v="11"/>
    <n v="12"/>
    <n v="5.98"/>
    <s v="Profit"/>
  </r>
  <r>
    <s v="CA-2014-151295"/>
    <d v="2014-12-11T00:00:00"/>
    <x v="1"/>
    <x v="0"/>
    <x v="1605"/>
    <n v="629.06399999999996"/>
    <n v="3"/>
    <n v="31.453199999999999"/>
    <n v="0.05"/>
    <n v="2014"/>
    <x v="11"/>
    <n v="12"/>
    <n v="209.68799999999999"/>
    <s v="Profit"/>
  </r>
  <r>
    <s v="CA-2014-164910"/>
    <d v="2014-12-11T00:00:00"/>
    <x v="3"/>
    <x v="1"/>
    <x v="266"/>
    <n v="7.8719999999999999"/>
    <n v="3"/>
    <n v="0.88560000000000005"/>
    <n v="0.1125"/>
    <n v="2014"/>
    <x v="11"/>
    <n v="12"/>
    <n v="2.6240000000000001"/>
    <s v="Profit"/>
  </r>
  <r>
    <s v="US-2014-159618"/>
    <d v="2014-12-11T00:00:00"/>
    <x v="2"/>
    <x v="1"/>
    <x v="1297"/>
    <n v="2.6720000000000002"/>
    <n v="1"/>
    <n v="0.33400000000000002"/>
    <n v="0.125"/>
    <n v="2014"/>
    <x v="11"/>
    <n v="12"/>
    <n v="2.6720000000000002"/>
    <s v="Profit"/>
  </r>
  <r>
    <s v="US-2014-159618"/>
    <d v="2014-12-11T00:00:00"/>
    <x v="2"/>
    <x v="1"/>
    <x v="1580"/>
    <n v="16.655999999999999"/>
    <n v="6"/>
    <n v="-3.1230000000000002"/>
    <n v="-0.18750000000000003"/>
    <n v="2014"/>
    <x v="11"/>
    <n v="12"/>
    <n v="2.7759999999999998"/>
    <s v="Loss"/>
  </r>
  <r>
    <s v="US-2014-159618"/>
    <d v="2014-12-11T00:00:00"/>
    <x v="2"/>
    <x v="2"/>
    <x v="490"/>
    <n v="79.512"/>
    <n v="3"/>
    <n v="20.8719"/>
    <n v="0.26250000000000001"/>
    <n v="2014"/>
    <x v="11"/>
    <n v="12"/>
    <n v="26.504000000000001"/>
    <s v="Profit"/>
  </r>
  <r>
    <s v="US-2014-159618"/>
    <d v="2014-12-11T00:00:00"/>
    <x v="2"/>
    <x v="1"/>
    <x v="571"/>
    <n v="36.287999999999997"/>
    <n v="7"/>
    <n v="12.700799999999999"/>
    <n v="0.35000000000000003"/>
    <n v="2014"/>
    <x v="11"/>
    <n v="12"/>
    <n v="5.1839999999999993"/>
    <s v="Profit"/>
  </r>
  <r>
    <s v="US-2014-159618"/>
    <d v="2014-12-11T00:00:00"/>
    <x v="2"/>
    <x v="0"/>
    <x v="457"/>
    <n v="67.993200000000002"/>
    <n v="1"/>
    <n v="-12.998699999999999"/>
    <n v="-0.19117647058823528"/>
    <n v="2014"/>
    <x v="11"/>
    <n v="12"/>
    <n v="67.993200000000002"/>
    <s v="Loss"/>
  </r>
  <r>
    <s v="CA-2014-122609"/>
    <d v="2014-12-11T00:00:00"/>
    <x v="2"/>
    <x v="0"/>
    <x v="1606"/>
    <n v="25.128"/>
    <n v="3"/>
    <n v="-6.9101999999999997"/>
    <n v="-0.27499999999999997"/>
    <n v="2014"/>
    <x v="11"/>
    <n v="12"/>
    <n v="8.3759999999999994"/>
    <s v="Loss"/>
  </r>
  <r>
    <s v="CA-2014-122609"/>
    <d v="2014-12-11T00:00:00"/>
    <x v="2"/>
    <x v="2"/>
    <x v="612"/>
    <n v="127.98399999999999"/>
    <n v="2"/>
    <n v="25.596800000000002"/>
    <n v="0.2"/>
    <n v="2014"/>
    <x v="11"/>
    <n v="12"/>
    <n v="63.991999999999997"/>
    <s v="Profit"/>
  </r>
  <r>
    <s v="CA-2014-168494"/>
    <d v="2014-12-12T00:00:00"/>
    <x v="1"/>
    <x v="0"/>
    <x v="1314"/>
    <n v="764.68799999999999"/>
    <n v="6"/>
    <n v="95.585999999999999"/>
    <n v="0.125"/>
    <n v="2014"/>
    <x v="11"/>
    <n v="12"/>
    <n v="127.44799999999999"/>
    <s v="Profit"/>
  </r>
  <r>
    <s v="CA-2014-168494"/>
    <d v="2014-12-12T00:00:00"/>
    <x v="1"/>
    <x v="0"/>
    <x v="377"/>
    <n v="3610.848"/>
    <n v="12"/>
    <n v="135.4068"/>
    <n v="3.7499999999999999E-2"/>
    <n v="2014"/>
    <x v="11"/>
    <n v="12"/>
    <n v="300.904"/>
    <s v="Profit"/>
  </r>
  <r>
    <s v="CA-2014-168494"/>
    <d v="2014-12-12T00:00:00"/>
    <x v="1"/>
    <x v="0"/>
    <x v="457"/>
    <n v="254.97450000000001"/>
    <n v="3"/>
    <n v="11.998799999999999"/>
    <n v="4.7058823529411764E-2"/>
    <n v="2014"/>
    <x v="11"/>
    <n v="12"/>
    <n v="84.991500000000002"/>
    <s v="Profit"/>
  </r>
  <r>
    <s v="CA-2014-141607"/>
    <d v="2014-12-12T00:00:00"/>
    <x v="1"/>
    <x v="0"/>
    <x v="133"/>
    <n v="43.31"/>
    <n v="1"/>
    <n v="4.3310000000000004"/>
    <n v="0.1"/>
    <n v="2014"/>
    <x v="11"/>
    <n v="12"/>
    <n v="43.31"/>
    <s v="Profit"/>
  </r>
  <r>
    <s v="US-2014-122959"/>
    <d v="2014-12-12T00:00:00"/>
    <x v="2"/>
    <x v="1"/>
    <x v="172"/>
    <n v="210.392"/>
    <n v="2"/>
    <n v="-336.62720000000002"/>
    <n v="-1.6"/>
    <n v="2014"/>
    <x v="11"/>
    <n v="12"/>
    <n v="105.196"/>
    <s v="Loss"/>
  </r>
  <r>
    <s v="CA-2014-113320"/>
    <d v="2014-12-12T00:00:00"/>
    <x v="1"/>
    <x v="0"/>
    <x v="362"/>
    <n v="12.54"/>
    <n v="3"/>
    <n v="4.5144000000000002"/>
    <n v="0.36000000000000004"/>
    <n v="2014"/>
    <x v="11"/>
    <n v="12"/>
    <n v="4.18"/>
    <s v="Profit"/>
  </r>
  <r>
    <s v="CA-2014-113320"/>
    <d v="2014-12-12T00:00:00"/>
    <x v="1"/>
    <x v="1"/>
    <x v="1607"/>
    <n v="8.94"/>
    <n v="3"/>
    <n v="0.62580000000000002"/>
    <n v="7.0000000000000007E-2"/>
    <n v="2014"/>
    <x v="11"/>
    <n v="12"/>
    <n v="2.98"/>
    <s v="Profit"/>
  </r>
  <r>
    <s v="CA-2014-113320"/>
    <d v="2014-12-12T00:00:00"/>
    <x v="1"/>
    <x v="0"/>
    <x v="528"/>
    <n v="9.24"/>
    <n v="3"/>
    <n v="4.4352"/>
    <n v="0.48"/>
    <n v="2014"/>
    <x v="11"/>
    <n v="12"/>
    <n v="3.08"/>
    <s v="Profit"/>
  </r>
  <r>
    <s v="CA-2014-107573"/>
    <d v="2014-12-12T00:00:00"/>
    <x v="3"/>
    <x v="1"/>
    <x v="11"/>
    <n v="23.472000000000001"/>
    <n v="3"/>
    <n v="7.6284000000000001"/>
    <n v="0.32500000000000001"/>
    <n v="2014"/>
    <x v="11"/>
    <n v="12"/>
    <n v="7.8240000000000007"/>
    <s v="Profit"/>
  </r>
  <r>
    <m/>
    <m/>
    <x v="4"/>
    <x v="3"/>
    <x v="1608"/>
    <m/>
    <m/>
    <m/>
    <m/>
    <m/>
    <x v="12"/>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8E432E-1E77-44E5-B2DB-44F40B33B946}" name="PivotTable5"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Category">
  <location ref="N6:O9" firstHeaderRow="1" firstDataRow="1" firstDataCol="1"/>
  <pivotFields count="14">
    <pivotField showAll="0"/>
    <pivotField showAll="0"/>
    <pivotField showAll="0"/>
    <pivotField axis="axisRow" showAll="0">
      <items count="5">
        <item x="0"/>
        <item x="1"/>
        <item x="2"/>
        <item h="1" x="3"/>
        <item t="default"/>
      </items>
    </pivotField>
    <pivotField showAll="0">
      <items count="1612">
        <item x="318"/>
        <item x="720"/>
        <item x="309"/>
        <item x="1197"/>
        <item x="838"/>
        <item x="1138"/>
        <item x="544"/>
        <item x="798"/>
        <item x="707"/>
        <item x="252"/>
        <item x="410"/>
        <item x="416"/>
        <item x="222"/>
        <item x="531"/>
        <item x="475"/>
        <item x="1590"/>
        <item x="1307"/>
        <item x="515"/>
        <item x="1048"/>
        <item x="626"/>
        <item x="1252"/>
        <item x="225"/>
        <item x="287"/>
        <item x="563"/>
        <item x="737"/>
        <item x="330"/>
        <item x="776"/>
        <item x="651"/>
        <item x="76"/>
        <item x="198"/>
        <item x="256"/>
        <item x="783"/>
        <item x="383"/>
        <item x="1012"/>
        <item x="849"/>
        <item x="727"/>
        <item x="1388"/>
        <item x="1083"/>
        <item x="1026"/>
        <item x="822"/>
        <item x="834"/>
        <item x="944"/>
        <item x="840"/>
        <item x="1257"/>
        <item x="393"/>
        <item x="995"/>
        <item x="99"/>
        <item x="831"/>
        <item x="767"/>
        <item x="1440"/>
        <item x="976"/>
        <item x="990"/>
        <item x="1579"/>
        <item x="507"/>
        <item x="1580"/>
        <item x="174"/>
        <item x="1018"/>
        <item x="1576"/>
        <item x="127"/>
        <item x="169"/>
        <item x="152"/>
        <item x="1354"/>
        <item x="530"/>
        <item x="1111"/>
        <item x="1372"/>
        <item x="1594"/>
        <item x="924"/>
        <item x="558"/>
        <item x="1603"/>
        <item x="1538"/>
        <item x="1244"/>
        <item x="1070"/>
        <item x="194"/>
        <item x="1572"/>
        <item x="632"/>
        <item x="857"/>
        <item x="933"/>
        <item x="967"/>
        <item x="134"/>
        <item x="135"/>
        <item x="1283"/>
        <item x="534"/>
        <item x="218"/>
        <item x="899"/>
        <item x="419"/>
        <item x="1597"/>
        <item x="538"/>
        <item x="661"/>
        <item x="794"/>
        <item x="586"/>
        <item x="1448"/>
        <item x="447"/>
        <item x="1156"/>
        <item x="223"/>
        <item x="1063"/>
        <item x="165"/>
        <item x="1117"/>
        <item x="72"/>
        <item x="436"/>
        <item x="137"/>
        <item x="1141"/>
        <item x="956"/>
        <item x="969"/>
        <item x="675"/>
        <item x="1169"/>
        <item x="1451"/>
        <item x="1184"/>
        <item x="420"/>
        <item x="1113"/>
        <item x="239"/>
        <item x="574"/>
        <item x="365"/>
        <item x="1097"/>
        <item x="1199"/>
        <item x="1399"/>
        <item x="487"/>
        <item x="385"/>
        <item x="1591"/>
        <item x="1436"/>
        <item x="858"/>
        <item x="886"/>
        <item x="1503"/>
        <item x="109"/>
        <item x="232"/>
        <item x="1124"/>
        <item x="602"/>
        <item x="1331"/>
        <item x="1234"/>
        <item x="942"/>
        <item x="572"/>
        <item x="1243"/>
        <item x="1525"/>
        <item x="1325"/>
        <item x="1420"/>
        <item x="548"/>
        <item x="1574"/>
        <item x="351"/>
        <item x="1003"/>
        <item x="1490"/>
        <item x="247"/>
        <item x="1429"/>
        <item x="1157"/>
        <item x="1568"/>
        <item x="78"/>
        <item x="1308"/>
        <item x="529"/>
        <item x="928"/>
        <item x="1191"/>
        <item x="1512"/>
        <item x="505"/>
        <item x="1024"/>
        <item x="891"/>
        <item x="1062"/>
        <item x="1168"/>
        <item x="1464"/>
        <item x="102"/>
        <item x="522"/>
        <item x="304"/>
        <item x="1492"/>
        <item x="467"/>
        <item x="308"/>
        <item x="939"/>
        <item x="1064"/>
        <item x="698"/>
        <item x="1477"/>
        <item x="425"/>
        <item x="832"/>
        <item x="98"/>
        <item x="644"/>
        <item x="1027"/>
        <item x="1254"/>
        <item x="1148"/>
        <item x="1478"/>
        <item x="511"/>
        <item x="1128"/>
        <item x="1351"/>
        <item x="27"/>
        <item x="18"/>
        <item x="1536"/>
        <item x="1022"/>
        <item x="369"/>
        <item x="12"/>
        <item x="132"/>
        <item x="821"/>
        <item x="726"/>
        <item x="970"/>
        <item x="549"/>
        <item x="160"/>
        <item x="1584"/>
        <item x="1099"/>
        <item x="1334"/>
        <item x="513"/>
        <item x="772"/>
        <item x="333"/>
        <item x="1460"/>
        <item x="446"/>
        <item x="1547"/>
        <item x="1240"/>
        <item x="154"/>
        <item x="173"/>
        <item x="502"/>
        <item x="352"/>
        <item x="620"/>
        <item x="699"/>
        <item x="1146"/>
        <item x="1158"/>
        <item x="179"/>
        <item x="1030"/>
        <item x="391"/>
        <item x="1236"/>
        <item x="1170"/>
        <item x="71"/>
        <item x="696"/>
        <item x="1554"/>
        <item x="1297"/>
        <item x="471"/>
        <item x="934"/>
        <item x="1324"/>
        <item x="1400"/>
        <item x="1537"/>
        <item x="1483"/>
        <item x="178"/>
        <item x="1405"/>
        <item x="978"/>
        <item x="539"/>
        <item x="450"/>
        <item x="898"/>
        <item x="50"/>
        <item x="778"/>
        <item x="1501"/>
        <item x="1107"/>
        <item x="486"/>
        <item x="579"/>
        <item x="103"/>
        <item x="1039"/>
        <item x="1394"/>
        <item x="346"/>
        <item x="415"/>
        <item x="815"/>
        <item x="1571"/>
        <item x="1110"/>
        <item x="597"/>
        <item x="44"/>
        <item x="618"/>
        <item x="483"/>
        <item x="980"/>
        <item x="167"/>
        <item x="830"/>
        <item x="61"/>
        <item x="1071"/>
        <item x="364"/>
        <item x="166"/>
        <item x="248"/>
        <item x="1471"/>
        <item x="619"/>
        <item x="678"/>
        <item x="943"/>
        <item x="1300"/>
        <item x="355"/>
        <item x="753"/>
        <item x="689"/>
        <item x="932"/>
        <item x="833"/>
        <item x="853"/>
        <item x="567"/>
        <item x="1469"/>
        <item x="83"/>
        <item x="1475"/>
        <item x="195"/>
        <item x="457"/>
        <item x="269"/>
        <item x="129"/>
        <item x="1605"/>
        <item x="106"/>
        <item x="605"/>
        <item x="1373"/>
        <item x="1519"/>
        <item x="844"/>
        <item x="293"/>
        <item x="1041"/>
        <item x="762"/>
        <item x="155"/>
        <item x="1134"/>
        <item x="685"/>
        <item x="639"/>
        <item x="745"/>
        <item x="610"/>
        <item x="343"/>
        <item x="938"/>
        <item x="199"/>
        <item x="430"/>
        <item x="638"/>
        <item x="1549"/>
        <item x="1329"/>
        <item x="211"/>
        <item x="382"/>
        <item x="1518"/>
        <item x="378"/>
        <item x="1277"/>
        <item x="516"/>
        <item x="569"/>
        <item x="1154"/>
        <item x="1524"/>
        <item x="1150"/>
        <item x="895"/>
        <item x="1034"/>
        <item x="1313"/>
        <item x="828"/>
        <item x="887"/>
        <item x="596"/>
        <item x="1450"/>
        <item x="1446"/>
        <item x="1491"/>
        <item x="1413"/>
        <item x="1077"/>
        <item x="1541"/>
        <item x="1182"/>
        <item x="1112"/>
        <item x="1423"/>
        <item x="1067"/>
        <item x="1303"/>
        <item x="650"/>
        <item x="1086"/>
        <item x="275"/>
        <item x="802"/>
        <item x="1497"/>
        <item x="1211"/>
        <item x="377"/>
        <item x="576"/>
        <item x="1167"/>
        <item x="1256"/>
        <item x="373"/>
        <item x="224"/>
        <item x="24"/>
        <item x="560"/>
        <item x="504"/>
        <item x="1076"/>
        <item x="397"/>
        <item x="123"/>
        <item x="409"/>
        <item x="316"/>
        <item x="279"/>
        <item x="26"/>
        <item x="1210"/>
        <item x="1261"/>
        <item x="964"/>
        <item x="1100"/>
        <item x="1328"/>
        <item x="345"/>
        <item x="996"/>
        <item x="627"/>
        <item x="1544"/>
        <item x="1073"/>
        <item x="1009"/>
        <item x="655"/>
        <item x="1593"/>
        <item x="905"/>
        <item x="791"/>
        <item x="582"/>
        <item x="1434"/>
        <item x="1123"/>
        <item x="29"/>
        <item x="1391"/>
        <item x="38"/>
        <item x="267"/>
        <item x="429"/>
        <item x="546"/>
        <item x="1092"/>
        <item x="39"/>
        <item x="793"/>
        <item x="126"/>
        <item x="1129"/>
        <item x="281"/>
        <item x="954"/>
        <item x="189"/>
        <item x="708"/>
        <item x="994"/>
        <item x="341"/>
        <item x="1021"/>
        <item x="1292"/>
        <item x="1364"/>
        <item x="101"/>
        <item x="829"/>
        <item x="789"/>
        <item x="1523"/>
        <item x="1105"/>
        <item x="370"/>
        <item x="84"/>
        <item x="609"/>
        <item x="153"/>
        <item x="758"/>
        <item x="993"/>
        <item x="910"/>
        <item x="1387"/>
        <item x="864"/>
        <item x="231"/>
        <item x="633"/>
        <item x="1101"/>
        <item x="672"/>
        <item x="443"/>
        <item x="592"/>
        <item x="1116"/>
        <item x="807"/>
        <item x="693"/>
        <item x="212"/>
        <item x="983"/>
        <item x="1072"/>
        <item x="327"/>
        <item x="845"/>
        <item x="879"/>
        <item x="1326"/>
        <item x="1106"/>
        <item x="695"/>
        <item x="533"/>
        <item x="1019"/>
        <item x="532"/>
        <item x="1216"/>
        <item x="1209"/>
        <item x="811"/>
        <item x="805"/>
        <item x="162"/>
        <item x="392"/>
        <item x="647"/>
        <item x="15"/>
        <item x="417"/>
        <item x="136"/>
        <item x="500"/>
        <item x="1458"/>
        <item x="1575"/>
        <item x="888"/>
        <item x="594"/>
        <item x="657"/>
        <item x="1287"/>
        <item x="196"/>
        <item x="478"/>
        <item x="1338"/>
        <item x="590"/>
        <item x="151"/>
        <item x="882"/>
        <item x="1535"/>
        <item x="1268"/>
        <item x="1142"/>
        <item x="1089"/>
        <item x="363"/>
        <item x="1246"/>
        <item x="892"/>
        <item x="613"/>
        <item x="541"/>
        <item x="659"/>
        <item x="986"/>
        <item x="21"/>
        <item x="1151"/>
        <item x="305"/>
        <item x="1353"/>
        <item x="1494"/>
        <item x="461"/>
        <item x="640"/>
        <item x="1403"/>
        <item x="851"/>
        <item x="999"/>
        <item x="55"/>
        <item x="816"/>
        <item x="866"/>
        <item x="512"/>
        <item x="400"/>
        <item x="1152"/>
        <item x="518"/>
        <item x="1596"/>
        <item x="434"/>
        <item x="819"/>
        <item x="923"/>
        <item x="1408"/>
        <item x="85"/>
        <item x="204"/>
        <item x="642"/>
        <item x="107"/>
        <item x="731"/>
        <item x="381"/>
        <item x="881"/>
        <item x="792"/>
        <item x="124"/>
        <item x="485"/>
        <item x="786"/>
        <item x="1033"/>
        <item x="509"/>
        <item x="1550"/>
        <item x="1057"/>
        <item x="972"/>
        <item x="1096"/>
        <item x="144"/>
        <item x="775"/>
        <item x="523"/>
        <item x="1264"/>
        <item x="186"/>
        <item x="133"/>
        <item x="317"/>
        <item x="115"/>
        <item x="1109"/>
        <item x="254"/>
        <item x="1140"/>
        <item x="1463"/>
        <item x="1090"/>
        <item x="1505"/>
        <item x="921"/>
        <item x="623"/>
        <item x="715"/>
        <item x="493"/>
        <item x="1274"/>
        <item x="185"/>
        <item x="556"/>
        <item x="284"/>
        <item x="210"/>
        <item x="362"/>
        <item x="191"/>
        <item x="1175"/>
        <item x="1114"/>
        <item x="1495"/>
        <item x="1085"/>
        <item x="1369"/>
        <item x="499"/>
        <item x="998"/>
        <item x="1301"/>
        <item x="1061"/>
        <item x="1347"/>
        <item x="96"/>
        <item x="1137"/>
        <item x="1217"/>
        <item x="804"/>
        <item x="361"/>
        <item x="1161"/>
        <item x="1376"/>
        <item x="481"/>
        <item x="863"/>
        <item x="1532"/>
        <item x="1577"/>
        <item x="631"/>
        <item x="1375"/>
        <item x="587"/>
        <item x="28"/>
        <item x="495"/>
        <item x="615"/>
        <item x="418"/>
        <item x="760"/>
        <item x="1317"/>
        <item x="1010"/>
        <item x="545"/>
        <item x="1172"/>
        <item x="1586"/>
        <item x="962"/>
        <item x="855"/>
        <item x="1189"/>
        <item x="1487"/>
        <item x="817"/>
        <item x="1144"/>
        <item x="1486"/>
        <item x="1066"/>
        <item x="1315"/>
        <item x="216"/>
        <item x="1496"/>
        <item x="228"/>
        <item x="930"/>
        <item x="806"/>
        <item x="876"/>
        <item x="306"/>
        <item x="79"/>
        <item x="13"/>
        <item x="250"/>
        <item x="1342"/>
        <item x="1093"/>
        <item x="147"/>
        <item x="629"/>
        <item x="47"/>
        <item x="919"/>
        <item x="718"/>
        <item x="40"/>
        <item x="795"/>
        <item x="784"/>
        <item x="1278"/>
        <item x="63"/>
        <item x="848"/>
        <item x="1444"/>
        <item x="520"/>
        <item x="265"/>
        <item x="1255"/>
        <item x="1583"/>
        <item x="719"/>
        <item x="9"/>
        <item x="836"/>
        <item x="1265"/>
        <item x="510"/>
        <item x="1309"/>
        <item x="438"/>
        <item x="1346"/>
        <item x="1343"/>
        <item x="872"/>
        <item x="540"/>
        <item x="1510"/>
        <item x="6"/>
        <item f="1" x="1609"/>
        <item f="1" x="1610"/>
        <item x="1418"/>
        <item x="1224"/>
        <item x="1046"/>
        <item x="172"/>
        <item x="1602"/>
        <item x="945"/>
        <item x="1280"/>
        <item x="813"/>
        <item x="320"/>
        <item x="116"/>
        <item x="873"/>
        <item x="755"/>
        <item x="561"/>
        <item x="7"/>
        <item x="1567"/>
        <item x="1384"/>
        <item x="1368"/>
        <item x="949"/>
        <item x="988"/>
        <item x="1370"/>
        <item x="349"/>
        <item x="356"/>
        <item x="714"/>
        <item x="46"/>
        <item x="249"/>
        <item x="449"/>
        <item x="1502"/>
        <item x="700"/>
        <item x="401"/>
        <item x="1539"/>
        <item x="66"/>
        <item x="32"/>
        <item x="1166"/>
        <item x="202"/>
        <item x="903"/>
        <item x="634"/>
        <item x="125"/>
        <item x="176"/>
        <item x="637"/>
        <item x="501"/>
        <item x="797"/>
        <item x="57"/>
        <item x="496"/>
        <item x="1437"/>
        <item x="1511"/>
        <item x="965"/>
        <item x="77"/>
        <item x="1599"/>
        <item x="641"/>
        <item x="578"/>
        <item x="1606"/>
        <item x="445"/>
        <item x="1578"/>
        <item x="909"/>
        <item x="1035"/>
        <item x="979"/>
        <item x="628"/>
        <item x="432"/>
        <item x="1122"/>
        <item x="90"/>
        <item x="100"/>
        <item x="1480"/>
        <item x="1028"/>
        <item x="476"/>
        <item x="329"/>
        <item x="1232"/>
        <item x="684"/>
        <item x="1080"/>
        <item x="584"/>
        <item x="258"/>
        <item x="741"/>
        <item x="1311"/>
        <item x="868"/>
        <item x="608"/>
        <item x="474"/>
        <item x="1589"/>
        <item x="800"/>
        <item x="812"/>
        <item x="826"/>
        <item x="1044"/>
        <item x="171"/>
        <item x="314"/>
        <item x="1263"/>
        <item x="960"/>
        <item x="1049"/>
        <item x="901"/>
        <item x="1484"/>
        <item x="526"/>
        <item x="1188"/>
        <item x="952"/>
        <item x="411"/>
        <item x="20"/>
        <item x="951"/>
        <item x="1163"/>
        <item x="73"/>
        <item x="1442"/>
        <item x="506"/>
        <item x="1296"/>
        <item x="1001"/>
        <item x="621"/>
        <item x="1253"/>
        <item x="861"/>
        <item x="1319"/>
        <item x="390"/>
        <item x="433"/>
        <item x="10"/>
        <item x="52"/>
        <item x="702"/>
        <item x="749"/>
        <item x="114"/>
        <item x="761"/>
        <item x="692"/>
        <item x="989"/>
        <item x="1074"/>
        <item x="282"/>
        <item x="290"/>
        <item x="1546"/>
        <item x="1595"/>
        <item x="1011"/>
        <item x="1160"/>
        <item x="1036"/>
        <item x="997"/>
        <item x="1281"/>
        <item x="606"/>
        <item x="1380"/>
        <item x="779"/>
        <item x="1242"/>
        <item x="703"/>
        <item x="551"/>
        <item x="1352"/>
        <item x="170"/>
        <item x="1050"/>
        <item x="564"/>
        <item x="34"/>
        <item x="894"/>
        <item x="240"/>
        <item x="421"/>
        <item x="25"/>
        <item x="728"/>
        <item x="67"/>
        <item x="790"/>
        <item x="977"/>
        <item x="207"/>
        <item x="1570"/>
        <item x="732"/>
        <item x="59"/>
        <item x="244"/>
        <item x="1200"/>
        <item x="94"/>
        <item x="1176"/>
        <item x="1005"/>
        <item x="1314"/>
        <item x="1335"/>
        <item x="1598"/>
        <item x="839"/>
        <item x="1004"/>
        <item x="987"/>
        <item x="1195"/>
        <item x="1032"/>
        <item x="35"/>
        <item x="1045"/>
        <item x="53"/>
        <item x="867"/>
        <item x="880"/>
        <item x="105"/>
        <item x="323"/>
        <item x="1344"/>
        <item x="477"/>
        <item x="1395"/>
        <item x="854"/>
        <item x="681"/>
        <item x="251"/>
        <item x="1"/>
        <item x="112"/>
        <item x="1271"/>
        <item x="1385"/>
        <item x="974"/>
        <item x="368"/>
        <item x="948"/>
        <item x="1068"/>
        <item x="666"/>
        <item x="966"/>
        <item x="756"/>
        <item x="117"/>
        <item x="335"/>
        <item x="1371"/>
        <item x="1551"/>
        <item x="347"/>
        <item x="1241"/>
        <item x="413"/>
        <item x="319"/>
        <item x="1229"/>
        <item x="182"/>
        <item x="458"/>
        <item x="1000"/>
        <item x="614"/>
        <item x="404"/>
        <item x="842"/>
        <item x="1312"/>
        <item x="746"/>
        <item x="188"/>
        <item x="95"/>
        <item x="454"/>
        <item x="1230"/>
        <item x="441"/>
        <item x="1286"/>
        <item x="884"/>
        <item x="1178"/>
        <item x="686"/>
        <item x="1350"/>
        <item x="260"/>
        <item x="490"/>
        <item x="1221"/>
        <item x="1305"/>
        <item x="302"/>
        <item x="780"/>
        <item x="517"/>
        <item x="652"/>
        <item x="1560"/>
        <item x="257"/>
        <item x="1207"/>
        <item x="384"/>
        <item x="388"/>
        <item x="1143"/>
        <item x="991"/>
        <item x="396"/>
        <item x="1262"/>
        <item x="424"/>
        <item x="674"/>
        <item x="398"/>
        <item x="81"/>
        <item x="1306"/>
        <item x="914"/>
        <item x="604"/>
        <item x="809"/>
        <item x="1322"/>
        <item x="1588"/>
        <item x="42"/>
        <item x="961"/>
        <item x="1164"/>
        <item x="1259"/>
        <item x="841"/>
        <item x="488"/>
        <item x="453"/>
        <item x="1235"/>
        <item x="1212"/>
        <item x="312"/>
        <item x="108"/>
        <item x="354"/>
        <item x="1270"/>
        <item x="662"/>
        <item x="940"/>
        <item x="479"/>
        <item x="54"/>
        <item x="272"/>
        <item x="168"/>
        <item x="407"/>
        <item x="1327"/>
        <item x="23"/>
        <item x="595"/>
        <item x="1125"/>
        <item x="1476"/>
        <item x="451"/>
        <item x="859"/>
        <item x="1355"/>
        <item x="1215"/>
        <item x="262"/>
        <item x="206"/>
        <item x="238"/>
        <item x="1075"/>
        <item x="307"/>
        <item x="1390"/>
        <item x="555"/>
        <item x="955"/>
        <item x="372"/>
        <item x="459"/>
        <item x="735"/>
        <item x="0"/>
        <item x="190"/>
        <item x="295"/>
        <item x="771"/>
        <item x="492"/>
        <item x="559"/>
        <item x="208"/>
        <item x="680"/>
        <item x="121"/>
        <item x="326"/>
        <item x="1289"/>
        <item x="439"/>
        <item x="1222"/>
        <item x="568"/>
        <item x="612"/>
        <item x="452"/>
        <item x="580"/>
        <item x="1462"/>
        <item x="423"/>
        <item x="1245"/>
        <item x="1205"/>
        <item x="1052"/>
        <item x="1397"/>
        <item x="1239"/>
        <item x="1127"/>
        <item x="691"/>
        <item x="259"/>
        <item x="1498"/>
        <item x="907"/>
        <item x="1383"/>
        <item x="663"/>
        <item x="49"/>
        <item x="37"/>
        <item x="276"/>
        <item x="1020"/>
        <item x="1047"/>
        <item x="528"/>
        <item x="1441"/>
        <item x="1357"/>
        <item x="1337"/>
        <item x="1461"/>
        <item x="1582"/>
        <item x="175"/>
        <item x="1055"/>
        <item x="1238"/>
        <item x="243"/>
        <item x="91"/>
        <item x="324"/>
        <item x="236"/>
        <item x="139"/>
        <item x="1386"/>
        <item x="1260"/>
        <item x="645"/>
        <item x="1060"/>
        <item x="192"/>
        <item x="1404"/>
        <item x="1499"/>
        <item x="1447"/>
        <item x="1153"/>
        <item x="593"/>
        <item x="904"/>
        <item x="1416"/>
        <item x="1534"/>
        <item x="22"/>
        <item x="607"/>
        <item x="1561"/>
        <item x="744"/>
        <item x="146"/>
        <item x="36"/>
        <item x="334"/>
        <item x="17"/>
        <item x="339"/>
        <item x="1269"/>
        <item x="1213"/>
        <item x="654"/>
        <item x="360"/>
        <item x="653"/>
        <item x="1530"/>
        <item x="616"/>
        <item x="799"/>
        <item x="1323"/>
        <item x="947"/>
        <item x="788"/>
        <item x="1425"/>
        <item x="1540"/>
        <item x="292"/>
        <item x="62"/>
        <item x="643"/>
        <item x="1298"/>
        <item x="1452"/>
        <item x="1131"/>
        <item x="340"/>
        <item x="724"/>
        <item x="1190"/>
        <item x="1065"/>
        <item x="1398"/>
        <item x="1439"/>
        <item x="469"/>
        <item x="1528"/>
        <item x="591"/>
        <item x="1526"/>
        <item x="470"/>
        <item x="736"/>
        <item x="375"/>
        <item x="422"/>
        <item x="751"/>
        <item x="113"/>
        <item x="480"/>
        <item x="130"/>
        <item x="288"/>
        <item x="1361"/>
        <item x="221"/>
        <item x="437"/>
        <item x="1136"/>
        <item x="893"/>
        <item x="1365"/>
        <item x="748"/>
        <item x="950"/>
        <item x="1017"/>
        <item x="1377"/>
        <item x="131"/>
        <item x="104"/>
        <item x="1509"/>
        <item x="1522"/>
        <item x="820"/>
        <item x="1174"/>
        <item x="622"/>
        <item x="150"/>
        <item x="649"/>
        <item x="374"/>
        <item x="1121"/>
        <item x="1489"/>
        <item x="1431"/>
        <item x="1031"/>
        <item x="468"/>
        <item x="1565"/>
        <item x="757"/>
        <item x="1273"/>
        <item x="547"/>
        <item x="122"/>
        <item x="1219"/>
        <item x="931"/>
        <item x="906"/>
        <item x="359"/>
        <item x="514"/>
        <item x="386"/>
        <item x="878"/>
        <item x="823"/>
        <item x="722"/>
        <item x="266"/>
        <item x="770"/>
        <item x="781"/>
        <item x="1562"/>
        <item x="759"/>
        <item x="201"/>
        <item x="738"/>
        <item x="482"/>
        <item x="814"/>
        <item x="43"/>
        <item x="723"/>
        <item x="671"/>
        <item x="1517"/>
        <item x="261"/>
        <item x="389"/>
        <item x="1453"/>
        <item x="1051"/>
        <item x="177"/>
        <item x="1008"/>
        <item x="697"/>
        <item x="1414"/>
        <item x="5"/>
        <item x="971"/>
        <item x="664"/>
        <item x="1401"/>
        <item x="233"/>
        <item x="235"/>
        <item x="1563"/>
        <item x="313"/>
        <item x="219"/>
        <item x="159"/>
        <item x="764"/>
        <item x="1472"/>
        <item x="1206"/>
        <item x="908"/>
        <item x="1321"/>
        <item x="1542"/>
        <item x="1088"/>
        <item x="1040"/>
        <item x="1183"/>
        <item x="440"/>
        <item x="296"/>
        <item x="1249"/>
        <item x="161"/>
        <item x="1362"/>
        <item x="527"/>
        <item x="570"/>
        <item x="193"/>
        <item x="1133"/>
        <item x="1470"/>
        <item x="303"/>
        <item x="769"/>
        <item x="1374"/>
        <item x="1247"/>
        <item x="598"/>
        <item x="1126"/>
        <item x="856"/>
        <item x="1419"/>
        <item x="1345"/>
        <item x="846"/>
        <item x="1569"/>
        <item x="982"/>
        <item x="665"/>
        <item x="1171"/>
        <item x="234"/>
        <item x="825"/>
        <item x="371"/>
        <item x="1058"/>
        <item x="1181"/>
        <item x="1459"/>
        <item x="120"/>
        <item x="920"/>
        <item x="31"/>
        <item x="1468"/>
        <item x="1466"/>
        <item x="777"/>
        <item x="869"/>
        <item x="1515"/>
        <item x="455"/>
        <item x="1091"/>
        <item x="1479"/>
        <item x="149"/>
        <item x="183"/>
        <item x="897"/>
        <item x="1104"/>
        <item x="850"/>
        <item x="1180"/>
        <item x="56"/>
        <item x="87"/>
        <item x="1412"/>
        <item x="1043"/>
        <item x="1214"/>
        <item x="1473"/>
        <item x="181"/>
        <item x="1186"/>
        <item x="271"/>
        <item x="1162"/>
        <item x="953"/>
        <item x="603"/>
        <item x="575"/>
        <item x="1007"/>
        <item x="862"/>
        <item x="716"/>
        <item x="297"/>
        <item x="1016"/>
        <item x="1069"/>
        <item x="573"/>
        <item x="774"/>
        <item x="968"/>
        <item x="588"/>
        <item x="1349"/>
        <item x="145"/>
        <item x="338"/>
        <item x="1545"/>
        <item x="1424"/>
        <item x="581"/>
        <item x="1013"/>
        <item x="1506"/>
        <item x="874"/>
        <item x="264"/>
        <item x="315"/>
        <item x="229"/>
        <item x="215"/>
        <item x="1087"/>
        <item x="230"/>
        <item x="466"/>
        <item x="1290"/>
        <item x="310"/>
        <item x="8"/>
        <item x="1520"/>
        <item x="729"/>
        <item x="414"/>
        <item x="387"/>
        <item x="852"/>
        <item x="713"/>
        <item x="1465"/>
        <item x="1056"/>
        <item x="286"/>
        <item x="82"/>
        <item x="325"/>
        <item x="577"/>
        <item x="405"/>
        <item x="706"/>
        <item x="687"/>
        <item x="808"/>
        <item x="929"/>
        <item x="1564"/>
        <item x="683"/>
        <item x="1485"/>
        <item x="1120"/>
        <item x="1507"/>
        <item x="740"/>
        <item x="1514"/>
        <item x="80"/>
        <item x="710"/>
        <item x="448"/>
        <item x="617"/>
        <item x="785"/>
        <item x="1248"/>
        <item x="357"/>
        <item x="456"/>
        <item x="935"/>
        <item x="1095"/>
        <item x="197"/>
        <item x="975"/>
        <item x="704"/>
        <item x="1573"/>
        <item x="635"/>
        <item x="301"/>
        <item x="246"/>
        <item x="408"/>
        <item x="705"/>
        <item x="589"/>
        <item x="1339"/>
        <item x="1457"/>
        <item x="148"/>
        <item x="1187"/>
        <item x="1378"/>
        <item x="1445"/>
        <item x="74"/>
        <item x="1204"/>
        <item x="3"/>
        <item x="431"/>
        <item x="739"/>
        <item x="927"/>
        <item x="566"/>
        <item x="75"/>
        <item x="1435"/>
        <item x="673"/>
        <item x="601"/>
        <item x="565"/>
        <item x="344"/>
        <item x="1513"/>
        <item x="1299"/>
        <item x="1389"/>
        <item x="14"/>
        <item x="734"/>
        <item x="1275"/>
        <item x="917"/>
        <item x="717"/>
        <item x="1438"/>
        <item x="1135"/>
        <item x="1192"/>
        <item x="473"/>
        <item x="660"/>
        <item x="1382"/>
        <item x="1601"/>
        <item x="1504"/>
        <item x="552"/>
        <item x="925"/>
        <item x="428"/>
        <item x="818"/>
        <item x="237"/>
        <item x="399"/>
        <item x="394"/>
        <item x="1527"/>
        <item x="773"/>
        <item x="1558"/>
        <item x="543"/>
        <item x="1531"/>
        <item x="1227"/>
        <item x="1379"/>
        <item x="1467"/>
        <item x="1516"/>
        <item x="1302"/>
        <item x="444"/>
        <item x="226"/>
        <item x="1196"/>
        <item x="1411"/>
        <item x="682"/>
        <item x="1002"/>
        <item x="1276"/>
        <item x="963"/>
        <item x="1392"/>
        <item x="1059"/>
        <item x="519"/>
        <item x="1318"/>
        <item x="241"/>
        <item x="985"/>
        <item x="498"/>
        <item x="426"/>
        <item x="690"/>
        <item x="1078"/>
        <item x="48"/>
        <item x="1015"/>
        <item x="1427"/>
        <item x="494"/>
        <item x="1393"/>
        <item x="1488"/>
        <item x="1482"/>
        <item x="668"/>
        <item x="636"/>
        <item x="1396"/>
        <item x="553"/>
        <item x="959"/>
        <item x="1421"/>
        <item x="1201"/>
        <item x="1294"/>
        <item x="883"/>
        <item x="1053"/>
        <item x="1108"/>
        <item x="1407"/>
        <item x="65"/>
        <item x="667"/>
        <item x="157"/>
        <item x="583"/>
        <item x="1226"/>
        <item x="827"/>
        <item x="489"/>
        <item x="941"/>
        <item x="1553"/>
        <item x="1079"/>
        <item x="973"/>
        <item x="1543"/>
        <item x="205"/>
        <item x="535"/>
        <item x="1493"/>
        <item x="1363"/>
        <item x="1456"/>
        <item x="350"/>
        <item x="1430"/>
        <item x="1266"/>
        <item x="298"/>
        <item x="311"/>
        <item x="766"/>
        <item x="1288"/>
        <item x="688"/>
        <item x="679"/>
        <item x="709"/>
        <item x="217"/>
        <item x="1422"/>
        <item x="11"/>
        <item x="19"/>
        <item x="554"/>
        <item x="118"/>
        <item x="263"/>
        <item x="1557"/>
        <item x="111"/>
        <item x="51"/>
        <item x="1566"/>
        <item x="1310"/>
        <item x="332"/>
        <item x="524"/>
        <item x="1521"/>
        <item x="1410"/>
        <item x="870"/>
        <item x="60"/>
        <item x="600"/>
        <item x="1225"/>
        <item x="1130"/>
        <item x="342"/>
        <item x="1293"/>
        <item x="203"/>
        <item x="209"/>
        <item x="918"/>
        <item x="403"/>
        <item x="946"/>
        <item x="328"/>
        <item x="97"/>
        <item x="242"/>
        <item x="796"/>
        <item x="1555"/>
        <item x="4"/>
        <item x="1132"/>
        <item x="585"/>
        <item x="1443"/>
        <item x="562"/>
        <item x="984"/>
        <item x="957"/>
        <item x="1155"/>
        <item x="380"/>
        <item x="676"/>
        <item x="291"/>
        <item x="916"/>
        <item x="624"/>
        <item x="1333"/>
        <item x="557"/>
        <item x="184"/>
        <item x="712"/>
        <item x="70"/>
        <item x="465"/>
        <item x="1304"/>
        <item x="1481"/>
        <item x="1415"/>
        <item x="33"/>
        <item x="442"/>
        <item x="358"/>
        <item x="1533"/>
        <item x="648"/>
        <item x="376"/>
        <item x="140"/>
        <item x="1320"/>
        <item x="730"/>
        <item x="877"/>
        <item x="1228"/>
        <item x="885"/>
        <item x="1179"/>
        <item x="599"/>
        <item x="406"/>
        <item x="299"/>
        <item x="1145"/>
        <item x="768"/>
        <item x="1474"/>
        <item x="1592"/>
        <item x="1082"/>
        <item x="464"/>
        <item x="1340"/>
        <item x="701"/>
        <item x="1194"/>
        <item x="1279"/>
        <item x="88"/>
        <item x="992"/>
        <item x="1285"/>
        <item x="273"/>
        <item x="958"/>
        <item x="1218"/>
        <item x="721"/>
        <item x="1237"/>
        <item x="1014"/>
        <item x="922"/>
        <item x="395"/>
        <item x="1193"/>
        <item x="656"/>
        <item x="245"/>
        <item x="1367"/>
        <item x="1508"/>
        <item x="278"/>
        <item x="1402"/>
        <item x="280"/>
        <item x="156"/>
        <item x="1455"/>
        <item x="128"/>
        <item x="285"/>
        <item x="1585"/>
        <item x="1177"/>
        <item x="200"/>
        <item x="1094"/>
        <item x="142"/>
        <item x="366"/>
        <item x="213"/>
        <item x="754"/>
        <item x="1529"/>
        <item x="402"/>
        <item x="521"/>
        <item x="1251"/>
        <item x="1406"/>
        <item x="2"/>
        <item x="270"/>
        <item x="143"/>
        <item x="1250"/>
        <item x="937"/>
        <item x="1358"/>
        <item x="427"/>
        <item x="1185"/>
        <item x="119"/>
        <item x="801"/>
        <item x="268"/>
        <item x="274"/>
        <item x="787"/>
        <item x="503"/>
        <item x="1139"/>
        <item x="294"/>
        <item x="227"/>
        <item x="733"/>
        <item x="525"/>
        <item x="16"/>
        <item x="743"/>
        <item x="835"/>
        <item x="763"/>
        <item x="669"/>
        <item x="1552"/>
        <item x="1607"/>
        <item x="1356"/>
        <item x="283"/>
        <item x="1165"/>
        <item x="300"/>
        <item x="1267"/>
        <item x="508"/>
        <item x="750"/>
        <item x="1118"/>
        <item x="536"/>
        <item x="1081"/>
        <item x="353"/>
        <item x="255"/>
        <item x="164"/>
        <item x="289"/>
        <item x="1037"/>
        <item x="69"/>
        <item x="765"/>
        <item x="865"/>
        <item x="1341"/>
        <item x="1381"/>
        <item x="1202"/>
        <item x="926"/>
        <item x="1029"/>
        <item x="1433"/>
        <item x="1426"/>
        <item x="86"/>
        <item x="550"/>
        <item x="180"/>
        <item x="670"/>
        <item x="1102"/>
        <item x="163"/>
        <item x="1231"/>
        <item x="1173"/>
        <item x="1548"/>
        <item x="711"/>
        <item x="64"/>
        <item x="110"/>
        <item x="847"/>
        <item x="1203"/>
        <item x="747"/>
        <item x="348"/>
        <item x="30"/>
        <item x="1025"/>
        <item x="824"/>
        <item x="1348"/>
        <item x="1223"/>
        <item x="725"/>
        <item x="1198"/>
        <item x="1500"/>
        <item x="1272"/>
        <item x="367"/>
        <item x="837"/>
        <item x="896"/>
        <item x="68"/>
        <item x="1006"/>
        <item x="220"/>
        <item x="625"/>
        <item x="1098"/>
        <item x="1559"/>
        <item x="1258"/>
        <item x="742"/>
        <item x="93"/>
        <item x="875"/>
        <item x="1417"/>
        <item x="871"/>
        <item x="472"/>
        <item x="912"/>
        <item x="843"/>
        <item x="1208"/>
        <item x="435"/>
        <item x="1054"/>
        <item x="1366"/>
        <item x="1119"/>
        <item x="491"/>
        <item x="158"/>
        <item x="336"/>
        <item x="1042"/>
        <item x="1103"/>
        <item x="463"/>
        <item x="1587"/>
        <item x="677"/>
        <item x="913"/>
        <item x="782"/>
        <item x="331"/>
        <item x="1291"/>
        <item x="1604"/>
        <item x="462"/>
        <item x="1295"/>
        <item x="141"/>
        <item x="915"/>
        <item x="1600"/>
        <item x="1432"/>
        <item x="1409"/>
        <item x="542"/>
        <item x="1282"/>
        <item x="902"/>
        <item x="1233"/>
        <item x="1449"/>
        <item x="1336"/>
        <item x="337"/>
        <item x="911"/>
        <item x="936"/>
        <item x="611"/>
        <item x="187"/>
        <item x="630"/>
        <item x="45"/>
        <item x="253"/>
        <item x="1428"/>
        <item x="1023"/>
        <item x="890"/>
        <item x="92"/>
        <item x="484"/>
        <item x="889"/>
        <item x="1220"/>
        <item x="658"/>
        <item x="277"/>
        <item x="1360"/>
        <item x="322"/>
        <item x="900"/>
        <item x="860"/>
        <item x="803"/>
        <item x="1556"/>
        <item x="694"/>
        <item x="412"/>
        <item x="89"/>
        <item x="571"/>
        <item x="537"/>
        <item x="1316"/>
        <item x="1359"/>
        <item x="1038"/>
        <item x="214"/>
        <item x="1284"/>
        <item x="58"/>
        <item x="1332"/>
        <item x="810"/>
        <item x="41"/>
        <item x="460"/>
        <item x="1330"/>
        <item x="1084"/>
        <item x="379"/>
        <item x="1147"/>
        <item x="1581"/>
        <item x="138"/>
        <item x="1149"/>
        <item x="1115"/>
        <item x="321"/>
        <item x="752"/>
        <item x="981"/>
        <item x="1159"/>
        <item x="646"/>
        <item x="1454"/>
        <item x="497"/>
        <item x="1608"/>
        <item t="default"/>
      </items>
    </pivotField>
    <pivotField showAll="0"/>
    <pivotField showAll="0"/>
    <pivotField dataField="1" showAll="0"/>
    <pivotField showAll="0"/>
    <pivotField showAll="0"/>
    <pivotField showAll="0"/>
    <pivotField showAll="0"/>
    <pivotField showAll="0"/>
    <pivotField showAll="0"/>
  </pivotFields>
  <rowFields count="1">
    <field x="3"/>
  </rowFields>
  <rowItems count="3">
    <i>
      <x/>
    </i>
    <i>
      <x v="1"/>
    </i>
    <i>
      <x v="2"/>
    </i>
  </rowItems>
  <colItems count="1">
    <i/>
  </colItems>
  <dataFields count="1">
    <dataField name="Sum of Profit" fld="7"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8ECE6F-4AD0-421B-B44E-9BF695E3DD69}" name="PivotTable4"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Product Name">
  <location ref="K6:L11" firstHeaderRow="1" firstDataRow="1" firstDataCol="1"/>
  <pivotFields count="14">
    <pivotField showAll="0"/>
    <pivotField showAll="0"/>
    <pivotField showAll="0"/>
    <pivotField showAll="0"/>
    <pivotField axis="axisRow" showAll="0" sortType="descending">
      <items count="1612">
        <item h="1" x="318"/>
        <item h="1" x="720"/>
        <item h="1" x="309"/>
        <item h="1" x="1197"/>
        <item h="1" x="838"/>
        <item h="1" x="1138"/>
        <item h="1" x="544"/>
        <item h="1" x="798"/>
        <item h="1" x="707"/>
        <item h="1" x="252"/>
        <item h="1" x="410"/>
        <item h="1" x="416"/>
        <item h="1" x="222"/>
        <item h="1" x="531"/>
        <item h="1" x="475"/>
        <item h="1" x="1590"/>
        <item h="1" x="1307"/>
        <item h="1" x="515"/>
        <item h="1" x="1048"/>
        <item h="1" x="626"/>
        <item h="1" x="1252"/>
        <item h="1" x="225"/>
        <item h="1" x="287"/>
        <item h="1" x="563"/>
        <item h="1" x="737"/>
        <item h="1" x="330"/>
        <item h="1" x="776"/>
        <item h="1" x="651"/>
        <item h="1" x="76"/>
        <item h="1" x="198"/>
        <item h="1" x="256"/>
        <item h="1" x="783"/>
        <item h="1" x="383"/>
        <item h="1" x="1012"/>
        <item h="1" x="849"/>
        <item h="1" x="727"/>
        <item h="1" x="1388"/>
        <item h="1" x="1083"/>
        <item h="1" x="1026"/>
        <item h="1" x="822"/>
        <item h="1" x="834"/>
        <item h="1" x="944"/>
        <item h="1" x="840"/>
        <item h="1" x="1257"/>
        <item h="1" x="393"/>
        <item h="1" x="995"/>
        <item h="1" x="99"/>
        <item h="1" x="831"/>
        <item h="1" x="767"/>
        <item h="1" x="1440"/>
        <item h="1" x="976"/>
        <item h="1" x="990"/>
        <item h="1" x="1579"/>
        <item h="1" x="507"/>
        <item h="1" x="1580"/>
        <item h="1" x="174"/>
        <item h="1" x="1018"/>
        <item h="1" x="1576"/>
        <item h="1" x="127"/>
        <item h="1" x="169"/>
        <item h="1" x="152"/>
        <item h="1" x="1354"/>
        <item h="1" x="530"/>
        <item h="1" x="1111"/>
        <item h="1" x="1372"/>
        <item h="1" x="1594"/>
        <item h="1" x="924"/>
        <item h="1" x="558"/>
        <item h="1" x="1603"/>
        <item h="1" x="1538"/>
        <item h="1" x="1244"/>
        <item h="1" x="1070"/>
        <item h="1" x="194"/>
        <item h="1" x="1572"/>
        <item h="1" x="632"/>
        <item h="1" x="857"/>
        <item h="1" x="933"/>
        <item h="1" x="967"/>
        <item h="1" x="134"/>
        <item h="1" x="135"/>
        <item h="1" x="1283"/>
        <item h="1" x="534"/>
        <item h="1" x="218"/>
        <item h="1" x="899"/>
        <item h="1" x="419"/>
        <item h="1" x="1597"/>
        <item h="1" x="538"/>
        <item h="1" x="661"/>
        <item h="1" x="794"/>
        <item h="1" x="586"/>
        <item h="1" x="1448"/>
        <item h="1" x="447"/>
        <item h="1" x="1156"/>
        <item h="1" x="223"/>
        <item h="1" x="1063"/>
        <item h="1" x="165"/>
        <item h="1" x="1117"/>
        <item h="1" x="72"/>
        <item h="1" x="436"/>
        <item h="1" x="137"/>
        <item h="1" x="1141"/>
        <item h="1" x="956"/>
        <item h="1" x="969"/>
        <item h="1" x="675"/>
        <item h="1" x="1169"/>
        <item h="1" x="1451"/>
        <item h="1" x="1184"/>
        <item h="1" x="420"/>
        <item h="1" x="1113"/>
        <item h="1" x="239"/>
        <item h="1" x="574"/>
        <item h="1" x="365"/>
        <item h="1" x="1097"/>
        <item h="1" x="1199"/>
        <item h="1" x="1399"/>
        <item h="1" x="487"/>
        <item h="1" x="385"/>
        <item h="1" x="1591"/>
        <item h="1" x="1436"/>
        <item h="1" x="858"/>
        <item h="1" x="886"/>
        <item h="1" x="1503"/>
        <item h="1" x="109"/>
        <item h="1" x="232"/>
        <item h="1" x="1124"/>
        <item h="1" x="602"/>
        <item h="1" x="1331"/>
        <item h="1" x="1234"/>
        <item h="1" x="942"/>
        <item h="1" x="572"/>
        <item h="1" x="1243"/>
        <item h="1" x="1525"/>
        <item h="1" x="1325"/>
        <item h="1" x="1420"/>
        <item h="1" x="548"/>
        <item h="1" x="1574"/>
        <item h="1" x="351"/>
        <item h="1" x="1003"/>
        <item h="1" x="1490"/>
        <item h="1" x="247"/>
        <item h="1" x="1429"/>
        <item h="1" x="1157"/>
        <item h="1" x="1568"/>
        <item h="1" x="78"/>
        <item h="1" x="1308"/>
        <item h="1" x="529"/>
        <item h="1" x="928"/>
        <item h="1" x="1191"/>
        <item h="1" x="1512"/>
        <item h="1" x="505"/>
        <item h="1" x="1024"/>
        <item h="1" x="891"/>
        <item h="1" x="1062"/>
        <item h="1" x="1168"/>
        <item h="1" x="1464"/>
        <item h="1" x="102"/>
        <item h="1" x="522"/>
        <item h="1" x="304"/>
        <item h="1" x="1492"/>
        <item h="1" x="467"/>
        <item h="1" x="308"/>
        <item h="1" x="939"/>
        <item h="1" x="1064"/>
        <item h="1" x="698"/>
        <item h="1" x="1477"/>
        <item h="1" x="425"/>
        <item h="1" x="832"/>
        <item h="1" x="98"/>
        <item h="1" x="644"/>
        <item h="1" x="1027"/>
        <item h="1" x="1254"/>
        <item h="1" x="1148"/>
        <item h="1" x="1478"/>
        <item h="1" x="511"/>
        <item h="1" x="1128"/>
        <item h="1" x="1351"/>
        <item h="1" x="27"/>
        <item h="1" x="18"/>
        <item h="1" x="1536"/>
        <item h="1" x="1022"/>
        <item h="1" x="369"/>
        <item h="1" x="12"/>
        <item h="1" x="132"/>
        <item h="1" x="821"/>
        <item h="1" x="726"/>
        <item h="1" x="970"/>
        <item h="1" x="549"/>
        <item h="1" x="160"/>
        <item h="1" x="1584"/>
        <item h="1" x="1099"/>
        <item h="1" x="1334"/>
        <item h="1" x="513"/>
        <item h="1" x="772"/>
        <item h="1" x="333"/>
        <item h="1" x="1460"/>
        <item h="1" x="446"/>
        <item h="1" x="1547"/>
        <item h="1" x="1240"/>
        <item h="1" x="154"/>
        <item h="1" x="173"/>
        <item h="1" x="502"/>
        <item h="1" x="352"/>
        <item h="1" x="620"/>
        <item h="1" x="699"/>
        <item h="1" x="1146"/>
        <item h="1" x="1158"/>
        <item h="1" x="179"/>
        <item h="1" x="1030"/>
        <item h="1" x="391"/>
        <item h="1" x="1236"/>
        <item h="1" x="1170"/>
        <item h="1" x="71"/>
        <item h="1" x="696"/>
        <item h="1" x="1554"/>
        <item h="1" x="1297"/>
        <item h="1" x="471"/>
        <item h="1" x="934"/>
        <item h="1" x="1324"/>
        <item h="1" x="1400"/>
        <item h="1" x="1537"/>
        <item h="1" x="1483"/>
        <item h="1" x="178"/>
        <item h="1" x="1405"/>
        <item h="1" x="978"/>
        <item h="1" x="539"/>
        <item h="1" x="450"/>
        <item h="1" x="898"/>
        <item h="1" x="50"/>
        <item h="1" x="778"/>
        <item h="1" x="1501"/>
        <item h="1" x="1107"/>
        <item h="1" x="486"/>
        <item h="1" x="579"/>
        <item h="1" x="103"/>
        <item h="1" x="1039"/>
        <item h="1" x="1394"/>
        <item h="1" x="346"/>
        <item h="1" x="415"/>
        <item h="1" x="815"/>
        <item h="1" x="1571"/>
        <item h="1" x="1110"/>
        <item h="1" x="597"/>
        <item h="1" x="44"/>
        <item h="1" x="618"/>
        <item h="1" x="483"/>
        <item h="1" x="980"/>
        <item h="1" x="167"/>
        <item h="1" x="830"/>
        <item h="1" x="61"/>
        <item h="1" x="1071"/>
        <item h="1" x="364"/>
        <item h="1" x="166"/>
        <item h="1" x="248"/>
        <item h="1" x="1471"/>
        <item h="1" x="619"/>
        <item h="1" x="678"/>
        <item h="1" x="943"/>
        <item h="1" x="1300"/>
        <item h="1" x="355"/>
        <item h="1" x="753"/>
        <item h="1" x="689"/>
        <item h="1" x="932"/>
        <item h="1" x="833"/>
        <item h="1" x="853"/>
        <item h="1" x="567"/>
        <item h="1" x="1469"/>
        <item h="1" x="83"/>
        <item h="1" x="1475"/>
        <item h="1" x="195"/>
        <item h="1" x="457"/>
        <item h="1" x="269"/>
        <item h="1" x="129"/>
        <item h="1" x="1605"/>
        <item h="1" x="106"/>
        <item h="1" x="605"/>
        <item h="1" x="1373"/>
        <item h="1" x="1519"/>
        <item h="1" x="844"/>
        <item h="1" x="293"/>
        <item h="1" x="1041"/>
        <item h="1" x="762"/>
        <item h="1" x="155"/>
        <item h="1" x="1134"/>
        <item h="1" x="685"/>
        <item h="1" x="639"/>
        <item h="1" x="745"/>
        <item h="1" x="610"/>
        <item h="1" x="343"/>
        <item h="1" x="938"/>
        <item h="1" x="199"/>
        <item h="1" x="430"/>
        <item h="1" x="638"/>
        <item h="1" x="1549"/>
        <item h="1" x="1329"/>
        <item h="1" x="211"/>
        <item h="1" x="382"/>
        <item h="1" x="1518"/>
        <item h="1" x="378"/>
        <item h="1" x="1277"/>
        <item h="1" x="516"/>
        <item h="1" x="569"/>
        <item h="1" x="1154"/>
        <item h="1" x="1524"/>
        <item h="1" x="1150"/>
        <item h="1" x="895"/>
        <item h="1" x="1034"/>
        <item h="1" x="1313"/>
        <item h="1" x="828"/>
        <item h="1" x="887"/>
        <item h="1" x="596"/>
        <item h="1" x="1450"/>
        <item h="1" x="1446"/>
        <item h="1" x="1491"/>
        <item h="1" x="1413"/>
        <item h="1" x="1077"/>
        <item h="1" x="1541"/>
        <item h="1" x="1182"/>
        <item h="1" x="1112"/>
        <item h="1" x="1423"/>
        <item h="1" x="1067"/>
        <item h="1" x="1303"/>
        <item h="1" x="650"/>
        <item h="1" x="1086"/>
        <item h="1" x="275"/>
        <item h="1" x="802"/>
        <item h="1" x="1497"/>
        <item h="1" x="1211"/>
        <item h="1" x="377"/>
        <item h="1" x="576"/>
        <item h="1" x="1167"/>
        <item h="1" x="1256"/>
        <item h="1" x="373"/>
        <item h="1" x="224"/>
        <item h="1" x="24"/>
        <item h="1" x="560"/>
        <item h="1" x="504"/>
        <item h="1" x="1076"/>
        <item h="1" x="397"/>
        <item h="1" x="123"/>
        <item h="1" x="409"/>
        <item h="1" x="316"/>
        <item h="1" x="279"/>
        <item h="1" x="26"/>
        <item h="1" x="1210"/>
        <item h="1" x="1261"/>
        <item h="1" x="964"/>
        <item h="1" x="1100"/>
        <item h="1" x="1328"/>
        <item h="1" x="345"/>
        <item x="996"/>
        <item h="1" x="627"/>
        <item h="1" x="1544"/>
        <item h="1" x="1073"/>
        <item h="1" x="1009"/>
        <item h="1" x="655"/>
        <item h="1" x="1593"/>
        <item h="1" x="905"/>
        <item h="1" x="791"/>
        <item h="1" x="582"/>
        <item h="1" x="1434"/>
        <item h="1" x="1123"/>
        <item h="1" x="29"/>
        <item h="1" x="1391"/>
        <item h="1" x="38"/>
        <item h="1" x="267"/>
        <item h="1" x="429"/>
        <item h="1" x="546"/>
        <item h="1" x="1092"/>
        <item h="1" x="39"/>
        <item h="1" x="793"/>
        <item h="1" x="126"/>
        <item h="1" x="1129"/>
        <item h="1" x="281"/>
        <item h="1" x="954"/>
        <item h="1" x="189"/>
        <item h="1" x="708"/>
        <item h="1" x="994"/>
        <item h="1" x="341"/>
        <item h="1" x="1021"/>
        <item h="1" x="1292"/>
        <item h="1" x="1364"/>
        <item h="1" x="101"/>
        <item h="1" x="829"/>
        <item h="1" x="789"/>
        <item h="1" x="1523"/>
        <item h="1" x="1105"/>
        <item h="1" x="370"/>
        <item h="1" x="84"/>
        <item h="1" x="609"/>
        <item h="1" x="153"/>
        <item h="1" x="758"/>
        <item h="1" x="993"/>
        <item h="1" x="910"/>
        <item h="1" x="1387"/>
        <item h="1" x="864"/>
        <item h="1" x="231"/>
        <item h="1" x="633"/>
        <item h="1" x="1101"/>
        <item h="1" x="672"/>
        <item h="1" x="443"/>
        <item h="1" x="592"/>
        <item h="1" x="1116"/>
        <item h="1" x="807"/>
        <item h="1" x="693"/>
        <item h="1" x="212"/>
        <item h="1" x="983"/>
        <item h="1" x="1072"/>
        <item h="1" x="327"/>
        <item h="1" x="845"/>
        <item h="1" x="879"/>
        <item h="1" x="1326"/>
        <item h="1" x="1106"/>
        <item h="1" x="695"/>
        <item h="1" x="533"/>
        <item h="1" x="1019"/>
        <item h="1" x="532"/>
        <item h="1" x="1216"/>
        <item h="1" x="1209"/>
        <item h="1" x="811"/>
        <item h="1" x="805"/>
        <item h="1" x="162"/>
        <item h="1" x="392"/>
        <item h="1" x="647"/>
        <item h="1" x="15"/>
        <item h="1" x="417"/>
        <item h="1" x="136"/>
        <item h="1" x="500"/>
        <item h="1" x="1458"/>
        <item h="1" x="1575"/>
        <item h="1" x="888"/>
        <item h="1" x="594"/>
        <item h="1" x="657"/>
        <item h="1" x="1287"/>
        <item h="1" x="196"/>
        <item h="1" x="478"/>
        <item h="1" x="1338"/>
        <item h="1" x="590"/>
        <item h="1" x="151"/>
        <item h="1" x="882"/>
        <item h="1" x="1535"/>
        <item h="1" x="1268"/>
        <item h="1" x="1142"/>
        <item h="1" x="1089"/>
        <item h="1" x="363"/>
        <item h="1" x="1246"/>
        <item h="1" x="892"/>
        <item h="1" x="613"/>
        <item h="1" x="541"/>
        <item h="1" x="659"/>
        <item h="1" x="986"/>
        <item h="1" x="21"/>
        <item h="1" x="1151"/>
        <item h="1" x="305"/>
        <item h="1" x="1353"/>
        <item h="1" x="1494"/>
        <item h="1" x="461"/>
        <item h="1" x="640"/>
        <item h="1" x="1403"/>
        <item h="1" x="851"/>
        <item h="1" x="999"/>
        <item h="1" x="55"/>
        <item h="1" x="816"/>
        <item h="1" x="866"/>
        <item h="1" x="512"/>
        <item h="1" x="400"/>
        <item h="1" x="1152"/>
        <item h="1" x="518"/>
        <item h="1" x="1596"/>
        <item h="1" x="434"/>
        <item h="1" x="819"/>
        <item h="1" x="923"/>
        <item h="1" x="1408"/>
        <item h="1" x="85"/>
        <item h="1" x="204"/>
        <item h="1" x="642"/>
        <item h="1" x="107"/>
        <item h="1" x="731"/>
        <item h="1" x="381"/>
        <item h="1" x="881"/>
        <item h="1" x="792"/>
        <item h="1" x="124"/>
        <item h="1" x="485"/>
        <item h="1" x="786"/>
        <item h="1" x="1033"/>
        <item h="1" x="509"/>
        <item h="1" x="1550"/>
        <item h="1" x="1057"/>
        <item h="1" x="972"/>
        <item h="1" x="1096"/>
        <item h="1" x="144"/>
        <item h="1" x="775"/>
        <item h="1" x="523"/>
        <item h="1" x="1264"/>
        <item h="1" x="186"/>
        <item h="1" x="133"/>
        <item h="1" x="317"/>
        <item h="1" x="115"/>
        <item h="1" x="1109"/>
        <item h="1" x="254"/>
        <item h="1" x="1140"/>
        <item h="1" x="1463"/>
        <item h="1" x="1090"/>
        <item h="1" x="1505"/>
        <item h="1" x="921"/>
        <item h="1" x="623"/>
        <item h="1" x="715"/>
        <item h="1" x="493"/>
        <item h="1" x="1274"/>
        <item h="1" x="185"/>
        <item h="1" x="556"/>
        <item h="1" x="284"/>
        <item h="1" x="210"/>
        <item h="1" x="362"/>
        <item h="1" x="191"/>
        <item h="1" x="1175"/>
        <item h="1" x="1114"/>
        <item h="1" x="1495"/>
        <item h="1" x="1085"/>
        <item h="1" x="1369"/>
        <item h="1" x="499"/>
        <item h="1" x="998"/>
        <item h="1" x="1301"/>
        <item h="1" x="1061"/>
        <item h="1" x="1347"/>
        <item h="1" x="96"/>
        <item h="1" x="1137"/>
        <item h="1" x="1217"/>
        <item h="1" x="804"/>
        <item h="1" x="361"/>
        <item h="1" x="1161"/>
        <item h="1" x="1376"/>
        <item h="1" x="481"/>
        <item h="1" x="863"/>
        <item h="1" x="1532"/>
        <item h="1" x="1577"/>
        <item h="1" x="631"/>
        <item h="1" x="1375"/>
        <item h="1" x="587"/>
        <item h="1" x="28"/>
        <item h="1" x="495"/>
        <item h="1" x="615"/>
        <item h="1" x="418"/>
        <item h="1" x="760"/>
        <item h="1" x="1317"/>
        <item h="1" x="1010"/>
        <item h="1" x="545"/>
        <item h="1" x="1172"/>
        <item h="1" x="1586"/>
        <item h="1" x="962"/>
        <item h="1" x="855"/>
        <item h="1" x="1189"/>
        <item h="1" x="1487"/>
        <item h="1" x="817"/>
        <item h="1" x="1144"/>
        <item h="1" x="1486"/>
        <item h="1" x="1066"/>
        <item h="1" x="1315"/>
        <item h="1" x="216"/>
        <item h="1" x="1496"/>
        <item h="1" x="228"/>
        <item h="1" x="930"/>
        <item h="1" x="806"/>
        <item h="1" x="876"/>
        <item h="1" x="306"/>
        <item h="1" x="79"/>
        <item h="1" x="13"/>
        <item h="1" x="250"/>
        <item h="1" x="1342"/>
        <item h="1" x="1093"/>
        <item h="1" x="147"/>
        <item h="1" x="629"/>
        <item h="1" x="47"/>
        <item h="1" x="919"/>
        <item h="1" x="718"/>
        <item h="1" x="40"/>
        <item h="1" x="795"/>
        <item h="1" x="784"/>
        <item h="1" x="1278"/>
        <item h="1" x="63"/>
        <item h="1" x="848"/>
        <item h="1" x="1444"/>
        <item h="1" x="520"/>
        <item h="1" x="265"/>
        <item h="1" x="1255"/>
        <item h="1" x="1583"/>
        <item h="1" x="719"/>
        <item h="1" x="9"/>
        <item h="1" x="836"/>
        <item h="1" x="1265"/>
        <item h="1" x="510"/>
        <item h="1" x="1309"/>
        <item h="1" x="438"/>
        <item h="1" x="1346"/>
        <item h="1" x="1343"/>
        <item h="1" x="872"/>
        <item h="1" x="540"/>
        <item h="1" x="1510"/>
        <item h="1" x="6"/>
        <item h="1" x="1418"/>
        <item h="1" x="1224"/>
        <item h="1" x="1046"/>
        <item h="1" x="172"/>
        <item h="1" x="1602"/>
        <item h="1" x="945"/>
        <item h="1" x="1280"/>
        <item h="1" x="813"/>
        <item x="320"/>
        <item h="1" x="116"/>
        <item h="1" x="873"/>
        <item h="1" x="755"/>
        <item h="1" x="561"/>
        <item h="1" x="7"/>
        <item h="1" x="1567"/>
        <item h="1" x="1384"/>
        <item h="1" x="1368"/>
        <item h="1" x="949"/>
        <item h="1" x="988"/>
        <item h="1" x="1370"/>
        <item h="1" x="349"/>
        <item h="1" x="356"/>
        <item h="1" x="714"/>
        <item h="1" x="46"/>
        <item h="1" x="249"/>
        <item h="1" x="449"/>
        <item h="1" x="1502"/>
        <item h="1" x="700"/>
        <item h="1" x="401"/>
        <item h="1" x="1539"/>
        <item h="1" x="66"/>
        <item h="1" x="32"/>
        <item h="1" x="1166"/>
        <item h="1" x="202"/>
        <item h="1" x="903"/>
        <item h="1" x="634"/>
        <item h="1" x="125"/>
        <item h="1" x="176"/>
        <item h="1" x="637"/>
        <item h="1" x="501"/>
        <item h="1" x="797"/>
        <item h="1" x="57"/>
        <item h="1" x="496"/>
        <item h="1" x="1437"/>
        <item h="1" x="1511"/>
        <item h="1" x="965"/>
        <item h="1" x="77"/>
        <item h="1" x="1599"/>
        <item h="1" x="641"/>
        <item h="1" x="578"/>
        <item h="1" x="1606"/>
        <item h="1" x="445"/>
        <item h="1" x="1578"/>
        <item h="1" x="909"/>
        <item h="1" x="1035"/>
        <item h="1" x="979"/>
        <item h="1" x="628"/>
        <item h="1" x="432"/>
        <item h="1" x="1122"/>
        <item h="1" x="90"/>
        <item h="1" x="100"/>
        <item h="1" x="1480"/>
        <item h="1" x="1028"/>
        <item h="1" x="476"/>
        <item h="1" x="329"/>
        <item h="1" x="1232"/>
        <item h="1" x="684"/>
        <item h="1" x="1080"/>
        <item h="1" x="584"/>
        <item h="1" x="258"/>
        <item h="1" x="741"/>
        <item h="1" x="1311"/>
        <item h="1" x="868"/>
        <item h="1" x="608"/>
        <item h="1" x="474"/>
        <item h="1" x="1589"/>
        <item h="1" x="800"/>
        <item h="1" x="812"/>
        <item h="1" x="826"/>
        <item h="1" x="1044"/>
        <item h="1" x="171"/>
        <item h="1" x="314"/>
        <item h="1" x="1263"/>
        <item h="1" x="960"/>
        <item h="1" x="1049"/>
        <item h="1" x="901"/>
        <item h="1" x="1484"/>
        <item h="1" x="526"/>
        <item h="1" x="1188"/>
        <item h="1" x="952"/>
        <item h="1" x="411"/>
        <item h="1" x="20"/>
        <item h="1" x="951"/>
        <item h="1" x="1163"/>
        <item h="1" x="73"/>
        <item h="1" x="1442"/>
        <item h="1" x="506"/>
        <item h="1" x="1296"/>
        <item h="1" x="1001"/>
        <item h="1" x="621"/>
        <item h="1" x="1253"/>
        <item h="1" x="861"/>
        <item h="1" x="1319"/>
        <item h="1" x="390"/>
        <item h="1" x="433"/>
        <item h="1" x="10"/>
        <item h="1" x="52"/>
        <item h="1" x="702"/>
        <item h="1" x="749"/>
        <item h="1" x="114"/>
        <item h="1" x="761"/>
        <item h="1" x="692"/>
        <item h="1" x="989"/>
        <item h="1" x="1074"/>
        <item h="1" x="282"/>
        <item h="1" x="290"/>
        <item h="1" x="1546"/>
        <item h="1" x="1595"/>
        <item h="1" x="1011"/>
        <item h="1" x="1160"/>
        <item h="1" x="1036"/>
        <item h="1" x="997"/>
        <item h="1" x="1281"/>
        <item h="1" x="606"/>
        <item h="1" x="1380"/>
        <item h="1" x="779"/>
        <item h="1" x="1242"/>
        <item h="1" x="703"/>
        <item h="1" x="551"/>
        <item h="1" x="1352"/>
        <item h="1" x="170"/>
        <item h="1" x="1050"/>
        <item h="1" x="564"/>
        <item h="1" x="34"/>
        <item h="1" x="894"/>
        <item h="1" x="240"/>
        <item h="1" x="421"/>
        <item h="1" x="25"/>
        <item h="1" x="728"/>
        <item h="1" x="67"/>
        <item h="1" x="790"/>
        <item h="1" x="977"/>
        <item h="1" x="207"/>
        <item h="1" x="1570"/>
        <item h="1" x="732"/>
        <item h="1" x="59"/>
        <item h="1" x="244"/>
        <item h="1" x="1200"/>
        <item h="1" x="94"/>
        <item h="1" x="1176"/>
        <item h="1" x="1005"/>
        <item h="1" x="1314"/>
        <item h="1" x="1335"/>
        <item h="1" x="1598"/>
        <item h="1" x="839"/>
        <item h="1" x="1004"/>
        <item h="1" x="987"/>
        <item h="1" x="1195"/>
        <item h="1" x="1032"/>
        <item h="1" x="35"/>
        <item h="1" x="1045"/>
        <item h="1" x="53"/>
        <item h="1" x="867"/>
        <item h="1" x="880"/>
        <item h="1" x="105"/>
        <item h="1" x="323"/>
        <item h="1" x="1344"/>
        <item h="1" x="477"/>
        <item h="1" x="1395"/>
        <item h="1" x="854"/>
        <item h="1" x="681"/>
        <item h="1" x="251"/>
        <item h="1" x="1"/>
        <item h="1" x="112"/>
        <item h="1" x="1271"/>
        <item h="1" x="1385"/>
        <item h="1" x="974"/>
        <item h="1" x="368"/>
        <item h="1" x="948"/>
        <item h="1" x="1068"/>
        <item h="1" x="666"/>
        <item x="966"/>
        <item h="1" x="756"/>
        <item h="1" x="117"/>
        <item h="1" x="335"/>
        <item h="1" x="1371"/>
        <item h="1" x="1551"/>
        <item h="1" x="347"/>
        <item h="1" x="1241"/>
        <item h="1" x="413"/>
        <item h="1" x="319"/>
        <item h="1" x="1229"/>
        <item h="1" x="182"/>
        <item h="1" x="458"/>
        <item h="1" x="1000"/>
        <item h="1" x="614"/>
        <item h="1" x="404"/>
        <item h="1" x="842"/>
        <item h="1" x="1312"/>
        <item h="1" x="746"/>
        <item h="1" x="188"/>
        <item h="1" x="95"/>
        <item h="1" x="454"/>
        <item h="1" x="1230"/>
        <item h="1" x="441"/>
        <item h="1" x="1286"/>
        <item h="1" x="884"/>
        <item h="1" x="1178"/>
        <item h="1" x="686"/>
        <item h="1" x="1350"/>
        <item h="1" x="260"/>
        <item h="1" x="490"/>
        <item h="1" x="1221"/>
        <item h="1" x="1305"/>
        <item h="1" x="302"/>
        <item h="1" x="780"/>
        <item h="1" x="517"/>
        <item h="1" x="652"/>
        <item h="1" x="1560"/>
        <item h="1" x="257"/>
        <item h="1" x="1207"/>
        <item h="1" x="384"/>
        <item h="1" x="388"/>
        <item h="1" x="1143"/>
        <item h="1" x="991"/>
        <item h="1" x="396"/>
        <item h="1" x="1262"/>
        <item h="1" x="424"/>
        <item h="1" x="674"/>
        <item h="1" x="398"/>
        <item h="1" x="81"/>
        <item h="1" x="1306"/>
        <item h="1" x="914"/>
        <item h="1" x="604"/>
        <item h="1" x="809"/>
        <item h="1" x="1322"/>
        <item h="1" x="1588"/>
        <item h="1" x="42"/>
        <item h="1" x="961"/>
        <item h="1" x="1164"/>
        <item h="1" x="1259"/>
        <item h="1" x="841"/>
        <item h="1" x="488"/>
        <item h="1" x="453"/>
        <item h="1" x="1235"/>
        <item h="1" x="1212"/>
        <item h="1" x="312"/>
        <item h="1" x="108"/>
        <item h="1" x="354"/>
        <item h="1" x="1270"/>
        <item h="1" x="662"/>
        <item h="1" x="940"/>
        <item h="1" x="479"/>
        <item h="1" x="54"/>
        <item h="1" x="272"/>
        <item h="1" x="168"/>
        <item h="1" x="407"/>
        <item h="1" x="1327"/>
        <item h="1" x="23"/>
        <item h="1" x="595"/>
        <item h="1" x="1125"/>
        <item h="1" x="1476"/>
        <item h="1" x="451"/>
        <item h="1" x="859"/>
        <item h="1" x="1355"/>
        <item h="1" x="1215"/>
        <item h="1" x="262"/>
        <item h="1" x="206"/>
        <item h="1" x="238"/>
        <item h="1" x="1075"/>
        <item h="1" x="307"/>
        <item h="1" x="1390"/>
        <item x="555"/>
        <item h="1" x="955"/>
        <item h="1" x="372"/>
        <item h="1" x="459"/>
        <item h="1" x="735"/>
        <item h="1" x="0"/>
        <item h="1" x="190"/>
        <item h="1" x="295"/>
        <item h="1" x="771"/>
        <item h="1" x="492"/>
        <item h="1" x="559"/>
        <item h="1" x="208"/>
        <item h="1" x="680"/>
        <item h="1" x="121"/>
        <item h="1" x="326"/>
        <item h="1" x="1289"/>
        <item h="1" x="439"/>
        <item h="1" x="1222"/>
        <item h="1" x="568"/>
        <item h="1" x="612"/>
        <item h="1" x="452"/>
        <item h="1" x="580"/>
        <item h="1" x="1462"/>
        <item h="1" x="423"/>
        <item h="1" x="1245"/>
        <item h="1" x="1205"/>
        <item h="1" x="1052"/>
        <item h="1" x="1397"/>
        <item h="1" x="1239"/>
        <item h="1" x="1127"/>
        <item h="1" x="691"/>
        <item h="1" x="259"/>
        <item h="1" x="1498"/>
        <item h="1" x="907"/>
        <item h="1" x="1383"/>
        <item h="1" x="663"/>
        <item h="1" x="49"/>
        <item h="1" x="37"/>
        <item h="1" x="276"/>
        <item h="1" x="1020"/>
        <item h="1" x="1047"/>
        <item h="1" x="528"/>
        <item h="1" x="1441"/>
        <item h="1" x="1357"/>
        <item h="1" x="1337"/>
        <item h="1" x="1461"/>
        <item h="1" x="1582"/>
        <item h="1" x="175"/>
        <item h="1" x="1055"/>
        <item h="1" x="1238"/>
        <item h="1" x="243"/>
        <item h="1" x="91"/>
        <item h="1" x="324"/>
        <item h="1" x="236"/>
        <item h="1" x="139"/>
        <item h="1" x="1386"/>
        <item h="1" x="1260"/>
        <item h="1" x="645"/>
        <item h="1" x="1060"/>
        <item h="1" x="192"/>
        <item h="1" x="1404"/>
        <item h="1" x="1499"/>
        <item h="1" x="1447"/>
        <item h="1" x="1153"/>
        <item h="1" x="593"/>
        <item h="1" x="904"/>
        <item h="1" x="1416"/>
        <item h="1" x="1534"/>
        <item h="1" x="22"/>
        <item h="1" x="607"/>
        <item h="1" x="1561"/>
        <item h="1" x="744"/>
        <item h="1" x="146"/>
        <item h="1" x="36"/>
        <item h="1" x="334"/>
        <item h="1" x="17"/>
        <item h="1" x="339"/>
        <item h="1" x="1269"/>
        <item h="1" x="1213"/>
        <item h="1" x="654"/>
        <item h="1" x="360"/>
        <item h="1" x="653"/>
        <item h="1" x="1530"/>
        <item h="1" x="616"/>
        <item h="1" x="799"/>
        <item h="1" x="1323"/>
        <item h="1" x="947"/>
        <item h="1" x="788"/>
        <item h="1" x="1425"/>
        <item h="1" x="1540"/>
        <item h="1" x="292"/>
        <item h="1" x="62"/>
        <item h="1" x="643"/>
        <item h="1" x="1298"/>
        <item h="1" x="1452"/>
        <item h="1" x="1131"/>
        <item h="1" x="340"/>
        <item h="1" x="724"/>
        <item h="1" x="1190"/>
        <item h="1" x="1065"/>
        <item h="1" x="1398"/>
        <item h="1" x="1439"/>
        <item h="1" x="469"/>
        <item h="1" x="1528"/>
        <item h="1" x="591"/>
        <item h="1" x="1526"/>
        <item h="1" x="470"/>
        <item h="1" x="736"/>
        <item h="1" x="375"/>
        <item h="1" x="422"/>
        <item h="1" x="751"/>
        <item h="1" x="113"/>
        <item h="1" x="480"/>
        <item h="1" x="130"/>
        <item h="1" x="288"/>
        <item h="1" x="1361"/>
        <item h="1" x="221"/>
        <item h="1" x="437"/>
        <item h="1" x="1136"/>
        <item h="1" x="893"/>
        <item h="1" x="1365"/>
        <item h="1" x="748"/>
        <item h="1" x="950"/>
        <item h="1" x="1017"/>
        <item h="1" x="1377"/>
        <item h="1" x="131"/>
        <item h="1" x="104"/>
        <item h="1" x="1509"/>
        <item h="1" x="1522"/>
        <item h="1" x="820"/>
        <item h="1" x="1174"/>
        <item h="1" x="622"/>
        <item h="1" x="150"/>
        <item h="1" x="649"/>
        <item h="1" x="374"/>
        <item h="1" x="1121"/>
        <item h="1" x="1489"/>
        <item h="1" x="1431"/>
        <item h="1" x="1031"/>
        <item h="1" x="468"/>
        <item h="1" x="1565"/>
        <item h="1" x="757"/>
        <item h="1" x="1273"/>
        <item h="1" x="547"/>
        <item h="1" x="122"/>
        <item h="1" x="1219"/>
        <item h="1" x="931"/>
        <item h="1" x="906"/>
        <item h="1" x="359"/>
        <item h="1" x="514"/>
        <item h="1" x="386"/>
        <item h="1" x="878"/>
        <item h="1" x="823"/>
        <item h="1" x="722"/>
        <item h="1" x="266"/>
        <item h="1" x="770"/>
        <item h="1" x="781"/>
        <item h="1" x="1562"/>
        <item h="1" x="759"/>
        <item h="1" x="201"/>
        <item h="1" x="738"/>
        <item h="1" x="482"/>
        <item h="1" x="814"/>
        <item h="1" x="43"/>
        <item h="1" x="723"/>
        <item h="1" x="671"/>
        <item h="1" x="1517"/>
        <item h="1" x="261"/>
        <item h="1" x="389"/>
        <item h="1" x="1453"/>
        <item h="1" x="1051"/>
        <item h="1" x="177"/>
        <item h="1" x="1008"/>
        <item h="1" x="697"/>
        <item h="1" x="1414"/>
        <item h="1" x="5"/>
        <item h="1" x="971"/>
        <item h="1" x="664"/>
        <item h="1" x="1401"/>
        <item h="1" x="233"/>
        <item h="1" x="235"/>
        <item h="1" x="1563"/>
        <item h="1" x="313"/>
        <item h="1" x="219"/>
        <item h="1" x="159"/>
        <item h="1" x="764"/>
        <item h="1" x="1472"/>
        <item h="1" x="1206"/>
        <item h="1" x="908"/>
        <item h="1" x="1321"/>
        <item h="1" x="1542"/>
        <item h="1" x="1088"/>
        <item h="1" x="1040"/>
        <item h="1" x="1183"/>
        <item h="1" x="440"/>
        <item h="1" x="296"/>
        <item h="1" x="1249"/>
        <item h="1" x="161"/>
        <item h="1" x="1362"/>
        <item h="1" x="527"/>
        <item h="1" x="570"/>
        <item h="1" x="193"/>
        <item h="1" x="1133"/>
        <item h="1" x="1470"/>
        <item h="1" x="303"/>
        <item h="1" x="769"/>
        <item h="1" x="1374"/>
        <item h="1" x="1247"/>
        <item h="1" x="598"/>
        <item h="1" x="1126"/>
        <item h="1" x="856"/>
        <item h="1" x="1419"/>
        <item h="1" x="1345"/>
        <item h="1" x="846"/>
        <item h="1" x="1569"/>
        <item h="1" x="982"/>
        <item h="1" x="665"/>
        <item h="1" x="1171"/>
        <item h="1" x="234"/>
        <item h="1" x="825"/>
        <item h="1" x="371"/>
        <item h="1" x="1058"/>
        <item h="1" x="1181"/>
        <item h="1" x="1459"/>
        <item h="1" x="120"/>
        <item h="1" x="920"/>
        <item h="1" x="31"/>
        <item h="1" x="1468"/>
        <item h="1" x="1466"/>
        <item h="1" x="777"/>
        <item h="1" x="869"/>
        <item h="1" x="1515"/>
        <item h="1" x="455"/>
        <item h="1" x="1091"/>
        <item h="1" x="1479"/>
        <item h="1" x="149"/>
        <item h="1" x="183"/>
        <item h="1" x="897"/>
        <item h="1" x="1104"/>
        <item h="1" x="850"/>
        <item h="1" x="1180"/>
        <item h="1" x="56"/>
        <item h="1" x="87"/>
        <item h="1" x="1412"/>
        <item h="1" x="1043"/>
        <item h="1" x="1214"/>
        <item h="1" x="1473"/>
        <item h="1" x="181"/>
        <item h="1" x="1186"/>
        <item h="1" x="271"/>
        <item h="1" x="1162"/>
        <item h="1" x="953"/>
        <item h="1" x="603"/>
        <item h="1" x="575"/>
        <item h="1" x="1007"/>
        <item h="1" x="862"/>
        <item h="1" x="716"/>
        <item h="1" x="297"/>
        <item h="1" x="1016"/>
        <item h="1" x="1069"/>
        <item h="1" x="573"/>
        <item h="1" x="774"/>
        <item h="1" x="968"/>
        <item h="1" x="588"/>
        <item h="1" x="1349"/>
        <item h="1" x="145"/>
        <item h="1" x="338"/>
        <item h="1" x="1545"/>
        <item h="1" x="1424"/>
        <item h="1" x="581"/>
        <item h="1" x="1013"/>
        <item h="1" x="1506"/>
        <item h="1" x="874"/>
        <item h="1" x="264"/>
        <item h="1" x="315"/>
        <item h="1" x="229"/>
        <item h="1" x="215"/>
        <item h="1" x="1087"/>
        <item h="1" x="230"/>
        <item h="1" x="466"/>
        <item h="1" x="1290"/>
        <item h="1" x="310"/>
        <item h="1" x="8"/>
        <item h="1" x="1520"/>
        <item h="1" x="729"/>
        <item h="1" x="414"/>
        <item h="1" x="387"/>
        <item h="1" x="852"/>
        <item h="1" x="713"/>
        <item h="1" x="1465"/>
        <item h="1" x="1056"/>
        <item h="1" x="286"/>
        <item h="1" x="82"/>
        <item h="1" x="325"/>
        <item h="1" x="577"/>
        <item h="1" x="405"/>
        <item h="1" x="706"/>
        <item h="1" x="687"/>
        <item h="1" x="808"/>
        <item h="1" x="929"/>
        <item h="1" x="1564"/>
        <item h="1" x="683"/>
        <item h="1" x="1485"/>
        <item h="1" x="1120"/>
        <item h="1" x="1507"/>
        <item h="1" x="740"/>
        <item h="1" x="1514"/>
        <item h="1" x="80"/>
        <item h="1" x="710"/>
        <item h="1" x="448"/>
        <item h="1" x="617"/>
        <item h="1" x="785"/>
        <item h="1" x="1248"/>
        <item h="1" x="357"/>
        <item h="1" x="456"/>
        <item h="1" x="935"/>
        <item h="1" x="1095"/>
        <item h="1" x="197"/>
        <item h="1" x="975"/>
        <item h="1" x="704"/>
        <item h="1" x="1573"/>
        <item x="635"/>
        <item h="1" x="301"/>
        <item h="1" x="246"/>
        <item h="1" x="408"/>
        <item h="1" x="705"/>
        <item h="1" x="589"/>
        <item h="1" x="1339"/>
        <item h="1" x="1457"/>
        <item h="1" x="148"/>
        <item h="1" x="1187"/>
        <item h="1" x="1378"/>
        <item h="1" x="1445"/>
        <item h="1" x="74"/>
        <item h="1" x="1204"/>
        <item h="1" x="3"/>
        <item h="1" x="431"/>
        <item h="1" x="739"/>
        <item h="1" x="927"/>
        <item h="1" x="566"/>
        <item h="1" x="75"/>
        <item h="1" x="1435"/>
        <item h="1" x="673"/>
        <item h="1" x="601"/>
        <item h="1" x="565"/>
        <item h="1" x="344"/>
        <item h="1" x="1513"/>
        <item h="1" x="1299"/>
        <item h="1" x="1389"/>
        <item h="1" x="14"/>
        <item h="1" x="734"/>
        <item h="1" x="1275"/>
        <item h="1" x="917"/>
        <item h="1" x="717"/>
        <item h="1" x="1438"/>
        <item h="1" x="1135"/>
        <item h="1" x="1192"/>
        <item h="1" x="473"/>
        <item h="1" x="660"/>
        <item h="1" x="1382"/>
        <item h="1" x="1601"/>
        <item h="1" x="1504"/>
        <item h="1" x="552"/>
        <item h="1" x="925"/>
        <item h="1" x="428"/>
        <item h="1" x="818"/>
        <item h="1" x="237"/>
        <item h="1" x="399"/>
        <item h="1" x="394"/>
        <item h="1" x="1527"/>
        <item h="1" x="773"/>
        <item h="1" x="1558"/>
        <item h="1" x="543"/>
        <item h="1" x="1531"/>
        <item h="1" x="1227"/>
        <item h="1" x="1379"/>
        <item h="1" x="1467"/>
        <item h="1" x="1516"/>
        <item h="1" x="1302"/>
        <item h="1" x="444"/>
        <item h="1" x="226"/>
        <item h="1" x="1196"/>
        <item h="1" x="1411"/>
        <item h="1" x="682"/>
        <item h="1" x="1002"/>
        <item h="1" x="1276"/>
        <item h="1" x="963"/>
        <item h="1" x="1392"/>
        <item h="1" x="1059"/>
        <item h="1" x="519"/>
        <item h="1" x="1318"/>
        <item h="1" x="241"/>
        <item h="1" x="985"/>
        <item h="1" x="498"/>
        <item h="1" x="426"/>
        <item h="1" x="690"/>
        <item h="1" x="1078"/>
        <item h="1" x="48"/>
        <item h="1" x="1015"/>
        <item h="1" x="1427"/>
        <item h="1" x="494"/>
        <item h="1" x="1393"/>
        <item h="1" x="1488"/>
        <item h="1" x="1482"/>
        <item h="1" x="668"/>
        <item h="1" x="636"/>
        <item h="1" x="1396"/>
        <item h="1" x="553"/>
        <item h="1" x="959"/>
        <item h="1" x="1421"/>
        <item h="1" x="1201"/>
        <item h="1" x="1294"/>
        <item h="1" x="883"/>
        <item h="1" x="1053"/>
        <item h="1" x="1108"/>
        <item h="1" x="1407"/>
        <item h="1" x="65"/>
        <item h="1" x="667"/>
        <item h="1" x="157"/>
        <item h="1" x="583"/>
        <item h="1" x="1226"/>
        <item h="1" x="827"/>
        <item h="1" x="489"/>
        <item h="1" x="941"/>
        <item h="1" x="1553"/>
        <item h="1" x="1079"/>
        <item h="1" x="973"/>
        <item h="1" x="1543"/>
        <item h="1" x="205"/>
        <item h="1" x="535"/>
        <item h="1" x="1493"/>
        <item h="1" x="1363"/>
        <item h="1" x="1456"/>
        <item h="1" x="350"/>
        <item h="1" x="1430"/>
        <item h="1" x="1266"/>
        <item h="1" x="298"/>
        <item h="1" x="311"/>
        <item h="1" x="766"/>
        <item h="1" x="1288"/>
        <item h="1" x="688"/>
        <item h="1" x="679"/>
        <item h="1" x="709"/>
        <item h="1" x="217"/>
        <item h="1" x="1422"/>
        <item h="1" x="11"/>
        <item h="1" x="19"/>
        <item h="1" x="554"/>
        <item h="1" x="118"/>
        <item h="1" x="263"/>
        <item h="1" x="1557"/>
        <item h="1" x="111"/>
        <item h="1" x="51"/>
        <item h="1" x="1566"/>
        <item h="1" x="1310"/>
        <item h="1" x="332"/>
        <item h="1" x="524"/>
        <item h="1" x="1521"/>
        <item h="1" x="1410"/>
        <item h="1" x="870"/>
        <item h="1" x="60"/>
        <item h="1" x="600"/>
        <item h="1" x="1225"/>
        <item h="1" x="1130"/>
        <item h="1" x="342"/>
        <item h="1" x="1293"/>
        <item h="1" x="203"/>
        <item h="1" x="209"/>
        <item h="1" x="918"/>
        <item h="1" x="403"/>
        <item h="1" x="946"/>
        <item h="1" x="328"/>
        <item h="1" x="97"/>
        <item h="1" x="242"/>
        <item h="1" x="796"/>
        <item h="1" x="1555"/>
        <item h="1" x="4"/>
        <item h="1" x="1132"/>
        <item h="1" x="585"/>
        <item h="1" x="1443"/>
        <item h="1" x="562"/>
        <item h="1" x="984"/>
        <item h="1" x="957"/>
        <item h="1" x="1155"/>
        <item h="1" x="380"/>
        <item h="1" x="676"/>
        <item h="1" x="291"/>
        <item h="1" x="916"/>
        <item h="1" x="624"/>
        <item h="1" x="1333"/>
        <item h="1" x="557"/>
        <item h="1" x="184"/>
        <item h="1" x="712"/>
        <item h="1" x="70"/>
        <item h="1" x="465"/>
        <item h="1" x="1304"/>
        <item h="1" x="1481"/>
        <item h="1" x="1415"/>
        <item h="1" x="33"/>
        <item h="1" x="442"/>
        <item h="1" x="358"/>
        <item h="1" x="1533"/>
        <item h="1" x="648"/>
        <item h="1" x="376"/>
        <item h="1" x="140"/>
        <item h="1" x="1320"/>
        <item h="1" x="730"/>
        <item h="1" x="877"/>
        <item h="1" x="1228"/>
        <item h="1" x="885"/>
        <item h="1" x="1179"/>
        <item h="1" x="599"/>
        <item h="1" x="406"/>
        <item h="1" x="299"/>
        <item h="1" x="1145"/>
        <item h="1" x="768"/>
        <item h="1" x="1474"/>
        <item h="1" x="1592"/>
        <item h="1" x="1082"/>
        <item h="1" x="464"/>
        <item h="1" x="1340"/>
        <item h="1" x="701"/>
        <item h="1" x="1194"/>
        <item h="1" x="1279"/>
        <item h="1" x="88"/>
        <item h="1" x="992"/>
        <item h="1" x="1285"/>
        <item h="1" x="273"/>
        <item h="1" x="958"/>
        <item h="1" x="1218"/>
        <item h="1" x="721"/>
        <item h="1" x="1237"/>
        <item h="1" x="1014"/>
        <item h="1" x="922"/>
        <item h="1" x="395"/>
        <item h="1" x="1193"/>
        <item h="1" x="656"/>
        <item h="1" x="245"/>
        <item h="1" x="1367"/>
        <item h="1" x="1508"/>
        <item h="1" x="278"/>
        <item h="1" x="1402"/>
        <item h="1" x="280"/>
        <item h="1" x="156"/>
        <item h="1" x="1455"/>
        <item h="1" x="128"/>
        <item h="1" x="285"/>
        <item h="1" x="1585"/>
        <item h="1" x="1177"/>
        <item h="1" x="200"/>
        <item h="1" x="1094"/>
        <item h="1" x="142"/>
        <item h="1" x="366"/>
        <item h="1" x="213"/>
        <item h="1" x="754"/>
        <item h="1" x="1529"/>
        <item h="1" x="402"/>
        <item h="1" x="521"/>
        <item h="1" x="1251"/>
        <item h="1" x="1406"/>
        <item h="1" x="2"/>
        <item h="1" x="270"/>
        <item h="1" x="143"/>
        <item h="1" x="1250"/>
        <item h="1" x="937"/>
        <item h="1" x="1358"/>
        <item h="1" x="427"/>
        <item h="1" x="1185"/>
        <item h="1" x="119"/>
        <item h="1" x="801"/>
        <item h="1" x="268"/>
        <item h="1" x="274"/>
        <item h="1" x="787"/>
        <item h="1" x="503"/>
        <item h="1" x="1139"/>
        <item h="1" x="294"/>
        <item h="1" x="227"/>
        <item h="1" x="733"/>
        <item h="1" x="525"/>
        <item h="1" x="16"/>
        <item h="1" x="743"/>
        <item h="1" x="835"/>
        <item h="1" x="763"/>
        <item h="1" x="669"/>
        <item h="1" x="1552"/>
        <item h="1" x="1607"/>
        <item h="1" x="1356"/>
        <item h="1" x="283"/>
        <item h="1" x="1165"/>
        <item h="1" x="300"/>
        <item h="1" x="1267"/>
        <item h="1" x="508"/>
        <item h="1" x="750"/>
        <item h="1" x="1118"/>
        <item h="1" x="536"/>
        <item h="1" x="1081"/>
        <item h="1" x="353"/>
        <item h="1" x="255"/>
        <item h="1" x="164"/>
        <item h="1" x="289"/>
        <item h="1" x="1037"/>
        <item h="1" x="69"/>
        <item h="1" x="765"/>
        <item h="1" x="865"/>
        <item h="1" x="1341"/>
        <item h="1" x="1381"/>
        <item h="1" x="1202"/>
        <item h="1" x="926"/>
        <item h="1" x="1029"/>
        <item h="1" x="1433"/>
        <item h="1" x="1426"/>
        <item h="1" x="86"/>
        <item h="1" x="550"/>
        <item h="1" x="180"/>
        <item h="1" x="670"/>
        <item h="1" x="1102"/>
        <item h="1" x="163"/>
        <item h="1" x="1231"/>
        <item h="1" x="1173"/>
        <item h="1" x="1548"/>
        <item h="1" x="711"/>
        <item h="1" x="64"/>
        <item h="1" x="110"/>
        <item h="1" x="847"/>
        <item h="1" x="1203"/>
        <item h="1" x="747"/>
        <item h="1" x="348"/>
        <item h="1" x="30"/>
        <item h="1" x="1025"/>
        <item h="1" x="824"/>
        <item h="1" x="1348"/>
        <item h="1" x="1223"/>
        <item h="1" x="725"/>
        <item h="1" x="1198"/>
        <item h="1" x="1500"/>
        <item h="1" x="1272"/>
        <item h="1" x="367"/>
        <item h="1" x="837"/>
        <item h="1" x="896"/>
        <item h="1" x="68"/>
        <item h="1" x="1006"/>
        <item h="1" x="220"/>
        <item h="1" x="625"/>
        <item h="1" x="1098"/>
        <item h="1" x="1559"/>
        <item h="1" x="1258"/>
        <item h="1" x="742"/>
        <item h="1" x="93"/>
        <item h="1" x="875"/>
        <item h="1" x="1417"/>
        <item h="1" x="871"/>
        <item h="1" x="472"/>
        <item h="1" x="912"/>
        <item h="1" x="843"/>
        <item h="1" x="1208"/>
        <item h="1" x="435"/>
        <item h="1" x="1054"/>
        <item h="1" x="1366"/>
        <item h="1" x="1119"/>
        <item h="1" x="491"/>
        <item h="1" x="158"/>
        <item h="1" x="336"/>
        <item h="1" x="1042"/>
        <item h="1" x="1103"/>
        <item h="1" x="463"/>
        <item h="1" x="1587"/>
        <item h="1" x="677"/>
        <item h="1" x="913"/>
        <item h="1" x="782"/>
        <item h="1" x="331"/>
        <item h="1" x="1291"/>
        <item h="1" x="1604"/>
        <item h="1" x="462"/>
        <item h="1" x="1295"/>
        <item h="1" x="141"/>
        <item h="1" x="915"/>
        <item h="1" x="1600"/>
        <item h="1" x="1432"/>
        <item h="1" x="1409"/>
        <item h="1" x="542"/>
        <item h="1" x="1282"/>
        <item h="1" x="902"/>
        <item h="1" x="1233"/>
        <item h="1" x="1449"/>
        <item h="1" x="1336"/>
        <item h="1" x="337"/>
        <item h="1" x="911"/>
        <item h="1" x="936"/>
        <item h="1" x="611"/>
        <item h="1" x="187"/>
        <item h="1" x="630"/>
        <item h="1" x="45"/>
        <item h="1" x="253"/>
        <item h="1" x="1428"/>
        <item h="1" x="1023"/>
        <item h="1" x="890"/>
        <item h="1" x="92"/>
        <item h="1" x="484"/>
        <item h="1" x="889"/>
        <item h="1" x="1220"/>
        <item h="1" x="658"/>
        <item h="1" x="277"/>
        <item h="1" x="1360"/>
        <item h="1" x="322"/>
        <item h="1" x="900"/>
        <item h="1" x="860"/>
        <item h="1" x="803"/>
        <item h="1" x="1556"/>
        <item h="1" x="694"/>
        <item h="1" x="412"/>
        <item h="1" x="89"/>
        <item h="1" x="571"/>
        <item h="1" x="537"/>
        <item h="1" x="1316"/>
        <item h="1" x="1359"/>
        <item h="1" x="1038"/>
        <item h="1" x="214"/>
        <item h="1" x="1284"/>
        <item h="1" x="58"/>
        <item h="1" x="1332"/>
        <item h="1" x="810"/>
        <item h="1" x="41"/>
        <item h="1" x="460"/>
        <item h="1" x="1330"/>
        <item h="1" x="1084"/>
        <item h="1" x="379"/>
        <item h="1" x="1147"/>
        <item h="1" x="1581"/>
        <item h="1" x="138"/>
        <item h="1" x="1149"/>
        <item h="1" x="1115"/>
        <item h="1" x="321"/>
        <item h="1" x="752"/>
        <item h="1" x="981"/>
        <item h="1" x="1159"/>
        <item h="1" x="646"/>
        <item h="1" x="1454"/>
        <item h="1" f="1" x="1610"/>
        <item h="1" f="1" x="1609"/>
        <item h="1" x="497"/>
        <item h="1" x="1608"/>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s>
  <rowFields count="1">
    <field x="4"/>
  </rowFields>
  <rowItems count="5">
    <i>
      <x v="349"/>
    </i>
    <i>
      <x v="870"/>
    </i>
    <i>
      <x v="779"/>
    </i>
    <i>
      <x v="606"/>
    </i>
    <i>
      <x v="1191"/>
    </i>
  </rowItems>
  <colItems count="1">
    <i/>
  </colItems>
  <dataFields count="1">
    <dataField name="Sum of Sales" fld="5" baseField="0" baseItem="0"/>
  </dataFields>
  <formats count="1">
    <format dxfId="15">
      <pivotArea collapsedLevelsAreSubtotals="1" fieldPosition="0">
        <references count="1">
          <reference field="4" count="160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x v="1600"/>
            <x v="1601"/>
            <x v="1602"/>
            <x v="1603"/>
            <x v="1604"/>
            <x v="1605"/>
            <x v="1606"/>
            <x v="1609"/>
          </reference>
        </references>
      </pivotArea>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7214D4-FA4F-4B47-B74B-F7B721AE3EE7}" name="PivotTable1"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rowHeaderCaption="Category">
  <location ref="B6:C9" firstHeaderRow="1" firstDataRow="1" firstDataCol="1"/>
  <pivotFields count="14">
    <pivotField showAll="0"/>
    <pivotField showAll="0"/>
    <pivotField showAll="0"/>
    <pivotField axis="axisRow" showAll="0">
      <items count="5">
        <item x="0"/>
        <item x="1"/>
        <item x="2"/>
        <item h="1" x="3"/>
        <item t="default"/>
      </items>
    </pivotField>
    <pivotField showAll="0">
      <items count="1612">
        <item x="318"/>
        <item x="720"/>
        <item x="309"/>
        <item x="1197"/>
        <item x="838"/>
        <item x="1138"/>
        <item x="544"/>
        <item x="798"/>
        <item x="707"/>
        <item x="252"/>
        <item x="410"/>
        <item x="416"/>
        <item x="222"/>
        <item x="531"/>
        <item x="475"/>
        <item x="1590"/>
        <item x="1307"/>
        <item x="515"/>
        <item x="1048"/>
        <item x="626"/>
        <item x="1252"/>
        <item x="225"/>
        <item x="287"/>
        <item x="563"/>
        <item x="737"/>
        <item x="330"/>
        <item x="776"/>
        <item x="651"/>
        <item x="76"/>
        <item x="198"/>
        <item x="256"/>
        <item x="783"/>
        <item x="383"/>
        <item x="1012"/>
        <item x="849"/>
        <item x="727"/>
        <item x="1388"/>
        <item x="1083"/>
        <item x="1026"/>
        <item x="822"/>
        <item x="834"/>
        <item x="944"/>
        <item x="840"/>
        <item x="1257"/>
        <item x="393"/>
        <item x="995"/>
        <item x="99"/>
        <item x="831"/>
        <item x="767"/>
        <item x="1440"/>
        <item x="976"/>
        <item x="990"/>
        <item x="1579"/>
        <item x="507"/>
        <item x="1580"/>
        <item x="174"/>
        <item x="1018"/>
        <item x="1576"/>
        <item x="127"/>
        <item x="169"/>
        <item x="152"/>
        <item x="1354"/>
        <item x="530"/>
        <item x="1111"/>
        <item x="1372"/>
        <item x="1594"/>
        <item x="924"/>
        <item x="558"/>
        <item x="1603"/>
        <item x="1538"/>
        <item x="1244"/>
        <item x="1070"/>
        <item x="194"/>
        <item x="1572"/>
        <item x="632"/>
        <item x="857"/>
        <item x="933"/>
        <item x="967"/>
        <item x="134"/>
        <item x="135"/>
        <item x="1283"/>
        <item x="534"/>
        <item x="218"/>
        <item x="899"/>
        <item x="419"/>
        <item x="1597"/>
        <item x="538"/>
        <item x="661"/>
        <item x="794"/>
        <item x="586"/>
        <item x="1448"/>
        <item x="447"/>
        <item x="1156"/>
        <item x="223"/>
        <item x="1063"/>
        <item x="165"/>
        <item x="1117"/>
        <item x="72"/>
        <item x="436"/>
        <item x="137"/>
        <item x="1141"/>
        <item x="956"/>
        <item x="969"/>
        <item x="675"/>
        <item x="1169"/>
        <item x="1451"/>
        <item x="1184"/>
        <item x="420"/>
        <item x="1113"/>
        <item x="239"/>
        <item x="574"/>
        <item x="365"/>
        <item x="1097"/>
        <item x="1199"/>
        <item x="1399"/>
        <item x="487"/>
        <item x="385"/>
        <item x="1591"/>
        <item x="1436"/>
        <item x="858"/>
        <item x="886"/>
        <item x="1503"/>
        <item x="109"/>
        <item x="232"/>
        <item x="1124"/>
        <item x="602"/>
        <item x="1331"/>
        <item x="1234"/>
        <item x="942"/>
        <item x="572"/>
        <item x="1243"/>
        <item x="1525"/>
        <item x="1325"/>
        <item x="1420"/>
        <item x="548"/>
        <item x="1574"/>
        <item x="351"/>
        <item x="1003"/>
        <item x="1490"/>
        <item x="247"/>
        <item x="1429"/>
        <item x="1157"/>
        <item x="1568"/>
        <item x="78"/>
        <item x="1308"/>
        <item x="529"/>
        <item x="928"/>
        <item x="1191"/>
        <item x="1512"/>
        <item x="505"/>
        <item x="1024"/>
        <item x="891"/>
        <item x="1062"/>
        <item x="1168"/>
        <item x="1464"/>
        <item x="102"/>
        <item x="522"/>
        <item x="304"/>
        <item x="1492"/>
        <item x="467"/>
        <item x="308"/>
        <item x="939"/>
        <item x="1064"/>
        <item x="698"/>
        <item x="1477"/>
        <item x="425"/>
        <item x="832"/>
        <item x="98"/>
        <item x="644"/>
        <item x="1027"/>
        <item x="1254"/>
        <item x="1148"/>
        <item x="1478"/>
        <item x="511"/>
        <item x="1128"/>
        <item x="1351"/>
        <item x="27"/>
        <item x="18"/>
        <item x="1536"/>
        <item x="1022"/>
        <item x="369"/>
        <item x="12"/>
        <item x="132"/>
        <item x="821"/>
        <item x="726"/>
        <item x="970"/>
        <item x="549"/>
        <item x="160"/>
        <item x="1584"/>
        <item x="1099"/>
        <item x="1334"/>
        <item x="513"/>
        <item x="772"/>
        <item x="333"/>
        <item x="1460"/>
        <item x="446"/>
        <item x="1547"/>
        <item x="1240"/>
        <item x="154"/>
        <item x="173"/>
        <item x="502"/>
        <item x="352"/>
        <item x="620"/>
        <item x="699"/>
        <item x="1146"/>
        <item x="1158"/>
        <item x="179"/>
        <item x="1030"/>
        <item x="391"/>
        <item x="1236"/>
        <item x="1170"/>
        <item x="71"/>
        <item x="696"/>
        <item x="1554"/>
        <item x="1297"/>
        <item x="471"/>
        <item x="934"/>
        <item x="1324"/>
        <item x="1400"/>
        <item x="1537"/>
        <item x="1483"/>
        <item x="178"/>
        <item x="1405"/>
        <item x="978"/>
        <item x="539"/>
        <item x="450"/>
        <item x="898"/>
        <item x="50"/>
        <item x="778"/>
        <item x="1501"/>
        <item x="1107"/>
        <item x="486"/>
        <item x="579"/>
        <item x="103"/>
        <item x="1039"/>
        <item x="1394"/>
        <item x="346"/>
        <item x="415"/>
        <item x="815"/>
        <item x="1571"/>
        <item x="1110"/>
        <item x="597"/>
        <item x="44"/>
        <item x="618"/>
        <item x="483"/>
        <item x="980"/>
        <item x="167"/>
        <item x="830"/>
        <item x="61"/>
        <item x="1071"/>
        <item x="364"/>
        <item x="166"/>
        <item x="248"/>
        <item x="1471"/>
        <item x="619"/>
        <item x="678"/>
        <item x="943"/>
        <item x="1300"/>
        <item x="355"/>
        <item x="753"/>
        <item x="689"/>
        <item x="932"/>
        <item x="833"/>
        <item x="853"/>
        <item x="567"/>
        <item x="1469"/>
        <item x="83"/>
        <item x="1475"/>
        <item x="195"/>
        <item x="457"/>
        <item x="269"/>
        <item x="129"/>
        <item x="1605"/>
        <item x="106"/>
        <item x="605"/>
        <item x="1373"/>
        <item x="1519"/>
        <item x="844"/>
        <item x="293"/>
        <item x="1041"/>
        <item x="762"/>
        <item x="155"/>
        <item x="1134"/>
        <item x="685"/>
        <item x="639"/>
        <item x="745"/>
        <item x="610"/>
        <item x="343"/>
        <item x="938"/>
        <item x="199"/>
        <item x="430"/>
        <item x="638"/>
        <item x="1549"/>
        <item x="1329"/>
        <item x="211"/>
        <item x="382"/>
        <item x="1518"/>
        <item x="378"/>
        <item x="1277"/>
        <item x="516"/>
        <item x="569"/>
        <item x="1154"/>
        <item x="1524"/>
        <item x="1150"/>
        <item x="895"/>
        <item x="1034"/>
        <item x="1313"/>
        <item x="828"/>
        <item x="887"/>
        <item x="596"/>
        <item x="1450"/>
        <item x="1446"/>
        <item x="1491"/>
        <item x="1413"/>
        <item x="1077"/>
        <item x="1541"/>
        <item x="1182"/>
        <item x="1112"/>
        <item x="1423"/>
        <item x="1067"/>
        <item x="1303"/>
        <item x="650"/>
        <item x="1086"/>
        <item x="275"/>
        <item x="802"/>
        <item x="1497"/>
        <item x="1211"/>
        <item x="377"/>
        <item x="576"/>
        <item x="1167"/>
        <item x="1256"/>
        <item x="373"/>
        <item x="224"/>
        <item x="24"/>
        <item x="560"/>
        <item x="504"/>
        <item x="1076"/>
        <item x="397"/>
        <item x="123"/>
        <item x="409"/>
        <item x="316"/>
        <item x="279"/>
        <item x="26"/>
        <item x="1210"/>
        <item x="1261"/>
        <item x="964"/>
        <item x="1100"/>
        <item x="1328"/>
        <item x="345"/>
        <item x="996"/>
        <item x="627"/>
        <item x="1544"/>
        <item x="1073"/>
        <item x="1009"/>
        <item x="655"/>
        <item x="1593"/>
        <item x="905"/>
        <item x="791"/>
        <item x="582"/>
        <item x="1434"/>
        <item x="1123"/>
        <item x="29"/>
        <item x="1391"/>
        <item x="38"/>
        <item x="267"/>
        <item x="429"/>
        <item x="546"/>
        <item x="1092"/>
        <item x="39"/>
        <item x="793"/>
        <item x="126"/>
        <item x="1129"/>
        <item x="281"/>
        <item x="954"/>
        <item x="189"/>
        <item x="708"/>
        <item x="994"/>
        <item x="341"/>
        <item x="1021"/>
        <item x="1292"/>
        <item x="1364"/>
        <item x="101"/>
        <item x="829"/>
        <item x="789"/>
        <item x="1523"/>
        <item x="1105"/>
        <item x="370"/>
        <item x="84"/>
        <item x="609"/>
        <item x="153"/>
        <item x="758"/>
        <item x="993"/>
        <item x="910"/>
        <item x="1387"/>
        <item x="864"/>
        <item x="231"/>
        <item x="633"/>
        <item x="1101"/>
        <item x="672"/>
        <item x="443"/>
        <item x="592"/>
        <item x="1116"/>
        <item x="807"/>
        <item x="693"/>
        <item x="212"/>
        <item x="983"/>
        <item x="1072"/>
        <item x="327"/>
        <item x="845"/>
        <item x="879"/>
        <item x="1326"/>
        <item x="1106"/>
        <item x="695"/>
        <item x="533"/>
        <item x="1019"/>
        <item x="532"/>
        <item x="1216"/>
        <item x="1209"/>
        <item x="811"/>
        <item x="805"/>
        <item x="162"/>
        <item x="392"/>
        <item x="647"/>
        <item x="15"/>
        <item x="417"/>
        <item x="136"/>
        <item x="500"/>
        <item x="1458"/>
        <item x="1575"/>
        <item x="888"/>
        <item x="594"/>
        <item x="657"/>
        <item x="1287"/>
        <item x="196"/>
        <item x="478"/>
        <item x="1338"/>
        <item x="590"/>
        <item x="151"/>
        <item x="882"/>
        <item x="1535"/>
        <item x="1268"/>
        <item x="1142"/>
        <item x="1089"/>
        <item x="363"/>
        <item x="1246"/>
        <item x="892"/>
        <item x="613"/>
        <item x="541"/>
        <item x="659"/>
        <item x="986"/>
        <item x="21"/>
        <item x="1151"/>
        <item x="305"/>
        <item x="1353"/>
        <item x="1494"/>
        <item x="461"/>
        <item x="640"/>
        <item x="1403"/>
        <item x="851"/>
        <item x="999"/>
        <item x="55"/>
        <item x="816"/>
        <item x="866"/>
        <item x="512"/>
        <item x="400"/>
        <item x="1152"/>
        <item x="518"/>
        <item x="1596"/>
        <item x="434"/>
        <item x="819"/>
        <item x="923"/>
        <item x="1408"/>
        <item x="85"/>
        <item x="204"/>
        <item x="642"/>
        <item x="107"/>
        <item x="731"/>
        <item x="381"/>
        <item x="881"/>
        <item x="792"/>
        <item x="124"/>
        <item x="485"/>
        <item x="786"/>
        <item x="1033"/>
        <item x="509"/>
        <item x="1550"/>
        <item x="1057"/>
        <item x="972"/>
        <item x="1096"/>
        <item x="144"/>
        <item x="775"/>
        <item x="523"/>
        <item x="1264"/>
        <item x="186"/>
        <item x="133"/>
        <item x="317"/>
        <item x="115"/>
        <item x="1109"/>
        <item x="254"/>
        <item x="1140"/>
        <item x="1463"/>
        <item x="1090"/>
        <item x="1505"/>
        <item x="921"/>
        <item x="623"/>
        <item x="715"/>
        <item x="493"/>
        <item x="1274"/>
        <item x="185"/>
        <item x="556"/>
        <item x="284"/>
        <item x="210"/>
        <item x="362"/>
        <item x="191"/>
        <item x="1175"/>
        <item x="1114"/>
        <item x="1495"/>
        <item x="1085"/>
        <item x="1369"/>
        <item x="499"/>
        <item x="998"/>
        <item x="1301"/>
        <item x="1061"/>
        <item x="1347"/>
        <item x="96"/>
        <item x="1137"/>
        <item x="1217"/>
        <item x="804"/>
        <item x="361"/>
        <item x="1161"/>
        <item x="1376"/>
        <item x="481"/>
        <item x="863"/>
        <item x="1532"/>
        <item x="1577"/>
        <item x="631"/>
        <item x="1375"/>
        <item x="587"/>
        <item x="28"/>
        <item x="495"/>
        <item x="615"/>
        <item x="418"/>
        <item x="760"/>
        <item x="1317"/>
        <item x="1010"/>
        <item x="545"/>
        <item x="1172"/>
        <item x="1586"/>
        <item x="962"/>
        <item x="855"/>
        <item x="1189"/>
        <item x="1487"/>
        <item x="817"/>
        <item x="1144"/>
        <item x="1486"/>
        <item x="1066"/>
        <item x="1315"/>
        <item x="216"/>
        <item x="1496"/>
        <item x="228"/>
        <item x="930"/>
        <item x="806"/>
        <item x="876"/>
        <item x="306"/>
        <item x="79"/>
        <item x="13"/>
        <item x="250"/>
        <item x="1342"/>
        <item x="1093"/>
        <item x="147"/>
        <item x="629"/>
        <item x="47"/>
        <item x="919"/>
        <item x="718"/>
        <item x="40"/>
        <item x="795"/>
        <item x="784"/>
        <item x="1278"/>
        <item x="63"/>
        <item x="848"/>
        <item x="1444"/>
        <item x="520"/>
        <item x="265"/>
        <item x="1255"/>
        <item x="1583"/>
        <item x="719"/>
        <item x="9"/>
        <item x="836"/>
        <item x="1265"/>
        <item x="510"/>
        <item x="1309"/>
        <item x="438"/>
        <item x="1346"/>
        <item x="1343"/>
        <item x="872"/>
        <item x="540"/>
        <item x="1510"/>
        <item x="6"/>
        <item x="1418"/>
        <item x="1224"/>
        <item x="1046"/>
        <item x="172"/>
        <item x="1602"/>
        <item x="945"/>
        <item x="1280"/>
        <item x="813"/>
        <item x="320"/>
        <item x="116"/>
        <item x="873"/>
        <item x="755"/>
        <item x="561"/>
        <item x="7"/>
        <item x="1567"/>
        <item x="1384"/>
        <item x="1368"/>
        <item x="949"/>
        <item x="988"/>
        <item x="1370"/>
        <item x="349"/>
        <item x="356"/>
        <item x="714"/>
        <item x="46"/>
        <item x="249"/>
        <item x="449"/>
        <item x="1502"/>
        <item x="700"/>
        <item x="401"/>
        <item x="1539"/>
        <item x="66"/>
        <item x="32"/>
        <item x="1166"/>
        <item x="202"/>
        <item x="903"/>
        <item x="634"/>
        <item x="125"/>
        <item x="176"/>
        <item x="637"/>
        <item x="501"/>
        <item x="797"/>
        <item x="57"/>
        <item x="496"/>
        <item x="1437"/>
        <item x="1511"/>
        <item x="965"/>
        <item x="77"/>
        <item x="1599"/>
        <item x="641"/>
        <item x="578"/>
        <item x="1606"/>
        <item x="445"/>
        <item x="1578"/>
        <item x="909"/>
        <item x="1035"/>
        <item x="979"/>
        <item x="628"/>
        <item x="432"/>
        <item x="1122"/>
        <item x="90"/>
        <item x="100"/>
        <item x="1480"/>
        <item x="1028"/>
        <item x="476"/>
        <item x="329"/>
        <item x="1232"/>
        <item x="684"/>
        <item x="1080"/>
        <item x="584"/>
        <item x="258"/>
        <item x="741"/>
        <item x="1311"/>
        <item x="868"/>
        <item x="608"/>
        <item x="474"/>
        <item x="1589"/>
        <item x="800"/>
        <item x="812"/>
        <item x="826"/>
        <item x="1044"/>
        <item x="171"/>
        <item x="314"/>
        <item x="1263"/>
        <item x="960"/>
        <item x="1049"/>
        <item x="901"/>
        <item x="1484"/>
        <item x="526"/>
        <item x="1188"/>
        <item x="952"/>
        <item x="411"/>
        <item x="20"/>
        <item x="951"/>
        <item x="1163"/>
        <item x="73"/>
        <item x="1442"/>
        <item x="506"/>
        <item x="1296"/>
        <item x="1001"/>
        <item x="621"/>
        <item x="1253"/>
        <item x="861"/>
        <item x="1319"/>
        <item x="390"/>
        <item x="433"/>
        <item x="10"/>
        <item x="52"/>
        <item x="702"/>
        <item x="749"/>
        <item x="114"/>
        <item x="761"/>
        <item x="692"/>
        <item x="989"/>
        <item x="1074"/>
        <item x="282"/>
        <item x="290"/>
        <item x="1546"/>
        <item x="1595"/>
        <item x="1011"/>
        <item x="1160"/>
        <item x="1036"/>
        <item x="997"/>
        <item x="1281"/>
        <item x="606"/>
        <item x="1380"/>
        <item x="779"/>
        <item x="1242"/>
        <item x="703"/>
        <item x="551"/>
        <item x="1352"/>
        <item x="170"/>
        <item x="1050"/>
        <item x="564"/>
        <item x="34"/>
        <item x="894"/>
        <item x="240"/>
        <item x="421"/>
        <item x="25"/>
        <item x="728"/>
        <item x="67"/>
        <item x="790"/>
        <item x="977"/>
        <item x="207"/>
        <item x="1570"/>
        <item x="732"/>
        <item x="59"/>
        <item x="244"/>
        <item x="1200"/>
        <item x="94"/>
        <item x="1176"/>
        <item x="1005"/>
        <item x="1314"/>
        <item x="1335"/>
        <item x="1598"/>
        <item x="839"/>
        <item x="1004"/>
        <item x="987"/>
        <item x="1195"/>
        <item x="1032"/>
        <item x="35"/>
        <item x="1045"/>
        <item x="53"/>
        <item x="867"/>
        <item x="880"/>
        <item x="105"/>
        <item x="323"/>
        <item x="1344"/>
        <item x="477"/>
        <item x="1395"/>
        <item x="854"/>
        <item x="681"/>
        <item x="251"/>
        <item x="1"/>
        <item x="112"/>
        <item x="1271"/>
        <item x="1385"/>
        <item x="974"/>
        <item x="368"/>
        <item x="948"/>
        <item x="1068"/>
        <item x="666"/>
        <item x="966"/>
        <item x="756"/>
        <item x="117"/>
        <item x="335"/>
        <item x="1371"/>
        <item x="1551"/>
        <item x="347"/>
        <item x="1241"/>
        <item x="413"/>
        <item x="319"/>
        <item x="1229"/>
        <item x="182"/>
        <item x="458"/>
        <item x="1000"/>
        <item x="614"/>
        <item x="404"/>
        <item x="842"/>
        <item x="1312"/>
        <item x="746"/>
        <item x="188"/>
        <item x="95"/>
        <item x="454"/>
        <item x="1230"/>
        <item x="441"/>
        <item x="1286"/>
        <item x="884"/>
        <item x="1178"/>
        <item x="686"/>
        <item x="1350"/>
        <item x="260"/>
        <item x="490"/>
        <item x="1221"/>
        <item x="1305"/>
        <item x="302"/>
        <item x="780"/>
        <item x="517"/>
        <item x="652"/>
        <item x="1560"/>
        <item x="257"/>
        <item x="1207"/>
        <item x="384"/>
        <item x="388"/>
        <item x="1143"/>
        <item x="991"/>
        <item x="396"/>
        <item x="1262"/>
        <item x="424"/>
        <item x="674"/>
        <item x="398"/>
        <item x="81"/>
        <item x="1306"/>
        <item x="914"/>
        <item x="604"/>
        <item x="809"/>
        <item x="1322"/>
        <item x="1588"/>
        <item x="42"/>
        <item x="961"/>
        <item x="1164"/>
        <item x="1259"/>
        <item x="841"/>
        <item x="488"/>
        <item x="453"/>
        <item x="1235"/>
        <item x="1212"/>
        <item x="312"/>
        <item x="108"/>
        <item x="354"/>
        <item x="1270"/>
        <item x="662"/>
        <item x="940"/>
        <item x="479"/>
        <item x="54"/>
        <item x="272"/>
        <item x="168"/>
        <item x="407"/>
        <item x="1327"/>
        <item x="23"/>
        <item x="595"/>
        <item x="1125"/>
        <item x="1476"/>
        <item x="451"/>
        <item x="859"/>
        <item x="1355"/>
        <item x="1215"/>
        <item x="262"/>
        <item x="206"/>
        <item x="238"/>
        <item x="1075"/>
        <item x="307"/>
        <item x="1390"/>
        <item x="555"/>
        <item x="955"/>
        <item x="372"/>
        <item x="459"/>
        <item x="735"/>
        <item x="0"/>
        <item x="190"/>
        <item x="295"/>
        <item x="771"/>
        <item x="492"/>
        <item x="559"/>
        <item x="208"/>
        <item x="680"/>
        <item x="121"/>
        <item x="326"/>
        <item x="1289"/>
        <item x="439"/>
        <item x="1222"/>
        <item x="568"/>
        <item x="612"/>
        <item x="452"/>
        <item x="580"/>
        <item x="1462"/>
        <item x="423"/>
        <item x="1245"/>
        <item x="1205"/>
        <item x="1052"/>
        <item x="1397"/>
        <item x="1239"/>
        <item x="1127"/>
        <item x="691"/>
        <item x="259"/>
        <item x="1498"/>
        <item x="907"/>
        <item x="1383"/>
        <item x="663"/>
        <item x="49"/>
        <item x="37"/>
        <item x="276"/>
        <item x="1020"/>
        <item x="1047"/>
        <item x="528"/>
        <item x="1441"/>
        <item x="1357"/>
        <item x="1337"/>
        <item x="1461"/>
        <item x="1582"/>
        <item x="175"/>
        <item x="1055"/>
        <item x="1238"/>
        <item x="243"/>
        <item x="91"/>
        <item x="324"/>
        <item x="236"/>
        <item x="139"/>
        <item x="1386"/>
        <item x="1260"/>
        <item x="645"/>
        <item x="1060"/>
        <item x="192"/>
        <item x="1404"/>
        <item x="1499"/>
        <item x="1447"/>
        <item x="1153"/>
        <item x="593"/>
        <item x="904"/>
        <item x="1416"/>
        <item x="1534"/>
        <item x="22"/>
        <item x="607"/>
        <item x="1561"/>
        <item x="744"/>
        <item x="146"/>
        <item x="36"/>
        <item x="334"/>
        <item x="17"/>
        <item x="339"/>
        <item x="1269"/>
        <item x="1213"/>
        <item x="654"/>
        <item x="360"/>
        <item x="653"/>
        <item x="1530"/>
        <item x="616"/>
        <item x="799"/>
        <item x="1323"/>
        <item x="947"/>
        <item x="788"/>
        <item x="1425"/>
        <item x="1540"/>
        <item x="292"/>
        <item x="62"/>
        <item x="643"/>
        <item x="1298"/>
        <item x="1452"/>
        <item x="1131"/>
        <item x="340"/>
        <item x="724"/>
        <item x="1190"/>
        <item x="1065"/>
        <item x="1398"/>
        <item x="1439"/>
        <item x="469"/>
        <item x="1528"/>
        <item x="591"/>
        <item x="1526"/>
        <item x="470"/>
        <item x="736"/>
        <item x="375"/>
        <item x="422"/>
        <item x="751"/>
        <item x="113"/>
        <item x="480"/>
        <item x="130"/>
        <item x="288"/>
        <item x="1361"/>
        <item x="221"/>
        <item x="437"/>
        <item x="1136"/>
        <item x="893"/>
        <item x="1365"/>
        <item x="748"/>
        <item x="950"/>
        <item x="1017"/>
        <item x="1377"/>
        <item x="131"/>
        <item x="104"/>
        <item x="1509"/>
        <item x="1522"/>
        <item x="820"/>
        <item x="1174"/>
        <item x="622"/>
        <item x="150"/>
        <item x="649"/>
        <item x="374"/>
        <item x="1121"/>
        <item x="1489"/>
        <item x="1431"/>
        <item x="1031"/>
        <item x="468"/>
        <item x="1565"/>
        <item x="757"/>
        <item x="1273"/>
        <item x="547"/>
        <item x="122"/>
        <item x="1219"/>
        <item x="931"/>
        <item x="906"/>
        <item x="359"/>
        <item x="514"/>
        <item x="386"/>
        <item x="878"/>
        <item x="823"/>
        <item x="722"/>
        <item x="266"/>
        <item x="770"/>
        <item x="781"/>
        <item x="1562"/>
        <item x="759"/>
        <item x="201"/>
        <item x="738"/>
        <item x="482"/>
        <item x="814"/>
        <item x="43"/>
        <item x="723"/>
        <item x="671"/>
        <item x="1517"/>
        <item x="261"/>
        <item x="389"/>
        <item x="1453"/>
        <item x="1051"/>
        <item x="177"/>
        <item x="1008"/>
        <item x="697"/>
        <item x="1414"/>
        <item x="5"/>
        <item x="971"/>
        <item x="664"/>
        <item x="1401"/>
        <item x="233"/>
        <item x="235"/>
        <item x="1563"/>
        <item x="313"/>
        <item x="219"/>
        <item x="159"/>
        <item x="764"/>
        <item x="1472"/>
        <item x="1206"/>
        <item x="908"/>
        <item x="1321"/>
        <item x="1542"/>
        <item x="1088"/>
        <item x="1040"/>
        <item x="1183"/>
        <item x="440"/>
        <item x="296"/>
        <item x="1249"/>
        <item x="161"/>
        <item x="1362"/>
        <item x="527"/>
        <item x="570"/>
        <item x="193"/>
        <item x="1133"/>
        <item x="1470"/>
        <item x="303"/>
        <item x="769"/>
        <item x="1374"/>
        <item x="1247"/>
        <item x="598"/>
        <item x="1126"/>
        <item x="856"/>
        <item x="1419"/>
        <item x="1345"/>
        <item x="846"/>
        <item x="1569"/>
        <item x="982"/>
        <item x="665"/>
        <item x="1171"/>
        <item x="234"/>
        <item x="825"/>
        <item x="371"/>
        <item x="1058"/>
        <item x="1181"/>
        <item x="1459"/>
        <item x="120"/>
        <item x="920"/>
        <item x="31"/>
        <item x="1468"/>
        <item x="1466"/>
        <item x="777"/>
        <item x="869"/>
        <item x="1515"/>
        <item x="455"/>
        <item x="1091"/>
        <item x="1479"/>
        <item x="149"/>
        <item x="183"/>
        <item x="897"/>
        <item x="1104"/>
        <item x="850"/>
        <item x="1180"/>
        <item x="56"/>
        <item x="87"/>
        <item x="1412"/>
        <item x="1043"/>
        <item x="1214"/>
        <item x="1473"/>
        <item x="181"/>
        <item x="1186"/>
        <item x="271"/>
        <item x="1162"/>
        <item x="953"/>
        <item x="603"/>
        <item x="575"/>
        <item x="1007"/>
        <item x="862"/>
        <item x="716"/>
        <item x="297"/>
        <item x="1016"/>
        <item x="1069"/>
        <item x="573"/>
        <item x="774"/>
        <item x="968"/>
        <item x="588"/>
        <item x="1349"/>
        <item x="145"/>
        <item x="338"/>
        <item x="1545"/>
        <item x="1424"/>
        <item x="581"/>
        <item x="1013"/>
        <item x="1506"/>
        <item x="874"/>
        <item x="264"/>
        <item x="315"/>
        <item x="229"/>
        <item x="215"/>
        <item x="1087"/>
        <item x="230"/>
        <item x="466"/>
        <item x="1290"/>
        <item x="310"/>
        <item x="8"/>
        <item x="1520"/>
        <item x="729"/>
        <item x="414"/>
        <item x="387"/>
        <item x="852"/>
        <item x="713"/>
        <item x="1465"/>
        <item x="1056"/>
        <item x="286"/>
        <item x="82"/>
        <item x="325"/>
        <item x="577"/>
        <item x="405"/>
        <item x="706"/>
        <item x="687"/>
        <item x="808"/>
        <item x="929"/>
        <item x="1564"/>
        <item x="683"/>
        <item x="1485"/>
        <item x="1120"/>
        <item x="1507"/>
        <item x="740"/>
        <item x="1514"/>
        <item x="80"/>
        <item x="710"/>
        <item x="448"/>
        <item x="617"/>
        <item x="785"/>
        <item x="1248"/>
        <item x="357"/>
        <item x="456"/>
        <item x="935"/>
        <item x="1095"/>
        <item x="197"/>
        <item x="975"/>
        <item x="704"/>
        <item x="1573"/>
        <item x="635"/>
        <item x="301"/>
        <item x="246"/>
        <item x="408"/>
        <item x="705"/>
        <item x="589"/>
        <item x="1339"/>
        <item x="1457"/>
        <item x="148"/>
        <item x="1187"/>
        <item x="1378"/>
        <item x="1445"/>
        <item x="74"/>
        <item x="1204"/>
        <item x="3"/>
        <item x="431"/>
        <item x="739"/>
        <item x="927"/>
        <item x="566"/>
        <item x="75"/>
        <item x="1435"/>
        <item x="673"/>
        <item x="601"/>
        <item x="565"/>
        <item x="344"/>
        <item x="1513"/>
        <item x="1299"/>
        <item x="1389"/>
        <item x="14"/>
        <item x="734"/>
        <item x="1275"/>
        <item x="917"/>
        <item x="717"/>
        <item x="1438"/>
        <item x="1135"/>
        <item x="1192"/>
        <item x="473"/>
        <item x="660"/>
        <item x="1382"/>
        <item x="1601"/>
        <item x="1504"/>
        <item x="552"/>
        <item x="925"/>
        <item x="428"/>
        <item x="818"/>
        <item x="237"/>
        <item x="399"/>
        <item x="394"/>
        <item x="1527"/>
        <item x="773"/>
        <item x="1558"/>
        <item x="543"/>
        <item x="1531"/>
        <item x="1227"/>
        <item x="1379"/>
        <item x="1467"/>
        <item x="1516"/>
        <item x="1302"/>
        <item x="444"/>
        <item x="226"/>
        <item x="1196"/>
        <item x="1411"/>
        <item x="682"/>
        <item x="1002"/>
        <item x="1276"/>
        <item x="963"/>
        <item x="1392"/>
        <item x="1059"/>
        <item x="519"/>
        <item x="1318"/>
        <item x="241"/>
        <item x="985"/>
        <item x="498"/>
        <item x="426"/>
        <item x="690"/>
        <item x="1078"/>
        <item x="48"/>
        <item x="1015"/>
        <item x="1427"/>
        <item x="494"/>
        <item x="1393"/>
        <item x="1488"/>
        <item x="1482"/>
        <item x="668"/>
        <item x="636"/>
        <item x="1396"/>
        <item x="553"/>
        <item x="959"/>
        <item x="1421"/>
        <item x="1201"/>
        <item x="1294"/>
        <item x="883"/>
        <item x="1053"/>
        <item x="1108"/>
        <item x="1407"/>
        <item x="65"/>
        <item x="667"/>
        <item x="157"/>
        <item x="583"/>
        <item x="1226"/>
        <item x="827"/>
        <item x="489"/>
        <item x="941"/>
        <item x="1553"/>
        <item x="1079"/>
        <item x="973"/>
        <item x="1543"/>
        <item x="205"/>
        <item x="535"/>
        <item x="1493"/>
        <item x="1363"/>
        <item x="1456"/>
        <item x="350"/>
        <item x="1430"/>
        <item x="1266"/>
        <item x="298"/>
        <item x="311"/>
        <item x="766"/>
        <item x="1288"/>
        <item x="688"/>
        <item x="679"/>
        <item x="709"/>
        <item x="217"/>
        <item x="1422"/>
        <item x="11"/>
        <item x="19"/>
        <item x="554"/>
        <item x="118"/>
        <item x="263"/>
        <item x="1557"/>
        <item x="111"/>
        <item x="51"/>
        <item x="1566"/>
        <item x="1310"/>
        <item x="332"/>
        <item x="524"/>
        <item x="1521"/>
        <item x="1410"/>
        <item x="870"/>
        <item x="60"/>
        <item x="600"/>
        <item x="1225"/>
        <item x="1130"/>
        <item x="342"/>
        <item x="1293"/>
        <item x="203"/>
        <item x="209"/>
        <item x="918"/>
        <item x="403"/>
        <item x="946"/>
        <item x="328"/>
        <item x="97"/>
        <item x="242"/>
        <item x="796"/>
        <item x="1555"/>
        <item x="4"/>
        <item x="1132"/>
        <item x="585"/>
        <item x="1443"/>
        <item x="562"/>
        <item x="984"/>
        <item x="957"/>
        <item x="1155"/>
        <item x="380"/>
        <item x="676"/>
        <item x="291"/>
        <item x="916"/>
        <item x="624"/>
        <item x="1333"/>
        <item x="557"/>
        <item x="184"/>
        <item x="712"/>
        <item x="70"/>
        <item x="465"/>
        <item x="1304"/>
        <item x="1481"/>
        <item x="1415"/>
        <item x="33"/>
        <item x="442"/>
        <item x="358"/>
        <item x="1533"/>
        <item x="648"/>
        <item x="376"/>
        <item x="140"/>
        <item x="1320"/>
        <item x="730"/>
        <item x="877"/>
        <item x="1228"/>
        <item x="885"/>
        <item x="1179"/>
        <item x="599"/>
        <item x="406"/>
        <item x="299"/>
        <item x="1145"/>
        <item x="768"/>
        <item x="1474"/>
        <item x="1592"/>
        <item x="1082"/>
        <item x="464"/>
        <item x="1340"/>
        <item x="701"/>
        <item x="1194"/>
        <item x="1279"/>
        <item x="88"/>
        <item x="992"/>
        <item x="1285"/>
        <item x="273"/>
        <item x="958"/>
        <item x="1218"/>
        <item x="721"/>
        <item x="1237"/>
        <item x="1014"/>
        <item x="922"/>
        <item x="395"/>
        <item x="1193"/>
        <item x="656"/>
        <item x="245"/>
        <item x="1367"/>
        <item x="1508"/>
        <item x="278"/>
        <item x="1402"/>
        <item x="280"/>
        <item x="156"/>
        <item x="1455"/>
        <item x="128"/>
        <item x="285"/>
        <item x="1585"/>
        <item x="1177"/>
        <item x="200"/>
        <item x="1094"/>
        <item x="142"/>
        <item x="366"/>
        <item x="213"/>
        <item x="754"/>
        <item x="1529"/>
        <item x="402"/>
        <item x="521"/>
        <item x="1251"/>
        <item x="1406"/>
        <item x="2"/>
        <item x="270"/>
        <item x="143"/>
        <item x="1250"/>
        <item x="937"/>
        <item x="1358"/>
        <item x="427"/>
        <item x="1185"/>
        <item x="119"/>
        <item x="801"/>
        <item x="268"/>
        <item x="274"/>
        <item x="787"/>
        <item x="503"/>
        <item x="1139"/>
        <item x="294"/>
        <item x="227"/>
        <item x="733"/>
        <item x="525"/>
        <item x="16"/>
        <item x="743"/>
        <item x="835"/>
        <item x="763"/>
        <item x="669"/>
        <item x="1552"/>
        <item x="1607"/>
        <item x="1356"/>
        <item x="283"/>
        <item x="1165"/>
        <item x="300"/>
        <item x="1267"/>
        <item x="508"/>
        <item x="750"/>
        <item x="1118"/>
        <item x="536"/>
        <item x="1081"/>
        <item x="353"/>
        <item x="255"/>
        <item x="164"/>
        <item x="289"/>
        <item x="1037"/>
        <item x="69"/>
        <item x="765"/>
        <item x="865"/>
        <item x="1341"/>
        <item x="1381"/>
        <item x="1202"/>
        <item x="926"/>
        <item x="1029"/>
        <item x="1433"/>
        <item x="1426"/>
        <item x="86"/>
        <item x="550"/>
        <item x="180"/>
        <item x="670"/>
        <item x="1102"/>
        <item x="163"/>
        <item x="1231"/>
        <item x="1173"/>
        <item x="1548"/>
        <item x="711"/>
        <item x="64"/>
        <item x="110"/>
        <item x="847"/>
        <item x="1203"/>
        <item x="747"/>
        <item x="348"/>
        <item x="30"/>
        <item x="1025"/>
        <item x="824"/>
        <item x="1348"/>
        <item x="1223"/>
        <item x="725"/>
        <item x="1198"/>
        <item x="1500"/>
        <item x="1272"/>
        <item x="367"/>
        <item x="837"/>
        <item x="896"/>
        <item x="68"/>
        <item x="1006"/>
        <item x="220"/>
        <item x="625"/>
        <item x="1098"/>
        <item x="1559"/>
        <item x="1258"/>
        <item x="742"/>
        <item x="93"/>
        <item x="875"/>
        <item x="1417"/>
        <item x="871"/>
        <item x="472"/>
        <item x="912"/>
        <item x="843"/>
        <item x="1208"/>
        <item x="435"/>
        <item x="1054"/>
        <item x="1366"/>
        <item x="1119"/>
        <item x="491"/>
        <item x="158"/>
        <item x="336"/>
        <item x="1042"/>
        <item x="1103"/>
        <item x="463"/>
        <item x="1587"/>
        <item x="677"/>
        <item x="913"/>
        <item x="782"/>
        <item x="331"/>
        <item x="1291"/>
        <item x="1604"/>
        <item x="462"/>
        <item x="1295"/>
        <item x="141"/>
        <item x="915"/>
        <item x="1600"/>
        <item x="1432"/>
        <item x="1409"/>
        <item x="542"/>
        <item x="1282"/>
        <item x="902"/>
        <item x="1233"/>
        <item x="1449"/>
        <item x="1336"/>
        <item x="337"/>
        <item x="911"/>
        <item x="936"/>
        <item x="611"/>
        <item x="187"/>
        <item x="630"/>
        <item x="45"/>
        <item x="253"/>
        <item x="1428"/>
        <item x="1023"/>
        <item x="890"/>
        <item x="92"/>
        <item x="484"/>
        <item x="889"/>
        <item x="1220"/>
        <item x="658"/>
        <item x="277"/>
        <item x="1360"/>
        <item x="322"/>
        <item x="900"/>
        <item x="860"/>
        <item x="803"/>
        <item x="1556"/>
        <item x="694"/>
        <item x="412"/>
        <item x="89"/>
        <item x="571"/>
        <item x="537"/>
        <item x="1316"/>
        <item x="1359"/>
        <item x="1038"/>
        <item x="214"/>
        <item x="1284"/>
        <item x="58"/>
        <item x="1332"/>
        <item x="810"/>
        <item x="41"/>
        <item x="460"/>
        <item x="1330"/>
        <item x="1084"/>
        <item x="379"/>
        <item x="1147"/>
        <item x="1581"/>
        <item x="138"/>
        <item x="1149"/>
        <item x="1115"/>
        <item x="321"/>
        <item x="752"/>
        <item x="981"/>
        <item x="1159"/>
        <item x="646"/>
        <item x="1454"/>
        <item x="497"/>
        <item x="1608"/>
        <item f="1" x="1609"/>
        <item f="1" x="1610"/>
        <item t="default"/>
      </items>
    </pivotField>
    <pivotField dataField="1" showAll="0"/>
    <pivotField showAll="0"/>
    <pivotField showAll="0"/>
    <pivotField showAll="0"/>
    <pivotField showAll="0"/>
    <pivotField showAll="0"/>
    <pivotField showAll="0"/>
    <pivotField showAll="0"/>
    <pivotField showAll="0"/>
  </pivotFields>
  <rowFields count="1">
    <field x="3"/>
  </rowFields>
  <rowItems count="3">
    <i>
      <x/>
    </i>
    <i>
      <x v="1"/>
    </i>
    <i>
      <x v="2"/>
    </i>
  </rowItems>
  <colItems count="1">
    <i/>
  </colItems>
  <dataFields count="1">
    <dataField name="Sum of Sales" fld="5" baseField="0" baseItem="0" numFmtId="2"/>
  </dataFields>
  <formats count="2">
    <format dxfId="18">
      <pivotArea grandRow="1" outline="0" collapsedLevelsAreSubtotals="1" fieldPosition="0"/>
    </format>
    <format dxfId="17">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A895BD-D62A-4F40-BC86-39D7EB470EB2}" name="PivotTable2"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Region">
  <location ref="E6:F10" firstHeaderRow="1" firstDataRow="1" firstDataCol="1"/>
  <pivotFields count="14">
    <pivotField showAll="0"/>
    <pivotField showAll="0"/>
    <pivotField axis="axisRow" showAll="0">
      <items count="6">
        <item x="2"/>
        <item x="0"/>
        <item x="3"/>
        <item x="1"/>
        <item h="1" x="4"/>
        <item t="default"/>
      </items>
    </pivotField>
    <pivotField showAll="0"/>
    <pivotField showAll="0">
      <items count="1612">
        <item x="318"/>
        <item x="720"/>
        <item x="309"/>
        <item x="1197"/>
        <item x="838"/>
        <item x="1138"/>
        <item x="544"/>
        <item x="798"/>
        <item x="707"/>
        <item x="252"/>
        <item x="410"/>
        <item x="416"/>
        <item x="222"/>
        <item x="531"/>
        <item x="475"/>
        <item x="1590"/>
        <item x="1307"/>
        <item x="515"/>
        <item x="1048"/>
        <item x="626"/>
        <item x="1252"/>
        <item x="225"/>
        <item x="287"/>
        <item x="563"/>
        <item x="737"/>
        <item x="330"/>
        <item x="776"/>
        <item x="651"/>
        <item x="76"/>
        <item x="198"/>
        <item x="256"/>
        <item x="783"/>
        <item x="383"/>
        <item x="1012"/>
        <item x="849"/>
        <item x="727"/>
        <item x="1388"/>
        <item x="1083"/>
        <item x="1026"/>
        <item x="822"/>
        <item x="834"/>
        <item x="944"/>
        <item x="840"/>
        <item x="1257"/>
        <item x="393"/>
        <item x="995"/>
        <item x="99"/>
        <item x="831"/>
        <item x="767"/>
        <item x="1440"/>
        <item x="976"/>
        <item x="990"/>
        <item x="1579"/>
        <item x="507"/>
        <item x="1580"/>
        <item x="174"/>
        <item x="1018"/>
        <item x="1576"/>
        <item x="127"/>
        <item x="169"/>
        <item x="152"/>
        <item x="1354"/>
        <item x="530"/>
        <item x="1111"/>
        <item x="1372"/>
        <item x="1594"/>
        <item x="924"/>
        <item x="558"/>
        <item x="1603"/>
        <item x="1538"/>
        <item x="1244"/>
        <item x="1070"/>
        <item x="194"/>
        <item x="1572"/>
        <item x="632"/>
        <item x="857"/>
        <item x="933"/>
        <item x="967"/>
        <item x="134"/>
        <item x="135"/>
        <item x="1283"/>
        <item x="534"/>
        <item x="218"/>
        <item x="899"/>
        <item x="419"/>
        <item x="1597"/>
        <item x="538"/>
        <item x="661"/>
        <item x="794"/>
        <item x="586"/>
        <item x="1448"/>
        <item x="447"/>
        <item x="1156"/>
        <item x="223"/>
        <item x="1063"/>
        <item x="165"/>
        <item x="1117"/>
        <item x="72"/>
        <item x="436"/>
        <item x="137"/>
        <item x="1141"/>
        <item x="956"/>
        <item x="969"/>
        <item x="675"/>
        <item x="1169"/>
        <item x="1451"/>
        <item x="1184"/>
        <item x="420"/>
        <item x="1113"/>
        <item x="239"/>
        <item x="574"/>
        <item x="365"/>
        <item x="1097"/>
        <item x="1199"/>
        <item x="1399"/>
        <item x="487"/>
        <item x="385"/>
        <item x="1591"/>
        <item x="1436"/>
        <item x="858"/>
        <item x="886"/>
        <item x="1503"/>
        <item x="109"/>
        <item x="232"/>
        <item x="1124"/>
        <item x="602"/>
        <item x="1331"/>
        <item x="1234"/>
        <item x="942"/>
        <item x="572"/>
        <item x="1243"/>
        <item x="1525"/>
        <item x="1325"/>
        <item x="1420"/>
        <item x="548"/>
        <item x="1574"/>
        <item x="351"/>
        <item x="1003"/>
        <item x="1490"/>
        <item x="247"/>
        <item x="1429"/>
        <item x="1157"/>
        <item x="1568"/>
        <item x="78"/>
        <item x="1308"/>
        <item x="529"/>
        <item x="928"/>
        <item x="1191"/>
        <item x="1512"/>
        <item x="505"/>
        <item x="1024"/>
        <item x="891"/>
        <item x="1062"/>
        <item x="1168"/>
        <item x="1464"/>
        <item x="102"/>
        <item x="522"/>
        <item x="304"/>
        <item x="1492"/>
        <item x="467"/>
        <item x="308"/>
        <item x="939"/>
        <item x="1064"/>
        <item x="698"/>
        <item x="1477"/>
        <item x="425"/>
        <item x="832"/>
        <item x="98"/>
        <item x="644"/>
        <item x="1027"/>
        <item x="1254"/>
        <item x="1148"/>
        <item x="1478"/>
        <item x="511"/>
        <item x="1128"/>
        <item x="1351"/>
        <item x="27"/>
        <item x="18"/>
        <item x="1536"/>
        <item x="1022"/>
        <item x="369"/>
        <item x="12"/>
        <item x="132"/>
        <item x="821"/>
        <item x="726"/>
        <item x="970"/>
        <item x="549"/>
        <item x="160"/>
        <item x="1584"/>
        <item x="1099"/>
        <item x="1334"/>
        <item x="513"/>
        <item x="772"/>
        <item x="333"/>
        <item x="1460"/>
        <item x="446"/>
        <item x="1547"/>
        <item x="1240"/>
        <item x="154"/>
        <item x="173"/>
        <item x="502"/>
        <item x="352"/>
        <item x="620"/>
        <item x="699"/>
        <item x="1146"/>
        <item x="1158"/>
        <item x="179"/>
        <item x="1030"/>
        <item x="391"/>
        <item x="1236"/>
        <item x="1170"/>
        <item x="71"/>
        <item x="696"/>
        <item x="1554"/>
        <item x="1297"/>
        <item x="471"/>
        <item x="934"/>
        <item x="1324"/>
        <item x="1400"/>
        <item x="1537"/>
        <item x="1483"/>
        <item x="178"/>
        <item x="1405"/>
        <item x="978"/>
        <item x="539"/>
        <item x="450"/>
        <item x="898"/>
        <item x="50"/>
        <item x="778"/>
        <item x="1501"/>
        <item x="1107"/>
        <item x="486"/>
        <item x="579"/>
        <item x="103"/>
        <item x="1039"/>
        <item x="1394"/>
        <item x="346"/>
        <item x="415"/>
        <item x="815"/>
        <item x="1571"/>
        <item x="1110"/>
        <item x="597"/>
        <item x="44"/>
        <item x="618"/>
        <item x="483"/>
        <item x="980"/>
        <item x="167"/>
        <item x="830"/>
        <item x="61"/>
        <item x="1071"/>
        <item x="364"/>
        <item x="166"/>
        <item x="248"/>
        <item x="1471"/>
        <item x="619"/>
        <item x="678"/>
        <item x="943"/>
        <item x="1300"/>
        <item x="355"/>
        <item x="753"/>
        <item x="689"/>
        <item x="932"/>
        <item x="833"/>
        <item x="853"/>
        <item x="567"/>
        <item x="1469"/>
        <item x="83"/>
        <item x="1475"/>
        <item x="195"/>
        <item x="457"/>
        <item x="269"/>
        <item x="129"/>
        <item x="1605"/>
        <item x="106"/>
        <item x="605"/>
        <item x="1373"/>
        <item x="1519"/>
        <item x="844"/>
        <item x="293"/>
        <item x="1041"/>
        <item x="762"/>
        <item x="155"/>
        <item x="1134"/>
        <item x="685"/>
        <item x="639"/>
        <item x="745"/>
        <item x="610"/>
        <item x="343"/>
        <item x="938"/>
        <item x="199"/>
        <item x="430"/>
        <item x="638"/>
        <item x="1549"/>
        <item x="1329"/>
        <item x="211"/>
        <item x="382"/>
        <item x="1518"/>
        <item x="378"/>
        <item x="1277"/>
        <item x="516"/>
        <item x="569"/>
        <item x="1154"/>
        <item x="1524"/>
        <item x="1150"/>
        <item x="895"/>
        <item x="1034"/>
        <item x="1313"/>
        <item x="828"/>
        <item x="887"/>
        <item x="596"/>
        <item x="1450"/>
        <item x="1446"/>
        <item x="1491"/>
        <item x="1413"/>
        <item x="1077"/>
        <item x="1541"/>
        <item x="1182"/>
        <item x="1112"/>
        <item x="1423"/>
        <item x="1067"/>
        <item x="1303"/>
        <item x="650"/>
        <item x="1086"/>
        <item x="275"/>
        <item x="802"/>
        <item x="1497"/>
        <item x="1211"/>
        <item x="377"/>
        <item x="576"/>
        <item x="1167"/>
        <item x="1256"/>
        <item x="373"/>
        <item x="224"/>
        <item x="24"/>
        <item x="560"/>
        <item x="504"/>
        <item x="1076"/>
        <item x="397"/>
        <item x="123"/>
        <item x="409"/>
        <item x="316"/>
        <item x="279"/>
        <item x="26"/>
        <item x="1210"/>
        <item x="1261"/>
        <item x="964"/>
        <item x="1100"/>
        <item x="1328"/>
        <item x="345"/>
        <item x="996"/>
        <item x="627"/>
        <item x="1544"/>
        <item x="1073"/>
        <item x="1009"/>
        <item x="655"/>
        <item x="1593"/>
        <item x="905"/>
        <item x="791"/>
        <item x="582"/>
        <item x="1434"/>
        <item x="1123"/>
        <item x="29"/>
        <item x="1391"/>
        <item x="38"/>
        <item x="267"/>
        <item x="429"/>
        <item x="546"/>
        <item x="1092"/>
        <item x="39"/>
        <item x="793"/>
        <item x="126"/>
        <item x="1129"/>
        <item x="281"/>
        <item x="954"/>
        <item x="189"/>
        <item x="708"/>
        <item x="994"/>
        <item x="341"/>
        <item x="1021"/>
        <item x="1292"/>
        <item x="1364"/>
        <item x="101"/>
        <item x="829"/>
        <item x="789"/>
        <item x="1523"/>
        <item x="1105"/>
        <item x="370"/>
        <item x="84"/>
        <item x="609"/>
        <item x="153"/>
        <item x="758"/>
        <item x="993"/>
        <item x="910"/>
        <item x="1387"/>
        <item x="864"/>
        <item x="231"/>
        <item x="633"/>
        <item x="1101"/>
        <item x="672"/>
        <item x="443"/>
        <item x="592"/>
        <item x="1116"/>
        <item x="807"/>
        <item x="693"/>
        <item x="212"/>
        <item x="983"/>
        <item x="1072"/>
        <item x="327"/>
        <item x="845"/>
        <item x="879"/>
        <item x="1326"/>
        <item x="1106"/>
        <item x="695"/>
        <item x="533"/>
        <item x="1019"/>
        <item x="532"/>
        <item x="1216"/>
        <item x="1209"/>
        <item x="811"/>
        <item x="805"/>
        <item x="162"/>
        <item x="392"/>
        <item x="647"/>
        <item x="15"/>
        <item x="417"/>
        <item x="136"/>
        <item x="500"/>
        <item x="1458"/>
        <item x="1575"/>
        <item x="888"/>
        <item x="594"/>
        <item x="657"/>
        <item x="1287"/>
        <item x="196"/>
        <item x="478"/>
        <item x="1338"/>
        <item x="590"/>
        <item x="151"/>
        <item x="882"/>
        <item x="1535"/>
        <item x="1268"/>
        <item x="1142"/>
        <item x="1089"/>
        <item x="363"/>
        <item x="1246"/>
        <item x="892"/>
        <item x="613"/>
        <item x="541"/>
        <item x="659"/>
        <item x="986"/>
        <item x="21"/>
        <item x="1151"/>
        <item x="305"/>
        <item x="1353"/>
        <item x="1494"/>
        <item x="461"/>
        <item x="640"/>
        <item x="1403"/>
        <item x="851"/>
        <item x="999"/>
        <item x="55"/>
        <item x="816"/>
        <item x="866"/>
        <item x="512"/>
        <item x="400"/>
        <item x="1152"/>
        <item x="518"/>
        <item x="1596"/>
        <item x="434"/>
        <item x="819"/>
        <item x="923"/>
        <item x="1408"/>
        <item x="85"/>
        <item x="204"/>
        <item x="642"/>
        <item x="107"/>
        <item x="731"/>
        <item x="381"/>
        <item x="881"/>
        <item x="792"/>
        <item x="124"/>
        <item x="485"/>
        <item x="786"/>
        <item x="1033"/>
        <item x="509"/>
        <item x="1550"/>
        <item x="1057"/>
        <item x="972"/>
        <item x="1096"/>
        <item x="144"/>
        <item x="775"/>
        <item x="523"/>
        <item x="1264"/>
        <item x="186"/>
        <item x="133"/>
        <item x="317"/>
        <item x="115"/>
        <item x="1109"/>
        <item x="254"/>
        <item x="1140"/>
        <item x="1463"/>
        <item x="1090"/>
        <item x="1505"/>
        <item x="921"/>
        <item x="623"/>
        <item x="715"/>
        <item x="493"/>
        <item x="1274"/>
        <item x="185"/>
        <item x="556"/>
        <item x="284"/>
        <item x="210"/>
        <item x="362"/>
        <item x="191"/>
        <item x="1175"/>
        <item x="1114"/>
        <item x="1495"/>
        <item x="1085"/>
        <item x="1369"/>
        <item x="499"/>
        <item x="998"/>
        <item x="1301"/>
        <item x="1061"/>
        <item x="1347"/>
        <item x="96"/>
        <item x="1137"/>
        <item x="1217"/>
        <item x="804"/>
        <item x="361"/>
        <item x="1161"/>
        <item x="1376"/>
        <item x="481"/>
        <item x="863"/>
        <item x="1532"/>
        <item x="1577"/>
        <item x="631"/>
        <item x="1375"/>
        <item x="587"/>
        <item x="28"/>
        <item x="495"/>
        <item x="615"/>
        <item x="418"/>
        <item x="760"/>
        <item x="1317"/>
        <item x="1010"/>
        <item x="545"/>
        <item x="1172"/>
        <item x="1586"/>
        <item x="962"/>
        <item x="855"/>
        <item x="1189"/>
        <item x="1487"/>
        <item x="817"/>
        <item x="1144"/>
        <item x="1486"/>
        <item x="1066"/>
        <item x="1315"/>
        <item x="216"/>
        <item x="1496"/>
        <item x="228"/>
        <item x="930"/>
        <item x="806"/>
        <item x="876"/>
        <item x="306"/>
        <item x="79"/>
        <item x="13"/>
        <item x="250"/>
        <item x="1342"/>
        <item x="1093"/>
        <item x="147"/>
        <item x="629"/>
        <item x="47"/>
        <item x="919"/>
        <item x="718"/>
        <item x="40"/>
        <item x="795"/>
        <item x="784"/>
        <item x="1278"/>
        <item x="63"/>
        <item x="848"/>
        <item x="1444"/>
        <item x="520"/>
        <item x="265"/>
        <item x="1255"/>
        <item x="1583"/>
        <item x="719"/>
        <item x="9"/>
        <item x="836"/>
        <item x="1265"/>
        <item x="510"/>
        <item x="1309"/>
        <item x="438"/>
        <item x="1346"/>
        <item x="1343"/>
        <item x="872"/>
        <item x="540"/>
        <item x="1510"/>
        <item x="6"/>
        <item x="1418"/>
        <item x="1224"/>
        <item x="1046"/>
        <item x="172"/>
        <item x="1602"/>
        <item x="945"/>
        <item x="1280"/>
        <item x="813"/>
        <item x="320"/>
        <item x="116"/>
        <item x="873"/>
        <item x="755"/>
        <item x="561"/>
        <item x="7"/>
        <item x="1567"/>
        <item x="1384"/>
        <item x="1368"/>
        <item x="949"/>
        <item x="988"/>
        <item x="1370"/>
        <item x="349"/>
        <item x="356"/>
        <item x="714"/>
        <item x="46"/>
        <item x="249"/>
        <item x="449"/>
        <item x="1502"/>
        <item x="700"/>
        <item x="401"/>
        <item x="1539"/>
        <item x="66"/>
        <item x="32"/>
        <item x="1166"/>
        <item x="202"/>
        <item x="903"/>
        <item x="634"/>
        <item x="125"/>
        <item x="176"/>
        <item x="637"/>
        <item x="501"/>
        <item x="797"/>
        <item x="57"/>
        <item x="496"/>
        <item x="1437"/>
        <item x="1511"/>
        <item x="965"/>
        <item x="77"/>
        <item x="1599"/>
        <item x="641"/>
        <item x="578"/>
        <item x="1606"/>
        <item x="445"/>
        <item x="1578"/>
        <item x="909"/>
        <item x="1035"/>
        <item x="979"/>
        <item x="628"/>
        <item x="432"/>
        <item x="1122"/>
        <item x="90"/>
        <item x="100"/>
        <item x="1480"/>
        <item x="1028"/>
        <item x="476"/>
        <item x="329"/>
        <item x="1232"/>
        <item x="684"/>
        <item x="1080"/>
        <item x="584"/>
        <item x="258"/>
        <item x="741"/>
        <item x="1311"/>
        <item x="868"/>
        <item x="608"/>
        <item x="474"/>
        <item x="1589"/>
        <item x="800"/>
        <item x="812"/>
        <item x="826"/>
        <item x="1044"/>
        <item x="171"/>
        <item x="314"/>
        <item x="1263"/>
        <item x="960"/>
        <item x="1049"/>
        <item x="901"/>
        <item x="1484"/>
        <item x="526"/>
        <item x="1188"/>
        <item x="952"/>
        <item x="411"/>
        <item x="20"/>
        <item x="951"/>
        <item x="1163"/>
        <item x="73"/>
        <item x="1442"/>
        <item x="506"/>
        <item x="1296"/>
        <item x="1001"/>
        <item x="621"/>
        <item x="1253"/>
        <item x="861"/>
        <item x="1319"/>
        <item x="390"/>
        <item x="433"/>
        <item x="10"/>
        <item x="52"/>
        <item x="702"/>
        <item x="749"/>
        <item x="114"/>
        <item x="761"/>
        <item x="692"/>
        <item x="989"/>
        <item x="1074"/>
        <item x="282"/>
        <item x="290"/>
        <item x="1546"/>
        <item x="1595"/>
        <item x="1011"/>
        <item x="1160"/>
        <item x="1036"/>
        <item x="997"/>
        <item x="1281"/>
        <item x="606"/>
        <item x="1380"/>
        <item x="779"/>
        <item x="1242"/>
        <item x="703"/>
        <item x="551"/>
        <item x="1352"/>
        <item x="170"/>
        <item x="1050"/>
        <item x="564"/>
        <item x="34"/>
        <item x="894"/>
        <item x="240"/>
        <item x="421"/>
        <item x="25"/>
        <item x="728"/>
        <item x="67"/>
        <item x="790"/>
        <item x="977"/>
        <item x="207"/>
        <item x="1570"/>
        <item x="732"/>
        <item x="59"/>
        <item x="244"/>
        <item x="1200"/>
        <item x="94"/>
        <item x="1176"/>
        <item x="1005"/>
        <item x="1314"/>
        <item x="1335"/>
        <item x="1598"/>
        <item x="839"/>
        <item x="1004"/>
        <item x="987"/>
        <item x="1195"/>
        <item x="1032"/>
        <item x="35"/>
        <item x="1045"/>
        <item x="53"/>
        <item x="867"/>
        <item x="880"/>
        <item x="105"/>
        <item x="323"/>
        <item x="1344"/>
        <item x="477"/>
        <item x="1395"/>
        <item x="854"/>
        <item x="681"/>
        <item x="251"/>
        <item x="1"/>
        <item x="112"/>
        <item x="1271"/>
        <item x="1385"/>
        <item x="974"/>
        <item x="368"/>
        <item x="948"/>
        <item x="1068"/>
        <item x="666"/>
        <item x="966"/>
        <item x="756"/>
        <item x="117"/>
        <item x="335"/>
        <item x="1371"/>
        <item x="1551"/>
        <item x="347"/>
        <item x="1241"/>
        <item x="413"/>
        <item x="319"/>
        <item x="1229"/>
        <item x="182"/>
        <item x="458"/>
        <item x="1000"/>
        <item x="614"/>
        <item x="404"/>
        <item x="842"/>
        <item x="1312"/>
        <item x="746"/>
        <item x="188"/>
        <item x="95"/>
        <item x="454"/>
        <item x="1230"/>
        <item x="441"/>
        <item x="1286"/>
        <item x="884"/>
        <item x="1178"/>
        <item x="686"/>
        <item x="1350"/>
        <item x="260"/>
        <item x="490"/>
        <item x="1221"/>
        <item x="1305"/>
        <item x="302"/>
        <item x="780"/>
        <item x="517"/>
        <item x="652"/>
        <item x="1560"/>
        <item x="257"/>
        <item x="1207"/>
        <item x="384"/>
        <item x="388"/>
        <item x="1143"/>
        <item x="991"/>
        <item x="396"/>
        <item x="1262"/>
        <item x="424"/>
        <item x="674"/>
        <item x="398"/>
        <item x="81"/>
        <item x="1306"/>
        <item x="914"/>
        <item x="604"/>
        <item x="809"/>
        <item x="1322"/>
        <item x="1588"/>
        <item x="42"/>
        <item x="961"/>
        <item x="1164"/>
        <item x="1259"/>
        <item x="841"/>
        <item x="488"/>
        <item x="453"/>
        <item x="1235"/>
        <item x="1212"/>
        <item x="312"/>
        <item x="108"/>
        <item x="354"/>
        <item x="1270"/>
        <item x="662"/>
        <item x="940"/>
        <item x="479"/>
        <item x="54"/>
        <item x="272"/>
        <item x="168"/>
        <item x="407"/>
        <item x="1327"/>
        <item x="23"/>
        <item x="595"/>
        <item x="1125"/>
        <item x="1476"/>
        <item x="451"/>
        <item x="859"/>
        <item x="1355"/>
        <item x="1215"/>
        <item x="262"/>
        <item x="206"/>
        <item x="238"/>
        <item x="1075"/>
        <item x="307"/>
        <item x="1390"/>
        <item x="555"/>
        <item x="955"/>
        <item x="372"/>
        <item x="459"/>
        <item x="735"/>
        <item x="0"/>
        <item x="190"/>
        <item x="295"/>
        <item x="771"/>
        <item x="492"/>
        <item x="559"/>
        <item x="208"/>
        <item x="680"/>
        <item x="121"/>
        <item x="326"/>
        <item x="1289"/>
        <item x="439"/>
        <item x="1222"/>
        <item x="568"/>
        <item x="612"/>
        <item x="452"/>
        <item x="580"/>
        <item x="1462"/>
        <item x="423"/>
        <item x="1245"/>
        <item x="1205"/>
        <item x="1052"/>
        <item x="1397"/>
        <item x="1239"/>
        <item x="1127"/>
        <item x="691"/>
        <item x="259"/>
        <item x="1498"/>
        <item x="907"/>
        <item x="1383"/>
        <item x="663"/>
        <item x="49"/>
        <item x="37"/>
        <item x="276"/>
        <item x="1020"/>
        <item x="1047"/>
        <item x="528"/>
        <item x="1441"/>
        <item x="1357"/>
        <item x="1337"/>
        <item x="1461"/>
        <item x="1582"/>
        <item x="175"/>
        <item x="1055"/>
        <item x="1238"/>
        <item x="243"/>
        <item x="91"/>
        <item x="324"/>
        <item x="236"/>
        <item x="139"/>
        <item x="1386"/>
        <item x="1260"/>
        <item x="645"/>
        <item x="1060"/>
        <item x="192"/>
        <item x="1404"/>
        <item x="1499"/>
        <item x="1447"/>
        <item x="1153"/>
        <item x="593"/>
        <item x="904"/>
        <item x="1416"/>
        <item x="1534"/>
        <item x="22"/>
        <item x="607"/>
        <item x="1561"/>
        <item x="744"/>
        <item x="146"/>
        <item x="36"/>
        <item x="334"/>
        <item x="17"/>
        <item x="339"/>
        <item x="1269"/>
        <item x="1213"/>
        <item x="654"/>
        <item x="360"/>
        <item x="653"/>
        <item x="1530"/>
        <item x="616"/>
        <item x="799"/>
        <item x="1323"/>
        <item x="947"/>
        <item x="788"/>
        <item x="1425"/>
        <item x="1540"/>
        <item x="292"/>
        <item x="62"/>
        <item x="643"/>
        <item x="1298"/>
        <item x="1452"/>
        <item x="1131"/>
        <item x="340"/>
        <item x="724"/>
        <item x="1190"/>
        <item x="1065"/>
        <item x="1398"/>
        <item x="1439"/>
        <item x="469"/>
        <item x="1528"/>
        <item x="591"/>
        <item x="1526"/>
        <item x="470"/>
        <item x="736"/>
        <item x="375"/>
        <item x="422"/>
        <item x="751"/>
        <item x="113"/>
        <item x="480"/>
        <item x="130"/>
        <item x="288"/>
        <item x="1361"/>
        <item x="221"/>
        <item x="437"/>
        <item x="1136"/>
        <item x="893"/>
        <item x="1365"/>
        <item x="748"/>
        <item x="950"/>
        <item x="1017"/>
        <item x="1377"/>
        <item x="131"/>
        <item x="104"/>
        <item x="1509"/>
        <item x="1522"/>
        <item x="820"/>
        <item x="1174"/>
        <item x="622"/>
        <item x="150"/>
        <item x="649"/>
        <item x="374"/>
        <item x="1121"/>
        <item x="1489"/>
        <item x="1431"/>
        <item x="1031"/>
        <item x="468"/>
        <item x="1565"/>
        <item x="757"/>
        <item x="1273"/>
        <item x="547"/>
        <item x="122"/>
        <item x="1219"/>
        <item x="931"/>
        <item x="906"/>
        <item x="359"/>
        <item x="514"/>
        <item x="386"/>
        <item x="878"/>
        <item x="823"/>
        <item x="722"/>
        <item x="266"/>
        <item x="770"/>
        <item x="781"/>
        <item x="1562"/>
        <item x="759"/>
        <item x="201"/>
        <item x="738"/>
        <item x="482"/>
        <item x="814"/>
        <item x="43"/>
        <item x="723"/>
        <item x="671"/>
        <item x="1517"/>
        <item x="261"/>
        <item x="389"/>
        <item x="1453"/>
        <item x="1051"/>
        <item x="177"/>
        <item x="1008"/>
        <item x="697"/>
        <item x="1414"/>
        <item x="5"/>
        <item x="971"/>
        <item x="664"/>
        <item x="1401"/>
        <item x="233"/>
        <item x="235"/>
        <item x="1563"/>
        <item x="313"/>
        <item x="219"/>
        <item x="159"/>
        <item x="764"/>
        <item x="1472"/>
        <item x="1206"/>
        <item x="908"/>
        <item x="1321"/>
        <item x="1542"/>
        <item x="1088"/>
        <item x="1040"/>
        <item x="1183"/>
        <item x="440"/>
        <item x="296"/>
        <item x="1249"/>
        <item x="161"/>
        <item x="1362"/>
        <item x="527"/>
        <item x="570"/>
        <item x="193"/>
        <item x="1133"/>
        <item x="1470"/>
        <item x="303"/>
        <item x="769"/>
        <item x="1374"/>
        <item x="1247"/>
        <item x="598"/>
        <item x="1126"/>
        <item x="856"/>
        <item x="1419"/>
        <item x="1345"/>
        <item x="846"/>
        <item x="1569"/>
        <item x="982"/>
        <item x="665"/>
        <item x="1171"/>
        <item x="234"/>
        <item x="825"/>
        <item x="371"/>
        <item x="1058"/>
        <item x="1181"/>
        <item x="1459"/>
        <item x="120"/>
        <item x="920"/>
        <item x="31"/>
        <item x="1468"/>
        <item x="1466"/>
        <item x="777"/>
        <item x="869"/>
        <item x="1515"/>
        <item x="455"/>
        <item x="1091"/>
        <item x="1479"/>
        <item x="149"/>
        <item x="183"/>
        <item x="897"/>
        <item x="1104"/>
        <item x="850"/>
        <item x="1180"/>
        <item x="56"/>
        <item x="87"/>
        <item x="1412"/>
        <item x="1043"/>
        <item x="1214"/>
        <item x="1473"/>
        <item x="181"/>
        <item x="1186"/>
        <item x="271"/>
        <item x="1162"/>
        <item x="953"/>
        <item x="603"/>
        <item x="575"/>
        <item x="1007"/>
        <item x="862"/>
        <item x="716"/>
        <item x="297"/>
        <item x="1016"/>
        <item x="1069"/>
        <item x="573"/>
        <item x="774"/>
        <item x="968"/>
        <item x="588"/>
        <item x="1349"/>
        <item x="145"/>
        <item x="338"/>
        <item x="1545"/>
        <item x="1424"/>
        <item x="581"/>
        <item x="1013"/>
        <item x="1506"/>
        <item x="874"/>
        <item x="264"/>
        <item x="315"/>
        <item x="229"/>
        <item x="215"/>
        <item x="1087"/>
        <item x="230"/>
        <item x="466"/>
        <item x="1290"/>
        <item x="310"/>
        <item x="8"/>
        <item x="1520"/>
        <item x="729"/>
        <item x="414"/>
        <item x="387"/>
        <item x="852"/>
        <item x="713"/>
        <item x="1465"/>
        <item x="1056"/>
        <item x="286"/>
        <item x="82"/>
        <item x="325"/>
        <item x="577"/>
        <item x="405"/>
        <item x="706"/>
        <item x="687"/>
        <item x="808"/>
        <item x="929"/>
        <item x="1564"/>
        <item x="683"/>
        <item x="1485"/>
        <item x="1120"/>
        <item x="1507"/>
        <item x="740"/>
        <item x="1514"/>
        <item x="80"/>
        <item x="710"/>
        <item x="448"/>
        <item x="617"/>
        <item x="785"/>
        <item x="1248"/>
        <item x="357"/>
        <item x="456"/>
        <item x="935"/>
        <item x="1095"/>
        <item x="197"/>
        <item x="975"/>
        <item x="704"/>
        <item x="1573"/>
        <item x="635"/>
        <item x="301"/>
        <item x="246"/>
        <item x="408"/>
        <item x="705"/>
        <item x="589"/>
        <item x="1339"/>
        <item x="1457"/>
        <item x="148"/>
        <item x="1187"/>
        <item x="1378"/>
        <item x="1445"/>
        <item x="74"/>
        <item x="1204"/>
        <item x="3"/>
        <item x="431"/>
        <item x="739"/>
        <item x="927"/>
        <item x="566"/>
        <item x="75"/>
        <item x="1435"/>
        <item x="673"/>
        <item x="601"/>
        <item x="565"/>
        <item x="344"/>
        <item x="1513"/>
        <item x="1299"/>
        <item x="1389"/>
        <item x="14"/>
        <item x="734"/>
        <item x="1275"/>
        <item x="917"/>
        <item x="717"/>
        <item x="1438"/>
        <item x="1135"/>
        <item x="1192"/>
        <item x="473"/>
        <item x="660"/>
        <item x="1382"/>
        <item x="1601"/>
        <item x="1504"/>
        <item x="552"/>
        <item x="925"/>
        <item x="428"/>
        <item x="818"/>
        <item x="237"/>
        <item x="399"/>
        <item x="394"/>
        <item x="1527"/>
        <item x="773"/>
        <item x="1558"/>
        <item x="543"/>
        <item x="1531"/>
        <item x="1227"/>
        <item x="1379"/>
        <item x="1467"/>
        <item x="1516"/>
        <item x="1302"/>
        <item x="444"/>
        <item x="226"/>
        <item x="1196"/>
        <item x="1411"/>
        <item x="682"/>
        <item x="1002"/>
        <item x="1276"/>
        <item x="963"/>
        <item x="1392"/>
        <item x="1059"/>
        <item x="519"/>
        <item x="1318"/>
        <item x="241"/>
        <item x="985"/>
        <item x="498"/>
        <item x="426"/>
        <item x="690"/>
        <item x="1078"/>
        <item x="48"/>
        <item x="1015"/>
        <item x="1427"/>
        <item x="494"/>
        <item x="1393"/>
        <item x="1488"/>
        <item x="1482"/>
        <item x="668"/>
        <item x="636"/>
        <item x="1396"/>
        <item x="553"/>
        <item x="959"/>
        <item x="1421"/>
        <item x="1201"/>
        <item x="1294"/>
        <item x="883"/>
        <item x="1053"/>
        <item x="1108"/>
        <item x="1407"/>
        <item x="65"/>
        <item x="667"/>
        <item x="157"/>
        <item x="583"/>
        <item x="1226"/>
        <item x="827"/>
        <item x="489"/>
        <item x="941"/>
        <item x="1553"/>
        <item x="1079"/>
        <item x="973"/>
        <item x="1543"/>
        <item x="205"/>
        <item x="535"/>
        <item x="1493"/>
        <item x="1363"/>
        <item x="1456"/>
        <item x="350"/>
        <item x="1430"/>
        <item x="1266"/>
        <item x="298"/>
        <item x="311"/>
        <item x="766"/>
        <item x="1288"/>
        <item x="688"/>
        <item x="679"/>
        <item x="709"/>
        <item x="217"/>
        <item x="1422"/>
        <item x="11"/>
        <item x="19"/>
        <item x="554"/>
        <item x="118"/>
        <item x="263"/>
        <item x="1557"/>
        <item x="111"/>
        <item x="51"/>
        <item x="1566"/>
        <item x="1310"/>
        <item x="332"/>
        <item x="524"/>
        <item x="1521"/>
        <item x="1410"/>
        <item x="870"/>
        <item x="60"/>
        <item x="600"/>
        <item x="1225"/>
        <item x="1130"/>
        <item x="342"/>
        <item x="1293"/>
        <item x="203"/>
        <item x="209"/>
        <item x="918"/>
        <item x="403"/>
        <item x="946"/>
        <item x="328"/>
        <item x="97"/>
        <item x="242"/>
        <item x="796"/>
        <item x="1555"/>
        <item x="4"/>
        <item x="1132"/>
        <item x="585"/>
        <item x="1443"/>
        <item x="562"/>
        <item x="984"/>
        <item x="957"/>
        <item x="1155"/>
        <item x="380"/>
        <item x="676"/>
        <item x="291"/>
        <item x="916"/>
        <item x="624"/>
        <item x="1333"/>
        <item x="557"/>
        <item x="184"/>
        <item x="712"/>
        <item x="70"/>
        <item x="465"/>
        <item x="1304"/>
        <item x="1481"/>
        <item x="1415"/>
        <item x="33"/>
        <item x="442"/>
        <item x="358"/>
        <item x="1533"/>
        <item x="648"/>
        <item x="376"/>
        <item x="140"/>
        <item x="1320"/>
        <item x="730"/>
        <item x="877"/>
        <item x="1228"/>
        <item x="885"/>
        <item x="1179"/>
        <item x="599"/>
        <item x="406"/>
        <item x="299"/>
        <item x="1145"/>
        <item x="768"/>
        <item x="1474"/>
        <item x="1592"/>
        <item x="1082"/>
        <item x="464"/>
        <item x="1340"/>
        <item x="701"/>
        <item x="1194"/>
        <item x="1279"/>
        <item x="88"/>
        <item x="992"/>
        <item x="1285"/>
        <item x="273"/>
        <item x="958"/>
        <item x="1218"/>
        <item x="721"/>
        <item x="1237"/>
        <item x="1014"/>
        <item x="922"/>
        <item x="395"/>
        <item x="1193"/>
        <item x="656"/>
        <item x="245"/>
        <item x="1367"/>
        <item x="1508"/>
        <item x="278"/>
        <item x="1402"/>
        <item x="280"/>
        <item x="156"/>
        <item x="1455"/>
        <item x="128"/>
        <item x="285"/>
        <item x="1585"/>
        <item x="1177"/>
        <item x="200"/>
        <item x="1094"/>
        <item x="142"/>
        <item x="366"/>
        <item x="213"/>
        <item x="754"/>
        <item x="1529"/>
        <item x="402"/>
        <item x="521"/>
        <item x="1251"/>
        <item x="1406"/>
        <item x="2"/>
        <item x="270"/>
        <item x="143"/>
        <item x="1250"/>
        <item x="937"/>
        <item x="1358"/>
        <item x="427"/>
        <item x="1185"/>
        <item x="119"/>
        <item x="801"/>
        <item x="268"/>
        <item x="274"/>
        <item x="787"/>
        <item x="503"/>
        <item x="1139"/>
        <item x="294"/>
        <item x="227"/>
        <item x="733"/>
        <item x="525"/>
        <item x="16"/>
        <item x="743"/>
        <item x="835"/>
        <item x="763"/>
        <item x="669"/>
        <item x="1552"/>
        <item x="1607"/>
        <item x="1356"/>
        <item x="283"/>
        <item x="1165"/>
        <item x="300"/>
        <item x="1267"/>
        <item x="508"/>
        <item x="750"/>
        <item x="1118"/>
        <item x="536"/>
        <item x="1081"/>
        <item x="353"/>
        <item x="255"/>
        <item x="164"/>
        <item x="289"/>
        <item x="1037"/>
        <item x="69"/>
        <item x="765"/>
        <item x="865"/>
        <item x="1341"/>
        <item x="1381"/>
        <item x="1202"/>
        <item x="926"/>
        <item x="1029"/>
        <item x="1433"/>
        <item x="1426"/>
        <item x="86"/>
        <item x="550"/>
        <item x="180"/>
        <item x="670"/>
        <item x="1102"/>
        <item x="163"/>
        <item x="1231"/>
        <item x="1173"/>
        <item x="1548"/>
        <item x="711"/>
        <item x="64"/>
        <item x="110"/>
        <item x="847"/>
        <item x="1203"/>
        <item x="747"/>
        <item x="348"/>
        <item x="30"/>
        <item x="1025"/>
        <item x="824"/>
        <item x="1348"/>
        <item x="1223"/>
        <item x="725"/>
        <item x="1198"/>
        <item x="1500"/>
        <item x="1272"/>
        <item x="367"/>
        <item x="837"/>
        <item x="896"/>
        <item x="68"/>
        <item x="1006"/>
        <item x="220"/>
        <item x="625"/>
        <item x="1098"/>
        <item x="1559"/>
        <item x="1258"/>
        <item x="742"/>
        <item x="93"/>
        <item x="875"/>
        <item x="1417"/>
        <item x="871"/>
        <item x="472"/>
        <item x="912"/>
        <item x="843"/>
        <item x="1208"/>
        <item x="435"/>
        <item x="1054"/>
        <item x="1366"/>
        <item x="1119"/>
        <item x="491"/>
        <item x="158"/>
        <item x="336"/>
        <item x="1042"/>
        <item x="1103"/>
        <item x="463"/>
        <item x="1587"/>
        <item x="677"/>
        <item x="913"/>
        <item x="782"/>
        <item x="331"/>
        <item x="1291"/>
        <item x="1604"/>
        <item x="462"/>
        <item x="1295"/>
        <item x="141"/>
        <item x="915"/>
        <item x="1600"/>
        <item x="1432"/>
        <item x="1409"/>
        <item x="542"/>
        <item x="1282"/>
        <item x="902"/>
        <item x="1233"/>
        <item x="1449"/>
        <item x="1336"/>
        <item x="337"/>
        <item x="911"/>
        <item x="936"/>
        <item x="611"/>
        <item x="187"/>
        <item x="630"/>
        <item x="45"/>
        <item x="253"/>
        <item x="1428"/>
        <item x="1023"/>
        <item x="890"/>
        <item x="92"/>
        <item x="484"/>
        <item x="889"/>
        <item x="1220"/>
        <item x="658"/>
        <item x="277"/>
        <item x="1360"/>
        <item x="322"/>
        <item x="900"/>
        <item x="860"/>
        <item x="803"/>
        <item x="1556"/>
        <item x="694"/>
        <item x="412"/>
        <item x="89"/>
        <item x="571"/>
        <item x="537"/>
        <item x="1316"/>
        <item x="1359"/>
        <item x="1038"/>
        <item x="214"/>
        <item x="1284"/>
        <item x="58"/>
        <item x="1332"/>
        <item x="810"/>
        <item x="41"/>
        <item x="460"/>
        <item x="1330"/>
        <item x="1084"/>
        <item x="379"/>
        <item x="1147"/>
        <item x="1581"/>
        <item x="138"/>
        <item x="1149"/>
        <item x="1115"/>
        <item x="321"/>
        <item x="752"/>
        <item x="981"/>
        <item x="1159"/>
        <item x="646"/>
        <item x="1454"/>
        <item x="497"/>
        <item x="1608"/>
        <item f="1" x="1609"/>
        <item f="1" x="1610"/>
        <item t="default"/>
      </items>
    </pivotField>
    <pivotField dataField="1" showAll="0"/>
    <pivotField showAll="0"/>
    <pivotField showAll="0"/>
    <pivotField showAll="0"/>
    <pivotField showAll="0"/>
    <pivotField showAll="0"/>
    <pivotField showAll="0"/>
    <pivotField showAll="0"/>
    <pivotField showAll="0"/>
  </pivotFields>
  <rowFields count="1">
    <field x="2"/>
  </rowFields>
  <rowItems count="4">
    <i>
      <x/>
    </i>
    <i>
      <x v="1"/>
    </i>
    <i>
      <x v="2"/>
    </i>
    <i>
      <x v="3"/>
    </i>
  </rowItems>
  <colItems count="1">
    <i/>
  </colItems>
  <dataFields count="1">
    <dataField name="Sum of Sales" fld="5" baseField="0" baseItem="0"/>
  </dataFields>
  <formats count="2">
    <format dxfId="19">
      <pivotArea collapsedLevelsAreSubtotals="1" fieldPosition="0">
        <references count="1">
          <reference field="2" count="4">
            <x v="0"/>
            <x v="1"/>
            <x v="2"/>
            <x v="3"/>
          </reference>
        </references>
      </pivotArea>
    </format>
    <format dxfId="20">
      <pivotArea grandRow="1"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E99892-BDED-4D9B-802D-132E824080DF}" name="PivotTable3"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Month Name">
  <location ref="H6:I18" firstHeaderRow="1" firstDataRow="1" firstDataCol="1"/>
  <pivotFields count="14">
    <pivotField showAll="0"/>
    <pivotField showAll="0"/>
    <pivotField showAll="0"/>
    <pivotField showAll="0"/>
    <pivotField showAll="0">
      <items count="1612">
        <item x="318"/>
        <item x="720"/>
        <item x="309"/>
        <item x="1197"/>
        <item x="838"/>
        <item x="1138"/>
        <item x="544"/>
        <item x="798"/>
        <item x="707"/>
        <item x="252"/>
        <item x="410"/>
        <item x="416"/>
        <item x="222"/>
        <item x="531"/>
        <item x="475"/>
        <item x="1590"/>
        <item x="1307"/>
        <item x="515"/>
        <item x="1048"/>
        <item x="626"/>
        <item x="1252"/>
        <item x="225"/>
        <item x="287"/>
        <item x="563"/>
        <item x="737"/>
        <item x="330"/>
        <item x="776"/>
        <item x="651"/>
        <item x="76"/>
        <item x="198"/>
        <item x="256"/>
        <item x="783"/>
        <item x="383"/>
        <item x="1012"/>
        <item x="849"/>
        <item x="727"/>
        <item x="1388"/>
        <item x="1083"/>
        <item x="1026"/>
        <item x="822"/>
        <item x="834"/>
        <item x="944"/>
        <item x="840"/>
        <item x="1257"/>
        <item x="393"/>
        <item x="995"/>
        <item x="99"/>
        <item x="831"/>
        <item x="767"/>
        <item x="1440"/>
        <item x="976"/>
        <item x="990"/>
        <item x="1579"/>
        <item x="507"/>
        <item x="1580"/>
        <item x="174"/>
        <item x="1018"/>
        <item x="1576"/>
        <item x="127"/>
        <item x="169"/>
        <item x="152"/>
        <item x="1354"/>
        <item x="530"/>
        <item x="1111"/>
        <item x="1372"/>
        <item x="1594"/>
        <item x="924"/>
        <item x="558"/>
        <item x="1603"/>
        <item x="1538"/>
        <item x="1244"/>
        <item x="1070"/>
        <item x="194"/>
        <item x="1572"/>
        <item x="632"/>
        <item x="857"/>
        <item x="933"/>
        <item x="967"/>
        <item x="134"/>
        <item x="135"/>
        <item x="1283"/>
        <item x="534"/>
        <item x="218"/>
        <item x="899"/>
        <item x="419"/>
        <item x="1597"/>
        <item x="538"/>
        <item x="661"/>
        <item x="794"/>
        <item x="586"/>
        <item x="1448"/>
        <item x="447"/>
        <item x="1156"/>
        <item x="223"/>
        <item x="1063"/>
        <item x="165"/>
        <item x="1117"/>
        <item x="72"/>
        <item x="436"/>
        <item x="137"/>
        <item x="1141"/>
        <item x="956"/>
        <item x="969"/>
        <item x="675"/>
        <item x="1169"/>
        <item x="1451"/>
        <item x="1184"/>
        <item x="420"/>
        <item x="1113"/>
        <item x="239"/>
        <item x="574"/>
        <item x="365"/>
        <item x="1097"/>
        <item x="1199"/>
        <item x="1399"/>
        <item x="487"/>
        <item x="385"/>
        <item x="1591"/>
        <item x="1436"/>
        <item x="858"/>
        <item x="886"/>
        <item x="1503"/>
        <item x="109"/>
        <item x="232"/>
        <item x="1124"/>
        <item x="602"/>
        <item x="1331"/>
        <item x="1234"/>
        <item x="942"/>
        <item x="572"/>
        <item x="1243"/>
        <item x="1525"/>
        <item x="1325"/>
        <item x="1420"/>
        <item x="548"/>
        <item x="1574"/>
        <item x="351"/>
        <item x="1003"/>
        <item x="1490"/>
        <item x="247"/>
        <item x="1429"/>
        <item x="1157"/>
        <item x="1568"/>
        <item x="78"/>
        <item x="1308"/>
        <item x="529"/>
        <item x="928"/>
        <item x="1191"/>
        <item x="1512"/>
        <item x="505"/>
        <item x="1024"/>
        <item x="891"/>
        <item x="1062"/>
        <item x="1168"/>
        <item x="1464"/>
        <item x="102"/>
        <item x="522"/>
        <item x="304"/>
        <item x="1492"/>
        <item x="467"/>
        <item x="308"/>
        <item x="939"/>
        <item x="1064"/>
        <item x="698"/>
        <item x="1477"/>
        <item x="425"/>
        <item x="832"/>
        <item x="98"/>
        <item x="644"/>
        <item x="1027"/>
        <item x="1254"/>
        <item x="1148"/>
        <item x="1478"/>
        <item x="511"/>
        <item x="1128"/>
        <item x="1351"/>
        <item x="27"/>
        <item x="18"/>
        <item x="1536"/>
        <item x="1022"/>
        <item x="369"/>
        <item x="12"/>
        <item x="132"/>
        <item x="821"/>
        <item x="726"/>
        <item x="970"/>
        <item x="549"/>
        <item x="160"/>
        <item x="1584"/>
        <item x="1099"/>
        <item x="1334"/>
        <item x="513"/>
        <item x="772"/>
        <item x="333"/>
        <item x="1460"/>
        <item x="446"/>
        <item x="1547"/>
        <item x="1240"/>
        <item x="154"/>
        <item x="173"/>
        <item x="502"/>
        <item x="352"/>
        <item x="620"/>
        <item x="699"/>
        <item x="1146"/>
        <item x="1158"/>
        <item x="179"/>
        <item x="1030"/>
        <item x="391"/>
        <item x="1236"/>
        <item x="1170"/>
        <item x="71"/>
        <item x="696"/>
        <item x="1554"/>
        <item x="1297"/>
        <item x="471"/>
        <item x="934"/>
        <item x="1324"/>
        <item x="1400"/>
        <item x="1537"/>
        <item x="1483"/>
        <item x="178"/>
        <item x="1405"/>
        <item x="978"/>
        <item x="539"/>
        <item x="450"/>
        <item x="898"/>
        <item x="50"/>
        <item x="778"/>
        <item x="1501"/>
        <item x="1107"/>
        <item x="486"/>
        <item x="579"/>
        <item x="103"/>
        <item x="1039"/>
        <item x="1394"/>
        <item x="346"/>
        <item x="415"/>
        <item x="815"/>
        <item x="1571"/>
        <item x="1110"/>
        <item x="597"/>
        <item x="44"/>
        <item x="618"/>
        <item x="483"/>
        <item x="980"/>
        <item x="167"/>
        <item x="830"/>
        <item x="61"/>
        <item x="1071"/>
        <item x="364"/>
        <item x="166"/>
        <item x="248"/>
        <item x="1471"/>
        <item x="619"/>
        <item x="678"/>
        <item x="943"/>
        <item x="1300"/>
        <item x="355"/>
        <item x="753"/>
        <item x="689"/>
        <item x="932"/>
        <item x="833"/>
        <item x="853"/>
        <item x="567"/>
        <item x="1469"/>
        <item x="83"/>
        <item x="1475"/>
        <item x="195"/>
        <item x="457"/>
        <item x="269"/>
        <item x="129"/>
        <item x="1605"/>
        <item x="106"/>
        <item x="605"/>
        <item x="1373"/>
        <item x="1519"/>
        <item x="844"/>
        <item x="293"/>
        <item x="1041"/>
        <item x="762"/>
        <item x="155"/>
        <item x="1134"/>
        <item x="685"/>
        <item x="639"/>
        <item x="745"/>
        <item x="610"/>
        <item x="343"/>
        <item x="938"/>
        <item x="199"/>
        <item x="430"/>
        <item x="638"/>
        <item x="1549"/>
        <item x="1329"/>
        <item x="211"/>
        <item x="382"/>
        <item x="1518"/>
        <item x="378"/>
        <item x="1277"/>
        <item x="516"/>
        <item x="569"/>
        <item x="1154"/>
        <item x="1524"/>
        <item x="1150"/>
        <item x="895"/>
        <item x="1034"/>
        <item x="1313"/>
        <item x="828"/>
        <item x="887"/>
        <item x="596"/>
        <item x="1450"/>
        <item x="1446"/>
        <item x="1491"/>
        <item x="1413"/>
        <item x="1077"/>
        <item x="1541"/>
        <item x="1182"/>
        <item x="1112"/>
        <item x="1423"/>
        <item x="1067"/>
        <item x="1303"/>
        <item x="650"/>
        <item x="1086"/>
        <item x="275"/>
        <item x="802"/>
        <item x="1497"/>
        <item x="1211"/>
        <item x="377"/>
        <item x="576"/>
        <item x="1167"/>
        <item x="1256"/>
        <item x="373"/>
        <item x="224"/>
        <item x="24"/>
        <item x="560"/>
        <item x="504"/>
        <item x="1076"/>
        <item x="397"/>
        <item x="123"/>
        <item x="409"/>
        <item x="316"/>
        <item x="279"/>
        <item x="26"/>
        <item x="1210"/>
        <item x="1261"/>
        <item x="964"/>
        <item x="1100"/>
        <item x="1328"/>
        <item x="345"/>
        <item x="996"/>
        <item x="627"/>
        <item x="1544"/>
        <item x="1073"/>
        <item x="1009"/>
        <item x="655"/>
        <item x="1593"/>
        <item x="905"/>
        <item x="791"/>
        <item x="582"/>
        <item x="1434"/>
        <item x="1123"/>
        <item x="29"/>
        <item x="1391"/>
        <item x="38"/>
        <item x="267"/>
        <item x="429"/>
        <item x="546"/>
        <item x="1092"/>
        <item x="39"/>
        <item x="793"/>
        <item x="126"/>
        <item x="1129"/>
        <item x="281"/>
        <item x="954"/>
        <item x="189"/>
        <item x="708"/>
        <item x="994"/>
        <item x="341"/>
        <item x="1021"/>
        <item x="1292"/>
        <item x="1364"/>
        <item x="101"/>
        <item x="829"/>
        <item x="789"/>
        <item x="1523"/>
        <item x="1105"/>
        <item x="370"/>
        <item x="84"/>
        <item x="609"/>
        <item x="153"/>
        <item x="758"/>
        <item x="993"/>
        <item x="910"/>
        <item x="1387"/>
        <item x="864"/>
        <item x="231"/>
        <item x="633"/>
        <item x="1101"/>
        <item x="672"/>
        <item x="443"/>
        <item x="592"/>
        <item x="1116"/>
        <item x="807"/>
        <item x="693"/>
        <item x="212"/>
        <item x="983"/>
        <item x="1072"/>
        <item x="327"/>
        <item x="845"/>
        <item x="879"/>
        <item x="1326"/>
        <item x="1106"/>
        <item x="695"/>
        <item x="533"/>
        <item x="1019"/>
        <item x="532"/>
        <item x="1216"/>
        <item x="1209"/>
        <item x="811"/>
        <item x="805"/>
        <item x="162"/>
        <item x="392"/>
        <item x="647"/>
        <item x="15"/>
        <item x="417"/>
        <item x="136"/>
        <item x="500"/>
        <item x="1458"/>
        <item x="1575"/>
        <item x="888"/>
        <item x="594"/>
        <item x="657"/>
        <item x="1287"/>
        <item x="196"/>
        <item x="478"/>
        <item x="1338"/>
        <item x="590"/>
        <item x="151"/>
        <item x="882"/>
        <item x="1535"/>
        <item x="1268"/>
        <item x="1142"/>
        <item x="1089"/>
        <item x="363"/>
        <item x="1246"/>
        <item x="892"/>
        <item x="613"/>
        <item x="541"/>
        <item x="659"/>
        <item x="986"/>
        <item x="21"/>
        <item x="1151"/>
        <item x="305"/>
        <item x="1353"/>
        <item x="1494"/>
        <item x="461"/>
        <item x="640"/>
        <item x="1403"/>
        <item x="851"/>
        <item x="999"/>
        <item x="55"/>
        <item x="816"/>
        <item x="866"/>
        <item x="512"/>
        <item x="400"/>
        <item x="1152"/>
        <item x="518"/>
        <item x="1596"/>
        <item x="434"/>
        <item x="819"/>
        <item x="923"/>
        <item x="1408"/>
        <item x="85"/>
        <item x="204"/>
        <item x="642"/>
        <item x="107"/>
        <item x="731"/>
        <item x="381"/>
        <item x="881"/>
        <item x="792"/>
        <item x="124"/>
        <item x="485"/>
        <item x="786"/>
        <item x="1033"/>
        <item x="509"/>
        <item x="1550"/>
        <item x="1057"/>
        <item x="972"/>
        <item x="1096"/>
        <item x="144"/>
        <item x="775"/>
        <item x="523"/>
        <item x="1264"/>
        <item x="186"/>
        <item x="133"/>
        <item x="317"/>
        <item x="115"/>
        <item x="1109"/>
        <item x="254"/>
        <item x="1140"/>
        <item x="1463"/>
        <item x="1090"/>
        <item x="1505"/>
        <item x="921"/>
        <item x="623"/>
        <item x="715"/>
        <item x="493"/>
        <item x="1274"/>
        <item x="185"/>
        <item x="556"/>
        <item x="284"/>
        <item x="210"/>
        <item x="362"/>
        <item x="191"/>
        <item x="1175"/>
        <item x="1114"/>
        <item x="1495"/>
        <item x="1085"/>
        <item x="1369"/>
        <item x="499"/>
        <item x="998"/>
        <item x="1301"/>
        <item x="1061"/>
        <item x="1347"/>
        <item x="96"/>
        <item x="1137"/>
        <item x="1217"/>
        <item x="804"/>
        <item x="361"/>
        <item x="1161"/>
        <item x="1376"/>
        <item x="481"/>
        <item x="863"/>
        <item x="1532"/>
        <item x="1577"/>
        <item x="631"/>
        <item x="1375"/>
        <item x="587"/>
        <item x="28"/>
        <item x="495"/>
        <item x="615"/>
        <item x="418"/>
        <item x="760"/>
        <item x="1317"/>
        <item x="1010"/>
        <item x="545"/>
        <item x="1172"/>
        <item x="1586"/>
        <item x="962"/>
        <item x="855"/>
        <item x="1189"/>
        <item x="1487"/>
        <item x="817"/>
        <item x="1144"/>
        <item x="1486"/>
        <item x="1066"/>
        <item x="1315"/>
        <item x="216"/>
        <item x="1496"/>
        <item x="228"/>
        <item x="930"/>
        <item x="806"/>
        <item x="876"/>
        <item x="306"/>
        <item x="79"/>
        <item x="13"/>
        <item x="250"/>
        <item x="1342"/>
        <item x="1093"/>
        <item x="147"/>
        <item x="629"/>
        <item x="47"/>
        <item x="919"/>
        <item x="718"/>
        <item x="40"/>
        <item x="795"/>
        <item x="784"/>
        <item x="1278"/>
        <item x="63"/>
        <item x="848"/>
        <item x="1444"/>
        <item x="520"/>
        <item x="265"/>
        <item x="1255"/>
        <item x="1583"/>
        <item x="719"/>
        <item x="9"/>
        <item x="836"/>
        <item x="1265"/>
        <item x="510"/>
        <item x="1309"/>
        <item x="438"/>
        <item x="1346"/>
        <item x="1343"/>
        <item x="872"/>
        <item x="540"/>
        <item x="1510"/>
        <item x="6"/>
        <item x="1418"/>
        <item x="1224"/>
        <item x="1046"/>
        <item x="172"/>
        <item x="1602"/>
        <item x="945"/>
        <item x="1280"/>
        <item x="813"/>
        <item x="320"/>
        <item x="116"/>
        <item x="873"/>
        <item x="755"/>
        <item x="561"/>
        <item x="7"/>
        <item x="1567"/>
        <item x="1384"/>
        <item x="1368"/>
        <item x="949"/>
        <item x="988"/>
        <item x="1370"/>
        <item x="349"/>
        <item x="356"/>
        <item x="714"/>
        <item x="46"/>
        <item x="249"/>
        <item x="449"/>
        <item x="1502"/>
        <item x="700"/>
        <item x="401"/>
        <item x="1539"/>
        <item x="66"/>
        <item x="32"/>
        <item x="1166"/>
        <item x="202"/>
        <item x="903"/>
        <item x="634"/>
        <item x="125"/>
        <item x="176"/>
        <item x="637"/>
        <item x="501"/>
        <item x="797"/>
        <item x="57"/>
        <item x="496"/>
        <item x="1437"/>
        <item x="1511"/>
        <item x="965"/>
        <item x="77"/>
        <item x="1599"/>
        <item x="641"/>
        <item x="578"/>
        <item x="1606"/>
        <item x="445"/>
        <item x="1578"/>
        <item x="909"/>
        <item x="1035"/>
        <item x="979"/>
        <item x="628"/>
        <item x="432"/>
        <item x="1122"/>
        <item x="90"/>
        <item x="100"/>
        <item x="1480"/>
        <item x="1028"/>
        <item x="476"/>
        <item x="329"/>
        <item x="1232"/>
        <item x="684"/>
        <item x="1080"/>
        <item x="584"/>
        <item x="258"/>
        <item x="741"/>
        <item x="1311"/>
        <item x="868"/>
        <item x="608"/>
        <item x="474"/>
        <item x="1589"/>
        <item x="800"/>
        <item x="812"/>
        <item x="826"/>
        <item x="1044"/>
        <item x="171"/>
        <item x="314"/>
        <item x="1263"/>
        <item x="960"/>
        <item x="1049"/>
        <item x="901"/>
        <item x="1484"/>
        <item x="526"/>
        <item x="1188"/>
        <item x="952"/>
        <item x="411"/>
        <item x="20"/>
        <item x="951"/>
        <item x="1163"/>
        <item x="73"/>
        <item x="1442"/>
        <item x="506"/>
        <item x="1296"/>
        <item x="1001"/>
        <item x="621"/>
        <item x="1253"/>
        <item x="861"/>
        <item x="1319"/>
        <item x="390"/>
        <item x="433"/>
        <item x="10"/>
        <item x="52"/>
        <item x="702"/>
        <item x="749"/>
        <item x="114"/>
        <item x="761"/>
        <item x="692"/>
        <item x="989"/>
        <item x="1074"/>
        <item x="282"/>
        <item x="290"/>
        <item x="1546"/>
        <item x="1595"/>
        <item x="1011"/>
        <item x="1160"/>
        <item x="1036"/>
        <item x="997"/>
        <item x="1281"/>
        <item x="606"/>
        <item x="1380"/>
        <item x="779"/>
        <item x="1242"/>
        <item x="703"/>
        <item x="551"/>
        <item x="1352"/>
        <item x="170"/>
        <item x="1050"/>
        <item x="564"/>
        <item x="34"/>
        <item x="894"/>
        <item x="240"/>
        <item x="421"/>
        <item x="25"/>
        <item x="728"/>
        <item x="67"/>
        <item x="790"/>
        <item x="977"/>
        <item x="207"/>
        <item x="1570"/>
        <item x="732"/>
        <item x="59"/>
        <item x="244"/>
        <item x="1200"/>
        <item x="94"/>
        <item x="1176"/>
        <item x="1005"/>
        <item x="1314"/>
        <item x="1335"/>
        <item x="1598"/>
        <item x="839"/>
        <item x="1004"/>
        <item x="987"/>
        <item x="1195"/>
        <item x="1032"/>
        <item x="35"/>
        <item x="1045"/>
        <item x="53"/>
        <item x="867"/>
        <item x="880"/>
        <item x="105"/>
        <item x="323"/>
        <item x="1344"/>
        <item x="477"/>
        <item x="1395"/>
        <item x="854"/>
        <item x="681"/>
        <item x="251"/>
        <item x="1"/>
        <item x="112"/>
        <item x="1271"/>
        <item x="1385"/>
        <item x="974"/>
        <item x="368"/>
        <item x="948"/>
        <item x="1068"/>
        <item x="666"/>
        <item x="966"/>
        <item x="756"/>
        <item x="117"/>
        <item x="335"/>
        <item x="1371"/>
        <item x="1551"/>
        <item x="347"/>
        <item x="1241"/>
        <item x="413"/>
        <item x="319"/>
        <item x="1229"/>
        <item x="182"/>
        <item x="458"/>
        <item x="1000"/>
        <item x="614"/>
        <item x="404"/>
        <item x="842"/>
        <item x="1312"/>
        <item x="746"/>
        <item x="188"/>
        <item x="95"/>
        <item x="454"/>
        <item x="1230"/>
        <item x="441"/>
        <item x="1286"/>
        <item x="884"/>
        <item x="1178"/>
        <item x="686"/>
        <item x="1350"/>
        <item x="260"/>
        <item x="490"/>
        <item x="1221"/>
        <item x="1305"/>
        <item x="302"/>
        <item x="780"/>
        <item x="517"/>
        <item x="652"/>
        <item x="1560"/>
        <item x="257"/>
        <item x="1207"/>
        <item x="384"/>
        <item x="388"/>
        <item x="1143"/>
        <item x="991"/>
        <item x="396"/>
        <item x="1262"/>
        <item x="424"/>
        <item x="674"/>
        <item x="398"/>
        <item x="81"/>
        <item x="1306"/>
        <item x="914"/>
        <item x="604"/>
        <item x="809"/>
        <item x="1322"/>
        <item x="1588"/>
        <item x="42"/>
        <item x="961"/>
        <item x="1164"/>
        <item x="1259"/>
        <item x="841"/>
        <item x="488"/>
        <item x="453"/>
        <item x="1235"/>
        <item x="1212"/>
        <item x="312"/>
        <item x="108"/>
        <item x="354"/>
        <item x="1270"/>
        <item x="662"/>
        <item x="940"/>
        <item x="479"/>
        <item x="54"/>
        <item x="272"/>
        <item x="168"/>
        <item x="407"/>
        <item x="1327"/>
        <item x="23"/>
        <item x="595"/>
        <item x="1125"/>
        <item x="1476"/>
        <item x="451"/>
        <item x="859"/>
        <item x="1355"/>
        <item x="1215"/>
        <item x="262"/>
        <item x="206"/>
        <item x="238"/>
        <item x="1075"/>
        <item x="307"/>
        <item x="1390"/>
        <item x="555"/>
        <item x="955"/>
        <item x="372"/>
        <item x="459"/>
        <item x="735"/>
        <item x="0"/>
        <item x="190"/>
        <item x="295"/>
        <item x="771"/>
        <item x="492"/>
        <item x="559"/>
        <item x="208"/>
        <item x="680"/>
        <item x="121"/>
        <item x="326"/>
        <item x="1289"/>
        <item x="439"/>
        <item x="1222"/>
        <item x="568"/>
        <item x="612"/>
        <item x="452"/>
        <item x="580"/>
        <item x="1462"/>
        <item x="423"/>
        <item x="1245"/>
        <item x="1205"/>
        <item x="1052"/>
        <item x="1397"/>
        <item x="1239"/>
        <item x="1127"/>
        <item x="691"/>
        <item x="259"/>
        <item x="1498"/>
        <item x="907"/>
        <item x="1383"/>
        <item x="663"/>
        <item x="49"/>
        <item x="37"/>
        <item x="276"/>
        <item x="1020"/>
        <item x="1047"/>
        <item x="528"/>
        <item x="1441"/>
        <item x="1357"/>
        <item x="1337"/>
        <item x="1461"/>
        <item x="1582"/>
        <item x="175"/>
        <item x="1055"/>
        <item x="1238"/>
        <item x="243"/>
        <item x="91"/>
        <item x="324"/>
        <item x="236"/>
        <item x="139"/>
        <item x="1386"/>
        <item x="1260"/>
        <item x="645"/>
        <item x="1060"/>
        <item x="192"/>
        <item x="1404"/>
        <item x="1499"/>
        <item x="1447"/>
        <item x="1153"/>
        <item x="593"/>
        <item x="904"/>
        <item x="1416"/>
        <item x="1534"/>
        <item x="22"/>
        <item x="607"/>
        <item x="1561"/>
        <item x="744"/>
        <item x="146"/>
        <item x="36"/>
        <item x="334"/>
        <item x="17"/>
        <item x="339"/>
        <item x="1269"/>
        <item x="1213"/>
        <item x="654"/>
        <item x="360"/>
        <item x="653"/>
        <item x="1530"/>
        <item x="616"/>
        <item x="799"/>
        <item x="1323"/>
        <item x="947"/>
        <item x="788"/>
        <item x="1425"/>
        <item x="1540"/>
        <item x="292"/>
        <item x="62"/>
        <item x="643"/>
        <item x="1298"/>
        <item x="1452"/>
        <item x="1131"/>
        <item x="340"/>
        <item x="724"/>
        <item x="1190"/>
        <item x="1065"/>
        <item x="1398"/>
        <item x="1439"/>
        <item x="469"/>
        <item x="1528"/>
        <item x="591"/>
        <item x="1526"/>
        <item x="470"/>
        <item x="736"/>
        <item x="375"/>
        <item x="422"/>
        <item x="751"/>
        <item x="113"/>
        <item x="480"/>
        <item x="130"/>
        <item x="288"/>
        <item x="1361"/>
        <item x="221"/>
        <item x="437"/>
        <item x="1136"/>
        <item x="893"/>
        <item x="1365"/>
        <item x="748"/>
        <item x="950"/>
        <item x="1017"/>
        <item x="1377"/>
        <item x="131"/>
        <item x="104"/>
        <item x="1509"/>
        <item x="1522"/>
        <item x="820"/>
        <item x="1174"/>
        <item x="622"/>
        <item x="150"/>
        <item x="649"/>
        <item x="374"/>
        <item x="1121"/>
        <item x="1489"/>
        <item x="1431"/>
        <item x="1031"/>
        <item x="468"/>
        <item x="1565"/>
        <item x="757"/>
        <item x="1273"/>
        <item x="547"/>
        <item x="122"/>
        <item x="1219"/>
        <item x="931"/>
        <item x="906"/>
        <item x="359"/>
        <item x="514"/>
        <item x="386"/>
        <item x="878"/>
        <item x="823"/>
        <item x="722"/>
        <item x="266"/>
        <item x="770"/>
        <item x="781"/>
        <item x="1562"/>
        <item x="759"/>
        <item x="201"/>
        <item x="738"/>
        <item x="482"/>
        <item x="814"/>
        <item x="43"/>
        <item x="723"/>
        <item x="671"/>
        <item x="1517"/>
        <item x="261"/>
        <item x="389"/>
        <item x="1453"/>
        <item x="1051"/>
        <item x="177"/>
        <item x="1008"/>
        <item x="697"/>
        <item x="1414"/>
        <item x="5"/>
        <item x="971"/>
        <item x="664"/>
        <item x="1401"/>
        <item x="233"/>
        <item x="235"/>
        <item x="1563"/>
        <item x="313"/>
        <item x="219"/>
        <item x="159"/>
        <item x="764"/>
        <item x="1472"/>
        <item x="1206"/>
        <item x="908"/>
        <item x="1321"/>
        <item x="1542"/>
        <item x="1088"/>
        <item x="1040"/>
        <item x="1183"/>
        <item x="440"/>
        <item x="296"/>
        <item x="1249"/>
        <item x="161"/>
        <item x="1362"/>
        <item x="527"/>
        <item x="570"/>
        <item x="193"/>
        <item x="1133"/>
        <item x="1470"/>
        <item x="303"/>
        <item x="769"/>
        <item x="1374"/>
        <item x="1247"/>
        <item x="598"/>
        <item x="1126"/>
        <item x="856"/>
        <item x="1419"/>
        <item x="1345"/>
        <item x="846"/>
        <item x="1569"/>
        <item x="982"/>
        <item x="665"/>
        <item x="1171"/>
        <item x="234"/>
        <item x="825"/>
        <item x="371"/>
        <item x="1058"/>
        <item x="1181"/>
        <item x="1459"/>
        <item x="120"/>
        <item x="920"/>
        <item x="31"/>
        <item x="1468"/>
        <item x="1466"/>
        <item x="777"/>
        <item x="869"/>
        <item x="1515"/>
        <item x="455"/>
        <item x="1091"/>
        <item x="1479"/>
        <item x="149"/>
        <item x="183"/>
        <item x="897"/>
        <item x="1104"/>
        <item x="850"/>
        <item x="1180"/>
        <item x="56"/>
        <item x="87"/>
        <item x="1412"/>
        <item x="1043"/>
        <item x="1214"/>
        <item x="1473"/>
        <item x="181"/>
        <item x="1186"/>
        <item x="271"/>
        <item x="1162"/>
        <item x="953"/>
        <item x="603"/>
        <item x="575"/>
        <item x="1007"/>
        <item x="862"/>
        <item x="716"/>
        <item x="297"/>
        <item x="1016"/>
        <item x="1069"/>
        <item x="573"/>
        <item x="774"/>
        <item x="968"/>
        <item x="588"/>
        <item x="1349"/>
        <item x="145"/>
        <item x="338"/>
        <item x="1545"/>
        <item x="1424"/>
        <item x="581"/>
        <item x="1013"/>
        <item x="1506"/>
        <item x="874"/>
        <item x="264"/>
        <item x="315"/>
        <item x="229"/>
        <item x="215"/>
        <item x="1087"/>
        <item x="230"/>
        <item x="466"/>
        <item x="1290"/>
        <item x="310"/>
        <item x="8"/>
        <item x="1520"/>
        <item x="729"/>
        <item x="414"/>
        <item x="387"/>
        <item x="852"/>
        <item x="713"/>
        <item x="1465"/>
        <item x="1056"/>
        <item x="286"/>
        <item x="82"/>
        <item x="325"/>
        <item x="577"/>
        <item x="405"/>
        <item x="706"/>
        <item x="687"/>
        <item x="808"/>
        <item x="929"/>
        <item x="1564"/>
        <item x="683"/>
        <item x="1485"/>
        <item x="1120"/>
        <item x="1507"/>
        <item x="740"/>
        <item x="1514"/>
        <item x="80"/>
        <item x="710"/>
        <item x="448"/>
        <item x="617"/>
        <item x="785"/>
        <item x="1248"/>
        <item x="357"/>
        <item x="456"/>
        <item x="935"/>
        <item x="1095"/>
        <item x="197"/>
        <item x="975"/>
        <item x="704"/>
        <item x="1573"/>
        <item x="635"/>
        <item x="301"/>
        <item x="246"/>
        <item x="408"/>
        <item x="705"/>
        <item x="589"/>
        <item x="1339"/>
        <item x="1457"/>
        <item x="148"/>
        <item x="1187"/>
        <item x="1378"/>
        <item x="1445"/>
        <item x="74"/>
        <item x="1204"/>
        <item x="3"/>
        <item x="431"/>
        <item x="739"/>
        <item x="927"/>
        <item x="566"/>
        <item x="75"/>
        <item x="1435"/>
        <item x="673"/>
        <item x="601"/>
        <item x="565"/>
        <item x="344"/>
        <item x="1513"/>
        <item x="1299"/>
        <item x="1389"/>
        <item x="14"/>
        <item x="734"/>
        <item x="1275"/>
        <item x="917"/>
        <item x="717"/>
        <item x="1438"/>
        <item x="1135"/>
        <item x="1192"/>
        <item x="473"/>
        <item x="660"/>
        <item x="1382"/>
        <item x="1601"/>
        <item x="1504"/>
        <item x="552"/>
        <item x="925"/>
        <item x="428"/>
        <item x="818"/>
        <item x="237"/>
        <item x="399"/>
        <item x="394"/>
        <item x="1527"/>
        <item x="773"/>
        <item x="1558"/>
        <item x="543"/>
        <item x="1531"/>
        <item x="1227"/>
        <item x="1379"/>
        <item x="1467"/>
        <item x="1516"/>
        <item x="1302"/>
        <item x="444"/>
        <item x="226"/>
        <item x="1196"/>
        <item x="1411"/>
        <item x="682"/>
        <item x="1002"/>
        <item x="1276"/>
        <item x="963"/>
        <item x="1392"/>
        <item x="1059"/>
        <item x="519"/>
        <item x="1318"/>
        <item x="241"/>
        <item x="985"/>
        <item x="498"/>
        <item x="426"/>
        <item x="690"/>
        <item x="1078"/>
        <item x="48"/>
        <item x="1015"/>
        <item x="1427"/>
        <item x="494"/>
        <item x="1393"/>
        <item x="1488"/>
        <item x="1482"/>
        <item x="668"/>
        <item x="636"/>
        <item x="1396"/>
        <item x="553"/>
        <item x="959"/>
        <item x="1421"/>
        <item x="1201"/>
        <item x="1294"/>
        <item x="883"/>
        <item x="1053"/>
        <item x="1108"/>
        <item x="1407"/>
        <item x="65"/>
        <item x="667"/>
        <item x="157"/>
        <item x="583"/>
        <item x="1226"/>
        <item x="827"/>
        <item x="489"/>
        <item x="941"/>
        <item x="1553"/>
        <item x="1079"/>
        <item x="973"/>
        <item x="1543"/>
        <item x="205"/>
        <item x="535"/>
        <item x="1493"/>
        <item x="1363"/>
        <item x="1456"/>
        <item x="350"/>
        <item x="1430"/>
        <item x="1266"/>
        <item x="298"/>
        <item x="311"/>
        <item x="766"/>
        <item x="1288"/>
        <item x="688"/>
        <item x="679"/>
        <item x="709"/>
        <item x="217"/>
        <item x="1422"/>
        <item x="11"/>
        <item x="19"/>
        <item x="554"/>
        <item x="118"/>
        <item x="263"/>
        <item x="1557"/>
        <item x="111"/>
        <item x="51"/>
        <item x="1566"/>
        <item x="1310"/>
        <item x="332"/>
        <item x="524"/>
        <item x="1521"/>
        <item x="1410"/>
        <item x="870"/>
        <item x="60"/>
        <item x="600"/>
        <item x="1225"/>
        <item x="1130"/>
        <item x="342"/>
        <item x="1293"/>
        <item x="203"/>
        <item x="209"/>
        <item x="918"/>
        <item x="403"/>
        <item x="946"/>
        <item x="328"/>
        <item x="97"/>
        <item x="242"/>
        <item x="796"/>
        <item x="1555"/>
        <item x="4"/>
        <item x="1132"/>
        <item x="585"/>
        <item x="1443"/>
        <item x="562"/>
        <item x="984"/>
        <item x="957"/>
        <item x="1155"/>
        <item x="380"/>
        <item x="676"/>
        <item x="291"/>
        <item x="916"/>
        <item x="624"/>
        <item x="1333"/>
        <item x="557"/>
        <item x="184"/>
        <item x="712"/>
        <item x="70"/>
        <item x="465"/>
        <item x="1304"/>
        <item x="1481"/>
        <item x="1415"/>
        <item x="33"/>
        <item x="442"/>
        <item x="358"/>
        <item x="1533"/>
        <item x="648"/>
        <item x="376"/>
        <item x="140"/>
        <item x="1320"/>
        <item x="730"/>
        <item x="877"/>
        <item x="1228"/>
        <item x="885"/>
        <item x="1179"/>
        <item x="599"/>
        <item x="406"/>
        <item x="299"/>
        <item x="1145"/>
        <item x="768"/>
        <item x="1474"/>
        <item x="1592"/>
        <item x="1082"/>
        <item x="464"/>
        <item x="1340"/>
        <item x="701"/>
        <item x="1194"/>
        <item x="1279"/>
        <item x="88"/>
        <item x="992"/>
        <item x="1285"/>
        <item x="273"/>
        <item x="958"/>
        <item x="1218"/>
        <item x="721"/>
        <item x="1237"/>
        <item x="1014"/>
        <item x="922"/>
        <item x="395"/>
        <item x="1193"/>
        <item x="656"/>
        <item x="245"/>
        <item x="1367"/>
        <item x="1508"/>
        <item x="278"/>
        <item x="1402"/>
        <item x="280"/>
        <item x="156"/>
        <item x="1455"/>
        <item x="128"/>
        <item x="285"/>
        <item x="1585"/>
        <item x="1177"/>
        <item x="200"/>
        <item x="1094"/>
        <item x="142"/>
        <item x="366"/>
        <item x="213"/>
        <item x="754"/>
        <item x="1529"/>
        <item x="402"/>
        <item x="521"/>
        <item x="1251"/>
        <item x="1406"/>
        <item x="2"/>
        <item x="270"/>
        <item x="143"/>
        <item x="1250"/>
        <item x="937"/>
        <item x="1358"/>
        <item x="427"/>
        <item x="1185"/>
        <item x="119"/>
        <item x="801"/>
        <item x="268"/>
        <item x="274"/>
        <item x="787"/>
        <item x="503"/>
        <item x="1139"/>
        <item x="294"/>
        <item x="227"/>
        <item x="733"/>
        <item x="525"/>
        <item x="16"/>
        <item x="743"/>
        <item x="835"/>
        <item x="763"/>
        <item x="669"/>
        <item x="1552"/>
        <item x="1607"/>
        <item x="1356"/>
        <item x="283"/>
        <item x="1165"/>
        <item x="300"/>
        <item x="1267"/>
        <item x="508"/>
        <item x="750"/>
        <item x="1118"/>
        <item x="536"/>
        <item x="1081"/>
        <item x="353"/>
        <item x="255"/>
        <item x="164"/>
        <item x="289"/>
        <item x="1037"/>
        <item x="69"/>
        <item x="765"/>
        <item x="865"/>
        <item x="1341"/>
        <item x="1381"/>
        <item x="1202"/>
        <item x="926"/>
        <item x="1029"/>
        <item x="1433"/>
        <item x="1426"/>
        <item x="86"/>
        <item x="550"/>
        <item x="180"/>
        <item x="670"/>
        <item x="1102"/>
        <item x="163"/>
        <item x="1231"/>
        <item x="1173"/>
        <item x="1548"/>
        <item x="711"/>
        <item x="64"/>
        <item x="110"/>
        <item x="847"/>
        <item x="1203"/>
        <item x="747"/>
        <item x="348"/>
        <item x="30"/>
        <item x="1025"/>
        <item x="824"/>
        <item x="1348"/>
        <item x="1223"/>
        <item x="725"/>
        <item x="1198"/>
        <item x="1500"/>
        <item x="1272"/>
        <item x="367"/>
        <item x="837"/>
        <item x="896"/>
        <item x="68"/>
        <item x="1006"/>
        <item x="220"/>
        <item x="625"/>
        <item x="1098"/>
        <item x="1559"/>
        <item x="1258"/>
        <item x="742"/>
        <item x="93"/>
        <item x="875"/>
        <item x="1417"/>
        <item x="871"/>
        <item x="472"/>
        <item x="912"/>
        <item x="843"/>
        <item x="1208"/>
        <item x="435"/>
        <item x="1054"/>
        <item x="1366"/>
        <item x="1119"/>
        <item x="491"/>
        <item x="158"/>
        <item x="336"/>
        <item x="1042"/>
        <item x="1103"/>
        <item x="463"/>
        <item x="1587"/>
        <item x="677"/>
        <item x="913"/>
        <item x="782"/>
        <item x="331"/>
        <item x="1291"/>
        <item x="1604"/>
        <item x="462"/>
        <item x="1295"/>
        <item x="141"/>
        <item x="915"/>
        <item x="1600"/>
        <item x="1432"/>
        <item x="1409"/>
        <item x="542"/>
        <item x="1282"/>
        <item x="902"/>
        <item x="1233"/>
        <item x="1449"/>
        <item x="1336"/>
        <item x="337"/>
        <item x="911"/>
        <item x="936"/>
        <item x="611"/>
        <item x="187"/>
        <item x="630"/>
        <item x="45"/>
        <item x="253"/>
        <item x="1428"/>
        <item x="1023"/>
        <item x="890"/>
        <item x="92"/>
        <item x="484"/>
        <item x="889"/>
        <item x="1220"/>
        <item x="658"/>
        <item x="277"/>
        <item x="1360"/>
        <item x="322"/>
        <item x="900"/>
        <item x="860"/>
        <item x="803"/>
        <item x="1556"/>
        <item x="694"/>
        <item x="412"/>
        <item x="89"/>
        <item x="571"/>
        <item x="537"/>
        <item x="1316"/>
        <item x="1359"/>
        <item x="1038"/>
        <item x="214"/>
        <item x="1284"/>
        <item x="58"/>
        <item x="1332"/>
        <item x="810"/>
        <item x="41"/>
        <item x="460"/>
        <item x="1330"/>
        <item x="1084"/>
        <item x="379"/>
        <item x="1147"/>
        <item x="1581"/>
        <item x="138"/>
        <item x="1149"/>
        <item x="1115"/>
        <item x="321"/>
        <item x="752"/>
        <item x="981"/>
        <item x="1159"/>
        <item x="646"/>
        <item x="1454"/>
        <item x="497"/>
        <item x="1608"/>
        <item f="1" x="1609"/>
        <item f="1" x="1610"/>
        <item t="default"/>
      </items>
    </pivotField>
    <pivotField dataField="1" showAll="0"/>
    <pivotField showAll="0"/>
    <pivotField showAll="0"/>
    <pivotField showAll="0"/>
    <pivotField showAll="0"/>
    <pivotField axis="axisRow" showAll="0">
      <items count="14">
        <item x="0"/>
        <item x="1"/>
        <item x="2"/>
        <item x="3"/>
        <item x="4"/>
        <item x="5"/>
        <item x="6"/>
        <item x="7"/>
        <item x="8"/>
        <item x="9"/>
        <item x="10"/>
        <item x="11"/>
        <item h="1" x="12"/>
        <item t="default"/>
      </items>
    </pivotField>
    <pivotField showAll="0"/>
    <pivotField showAll="0"/>
    <pivotField showAll="0"/>
  </pivotFields>
  <rowFields count="1">
    <field x="10"/>
  </rowFields>
  <rowItems count="12">
    <i>
      <x/>
    </i>
    <i>
      <x v="1"/>
    </i>
    <i>
      <x v="2"/>
    </i>
    <i>
      <x v="3"/>
    </i>
    <i>
      <x v="4"/>
    </i>
    <i>
      <x v="5"/>
    </i>
    <i>
      <x v="6"/>
    </i>
    <i>
      <x v="7"/>
    </i>
    <i>
      <x v="8"/>
    </i>
    <i>
      <x v="9"/>
    </i>
    <i>
      <x v="10"/>
    </i>
    <i>
      <x v="11"/>
    </i>
  </rowItems>
  <colItems count="1">
    <i/>
  </colItems>
  <dataFields count="1">
    <dataField name="Sum of Sales" fld="5" baseField="0" baseItem="0" numFmtId="2"/>
  </dataFields>
  <formats count="1">
    <format dxfId="16">
      <pivotArea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9B3591A-0D05-4D3A-94A3-84ED01F01C0A}" autoFormatId="16" applyNumberFormats="0" applyBorderFormats="0" applyFontFormats="0" applyPatternFormats="0" applyAlignmentFormats="0" applyWidthHeightFormats="0">
  <queryTableRefresh nextId="15" unboundColumnsRight="6">
    <queryTableFields count="14">
      <queryTableField id="1" name="Order ID" tableColumnId="1"/>
      <queryTableField id="2" name="Order Date" tableColumnId="2"/>
      <queryTableField id="3" name="Region" tableColumnId="3"/>
      <queryTableField id="4" name="Category" tableColumnId="4"/>
      <queryTableField id="5" name="Product Name" tableColumnId="5"/>
      <queryTableField id="6" name="Sales" tableColumnId="6"/>
      <queryTableField id="7" name="Quantity" tableColumnId="7"/>
      <queryTableField id="8" name="Profit" tableColumnId="8"/>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71EB5C5-FFEB-485B-A29F-6698361380F0}" sourceName="Region">
  <pivotTables>
    <pivotTable tabId="3" name="PivotTable2"/>
  </pivotTables>
  <data>
    <tabular pivotCacheId="1428805682">
      <items count="5">
        <i x="2" s="1"/>
        <i x="0" s="1"/>
        <i x="3" s="1"/>
        <i x="1" s="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6149E7E-4997-47F6-95F9-7695D36090E4}" sourceName="Category">
  <pivotTables>
    <pivotTable tabId="3" name="PivotTable1"/>
  </pivotTables>
  <data>
    <tabular pivotCacheId="1428805682">
      <items count="4">
        <i x="0" s="1"/>
        <i x="1" s="1"/>
        <i x="2"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9C359F9-8E8F-4899-9479-E6F52F63D122}" cache="Slicer_Region" caption="Region" rowHeight="247650"/>
  <slicer name="Category" xr10:uid="{6F1222E0-DA25-4822-BB65-5FCA160CD685}" cache="Slicer_Category" caption="Category"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54FD93-9B5A-4A4A-8634-41B68AF3E0AE}" name="SalesData" displayName="SalesData" ref="A1:N4044" tableType="queryTable" totalsRowShown="0">
  <autoFilter ref="A1:N4044" xr:uid="{EC54FD93-9B5A-4A4A-8634-41B68AF3E0AE}"/>
  <sortState xmlns:xlrd2="http://schemas.microsoft.com/office/spreadsheetml/2017/richdata2" ref="A2:M4044">
    <sortCondition descending="1" ref="J1:J4044"/>
  </sortState>
  <tableColumns count="14">
    <tableColumn id="1" xr3:uid="{A1D257E0-7FB7-47D4-9060-DDDEFABC5194}" uniqueName="1" name="Order ID" queryTableFieldId="1" dataDxfId="33"/>
    <tableColumn id="2" xr3:uid="{27CD5F8D-1B11-4D6A-B782-0E5C408B1EBD}" uniqueName="2" name="Order Date" queryTableFieldId="2" dataDxfId="32"/>
    <tableColumn id="3" xr3:uid="{429AFF48-3587-46FE-AA80-0B50594A651A}" uniqueName="3" name="Region" queryTableFieldId="3" dataDxfId="31"/>
    <tableColumn id="4" xr3:uid="{51871857-2E97-4496-9112-F9FD82E47EDF}" uniqueName="4" name="Category" queryTableFieldId="4" dataDxfId="30"/>
    <tableColumn id="5" xr3:uid="{9F6AED59-11BA-453F-B1DD-AEF8BFB6C127}" uniqueName="5" name="Product Name" queryTableFieldId="5" dataDxfId="29"/>
    <tableColumn id="6" xr3:uid="{E5C31545-F408-4AE4-856C-9D73DA2794AD}" uniqueName="6" name="Sales" queryTableFieldId="6" dataDxfId="28"/>
    <tableColumn id="7" xr3:uid="{E04933E5-62CB-45DC-9522-AC18E14392DA}" uniqueName="7" name="Quantity" queryTableFieldId="7"/>
    <tableColumn id="8" xr3:uid="{6B89F767-B294-4661-BC19-93E0389A308D}" uniqueName="8" name="Profit" queryTableFieldId="8" dataDxfId="27"/>
    <tableColumn id="9" xr3:uid="{B2972FF6-B28A-48F6-8D35-9B9C239FE1EE}" uniqueName="9" name="Profit Margin %" queryTableFieldId="9" dataDxfId="26">
      <calculatedColumnFormula>SalesData[[#This Row],[Profit]]/SalesData[[#This Row],[Sales]]</calculatedColumnFormula>
    </tableColumn>
    <tableColumn id="10" xr3:uid="{3B473A1F-DEA8-4D94-911D-B1755846EE9B}" uniqueName="10" name="Year" queryTableFieldId="10" dataDxfId="25">
      <calculatedColumnFormula>YEAR(SalesData[[#This Row],[Order Date]])</calculatedColumnFormula>
    </tableColumn>
    <tableColumn id="11" xr3:uid="{4551748D-2F93-4AD0-B7E6-70724304572D}" uniqueName="11" name="Month Name" queryTableFieldId="11" dataDxfId="24">
      <calculatedColumnFormula>TEXT(SalesData[[#This Row],[Order Date]],"mmm")</calculatedColumnFormula>
    </tableColumn>
    <tableColumn id="12" xr3:uid="{6EAE5039-49D8-4B08-994B-ED7EE895C83E}" uniqueName="12" name="Month No" queryTableFieldId="12" dataDxfId="23">
      <calculatedColumnFormula>MONTH(SalesData[[#This Row],[Order Date]])</calculatedColumnFormula>
    </tableColumn>
    <tableColumn id="13" xr3:uid="{A0FD8C8A-4A11-4210-8CF8-F2FCD51F7191}" uniqueName="13" name="Avg Price Per Unit" queryTableFieldId="13" dataDxfId="22">
      <calculatedColumnFormula>SalesData[[#This Row],[Sales]]/SalesData[[#This Row],[Quantity]]</calculatedColumnFormula>
    </tableColumn>
    <tableColumn id="14" xr3:uid="{BD27B206-E44C-4F7B-9E0F-5FA13B989D16}" uniqueName="14" name="Profit Status" queryTableFieldId="14" dataDxfId="21">
      <calculatedColumnFormula>IF(SalesData[[#This Row],[Profit]]&gt;0,"Profit","Loss")</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00D3D-D65C-4100-B6D6-31F72DE6E549}">
  <dimension ref="A1:N9995"/>
  <sheetViews>
    <sheetView zoomScaleNormal="100" workbookViewId="0">
      <selection activeCell="I16" sqref="I16"/>
    </sheetView>
  </sheetViews>
  <sheetFormatPr defaultRowHeight="14.4" x14ac:dyDescent="0.3"/>
  <cols>
    <col min="1" max="1" width="14.77734375" bestFit="1" customWidth="1"/>
    <col min="2" max="2" width="12" style="3" bestFit="1" customWidth="1"/>
    <col min="3" max="3" width="8.6640625" bestFit="1" customWidth="1"/>
    <col min="4" max="4" width="13.109375" bestFit="1" customWidth="1"/>
    <col min="5" max="5" width="80.88671875" bestFit="1" customWidth="1"/>
    <col min="6" max="6" width="10" style="1" bestFit="1" customWidth="1"/>
    <col min="7" max="7" width="9.88671875" bestFit="1" customWidth="1"/>
    <col min="8" max="8" width="10.6640625" style="1" bestFit="1" customWidth="1"/>
    <col min="9" max="9" width="15.33203125" bestFit="1" customWidth="1"/>
    <col min="11" max="11" width="13.44140625" bestFit="1" customWidth="1"/>
    <col min="12" max="12" width="10.88671875" bestFit="1" customWidth="1"/>
    <col min="13" max="13" width="17.33203125" bestFit="1" customWidth="1"/>
    <col min="14" max="14" width="12.88671875" bestFit="1" customWidth="1"/>
  </cols>
  <sheetData>
    <row r="1" spans="1:14" x14ac:dyDescent="0.3">
      <c r="A1" t="s">
        <v>0</v>
      </c>
      <c r="B1" s="3" t="s">
        <v>1</v>
      </c>
      <c r="C1" t="s">
        <v>2</v>
      </c>
      <c r="D1" t="s">
        <v>3</v>
      </c>
      <c r="E1" t="s">
        <v>4</v>
      </c>
      <c r="F1" s="2" t="s">
        <v>5</v>
      </c>
      <c r="G1" t="s">
        <v>6</v>
      </c>
      <c r="H1" s="2" t="s">
        <v>7</v>
      </c>
      <c r="I1" t="s">
        <v>3635</v>
      </c>
      <c r="J1" t="s">
        <v>3636</v>
      </c>
      <c r="K1" t="s">
        <v>3638</v>
      </c>
      <c r="L1" t="s">
        <v>3637</v>
      </c>
      <c r="M1" t="s">
        <v>3639</v>
      </c>
      <c r="N1" t="s">
        <v>3640</v>
      </c>
    </row>
    <row r="2" spans="1:14" x14ac:dyDescent="0.3">
      <c r="A2" t="s">
        <v>2722</v>
      </c>
      <c r="B2" s="3">
        <v>42736</v>
      </c>
      <c r="C2" t="s">
        <v>17</v>
      </c>
      <c r="D2" t="s">
        <v>14</v>
      </c>
      <c r="E2" t="s">
        <v>120</v>
      </c>
      <c r="F2" s="1">
        <v>48.896000000000001</v>
      </c>
      <c r="G2">
        <v>4</v>
      </c>
      <c r="H2" s="1">
        <v>8.5568000000000008</v>
      </c>
      <c r="I2" s="4">
        <f>SalesData[[#This Row],[Profit]]/SalesData[[#This Row],[Sales]]</f>
        <v>0.17500000000000002</v>
      </c>
      <c r="J2">
        <f>YEAR(SalesData[[#This Row],[Order Date]])</f>
        <v>2017</v>
      </c>
      <c r="K2" t="str">
        <f>TEXT(SalesData[[#This Row],[Order Date]],"mmm")</f>
        <v>Jan</v>
      </c>
      <c r="L2">
        <f>MONTH(SalesData[[#This Row],[Order Date]])</f>
        <v>1</v>
      </c>
      <c r="M2">
        <f>SalesData[[#This Row],[Sales]]/SalesData[[#This Row],[Quantity]]</f>
        <v>12.224</v>
      </c>
      <c r="N2" t="str">
        <f>IF(SalesData[[#This Row],[Profit]]&gt;0,"Profit","Loss")</f>
        <v>Profit</v>
      </c>
    </row>
    <row r="3" spans="1:14" x14ac:dyDescent="0.3">
      <c r="A3" t="s">
        <v>2723</v>
      </c>
      <c r="B3" s="3">
        <v>42736</v>
      </c>
      <c r="C3" t="s">
        <v>13</v>
      </c>
      <c r="D3" t="s">
        <v>14</v>
      </c>
      <c r="E3" t="s">
        <v>2724</v>
      </c>
      <c r="F3" s="1">
        <v>474.43</v>
      </c>
      <c r="G3">
        <v>11</v>
      </c>
      <c r="H3" s="1">
        <v>199.26060000000001</v>
      </c>
      <c r="I3" s="4">
        <f>SalesData[[#This Row],[Profit]]/SalesData[[#This Row],[Sales]]</f>
        <v>0.42000000000000004</v>
      </c>
      <c r="J3">
        <f>YEAR(SalesData[[#This Row],[Order Date]])</f>
        <v>2017</v>
      </c>
      <c r="K3" t="str">
        <f>TEXT(SalesData[[#This Row],[Order Date]],"mmm")</f>
        <v>Jan</v>
      </c>
      <c r="L3">
        <f>MONTH(SalesData[[#This Row],[Order Date]])</f>
        <v>1</v>
      </c>
      <c r="M3">
        <f>SalesData[[#This Row],[Sales]]/SalesData[[#This Row],[Quantity]]</f>
        <v>43.13</v>
      </c>
      <c r="N3" t="str">
        <f>IF(SalesData[[#This Row],[Profit]]&gt;0,"Profit","Loss")</f>
        <v>Profit</v>
      </c>
    </row>
    <row r="4" spans="1:14" x14ac:dyDescent="0.3">
      <c r="A4" t="s">
        <v>2725</v>
      </c>
      <c r="B4" s="3">
        <v>42736</v>
      </c>
      <c r="C4" t="s">
        <v>9</v>
      </c>
      <c r="D4" t="s">
        <v>21</v>
      </c>
      <c r="E4" t="s">
        <v>2726</v>
      </c>
      <c r="F4" s="1">
        <v>3.6</v>
      </c>
      <c r="G4">
        <v>2</v>
      </c>
      <c r="H4" s="1">
        <v>1.728</v>
      </c>
      <c r="I4" s="4">
        <f>SalesData[[#This Row],[Profit]]/SalesData[[#This Row],[Sales]]</f>
        <v>0.48</v>
      </c>
      <c r="J4">
        <f>YEAR(SalesData[[#This Row],[Order Date]])</f>
        <v>2017</v>
      </c>
      <c r="K4" t="str">
        <f>TEXT(SalesData[[#This Row],[Order Date]],"mmm")</f>
        <v>Jan</v>
      </c>
      <c r="L4">
        <f>MONTH(SalesData[[#This Row],[Order Date]])</f>
        <v>1</v>
      </c>
      <c r="M4">
        <f>SalesData[[#This Row],[Sales]]/SalesData[[#This Row],[Quantity]]</f>
        <v>1.8</v>
      </c>
      <c r="N4" t="str">
        <f>IF(SalesData[[#This Row],[Profit]]&gt;0,"Profit","Loss")</f>
        <v>Profit</v>
      </c>
    </row>
    <row r="5" spans="1:14" x14ac:dyDescent="0.3">
      <c r="A5" t="s">
        <v>2727</v>
      </c>
      <c r="B5" s="3">
        <v>42736</v>
      </c>
      <c r="C5" t="s">
        <v>9</v>
      </c>
      <c r="D5" t="s">
        <v>21</v>
      </c>
      <c r="E5" t="s">
        <v>302</v>
      </c>
      <c r="F5" s="1">
        <v>454.56</v>
      </c>
      <c r="G5">
        <v>5</v>
      </c>
      <c r="H5" s="1">
        <v>-107.958</v>
      </c>
      <c r="I5" s="4">
        <f>SalesData[[#This Row],[Profit]]/SalesData[[#This Row],[Sales]]</f>
        <v>-0.23749999999999999</v>
      </c>
      <c r="J5">
        <f>YEAR(SalesData[[#This Row],[Order Date]])</f>
        <v>2017</v>
      </c>
      <c r="K5" t="str">
        <f>TEXT(SalesData[[#This Row],[Order Date]],"mmm")</f>
        <v>Jan</v>
      </c>
      <c r="L5">
        <f>MONTH(SalesData[[#This Row],[Order Date]])</f>
        <v>1</v>
      </c>
      <c r="M5">
        <f>SalesData[[#This Row],[Sales]]/SalesData[[#This Row],[Quantity]]</f>
        <v>90.912000000000006</v>
      </c>
      <c r="N5" t="str">
        <f>IF(SalesData[[#This Row],[Profit]]&gt;0,"Profit","Loss")</f>
        <v>Loss</v>
      </c>
    </row>
    <row r="6" spans="1:14" x14ac:dyDescent="0.3">
      <c r="A6" t="s">
        <v>2727</v>
      </c>
      <c r="B6" s="3">
        <v>42736</v>
      </c>
      <c r="C6" t="s">
        <v>9</v>
      </c>
      <c r="D6" t="s">
        <v>14</v>
      </c>
      <c r="E6" t="s">
        <v>160</v>
      </c>
      <c r="F6" s="1">
        <v>141.41999999999999</v>
      </c>
      <c r="G6">
        <v>5</v>
      </c>
      <c r="H6" s="1">
        <v>-187.38149999999999</v>
      </c>
      <c r="I6" s="4">
        <f>SalesData[[#This Row],[Profit]]/SalesData[[#This Row],[Sales]]</f>
        <v>-1.325</v>
      </c>
      <c r="J6">
        <f>YEAR(SalesData[[#This Row],[Order Date]])</f>
        <v>2017</v>
      </c>
      <c r="K6" t="str">
        <f>TEXT(SalesData[[#This Row],[Order Date]],"mmm")</f>
        <v>Jan</v>
      </c>
      <c r="L6">
        <f>MONTH(SalesData[[#This Row],[Order Date]])</f>
        <v>1</v>
      </c>
      <c r="M6">
        <f>SalesData[[#This Row],[Sales]]/SalesData[[#This Row],[Quantity]]</f>
        <v>28.283999999999999</v>
      </c>
      <c r="N6" t="str">
        <f>IF(SalesData[[#This Row],[Profit]]&gt;0,"Profit","Loss")</f>
        <v>Loss</v>
      </c>
    </row>
    <row r="7" spans="1:14" x14ac:dyDescent="0.3">
      <c r="A7" t="s">
        <v>2727</v>
      </c>
      <c r="B7" s="3">
        <v>42736</v>
      </c>
      <c r="C7" t="s">
        <v>9</v>
      </c>
      <c r="D7" t="s">
        <v>14</v>
      </c>
      <c r="E7" t="s">
        <v>2055</v>
      </c>
      <c r="F7" s="1">
        <v>310.74400000000003</v>
      </c>
      <c r="G7">
        <v>4</v>
      </c>
      <c r="H7" s="1">
        <v>-26.635200000000001</v>
      </c>
      <c r="I7" s="4">
        <f>SalesData[[#This Row],[Profit]]/SalesData[[#This Row],[Sales]]</f>
        <v>-8.5714285714285715E-2</v>
      </c>
      <c r="J7">
        <f>YEAR(SalesData[[#This Row],[Order Date]])</f>
        <v>2017</v>
      </c>
      <c r="K7" t="str">
        <f>TEXT(SalesData[[#This Row],[Order Date]],"mmm")</f>
        <v>Jan</v>
      </c>
      <c r="L7">
        <f>MONTH(SalesData[[#This Row],[Order Date]])</f>
        <v>1</v>
      </c>
      <c r="M7">
        <f>SalesData[[#This Row],[Sales]]/SalesData[[#This Row],[Quantity]]</f>
        <v>77.686000000000007</v>
      </c>
      <c r="N7" t="str">
        <f>IF(SalesData[[#This Row],[Profit]]&gt;0,"Profit","Loss")</f>
        <v>Loss</v>
      </c>
    </row>
    <row r="8" spans="1:14" x14ac:dyDescent="0.3">
      <c r="A8" t="s">
        <v>2727</v>
      </c>
      <c r="B8" s="3">
        <v>42736</v>
      </c>
      <c r="C8" t="s">
        <v>9</v>
      </c>
      <c r="D8" t="s">
        <v>21</v>
      </c>
      <c r="E8" t="s">
        <v>997</v>
      </c>
      <c r="F8" s="1">
        <v>12.736000000000001</v>
      </c>
      <c r="G8">
        <v>4</v>
      </c>
      <c r="H8" s="1">
        <v>2.2288000000000001</v>
      </c>
      <c r="I8" s="4">
        <f>SalesData[[#This Row],[Profit]]/SalesData[[#This Row],[Sales]]</f>
        <v>0.17499999999999999</v>
      </c>
      <c r="J8">
        <f>YEAR(SalesData[[#This Row],[Order Date]])</f>
        <v>2017</v>
      </c>
      <c r="K8" t="str">
        <f>TEXT(SalesData[[#This Row],[Order Date]],"mmm")</f>
        <v>Jan</v>
      </c>
      <c r="L8">
        <f>MONTH(SalesData[[#This Row],[Order Date]])</f>
        <v>1</v>
      </c>
      <c r="M8">
        <f>SalesData[[#This Row],[Sales]]/SalesData[[#This Row],[Quantity]]</f>
        <v>3.1840000000000002</v>
      </c>
      <c r="N8" t="str">
        <f>IF(SalesData[[#This Row],[Profit]]&gt;0,"Profit","Loss")</f>
        <v>Profit</v>
      </c>
    </row>
    <row r="9" spans="1:14" x14ac:dyDescent="0.3">
      <c r="A9" t="s">
        <v>2727</v>
      </c>
      <c r="B9" s="3">
        <v>42736</v>
      </c>
      <c r="C9" t="s">
        <v>9</v>
      </c>
      <c r="D9" t="s">
        <v>21</v>
      </c>
      <c r="E9" t="s">
        <v>2164</v>
      </c>
      <c r="F9" s="1">
        <v>6.47</v>
      </c>
      <c r="G9">
        <v>5</v>
      </c>
      <c r="H9" s="1">
        <v>-9.7050000000000001</v>
      </c>
      <c r="I9" s="4">
        <f>SalesData[[#This Row],[Profit]]/SalesData[[#This Row],[Sales]]</f>
        <v>-1.5</v>
      </c>
      <c r="J9">
        <f>YEAR(SalesData[[#This Row],[Order Date]])</f>
        <v>2017</v>
      </c>
      <c r="K9" t="str">
        <f>TEXT(SalesData[[#This Row],[Order Date]],"mmm")</f>
        <v>Jan</v>
      </c>
      <c r="L9">
        <f>MONTH(SalesData[[#This Row],[Order Date]])</f>
        <v>1</v>
      </c>
      <c r="M9">
        <f>SalesData[[#This Row],[Sales]]/SalesData[[#This Row],[Quantity]]</f>
        <v>1.294</v>
      </c>
      <c r="N9" t="str">
        <f>IF(SalesData[[#This Row],[Profit]]&gt;0,"Profit","Loss")</f>
        <v>Loss</v>
      </c>
    </row>
    <row r="10" spans="1:14" x14ac:dyDescent="0.3">
      <c r="A10" t="s">
        <v>2727</v>
      </c>
      <c r="B10" s="3">
        <v>42736</v>
      </c>
      <c r="C10" t="s">
        <v>9</v>
      </c>
      <c r="D10" t="s">
        <v>21</v>
      </c>
      <c r="E10" t="s">
        <v>2121</v>
      </c>
      <c r="F10" s="1">
        <v>13.747999999999999</v>
      </c>
      <c r="G10">
        <v>14</v>
      </c>
      <c r="H10" s="1">
        <v>-22.684200000000001</v>
      </c>
      <c r="I10" s="4">
        <f>SalesData[[#This Row],[Profit]]/SalesData[[#This Row],[Sales]]</f>
        <v>-1.6500000000000001</v>
      </c>
      <c r="J10">
        <f>YEAR(SalesData[[#This Row],[Order Date]])</f>
        <v>2017</v>
      </c>
      <c r="K10" t="str">
        <f>TEXT(SalesData[[#This Row],[Order Date]],"mmm")</f>
        <v>Jan</v>
      </c>
      <c r="L10">
        <f>MONTH(SalesData[[#This Row],[Order Date]])</f>
        <v>1</v>
      </c>
      <c r="M10">
        <f>SalesData[[#This Row],[Sales]]/SalesData[[#This Row],[Quantity]]</f>
        <v>0.98199999999999998</v>
      </c>
      <c r="N10" t="str">
        <f>IF(SalesData[[#This Row],[Profit]]&gt;0,"Profit","Loss")</f>
        <v>Loss</v>
      </c>
    </row>
    <row r="11" spans="1:14" x14ac:dyDescent="0.3">
      <c r="A11" t="s">
        <v>2727</v>
      </c>
      <c r="B11" s="3">
        <v>42736</v>
      </c>
      <c r="C11" t="s">
        <v>9</v>
      </c>
      <c r="D11" t="s">
        <v>21</v>
      </c>
      <c r="E11" t="s">
        <v>100</v>
      </c>
      <c r="F11" s="1">
        <v>15.224</v>
      </c>
      <c r="G11">
        <v>2</v>
      </c>
      <c r="H11" s="1">
        <v>-38.821199999999997</v>
      </c>
      <c r="I11" s="4">
        <f>SalesData[[#This Row],[Profit]]/SalesData[[#This Row],[Sales]]</f>
        <v>-2.5499999999999998</v>
      </c>
      <c r="J11">
        <f>YEAR(SalesData[[#This Row],[Order Date]])</f>
        <v>2017</v>
      </c>
      <c r="K11" t="str">
        <f>TEXT(SalesData[[#This Row],[Order Date]],"mmm")</f>
        <v>Jan</v>
      </c>
      <c r="L11">
        <f>MONTH(SalesData[[#This Row],[Order Date]])</f>
        <v>1</v>
      </c>
      <c r="M11">
        <f>SalesData[[#This Row],[Sales]]/SalesData[[#This Row],[Quantity]]</f>
        <v>7.6120000000000001</v>
      </c>
      <c r="N11" t="str">
        <f>IF(SalesData[[#This Row],[Profit]]&gt;0,"Profit","Loss")</f>
        <v>Loss</v>
      </c>
    </row>
    <row r="12" spans="1:14" x14ac:dyDescent="0.3">
      <c r="A12" t="s">
        <v>2728</v>
      </c>
      <c r="B12" s="3">
        <v>42739</v>
      </c>
      <c r="C12" t="s">
        <v>9</v>
      </c>
      <c r="D12" t="s">
        <v>21</v>
      </c>
      <c r="E12" t="s">
        <v>1379</v>
      </c>
      <c r="F12" s="1">
        <v>94.2</v>
      </c>
      <c r="G12">
        <v>6</v>
      </c>
      <c r="H12" s="1">
        <v>23.55</v>
      </c>
      <c r="I12" s="4">
        <f>SalesData[[#This Row],[Profit]]/SalesData[[#This Row],[Sales]]</f>
        <v>0.25</v>
      </c>
      <c r="J12">
        <f>YEAR(SalesData[[#This Row],[Order Date]])</f>
        <v>2017</v>
      </c>
      <c r="K12" t="str">
        <f>TEXT(SalesData[[#This Row],[Order Date]],"mmm")</f>
        <v>Jan</v>
      </c>
      <c r="L12">
        <f>MONTH(SalesData[[#This Row],[Order Date]])</f>
        <v>1</v>
      </c>
      <c r="M12">
        <f>SalesData[[#This Row],[Sales]]/SalesData[[#This Row],[Quantity]]</f>
        <v>15.700000000000001</v>
      </c>
      <c r="N12" t="str">
        <f>IF(SalesData[[#This Row],[Profit]]&gt;0,"Profit","Loss")</f>
        <v>Profit</v>
      </c>
    </row>
    <row r="13" spans="1:14" x14ac:dyDescent="0.3">
      <c r="A13" t="s">
        <v>2728</v>
      </c>
      <c r="B13" s="3">
        <v>42739</v>
      </c>
      <c r="C13" t="s">
        <v>9</v>
      </c>
      <c r="D13" t="s">
        <v>21</v>
      </c>
      <c r="E13" t="s">
        <v>127</v>
      </c>
      <c r="F13" s="1">
        <v>28.4</v>
      </c>
      <c r="G13">
        <v>5</v>
      </c>
      <c r="H13" s="1">
        <v>13.348000000000001</v>
      </c>
      <c r="I13" s="4">
        <f>SalesData[[#This Row],[Profit]]/SalesData[[#This Row],[Sales]]</f>
        <v>0.47000000000000003</v>
      </c>
      <c r="J13">
        <f>YEAR(SalesData[[#This Row],[Order Date]])</f>
        <v>2017</v>
      </c>
      <c r="K13" t="str">
        <f>TEXT(SalesData[[#This Row],[Order Date]],"mmm")</f>
        <v>Jan</v>
      </c>
      <c r="L13">
        <f>MONTH(SalesData[[#This Row],[Order Date]])</f>
        <v>1</v>
      </c>
      <c r="M13">
        <f>SalesData[[#This Row],[Sales]]/SalesData[[#This Row],[Quantity]]</f>
        <v>5.68</v>
      </c>
      <c r="N13" t="str">
        <f>IF(SalesData[[#This Row],[Profit]]&gt;0,"Profit","Loss")</f>
        <v>Profit</v>
      </c>
    </row>
    <row r="14" spans="1:14" x14ac:dyDescent="0.3">
      <c r="A14" t="s">
        <v>2729</v>
      </c>
      <c r="B14" s="3">
        <v>42739</v>
      </c>
      <c r="C14" t="s">
        <v>13</v>
      </c>
      <c r="D14" t="s">
        <v>21</v>
      </c>
      <c r="E14" t="s">
        <v>2730</v>
      </c>
      <c r="F14" s="1">
        <v>5.78</v>
      </c>
      <c r="G14">
        <v>2</v>
      </c>
      <c r="H14" s="1">
        <v>2.7166000000000001</v>
      </c>
      <c r="I14" s="4">
        <f>SalesData[[#This Row],[Profit]]/SalesData[[#This Row],[Sales]]</f>
        <v>0.47000000000000003</v>
      </c>
      <c r="J14">
        <f>YEAR(SalesData[[#This Row],[Order Date]])</f>
        <v>2017</v>
      </c>
      <c r="K14" t="str">
        <f>TEXT(SalesData[[#This Row],[Order Date]],"mmm")</f>
        <v>Jan</v>
      </c>
      <c r="L14">
        <f>MONTH(SalesData[[#This Row],[Order Date]])</f>
        <v>1</v>
      </c>
      <c r="M14">
        <f>SalesData[[#This Row],[Sales]]/SalesData[[#This Row],[Quantity]]</f>
        <v>2.89</v>
      </c>
      <c r="N14" t="str">
        <f>IF(SalesData[[#This Row],[Profit]]&gt;0,"Profit","Loss")</f>
        <v>Profit</v>
      </c>
    </row>
    <row r="15" spans="1:14" x14ac:dyDescent="0.3">
      <c r="A15" t="s">
        <v>2729</v>
      </c>
      <c r="B15" s="3">
        <v>42739</v>
      </c>
      <c r="C15" t="s">
        <v>13</v>
      </c>
      <c r="D15" t="s">
        <v>21</v>
      </c>
      <c r="E15" t="s">
        <v>326</v>
      </c>
      <c r="F15" s="1">
        <v>121.68</v>
      </c>
      <c r="G15">
        <v>13</v>
      </c>
      <c r="H15" s="1">
        <v>38.024999999999999</v>
      </c>
      <c r="I15" s="4">
        <f>SalesData[[#This Row],[Profit]]/SalesData[[#This Row],[Sales]]</f>
        <v>0.31249999999999994</v>
      </c>
      <c r="J15">
        <f>YEAR(SalesData[[#This Row],[Order Date]])</f>
        <v>2017</v>
      </c>
      <c r="K15" t="str">
        <f>TEXT(SalesData[[#This Row],[Order Date]],"mmm")</f>
        <v>Jan</v>
      </c>
      <c r="L15">
        <f>MONTH(SalesData[[#This Row],[Order Date]])</f>
        <v>1</v>
      </c>
      <c r="M15">
        <f>SalesData[[#This Row],[Sales]]/SalesData[[#This Row],[Quantity]]</f>
        <v>9.3600000000000012</v>
      </c>
      <c r="N15" t="str">
        <f>IF(SalesData[[#This Row],[Profit]]&gt;0,"Profit","Loss")</f>
        <v>Profit</v>
      </c>
    </row>
    <row r="16" spans="1:14" x14ac:dyDescent="0.3">
      <c r="A16" t="s">
        <v>2731</v>
      </c>
      <c r="B16" s="3">
        <v>42739</v>
      </c>
      <c r="C16" t="s">
        <v>13</v>
      </c>
      <c r="D16" t="s">
        <v>14</v>
      </c>
      <c r="E16" t="s">
        <v>2050</v>
      </c>
      <c r="F16" s="1">
        <v>482.66399999999999</v>
      </c>
      <c r="G16">
        <v>8</v>
      </c>
      <c r="H16" s="1">
        <v>85.176000000000002</v>
      </c>
      <c r="I16" s="4">
        <f>SalesData[[#This Row],[Profit]]/SalesData[[#This Row],[Sales]]</f>
        <v>0.17647058823529413</v>
      </c>
      <c r="J16">
        <f>YEAR(SalesData[[#This Row],[Order Date]])</f>
        <v>2017</v>
      </c>
      <c r="K16" t="str">
        <f>TEXT(SalesData[[#This Row],[Order Date]],"mmm")</f>
        <v>Jan</v>
      </c>
      <c r="L16">
        <f>MONTH(SalesData[[#This Row],[Order Date]])</f>
        <v>1</v>
      </c>
      <c r="M16">
        <f>SalesData[[#This Row],[Sales]]/SalesData[[#This Row],[Quantity]]</f>
        <v>60.332999999999998</v>
      </c>
      <c r="N16" t="str">
        <f>IF(SalesData[[#This Row],[Profit]]&gt;0,"Profit","Loss")</f>
        <v>Profit</v>
      </c>
    </row>
    <row r="17" spans="1:14" x14ac:dyDescent="0.3">
      <c r="A17" t="s">
        <v>2731</v>
      </c>
      <c r="B17" s="3">
        <v>42739</v>
      </c>
      <c r="C17" t="s">
        <v>13</v>
      </c>
      <c r="D17" t="s">
        <v>10</v>
      </c>
      <c r="E17" t="s">
        <v>2732</v>
      </c>
      <c r="F17" s="1">
        <v>4799.9840000000004</v>
      </c>
      <c r="G17">
        <v>2</v>
      </c>
      <c r="H17" s="1">
        <v>359.99880000000002</v>
      </c>
      <c r="I17" s="4">
        <f>SalesData[[#This Row],[Profit]]/SalesData[[#This Row],[Sales]]</f>
        <v>7.4999999999999997E-2</v>
      </c>
      <c r="J17">
        <f>YEAR(SalesData[[#This Row],[Order Date]])</f>
        <v>2017</v>
      </c>
      <c r="K17" t="str">
        <f>TEXT(SalesData[[#This Row],[Order Date]],"mmm")</f>
        <v>Jan</v>
      </c>
      <c r="L17">
        <f>MONTH(SalesData[[#This Row],[Order Date]])</f>
        <v>1</v>
      </c>
      <c r="M17">
        <f>SalesData[[#This Row],[Sales]]/SalesData[[#This Row],[Quantity]]</f>
        <v>2399.9920000000002</v>
      </c>
      <c r="N17" t="str">
        <f>IF(SalesData[[#This Row],[Profit]]&gt;0,"Profit","Loss")</f>
        <v>Profit</v>
      </c>
    </row>
    <row r="18" spans="1:14" x14ac:dyDescent="0.3">
      <c r="A18" t="s">
        <v>2733</v>
      </c>
      <c r="B18" s="3">
        <v>42739</v>
      </c>
      <c r="C18" t="s">
        <v>17</v>
      </c>
      <c r="D18" t="s">
        <v>21</v>
      </c>
      <c r="E18" t="s">
        <v>1538</v>
      </c>
      <c r="F18" s="1">
        <v>42.93</v>
      </c>
      <c r="G18">
        <v>9</v>
      </c>
      <c r="H18" s="1">
        <v>19.3185</v>
      </c>
      <c r="I18" s="4">
        <f>SalesData[[#This Row],[Profit]]/SalesData[[#This Row],[Sales]]</f>
        <v>0.45</v>
      </c>
      <c r="J18">
        <f>YEAR(SalesData[[#This Row],[Order Date]])</f>
        <v>2017</v>
      </c>
      <c r="K18" t="str">
        <f>TEXT(SalesData[[#This Row],[Order Date]],"mmm")</f>
        <v>Jan</v>
      </c>
      <c r="L18">
        <f>MONTH(SalesData[[#This Row],[Order Date]])</f>
        <v>1</v>
      </c>
      <c r="M18">
        <f>SalesData[[#This Row],[Sales]]/SalesData[[#This Row],[Quantity]]</f>
        <v>4.7699999999999996</v>
      </c>
      <c r="N18" t="str">
        <f>IF(SalesData[[#This Row],[Profit]]&gt;0,"Profit","Loss")</f>
        <v>Profit</v>
      </c>
    </row>
    <row r="19" spans="1:14" x14ac:dyDescent="0.3">
      <c r="A19" t="s">
        <v>2734</v>
      </c>
      <c r="B19" s="3">
        <v>42739</v>
      </c>
      <c r="C19" t="s">
        <v>46</v>
      </c>
      <c r="D19" t="s">
        <v>10</v>
      </c>
      <c r="E19" t="s">
        <v>2502</v>
      </c>
      <c r="F19" s="1">
        <v>23.975999999999999</v>
      </c>
      <c r="G19">
        <v>3</v>
      </c>
      <c r="H19" s="1">
        <v>-5.6943000000000001</v>
      </c>
      <c r="I19" s="4">
        <f>SalesData[[#This Row],[Profit]]/SalesData[[#This Row],[Sales]]</f>
        <v>-0.23750000000000002</v>
      </c>
      <c r="J19">
        <f>YEAR(SalesData[[#This Row],[Order Date]])</f>
        <v>2017</v>
      </c>
      <c r="K19" t="str">
        <f>TEXT(SalesData[[#This Row],[Order Date]],"mmm")</f>
        <v>Jan</v>
      </c>
      <c r="L19">
        <f>MONTH(SalesData[[#This Row],[Order Date]])</f>
        <v>1</v>
      </c>
      <c r="M19">
        <f>SalesData[[#This Row],[Sales]]/SalesData[[#This Row],[Quantity]]</f>
        <v>7.992</v>
      </c>
      <c r="N19" t="str">
        <f>IF(SalesData[[#This Row],[Profit]]&gt;0,"Profit","Loss")</f>
        <v>Loss</v>
      </c>
    </row>
    <row r="20" spans="1:14" x14ac:dyDescent="0.3">
      <c r="A20" t="s">
        <v>2734</v>
      </c>
      <c r="B20" s="3">
        <v>42739</v>
      </c>
      <c r="C20" t="s">
        <v>46</v>
      </c>
      <c r="D20" t="s">
        <v>21</v>
      </c>
      <c r="E20" t="s">
        <v>769</v>
      </c>
      <c r="F20" s="1">
        <v>6.2640000000000002</v>
      </c>
      <c r="G20">
        <v>3</v>
      </c>
      <c r="H20" s="1">
        <v>2.0358000000000001</v>
      </c>
      <c r="I20" s="4">
        <f>SalesData[[#This Row],[Profit]]/SalesData[[#This Row],[Sales]]</f>
        <v>0.32500000000000001</v>
      </c>
      <c r="J20">
        <f>YEAR(SalesData[[#This Row],[Order Date]])</f>
        <v>2017</v>
      </c>
      <c r="K20" t="str">
        <f>TEXT(SalesData[[#This Row],[Order Date]],"mmm")</f>
        <v>Jan</v>
      </c>
      <c r="L20">
        <f>MONTH(SalesData[[#This Row],[Order Date]])</f>
        <v>1</v>
      </c>
      <c r="M20">
        <f>SalesData[[#This Row],[Sales]]/SalesData[[#This Row],[Quantity]]</f>
        <v>2.0880000000000001</v>
      </c>
      <c r="N20" t="str">
        <f>IF(SalesData[[#This Row],[Profit]]&gt;0,"Profit","Loss")</f>
        <v>Profit</v>
      </c>
    </row>
    <row r="21" spans="1:14" x14ac:dyDescent="0.3">
      <c r="A21" t="s">
        <v>2734</v>
      </c>
      <c r="B21" s="3">
        <v>42739</v>
      </c>
      <c r="C21" t="s">
        <v>46</v>
      </c>
      <c r="D21" t="s">
        <v>21</v>
      </c>
      <c r="E21" t="s">
        <v>207</v>
      </c>
      <c r="F21" s="1">
        <v>20.808</v>
      </c>
      <c r="G21">
        <v>3</v>
      </c>
      <c r="H21" s="1">
        <v>1.8207</v>
      </c>
      <c r="I21" s="4">
        <f>SalesData[[#This Row],[Profit]]/SalesData[[#This Row],[Sales]]</f>
        <v>8.7499999999999994E-2</v>
      </c>
      <c r="J21">
        <f>YEAR(SalesData[[#This Row],[Order Date]])</f>
        <v>2017</v>
      </c>
      <c r="K21" t="str">
        <f>TEXT(SalesData[[#This Row],[Order Date]],"mmm")</f>
        <v>Jan</v>
      </c>
      <c r="L21">
        <f>MONTH(SalesData[[#This Row],[Order Date]])</f>
        <v>1</v>
      </c>
      <c r="M21">
        <f>SalesData[[#This Row],[Sales]]/SalesData[[#This Row],[Quantity]]</f>
        <v>6.9359999999999999</v>
      </c>
      <c r="N21" t="str">
        <f>IF(SalesData[[#This Row],[Profit]]&gt;0,"Profit","Loss")</f>
        <v>Profit</v>
      </c>
    </row>
    <row r="22" spans="1:14" x14ac:dyDescent="0.3">
      <c r="A22" t="s">
        <v>2734</v>
      </c>
      <c r="B22" s="3">
        <v>42739</v>
      </c>
      <c r="C22" t="s">
        <v>46</v>
      </c>
      <c r="D22" t="s">
        <v>14</v>
      </c>
      <c r="E22" t="s">
        <v>1144</v>
      </c>
      <c r="F22" s="1">
        <v>218.352</v>
      </c>
      <c r="G22">
        <v>3</v>
      </c>
      <c r="H22" s="1">
        <v>-19.105799999999999</v>
      </c>
      <c r="I22" s="4">
        <f>SalesData[[#This Row],[Profit]]/SalesData[[#This Row],[Sales]]</f>
        <v>-8.7499999999999994E-2</v>
      </c>
      <c r="J22">
        <f>YEAR(SalesData[[#This Row],[Order Date]])</f>
        <v>2017</v>
      </c>
      <c r="K22" t="str">
        <f>TEXT(SalesData[[#This Row],[Order Date]],"mmm")</f>
        <v>Jan</v>
      </c>
      <c r="L22">
        <f>MONTH(SalesData[[#This Row],[Order Date]])</f>
        <v>1</v>
      </c>
      <c r="M22">
        <f>SalesData[[#This Row],[Sales]]/SalesData[[#This Row],[Quantity]]</f>
        <v>72.784000000000006</v>
      </c>
      <c r="N22" t="str">
        <f>IF(SalesData[[#This Row],[Profit]]&gt;0,"Profit","Loss")</f>
        <v>Loss</v>
      </c>
    </row>
    <row r="23" spans="1:14" x14ac:dyDescent="0.3">
      <c r="A23" t="s">
        <v>2735</v>
      </c>
      <c r="B23" s="3">
        <v>42739</v>
      </c>
      <c r="C23" t="s">
        <v>46</v>
      </c>
      <c r="D23" t="s">
        <v>14</v>
      </c>
      <c r="E23" t="s">
        <v>931</v>
      </c>
      <c r="F23" s="1">
        <v>127.95</v>
      </c>
      <c r="G23">
        <v>3</v>
      </c>
      <c r="H23" s="1">
        <v>21.7515</v>
      </c>
      <c r="I23" s="4">
        <f>SalesData[[#This Row],[Profit]]/SalesData[[#This Row],[Sales]]</f>
        <v>0.16999999999999998</v>
      </c>
      <c r="J23">
        <f>YEAR(SalesData[[#This Row],[Order Date]])</f>
        <v>2017</v>
      </c>
      <c r="K23" t="str">
        <f>TEXT(SalesData[[#This Row],[Order Date]],"mmm")</f>
        <v>Jan</v>
      </c>
      <c r="L23">
        <f>MONTH(SalesData[[#This Row],[Order Date]])</f>
        <v>1</v>
      </c>
      <c r="M23">
        <f>SalesData[[#This Row],[Sales]]/SalesData[[#This Row],[Quantity]]</f>
        <v>42.65</v>
      </c>
      <c r="N23" t="str">
        <f>IF(SalesData[[#This Row],[Profit]]&gt;0,"Profit","Loss")</f>
        <v>Profit</v>
      </c>
    </row>
    <row r="24" spans="1:14" x14ac:dyDescent="0.3">
      <c r="A24" t="s">
        <v>2736</v>
      </c>
      <c r="B24" s="3">
        <v>42740</v>
      </c>
      <c r="C24" t="s">
        <v>46</v>
      </c>
      <c r="D24" t="s">
        <v>10</v>
      </c>
      <c r="E24" t="s">
        <v>712</v>
      </c>
      <c r="F24" s="1">
        <v>48.9</v>
      </c>
      <c r="G24">
        <v>5</v>
      </c>
      <c r="H24" s="1">
        <v>18.093</v>
      </c>
      <c r="I24" s="4">
        <f>SalesData[[#This Row],[Profit]]/SalesData[[#This Row],[Sales]]</f>
        <v>0.37</v>
      </c>
      <c r="J24">
        <f>YEAR(SalesData[[#This Row],[Order Date]])</f>
        <v>2017</v>
      </c>
      <c r="K24" t="str">
        <f>TEXT(SalesData[[#This Row],[Order Date]],"mmm")</f>
        <v>Jan</v>
      </c>
      <c r="L24">
        <f>MONTH(SalesData[[#This Row],[Order Date]])</f>
        <v>1</v>
      </c>
      <c r="M24">
        <f>SalesData[[#This Row],[Sales]]/SalesData[[#This Row],[Quantity]]</f>
        <v>9.7799999999999994</v>
      </c>
      <c r="N24" t="str">
        <f>IF(SalesData[[#This Row],[Profit]]&gt;0,"Profit","Loss")</f>
        <v>Profit</v>
      </c>
    </row>
    <row r="25" spans="1:14" x14ac:dyDescent="0.3">
      <c r="A25" t="s">
        <v>2737</v>
      </c>
      <c r="B25" s="3">
        <v>42740</v>
      </c>
      <c r="C25" t="s">
        <v>46</v>
      </c>
      <c r="D25" t="s">
        <v>21</v>
      </c>
      <c r="E25" t="s">
        <v>2738</v>
      </c>
      <c r="F25" s="1">
        <v>3.3279999999999998</v>
      </c>
      <c r="G25">
        <v>2</v>
      </c>
      <c r="H25" s="1">
        <v>0.41599999999999998</v>
      </c>
      <c r="I25" s="4">
        <f>SalesData[[#This Row],[Profit]]/SalesData[[#This Row],[Sales]]</f>
        <v>0.125</v>
      </c>
      <c r="J25">
        <f>YEAR(SalesData[[#This Row],[Order Date]])</f>
        <v>2017</v>
      </c>
      <c r="K25" t="str">
        <f>TEXT(SalesData[[#This Row],[Order Date]],"mmm")</f>
        <v>Jan</v>
      </c>
      <c r="L25">
        <f>MONTH(SalesData[[#This Row],[Order Date]])</f>
        <v>1</v>
      </c>
      <c r="M25">
        <f>SalesData[[#This Row],[Sales]]/SalesData[[#This Row],[Quantity]]</f>
        <v>1.6639999999999999</v>
      </c>
      <c r="N25" t="str">
        <f>IF(SalesData[[#This Row],[Profit]]&gt;0,"Profit","Loss")</f>
        <v>Profit</v>
      </c>
    </row>
    <row r="26" spans="1:14" x14ac:dyDescent="0.3">
      <c r="A26" t="s">
        <v>2737</v>
      </c>
      <c r="B26" s="3">
        <v>42740</v>
      </c>
      <c r="C26" t="s">
        <v>46</v>
      </c>
      <c r="D26" t="s">
        <v>14</v>
      </c>
      <c r="E26" t="s">
        <v>1683</v>
      </c>
      <c r="F26" s="1">
        <v>933.26199999999994</v>
      </c>
      <c r="G26">
        <v>4</v>
      </c>
      <c r="H26" s="1">
        <v>-458.14679999999998</v>
      </c>
      <c r="I26" s="4">
        <f>SalesData[[#This Row],[Profit]]/SalesData[[#This Row],[Sales]]</f>
        <v>-0.49090909090909091</v>
      </c>
      <c r="J26">
        <f>YEAR(SalesData[[#This Row],[Order Date]])</f>
        <v>2017</v>
      </c>
      <c r="K26" t="str">
        <f>TEXT(SalesData[[#This Row],[Order Date]],"mmm")</f>
        <v>Jan</v>
      </c>
      <c r="L26">
        <f>MONTH(SalesData[[#This Row],[Order Date]])</f>
        <v>1</v>
      </c>
      <c r="M26">
        <f>SalesData[[#This Row],[Sales]]/SalesData[[#This Row],[Quantity]]</f>
        <v>233.31549999999999</v>
      </c>
      <c r="N26" t="str">
        <f>IF(SalesData[[#This Row],[Profit]]&gt;0,"Profit","Loss")</f>
        <v>Loss</v>
      </c>
    </row>
    <row r="27" spans="1:14" x14ac:dyDescent="0.3">
      <c r="A27" t="s">
        <v>2737</v>
      </c>
      <c r="B27" s="3">
        <v>42740</v>
      </c>
      <c r="C27" t="s">
        <v>46</v>
      </c>
      <c r="D27" t="s">
        <v>14</v>
      </c>
      <c r="E27" t="s">
        <v>1021</v>
      </c>
      <c r="F27" s="1">
        <v>2803.92</v>
      </c>
      <c r="G27">
        <v>5</v>
      </c>
      <c r="H27" s="1">
        <v>0</v>
      </c>
      <c r="I27" s="4">
        <f>SalesData[[#This Row],[Profit]]/SalesData[[#This Row],[Sales]]</f>
        <v>0</v>
      </c>
      <c r="J27">
        <f>YEAR(SalesData[[#This Row],[Order Date]])</f>
        <v>2017</v>
      </c>
      <c r="K27" t="str">
        <f>TEXT(SalesData[[#This Row],[Order Date]],"mmm")</f>
        <v>Jan</v>
      </c>
      <c r="L27">
        <f>MONTH(SalesData[[#This Row],[Order Date]])</f>
        <v>1</v>
      </c>
      <c r="M27">
        <f>SalesData[[#This Row],[Sales]]/SalesData[[#This Row],[Quantity]]</f>
        <v>560.78399999999999</v>
      </c>
      <c r="N27" t="str">
        <f>IF(SalesData[[#This Row],[Profit]]&gt;0,"Profit","Loss")</f>
        <v>Loss</v>
      </c>
    </row>
    <row r="28" spans="1:14" x14ac:dyDescent="0.3">
      <c r="A28" t="s">
        <v>2739</v>
      </c>
      <c r="B28" s="3">
        <v>42740</v>
      </c>
      <c r="C28" t="s">
        <v>46</v>
      </c>
      <c r="D28" t="s">
        <v>14</v>
      </c>
      <c r="E28" t="s">
        <v>2448</v>
      </c>
      <c r="F28" s="1">
        <v>314.35199999999998</v>
      </c>
      <c r="G28">
        <v>3</v>
      </c>
      <c r="H28" s="1">
        <v>-15.717599999999999</v>
      </c>
      <c r="I28" s="4">
        <f>SalesData[[#This Row],[Profit]]/SalesData[[#This Row],[Sales]]</f>
        <v>-0.05</v>
      </c>
      <c r="J28">
        <f>YEAR(SalesData[[#This Row],[Order Date]])</f>
        <v>2017</v>
      </c>
      <c r="K28" t="str">
        <f>TEXT(SalesData[[#This Row],[Order Date]],"mmm")</f>
        <v>Jan</v>
      </c>
      <c r="L28">
        <f>MONTH(SalesData[[#This Row],[Order Date]])</f>
        <v>1</v>
      </c>
      <c r="M28">
        <f>SalesData[[#This Row],[Sales]]/SalesData[[#This Row],[Quantity]]</f>
        <v>104.78399999999999</v>
      </c>
      <c r="N28" t="str">
        <f>IF(SalesData[[#This Row],[Profit]]&gt;0,"Profit","Loss")</f>
        <v>Loss</v>
      </c>
    </row>
    <row r="29" spans="1:14" x14ac:dyDescent="0.3">
      <c r="A29" t="s">
        <v>2739</v>
      </c>
      <c r="B29" s="3">
        <v>42740</v>
      </c>
      <c r="C29" t="s">
        <v>46</v>
      </c>
      <c r="D29" t="s">
        <v>21</v>
      </c>
      <c r="E29" t="s">
        <v>724</v>
      </c>
      <c r="F29" s="1">
        <v>4.6079999999999997</v>
      </c>
      <c r="G29">
        <v>2</v>
      </c>
      <c r="H29" s="1">
        <v>1.4976</v>
      </c>
      <c r="I29" s="4">
        <f>SalesData[[#This Row],[Profit]]/SalesData[[#This Row],[Sales]]</f>
        <v>0.32500000000000001</v>
      </c>
      <c r="J29">
        <f>YEAR(SalesData[[#This Row],[Order Date]])</f>
        <v>2017</v>
      </c>
      <c r="K29" t="str">
        <f>TEXT(SalesData[[#This Row],[Order Date]],"mmm")</f>
        <v>Jan</v>
      </c>
      <c r="L29">
        <f>MONTH(SalesData[[#This Row],[Order Date]])</f>
        <v>1</v>
      </c>
      <c r="M29">
        <f>SalesData[[#This Row],[Sales]]/SalesData[[#This Row],[Quantity]]</f>
        <v>2.3039999999999998</v>
      </c>
      <c r="N29" t="str">
        <f>IF(SalesData[[#This Row],[Profit]]&gt;0,"Profit","Loss")</f>
        <v>Profit</v>
      </c>
    </row>
    <row r="30" spans="1:14" x14ac:dyDescent="0.3">
      <c r="A30" t="s">
        <v>2740</v>
      </c>
      <c r="B30" s="3">
        <v>42741</v>
      </c>
      <c r="C30" t="s">
        <v>17</v>
      </c>
      <c r="D30" t="s">
        <v>21</v>
      </c>
      <c r="E30" t="s">
        <v>2741</v>
      </c>
      <c r="F30" s="1">
        <v>17.48</v>
      </c>
      <c r="G30">
        <v>5</v>
      </c>
      <c r="H30" s="1">
        <v>1.3109999999999999</v>
      </c>
      <c r="I30" s="4">
        <f>SalesData[[#This Row],[Profit]]/SalesData[[#This Row],[Sales]]</f>
        <v>7.4999999999999997E-2</v>
      </c>
      <c r="J30">
        <f>YEAR(SalesData[[#This Row],[Order Date]])</f>
        <v>2017</v>
      </c>
      <c r="K30" t="str">
        <f>TEXT(SalesData[[#This Row],[Order Date]],"mmm")</f>
        <v>Jan</v>
      </c>
      <c r="L30">
        <f>MONTH(SalesData[[#This Row],[Order Date]])</f>
        <v>1</v>
      </c>
      <c r="M30">
        <f>SalesData[[#This Row],[Sales]]/SalesData[[#This Row],[Quantity]]</f>
        <v>3.496</v>
      </c>
      <c r="N30" t="str">
        <f>IF(SalesData[[#This Row],[Profit]]&gt;0,"Profit","Loss")</f>
        <v>Profit</v>
      </c>
    </row>
    <row r="31" spans="1:14" x14ac:dyDescent="0.3">
      <c r="A31" t="s">
        <v>2742</v>
      </c>
      <c r="B31" s="3">
        <v>42741</v>
      </c>
      <c r="C31" t="s">
        <v>17</v>
      </c>
      <c r="D31" t="s">
        <v>21</v>
      </c>
      <c r="E31" t="s">
        <v>225</v>
      </c>
      <c r="F31" s="1">
        <v>3.798</v>
      </c>
      <c r="G31">
        <v>2</v>
      </c>
      <c r="H31" s="1">
        <v>-2.6585999999999999</v>
      </c>
      <c r="I31" s="4">
        <f>SalesData[[#This Row],[Profit]]/SalesData[[#This Row],[Sales]]</f>
        <v>-0.7</v>
      </c>
      <c r="J31">
        <f>YEAR(SalesData[[#This Row],[Order Date]])</f>
        <v>2017</v>
      </c>
      <c r="K31" t="str">
        <f>TEXT(SalesData[[#This Row],[Order Date]],"mmm")</f>
        <v>Jan</v>
      </c>
      <c r="L31">
        <f>MONTH(SalesData[[#This Row],[Order Date]])</f>
        <v>1</v>
      </c>
      <c r="M31">
        <f>SalesData[[#This Row],[Sales]]/SalesData[[#This Row],[Quantity]]</f>
        <v>1.899</v>
      </c>
      <c r="N31" t="str">
        <f>IF(SalesData[[#This Row],[Profit]]&gt;0,"Profit","Loss")</f>
        <v>Loss</v>
      </c>
    </row>
    <row r="32" spans="1:14" x14ac:dyDescent="0.3">
      <c r="A32" t="s">
        <v>2742</v>
      </c>
      <c r="B32" s="3">
        <v>42741</v>
      </c>
      <c r="C32" t="s">
        <v>17</v>
      </c>
      <c r="D32" t="s">
        <v>21</v>
      </c>
      <c r="E32" t="s">
        <v>2570</v>
      </c>
      <c r="F32" s="1">
        <v>27.744</v>
      </c>
      <c r="G32">
        <v>6</v>
      </c>
      <c r="H32" s="1">
        <v>10.0572</v>
      </c>
      <c r="I32" s="4">
        <f>SalesData[[#This Row],[Profit]]/SalesData[[#This Row],[Sales]]</f>
        <v>0.36249999999999999</v>
      </c>
      <c r="J32">
        <f>YEAR(SalesData[[#This Row],[Order Date]])</f>
        <v>2017</v>
      </c>
      <c r="K32" t="str">
        <f>TEXT(SalesData[[#This Row],[Order Date]],"mmm")</f>
        <v>Jan</v>
      </c>
      <c r="L32">
        <f>MONTH(SalesData[[#This Row],[Order Date]])</f>
        <v>1</v>
      </c>
      <c r="M32">
        <f>SalesData[[#This Row],[Sales]]/SalesData[[#This Row],[Quantity]]</f>
        <v>4.6239999999999997</v>
      </c>
      <c r="N32" t="str">
        <f>IF(SalesData[[#This Row],[Profit]]&gt;0,"Profit","Loss")</f>
        <v>Profit</v>
      </c>
    </row>
    <row r="33" spans="1:14" x14ac:dyDescent="0.3">
      <c r="A33" t="s">
        <v>2742</v>
      </c>
      <c r="B33" s="3">
        <v>42741</v>
      </c>
      <c r="C33" t="s">
        <v>17</v>
      </c>
      <c r="D33" t="s">
        <v>10</v>
      </c>
      <c r="E33" t="s">
        <v>1263</v>
      </c>
      <c r="F33" s="1">
        <v>158.376</v>
      </c>
      <c r="G33">
        <v>4</v>
      </c>
      <c r="H33" s="1">
        <v>-34.314799999999998</v>
      </c>
      <c r="I33" s="4">
        <f>SalesData[[#This Row],[Profit]]/SalesData[[#This Row],[Sales]]</f>
        <v>-0.21666666666666665</v>
      </c>
      <c r="J33">
        <f>YEAR(SalesData[[#This Row],[Order Date]])</f>
        <v>2017</v>
      </c>
      <c r="K33" t="str">
        <f>TEXT(SalesData[[#This Row],[Order Date]],"mmm")</f>
        <v>Jan</v>
      </c>
      <c r="L33">
        <f>MONTH(SalesData[[#This Row],[Order Date]])</f>
        <v>1</v>
      </c>
      <c r="M33">
        <f>SalesData[[#This Row],[Sales]]/SalesData[[#This Row],[Quantity]]</f>
        <v>39.594000000000001</v>
      </c>
      <c r="N33" t="str">
        <f>IF(SalesData[[#This Row],[Profit]]&gt;0,"Profit","Loss")</f>
        <v>Loss</v>
      </c>
    </row>
    <row r="34" spans="1:14" x14ac:dyDescent="0.3">
      <c r="A34" t="s">
        <v>2743</v>
      </c>
      <c r="B34" s="3">
        <v>42741</v>
      </c>
      <c r="C34" t="s">
        <v>9</v>
      </c>
      <c r="D34" t="s">
        <v>21</v>
      </c>
      <c r="E34" t="s">
        <v>308</v>
      </c>
      <c r="F34" s="1">
        <v>53.9</v>
      </c>
      <c r="G34">
        <v>5</v>
      </c>
      <c r="H34" s="1">
        <v>25.872</v>
      </c>
      <c r="I34" s="4">
        <f>SalesData[[#This Row],[Profit]]/SalesData[[#This Row],[Sales]]</f>
        <v>0.48000000000000004</v>
      </c>
      <c r="J34">
        <f>YEAR(SalesData[[#This Row],[Order Date]])</f>
        <v>2017</v>
      </c>
      <c r="K34" t="str">
        <f>TEXT(SalesData[[#This Row],[Order Date]],"mmm")</f>
        <v>Jan</v>
      </c>
      <c r="L34">
        <f>MONTH(SalesData[[#This Row],[Order Date]])</f>
        <v>1</v>
      </c>
      <c r="M34">
        <f>SalesData[[#This Row],[Sales]]/SalesData[[#This Row],[Quantity]]</f>
        <v>10.78</v>
      </c>
      <c r="N34" t="str">
        <f>IF(SalesData[[#This Row],[Profit]]&gt;0,"Profit","Loss")</f>
        <v>Profit</v>
      </c>
    </row>
    <row r="35" spans="1:14" x14ac:dyDescent="0.3">
      <c r="A35" t="s">
        <v>2744</v>
      </c>
      <c r="B35" s="3">
        <v>42741</v>
      </c>
      <c r="C35" t="s">
        <v>17</v>
      </c>
      <c r="D35" t="s">
        <v>21</v>
      </c>
      <c r="E35" t="s">
        <v>2660</v>
      </c>
      <c r="F35" s="1">
        <v>324.74400000000003</v>
      </c>
      <c r="G35">
        <v>3</v>
      </c>
      <c r="H35" s="1">
        <v>-77.1267</v>
      </c>
      <c r="I35" s="4">
        <f>SalesData[[#This Row],[Profit]]/SalesData[[#This Row],[Sales]]</f>
        <v>-0.23749999999999999</v>
      </c>
      <c r="J35">
        <f>YEAR(SalesData[[#This Row],[Order Date]])</f>
        <v>2017</v>
      </c>
      <c r="K35" t="str">
        <f>TEXT(SalesData[[#This Row],[Order Date]],"mmm")</f>
        <v>Jan</v>
      </c>
      <c r="L35">
        <f>MONTH(SalesData[[#This Row],[Order Date]])</f>
        <v>1</v>
      </c>
      <c r="M35">
        <f>SalesData[[#This Row],[Sales]]/SalesData[[#This Row],[Quantity]]</f>
        <v>108.248</v>
      </c>
      <c r="N35" t="str">
        <f>IF(SalesData[[#This Row],[Profit]]&gt;0,"Profit","Loss")</f>
        <v>Loss</v>
      </c>
    </row>
    <row r="36" spans="1:14" x14ac:dyDescent="0.3">
      <c r="A36" t="s">
        <v>2745</v>
      </c>
      <c r="B36" s="3">
        <v>42741</v>
      </c>
      <c r="C36" t="s">
        <v>9</v>
      </c>
      <c r="D36" t="s">
        <v>14</v>
      </c>
      <c r="E36" t="s">
        <v>118</v>
      </c>
      <c r="F36" s="1">
        <v>1925.88</v>
      </c>
      <c r="G36">
        <v>6</v>
      </c>
      <c r="H36" s="1">
        <v>539.24639999999999</v>
      </c>
      <c r="I36" s="4">
        <f>SalesData[[#This Row],[Profit]]/SalesData[[#This Row],[Sales]]</f>
        <v>0.27999999999999997</v>
      </c>
      <c r="J36">
        <f>YEAR(SalesData[[#This Row],[Order Date]])</f>
        <v>2017</v>
      </c>
      <c r="K36" t="str">
        <f>TEXT(SalesData[[#This Row],[Order Date]],"mmm")</f>
        <v>Jan</v>
      </c>
      <c r="L36">
        <f>MONTH(SalesData[[#This Row],[Order Date]])</f>
        <v>1</v>
      </c>
      <c r="M36">
        <f>SalesData[[#This Row],[Sales]]/SalesData[[#This Row],[Quantity]]</f>
        <v>320.98</v>
      </c>
      <c r="N36" t="str">
        <f>IF(SalesData[[#This Row],[Profit]]&gt;0,"Profit","Loss")</f>
        <v>Profit</v>
      </c>
    </row>
    <row r="37" spans="1:14" x14ac:dyDescent="0.3">
      <c r="A37" t="s">
        <v>2745</v>
      </c>
      <c r="B37" s="3">
        <v>42741</v>
      </c>
      <c r="C37" t="s">
        <v>9</v>
      </c>
      <c r="D37" t="s">
        <v>21</v>
      </c>
      <c r="E37" t="s">
        <v>40</v>
      </c>
      <c r="F37" s="1">
        <v>2405.1999999999998</v>
      </c>
      <c r="G37">
        <v>8</v>
      </c>
      <c r="H37" s="1">
        <v>793.71600000000001</v>
      </c>
      <c r="I37" s="4">
        <f>SalesData[[#This Row],[Profit]]/SalesData[[#This Row],[Sales]]</f>
        <v>0.33</v>
      </c>
      <c r="J37">
        <f>YEAR(SalesData[[#This Row],[Order Date]])</f>
        <v>2017</v>
      </c>
      <c r="K37" t="str">
        <f>TEXT(SalesData[[#This Row],[Order Date]],"mmm")</f>
        <v>Jan</v>
      </c>
      <c r="L37">
        <f>MONTH(SalesData[[#This Row],[Order Date]])</f>
        <v>1</v>
      </c>
      <c r="M37">
        <f>SalesData[[#This Row],[Sales]]/SalesData[[#This Row],[Quantity]]</f>
        <v>300.64999999999998</v>
      </c>
      <c r="N37" t="str">
        <f>IF(SalesData[[#This Row],[Profit]]&gt;0,"Profit","Loss")</f>
        <v>Profit</v>
      </c>
    </row>
    <row r="38" spans="1:14" x14ac:dyDescent="0.3">
      <c r="A38" t="s">
        <v>2745</v>
      </c>
      <c r="B38" s="3">
        <v>42741</v>
      </c>
      <c r="C38" t="s">
        <v>9</v>
      </c>
      <c r="D38" t="s">
        <v>10</v>
      </c>
      <c r="E38" t="s">
        <v>2746</v>
      </c>
      <c r="F38" s="1">
        <v>83.97</v>
      </c>
      <c r="G38">
        <v>3</v>
      </c>
      <c r="H38" s="1">
        <v>15.9543</v>
      </c>
      <c r="I38" s="4">
        <f>SalesData[[#This Row],[Profit]]/SalesData[[#This Row],[Sales]]</f>
        <v>0.19</v>
      </c>
      <c r="J38">
        <f>YEAR(SalesData[[#This Row],[Order Date]])</f>
        <v>2017</v>
      </c>
      <c r="K38" t="str">
        <f>TEXT(SalesData[[#This Row],[Order Date]],"mmm")</f>
        <v>Jan</v>
      </c>
      <c r="L38">
        <f>MONTH(SalesData[[#This Row],[Order Date]])</f>
        <v>1</v>
      </c>
      <c r="M38">
        <f>SalesData[[#This Row],[Sales]]/SalesData[[#This Row],[Quantity]]</f>
        <v>27.99</v>
      </c>
      <c r="N38" t="str">
        <f>IF(SalesData[[#This Row],[Profit]]&gt;0,"Profit","Loss")</f>
        <v>Profit</v>
      </c>
    </row>
    <row r="39" spans="1:14" x14ac:dyDescent="0.3">
      <c r="A39" t="s">
        <v>2745</v>
      </c>
      <c r="B39" s="3">
        <v>42741</v>
      </c>
      <c r="C39" t="s">
        <v>9</v>
      </c>
      <c r="D39" t="s">
        <v>10</v>
      </c>
      <c r="E39" t="s">
        <v>1980</v>
      </c>
      <c r="F39" s="1">
        <v>39.89</v>
      </c>
      <c r="G39">
        <v>1</v>
      </c>
      <c r="H39" s="1">
        <v>14.7593</v>
      </c>
      <c r="I39" s="4">
        <f>SalesData[[#This Row],[Profit]]/SalesData[[#This Row],[Sales]]</f>
        <v>0.37</v>
      </c>
      <c r="J39">
        <f>YEAR(SalesData[[#This Row],[Order Date]])</f>
        <v>2017</v>
      </c>
      <c r="K39" t="str">
        <f>TEXT(SalesData[[#This Row],[Order Date]],"mmm")</f>
        <v>Jan</v>
      </c>
      <c r="L39">
        <f>MONTH(SalesData[[#This Row],[Order Date]])</f>
        <v>1</v>
      </c>
      <c r="M39">
        <f>SalesData[[#This Row],[Sales]]/SalesData[[#This Row],[Quantity]]</f>
        <v>39.89</v>
      </c>
      <c r="N39" t="str">
        <f>IF(SalesData[[#This Row],[Profit]]&gt;0,"Profit","Loss")</f>
        <v>Profit</v>
      </c>
    </row>
    <row r="40" spans="1:14" x14ac:dyDescent="0.3">
      <c r="A40" t="s">
        <v>2745</v>
      </c>
      <c r="B40" s="3">
        <v>42741</v>
      </c>
      <c r="C40" t="s">
        <v>9</v>
      </c>
      <c r="D40" t="s">
        <v>21</v>
      </c>
      <c r="E40" t="s">
        <v>1339</v>
      </c>
      <c r="F40" s="1">
        <v>17.38</v>
      </c>
      <c r="G40">
        <v>2</v>
      </c>
      <c r="H40" s="1">
        <v>8.69</v>
      </c>
      <c r="I40" s="4">
        <f>SalesData[[#This Row],[Profit]]/SalesData[[#This Row],[Sales]]</f>
        <v>0.5</v>
      </c>
      <c r="J40">
        <f>YEAR(SalesData[[#This Row],[Order Date]])</f>
        <v>2017</v>
      </c>
      <c r="K40" t="str">
        <f>TEXT(SalesData[[#This Row],[Order Date]],"mmm")</f>
        <v>Jan</v>
      </c>
      <c r="L40">
        <f>MONTH(SalesData[[#This Row],[Order Date]])</f>
        <v>1</v>
      </c>
      <c r="M40">
        <f>SalesData[[#This Row],[Sales]]/SalesData[[#This Row],[Quantity]]</f>
        <v>8.69</v>
      </c>
      <c r="N40" t="str">
        <f>IF(SalesData[[#This Row],[Profit]]&gt;0,"Profit","Loss")</f>
        <v>Profit</v>
      </c>
    </row>
    <row r="41" spans="1:14" x14ac:dyDescent="0.3">
      <c r="A41" t="s">
        <v>2747</v>
      </c>
      <c r="B41" s="3">
        <v>42742</v>
      </c>
      <c r="C41" t="s">
        <v>9</v>
      </c>
      <c r="D41" t="s">
        <v>21</v>
      </c>
      <c r="E41" t="s">
        <v>80</v>
      </c>
      <c r="F41" s="1">
        <v>443.92</v>
      </c>
      <c r="G41">
        <v>4</v>
      </c>
      <c r="H41" s="1">
        <v>13.317600000000001</v>
      </c>
      <c r="I41" s="4">
        <f>SalesData[[#This Row],[Profit]]/SalesData[[#This Row],[Sales]]</f>
        <v>0.03</v>
      </c>
      <c r="J41">
        <f>YEAR(SalesData[[#This Row],[Order Date]])</f>
        <v>2017</v>
      </c>
      <c r="K41" t="str">
        <f>TEXT(SalesData[[#This Row],[Order Date]],"mmm")</f>
        <v>Jan</v>
      </c>
      <c r="L41">
        <f>MONTH(SalesData[[#This Row],[Order Date]])</f>
        <v>1</v>
      </c>
      <c r="M41">
        <f>SalesData[[#This Row],[Sales]]/SalesData[[#This Row],[Quantity]]</f>
        <v>110.98</v>
      </c>
      <c r="N41" t="str">
        <f>IF(SalesData[[#This Row],[Profit]]&gt;0,"Profit","Loss")</f>
        <v>Profit</v>
      </c>
    </row>
    <row r="42" spans="1:14" x14ac:dyDescent="0.3">
      <c r="A42" t="s">
        <v>2747</v>
      </c>
      <c r="B42" s="3">
        <v>42742</v>
      </c>
      <c r="C42" t="s">
        <v>9</v>
      </c>
      <c r="D42" t="s">
        <v>21</v>
      </c>
      <c r="E42" t="s">
        <v>2249</v>
      </c>
      <c r="F42" s="1">
        <v>169.99</v>
      </c>
      <c r="G42">
        <v>1</v>
      </c>
      <c r="H42" s="1">
        <v>78.195400000000006</v>
      </c>
      <c r="I42" s="4">
        <f>SalesData[[#This Row],[Profit]]/SalesData[[#This Row],[Sales]]</f>
        <v>0.46</v>
      </c>
      <c r="J42">
        <f>YEAR(SalesData[[#This Row],[Order Date]])</f>
        <v>2017</v>
      </c>
      <c r="K42" t="str">
        <f>TEXT(SalesData[[#This Row],[Order Date]],"mmm")</f>
        <v>Jan</v>
      </c>
      <c r="L42">
        <f>MONTH(SalesData[[#This Row],[Order Date]])</f>
        <v>1</v>
      </c>
      <c r="M42">
        <f>SalesData[[#This Row],[Sales]]/SalesData[[#This Row],[Quantity]]</f>
        <v>169.99</v>
      </c>
      <c r="N42" t="str">
        <f>IF(SalesData[[#This Row],[Profit]]&gt;0,"Profit","Loss")</f>
        <v>Profit</v>
      </c>
    </row>
    <row r="43" spans="1:14" x14ac:dyDescent="0.3">
      <c r="A43" t="s">
        <v>2747</v>
      </c>
      <c r="B43" s="3">
        <v>42742</v>
      </c>
      <c r="C43" t="s">
        <v>9</v>
      </c>
      <c r="D43" t="s">
        <v>21</v>
      </c>
      <c r="E43" t="s">
        <v>580</v>
      </c>
      <c r="F43" s="1">
        <v>25.92</v>
      </c>
      <c r="G43">
        <v>4</v>
      </c>
      <c r="H43" s="1">
        <v>12.441599999999999</v>
      </c>
      <c r="I43" s="4">
        <f>SalesData[[#This Row],[Profit]]/SalesData[[#This Row],[Sales]]</f>
        <v>0.47999999999999993</v>
      </c>
      <c r="J43">
        <f>YEAR(SalesData[[#This Row],[Order Date]])</f>
        <v>2017</v>
      </c>
      <c r="K43" t="str">
        <f>TEXT(SalesData[[#This Row],[Order Date]],"mmm")</f>
        <v>Jan</v>
      </c>
      <c r="L43">
        <f>MONTH(SalesData[[#This Row],[Order Date]])</f>
        <v>1</v>
      </c>
      <c r="M43">
        <f>SalesData[[#This Row],[Sales]]/SalesData[[#This Row],[Quantity]]</f>
        <v>6.48</v>
      </c>
      <c r="N43" t="str">
        <f>IF(SalesData[[#This Row],[Profit]]&gt;0,"Profit","Loss")</f>
        <v>Profit</v>
      </c>
    </row>
    <row r="44" spans="1:14" x14ac:dyDescent="0.3">
      <c r="A44" t="s">
        <v>2748</v>
      </c>
      <c r="B44" s="3">
        <v>42743</v>
      </c>
      <c r="C44" t="s">
        <v>9</v>
      </c>
      <c r="D44" t="s">
        <v>10</v>
      </c>
      <c r="E44" t="s">
        <v>684</v>
      </c>
      <c r="F44" s="1">
        <v>95.983999999999995</v>
      </c>
      <c r="G44">
        <v>2</v>
      </c>
      <c r="H44" s="1">
        <v>5.9989999999999997</v>
      </c>
      <c r="I44" s="4">
        <f>SalesData[[#This Row],[Profit]]/SalesData[[#This Row],[Sales]]</f>
        <v>6.25E-2</v>
      </c>
      <c r="J44">
        <f>YEAR(SalesData[[#This Row],[Order Date]])</f>
        <v>2017</v>
      </c>
      <c r="K44" t="str">
        <f>TEXT(SalesData[[#This Row],[Order Date]],"mmm")</f>
        <v>Jan</v>
      </c>
      <c r="L44">
        <f>MONTH(SalesData[[#This Row],[Order Date]])</f>
        <v>1</v>
      </c>
      <c r="M44">
        <f>SalesData[[#This Row],[Sales]]/SalesData[[#This Row],[Quantity]]</f>
        <v>47.991999999999997</v>
      </c>
      <c r="N44" t="str">
        <f>IF(SalesData[[#This Row],[Profit]]&gt;0,"Profit","Loss")</f>
        <v>Profit</v>
      </c>
    </row>
    <row r="45" spans="1:14" x14ac:dyDescent="0.3">
      <c r="A45" t="s">
        <v>2749</v>
      </c>
      <c r="B45" s="3">
        <v>42743</v>
      </c>
      <c r="C45" t="s">
        <v>46</v>
      </c>
      <c r="D45" t="s">
        <v>10</v>
      </c>
      <c r="E45" t="s">
        <v>2212</v>
      </c>
      <c r="F45" s="1">
        <v>271.95999999999998</v>
      </c>
      <c r="G45">
        <v>5</v>
      </c>
      <c r="H45" s="1">
        <v>16.997499999999999</v>
      </c>
      <c r="I45" s="4">
        <f>SalesData[[#This Row],[Profit]]/SalesData[[#This Row],[Sales]]</f>
        <v>6.25E-2</v>
      </c>
      <c r="J45">
        <f>YEAR(SalesData[[#This Row],[Order Date]])</f>
        <v>2017</v>
      </c>
      <c r="K45" t="str">
        <f>TEXT(SalesData[[#This Row],[Order Date]],"mmm")</f>
        <v>Jan</v>
      </c>
      <c r="L45">
        <f>MONTH(SalesData[[#This Row],[Order Date]])</f>
        <v>1</v>
      </c>
      <c r="M45">
        <f>SalesData[[#This Row],[Sales]]/SalesData[[#This Row],[Quantity]]</f>
        <v>54.391999999999996</v>
      </c>
      <c r="N45" t="str">
        <f>IF(SalesData[[#This Row],[Profit]]&gt;0,"Profit","Loss")</f>
        <v>Profit</v>
      </c>
    </row>
    <row r="46" spans="1:14" x14ac:dyDescent="0.3">
      <c r="A46" t="s">
        <v>2750</v>
      </c>
      <c r="B46" s="3">
        <v>42743</v>
      </c>
      <c r="C46" t="s">
        <v>9</v>
      </c>
      <c r="D46" t="s">
        <v>10</v>
      </c>
      <c r="E46" t="s">
        <v>2337</v>
      </c>
      <c r="F46" s="1">
        <v>1439.982</v>
      </c>
      <c r="G46">
        <v>3</v>
      </c>
      <c r="H46" s="1">
        <v>-263.99669999999998</v>
      </c>
      <c r="I46" s="4">
        <f>SalesData[[#This Row],[Profit]]/SalesData[[#This Row],[Sales]]</f>
        <v>-0.18333333333333332</v>
      </c>
      <c r="J46">
        <f>YEAR(SalesData[[#This Row],[Order Date]])</f>
        <v>2017</v>
      </c>
      <c r="K46" t="str">
        <f>TEXT(SalesData[[#This Row],[Order Date]],"mmm")</f>
        <v>Jan</v>
      </c>
      <c r="L46">
        <f>MONTH(SalesData[[#This Row],[Order Date]])</f>
        <v>1</v>
      </c>
      <c r="M46">
        <f>SalesData[[#This Row],[Sales]]/SalesData[[#This Row],[Quantity]]</f>
        <v>479.99399999999997</v>
      </c>
      <c r="N46" t="str">
        <f>IF(SalesData[[#This Row],[Profit]]&gt;0,"Profit","Loss")</f>
        <v>Loss</v>
      </c>
    </row>
    <row r="47" spans="1:14" x14ac:dyDescent="0.3">
      <c r="A47" t="s">
        <v>2750</v>
      </c>
      <c r="B47" s="3">
        <v>42743</v>
      </c>
      <c r="C47" t="s">
        <v>9</v>
      </c>
      <c r="D47" t="s">
        <v>21</v>
      </c>
      <c r="E47" t="s">
        <v>2751</v>
      </c>
      <c r="F47" s="1">
        <v>36.287999999999997</v>
      </c>
      <c r="G47">
        <v>7</v>
      </c>
      <c r="H47" s="1">
        <v>12.700799999999999</v>
      </c>
      <c r="I47" s="4">
        <f>SalesData[[#This Row],[Profit]]/SalesData[[#This Row],[Sales]]</f>
        <v>0.35000000000000003</v>
      </c>
      <c r="J47">
        <f>YEAR(SalesData[[#This Row],[Order Date]])</f>
        <v>2017</v>
      </c>
      <c r="K47" t="str">
        <f>TEXT(SalesData[[#This Row],[Order Date]],"mmm")</f>
        <v>Jan</v>
      </c>
      <c r="L47">
        <f>MONTH(SalesData[[#This Row],[Order Date]])</f>
        <v>1</v>
      </c>
      <c r="M47">
        <f>SalesData[[#This Row],[Sales]]/SalesData[[#This Row],[Quantity]]</f>
        <v>5.1839999999999993</v>
      </c>
      <c r="N47" t="str">
        <f>IF(SalesData[[#This Row],[Profit]]&gt;0,"Profit","Loss")</f>
        <v>Profit</v>
      </c>
    </row>
    <row r="48" spans="1:14" x14ac:dyDescent="0.3">
      <c r="A48" t="s">
        <v>2752</v>
      </c>
      <c r="B48" s="3">
        <v>42743</v>
      </c>
      <c r="C48" t="s">
        <v>13</v>
      </c>
      <c r="D48" t="s">
        <v>21</v>
      </c>
      <c r="E48" t="s">
        <v>1270</v>
      </c>
      <c r="F48" s="1">
        <v>54.896000000000001</v>
      </c>
      <c r="G48">
        <v>2</v>
      </c>
      <c r="H48" s="1">
        <v>18.5274</v>
      </c>
      <c r="I48" s="4">
        <f>SalesData[[#This Row],[Profit]]/SalesData[[#This Row],[Sales]]</f>
        <v>0.33750000000000002</v>
      </c>
      <c r="J48">
        <f>YEAR(SalesData[[#This Row],[Order Date]])</f>
        <v>2017</v>
      </c>
      <c r="K48" t="str">
        <f>TEXT(SalesData[[#This Row],[Order Date]],"mmm")</f>
        <v>Jan</v>
      </c>
      <c r="L48">
        <f>MONTH(SalesData[[#This Row],[Order Date]])</f>
        <v>1</v>
      </c>
      <c r="M48">
        <f>SalesData[[#This Row],[Sales]]/SalesData[[#This Row],[Quantity]]</f>
        <v>27.448</v>
      </c>
      <c r="N48" t="str">
        <f>IF(SalesData[[#This Row],[Profit]]&gt;0,"Profit","Loss")</f>
        <v>Profit</v>
      </c>
    </row>
    <row r="49" spans="1:14" x14ac:dyDescent="0.3">
      <c r="A49" t="s">
        <v>2753</v>
      </c>
      <c r="B49" s="3">
        <v>42743</v>
      </c>
      <c r="C49" t="s">
        <v>13</v>
      </c>
      <c r="D49" t="s">
        <v>21</v>
      </c>
      <c r="E49" t="s">
        <v>2176</v>
      </c>
      <c r="F49" s="1">
        <v>186.54</v>
      </c>
      <c r="G49">
        <v>3</v>
      </c>
      <c r="H49" s="1">
        <v>50.3658</v>
      </c>
      <c r="I49" s="4">
        <f>SalesData[[#This Row],[Profit]]/SalesData[[#This Row],[Sales]]</f>
        <v>0.27</v>
      </c>
      <c r="J49">
        <f>YEAR(SalesData[[#This Row],[Order Date]])</f>
        <v>2017</v>
      </c>
      <c r="K49" t="str">
        <f>TEXT(SalesData[[#This Row],[Order Date]],"mmm")</f>
        <v>Jan</v>
      </c>
      <c r="L49">
        <f>MONTH(SalesData[[#This Row],[Order Date]])</f>
        <v>1</v>
      </c>
      <c r="M49">
        <f>SalesData[[#This Row],[Sales]]/SalesData[[#This Row],[Quantity]]</f>
        <v>62.18</v>
      </c>
      <c r="N49" t="str">
        <f>IF(SalesData[[#This Row],[Profit]]&gt;0,"Profit","Loss")</f>
        <v>Profit</v>
      </c>
    </row>
    <row r="50" spans="1:14" x14ac:dyDescent="0.3">
      <c r="A50" t="s">
        <v>2754</v>
      </c>
      <c r="B50" s="3">
        <v>42744</v>
      </c>
      <c r="C50" t="s">
        <v>17</v>
      </c>
      <c r="D50" t="s">
        <v>14</v>
      </c>
      <c r="E50" t="s">
        <v>2755</v>
      </c>
      <c r="F50" s="1">
        <v>114.9</v>
      </c>
      <c r="G50">
        <v>5</v>
      </c>
      <c r="H50" s="1">
        <v>39.066000000000003</v>
      </c>
      <c r="I50" s="4">
        <f>SalesData[[#This Row],[Profit]]/SalesData[[#This Row],[Sales]]</f>
        <v>0.34</v>
      </c>
      <c r="J50">
        <f>YEAR(SalesData[[#This Row],[Order Date]])</f>
        <v>2017</v>
      </c>
      <c r="K50" t="str">
        <f>TEXT(SalesData[[#This Row],[Order Date]],"mmm")</f>
        <v>Jan</v>
      </c>
      <c r="L50">
        <f>MONTH(SalesData[[#This Row],[Order Date]])</f>
        <v>1</v>
      </c>
      <c r="M50">
        <f>SalesData[[#This Row],[Sales]]/SalesData[[#This Row],[Quantity]]</f>
        <v>22.98</v>
      </c>
      <c r="N50" t="str">
        <f>IF(SalesData[[#This Row],[Profit]]&gt;0,"Profit","Loss")</f>
        <v>Profit</v>
      </c>
    </row>
    <row r="51" spans="1:14" x14ac:dyDescent="0.3">
      <c r="A51" t="s">
        <v>2756</v>
      </c>
      <c r="B51" s="3">
        <v>42744</v>
      </c>
      <c r="C51" t="s">
        <v>13</v>
      </c>
      <c r="D51" t="s">
        <v>10</v>
      </c>
      <c r="E51" t="s">
        <v>1779</v>
      </c>
      <c r="F51" s="1">
        <v>19.989999999999998</v>
      </c>
      <c r="G51">
        <v>1</v>
      </c>
      <c r="H51" s="1">
        <v>6.7965999999999998</v>
      </c>
      <c r="I51" s="4">
        <f>SalesData[[#This Row],[Profit]]/SalesData[[#This Row],[Sales]]</f>
        <v>0.34</v>
      </c>
      <c r="J51">
        <f>YEAR(SalesData[[#This Row],[Order Date]])</f>
        <v>2017</v>
      </c>
      <c r="K51" t="str">
        <f>TEXT(SalesData[[#This Row],[Order Date]],"mmm")</f>
        <v>Jan</v>
      </c>
      <c r="L51">
        <f>MONTH(SalesData[[#This Row],[Order Date]])</f>
        <v>1</v>
      </c>
      <c r="M51">
        <f>SalesData[[#This Row],[Sales]]/SalesData[[#This Row],[Quantity]]</f>
        <v>19.989999999999998</v>
      </c>
      <c r="N51" t="str">
        <f>IF(SalesData[[#This Row],[Profit]]&gt;0,"Profit","Loss")</f>
        <v>Profit</v>
      </c>
    </row>
    <row r="52" spans="1:14" x14ac:dyDescent="0.3">
      <c r="A52" t="s">
        <v>2756</v>
      </c>
      <c r="B52" s="3">
        <v>42744</v>
      </c>
      <c r="C52" t="s">
        <v>13</v>
      </c>
      <c r="D52" t="s">
        <v>21</v>
      </c>
      <c r="E52" t="s">
        <v>2757</v>
      </c>
      <c r="F52" s="1">
        <v>22.92</v>
      </c>
      <c r="G52">
        <v>5</v>
      </c>
      <c r="H52" s="1">
        <v>8.0220000000000002</v>
      </c>
      <c r="I52" s="4">
        <f>SalesData[[#This Row],[Profit]]/SalesData[[#This Row],[Sales]]</f>
        <v>0.35</v>
      </c>
      <c r="J52">
        <f>YEAR(SalesData[[#This Row],[Order Date]])</f>
        <v>2017</v>
      </c>
      <c r="K52" t="str">
        <f>TEXT(SalesData[[#This Row],[Order Date]],"mmm")</f>
        <v>Jan</v>
      </c>
      <c r="L52">
        <f>MONTH(SalesData[[#This Row],[Order Date]])</f>
        <v>1</v>
      </c>
      <c r="M52">
        <f>SalesData[[#This Row],[Sales]]/SalesData[[#This Row],[Quantity]]</f>
        <v>4.5840000000000005</v>
      </c>
      <c r="N52" t="str">
        <f>IF(SalesData[[#This Row],[Profit]]&gt;0,"Profit","Loss")</f>
        <v>Profit</v>
      </c>
    </row>
    <row r="53" spans="1:14" x14ac:dyDescent="0.3">
      <c r="A53" t="s">
        <v>2758</v>
      </c>
      <c r="B53" s="3">
        <v>42744</v>
      </c>
      <c r="C53" t="s">
        <v>13</v>
      </c>
      <c r="D53" t="s">
        <v>21</v>
      </c>
      <c r="E53" t="s">
        <v>1730</v>
      </c>
      <c r="F53" s="1">
        <v>7.58</v>
      </c>
      <c r="G53">
        <v>1</v>
      </c>
      <c r="H53" s="1">
        <v>2.9561999999999999</v>
      </c>
      <c r="I53" s="4">
        <f>SalesData[[#This Row],[Profit]]/SalesData[[#This Row],[Sales]]</f>
        <v>0.39</v>
      </c>
      <c r="J53">
        <f>YEAR(SalesData[[#This Row],[Order Date]])</f>
        <v>2017</v>
      </c>
      <c r="K53" t="str">
        <f>TEXT(SalesData[[#This Row],[Order Date]],"mmm")</f>
        <v>Jan</v>
      </c>
      <c r="L53">
        <f>MONTH(SalesData[[#This Row],[Order Date]])</f>
        <v>1</v>
      </c>
      <c r="M53">
        <f>SalesData[[#This Row],[Sales]]/SalesData[[#This Row],[Quantity]]</f>
        <v>7.58</v>
      </c>
      <c r="N53" t="str">
        <f>IF(SalesData[[#This Row],[Profit]]&gt;0,"Profit","Loss")</f>
        <v>Profit</v>
      </c>
    </row>
    <row r="54" spans="1:14" x14ac:dyDescent="0.3">
      <c r="A54" t="s">
        <v>2759</v>
      </c>
      <c r="B54" s="3">
        <v>42744</v>
      </c>
      <c r="C54" t="s">
        <v>9</v>
      </c>
      <c r="D54" t="s">
        <v>14</v>
      </c>
      <c r="E54" t="s">
        <v>2245</v>
      </c>
      <c r="F54" s="1">
        <v>498.26</v>
      </c>
      <c r="G54">
        <v>7</v>
      </c>
      <c r="H54" s="1">
        <v>134.53020000000001</v>
      </c>
      <c r="I54" s="4">
        <f>SalesData[[#This Row],[Profit]]/SalesData[[#This Row],[Sales]]</f>
        <v>0.27</v>
      </c>
      <c r="J54">
        <f>YEAR(SalesData[[#This Row],[Order Date]])</f>
        <v>2017</v>
      </c>
      <c r="K54" t="str">
        <f>TEXT(SalesData[[#This Row],[Order Date]],"mmm")</f>
        <v>Jan</v>
      </c>
      <c r="L54">
        <f>MONTH(SalesData[[#This Row],[Order Date]])</f>
        <v>1</v>
      </c>
      <c r="M54">
        <f>SalesData[[#This Row],[Sales]]/SalesData[[#This Row],[Quantity]]</f>
        <v>71.179999999999993</v>
      </c>
      <c r="N54" t="str">
        <f>IF(SalesData[[#This Row],[Profit]]&gt;0,"Profit","Loss")</f>
        <v>Profit</v>
      </c>
    </row>
    <row r="55" spans="1:14" x14ac:dyDescent="0.3">
      <c r="A55" t="s">
        <v>2760</v>
      </c>
      <c r="B55" s="3">
        <v>42744</v>
      </c>
      <c r="C55" t="s">
        <v>13</v>
      </c>
      <c r="D55" t="s">
        <v>21</v>
      </c>
      <c r="E55" t="s">
        <v>60</v>
      </c>
      <c r="F55" s="1">
        <v>314.60000000000002</v>
      </c>
      <c r="G55">
        <v>4</v>
      </c>
      <c r="H55" s="1">
        <v>103.818</v>
      </c>
      <c r="I55" s="4">
        <f>SalesData[[#This Row],[Profit]]/SalesData[[#This Row],[Sales]]</f>
        <v>0.32999999999999996</v>
      </c>
      <c r="J55">
        <f>YEAR(SalesData[[#This Row],[Order Date]])</f>
        <v>2017</v>
      </c>
      <c r="K55" t="str">
        <f>TEXT(SalesData[[#This Row],[Order Date]],"mmm")</f>
        <v>Jan</v>
      </c>
      <c r="L55">
        <f>MONTH(SalesData[[#This Row],[Order Date]])</f>
        <v>1</v>
      </c>
      <c r="M55">
        <f>SalesData[[#This Row],[Sales]]/SalesData[[#This Row],[Quantity]]</f>
        <v>78.650000000000006</v>
      </c>
      <c r="N55" t="str">
        <f>IF(SalesData[[#This Row],[Profit]]&gt;0,"Profit","Loss")</f>
        <v>Profit</v>
      </c>
    </row>
    <row r="56" spans="1:14" x14ac:dyDescent="0.3">
      <c r="A56" t="s">
        <v>2760</v>
      </c>
      <c r="B56" s="3">
        <v>42744</v>
      </c>
      <c r="C56" t="s">
        <v>13</v>
      </c>
      <c r="D56" t="s">
        <v>14</v>
      </c>
      <c r="E56" t="s">
        <v>1649</v>
      </c>
      <c r="F56" s="1">
        <v>283.56</v>
      </c>
      <c r="G56">
        <v>4</v>
      </c>
      <c r="H56" s="1">
        <v>45.369599999999998</v>
      </c>
      <c r="I56" s="4">
        <f>SalesData[[#This Row],[Profit]]/SalesData[[#This Row],[Sales]]</f>
        <v>0.16</v>
      </c>
      <c r="J56">
        <f>YEAR(SalesData[[#This Row],[Order Date]])</f>
        <v>2017</v>
      </c>
      <c r="K56" t="str">
        <f>TEXT(SalesData[[#This Row],[Order Date]],"mmm")</f>
        <v>Jan</v>
      </c>
      <c r="L56">
        <f>MONTH(SalesData[[#This Row],[Order Date]])</f>
        <v>1</v>
      </c>
      <c r="M56">
        <f>SalesData[[#This Row],[Sales]]/SalesData[[#This Row],[Quantity]]</f>
        <v>70.89</v>
      </c>
      <c r="N56" t="str">
        <f>IF(SalesData[[#This Row],[Profit]]&gt;0,"Profit","Loss")</f>
        <v>Profit</v>
      </c>
    </row>
    <row r="57" spans="1:14" x14ac:dyDescent="0.3">
      <c r="A57" t="s">
        <v>2761</v>
      </c>
      <c r="B57" s="3">
        <v>42745</v>
      </c>
      <c r="C57" t="s">
        <v>9</v>
      </c>
      <c r="D57" t="s">
        <v>21</v>
      </c>
      <c r="E57" t="s">
        <v>2762</v>
      </c>
      <c r="F57" s="1">
        <v>6.6719999999999997</v>
      </c>
      <c r="G57">
        <v>6</v>
      </c>
      <c r="H57" s="1">
        <v>0.50039999999999996</v>
      </c>
      <c r="I57" s="4">
        <f>SalesData[[#This Row],[Profit]]/SalesData[[#This Row],[Sales]]</f>
        <v>7.4999999999999997E-2</v>
      </c>
      <c r="J57">
        <f>YEAR(SalesData[[#This Row],[Order Date]])</f>
        <v>2017</v>
      </c>
      <c r="K57" t="str">
        <f>TEXT(SalesData[[#This Row],[Order Date]],"mmm")</f>
        <v>Jan</v>
      </c>
      <c r="L57">
        <f>MONTH(SalesData[[#This Row],[Order Date]])</f>
        <v>1</v>
      </c>
      <c r="M57">
        <f>SalesData[[#This Row],[Sales]]/SalesData[[#This Row],[Quantity]]</f>
        <v>1.1119999999999999</v>
      </c>
      <c r="N57" t="str">
        <f>IF(SalesData[[#This Row],[Profit]]&gt;0,"Profit","Loss")</f>
        <v>Profit</v>
      </c>
    </row>
    <row r="58" spans="1:14" x14ac:dyDescent="0.3">
      <c r="A58" t="s">
        <v>2763</v>
      </c>
      <c r="B58" s="3">
        <v>42745</v>
      </c>
      <c r="C58" t="s">
        <v>13</v>
      </c>
      <c r="D58" t="s">
        <v>21</v>
      </c>
      <c r="E58" t="s">
        <v>2764</v>
      </c>
      <c r="F58" s="1">
        <v>91.84</v>
      </c>
      <c r="G58">
        <v>8</v>
      </c>
      <c r="H58" s="1">
        <v>45.001600000000003</v>
      </c>
      <c r="I58" s="4">
        <f>SalesData[[#This Row],[Profit]]/SalesData[[#This Row],[Sales]]</f>
        <v>0.49</v>
      </c>
      <c r="J58">
        <f>YEAR(SalesData[[#This Row],[Order Date]])</f>
        <v>2017</v>
      </c>
      <c r="K58" t="str">
        <f>TEXT(SalesData[[#This Row],[Order Date]],"mmm")</f>
        <v>Jan</v>
      </c>
      <c r="L58">
        <f>MONTH(SalesData[[#This Row],[Order Date]])</f>
        <v>1</v>
      </c>
      <c r="M58">
        <f>SalesData[[#This Row],[Sales]]/SalesData[[#This Row],[Quantity]]</f>
        <v>11.48</v>
      </c>
      <c r="N58" t="str">
        <f>IF(SalesData[[#This Row],[Profit]]&gt;0,"Profit","Loss")</f>
        <v>Profit</v>
      </c>
    </row>
    <row r="59" spans="1:14" x14ac:dyDescent="0.3">
      <c r="A59" t="s">
        <v>2763</v>
      </c>
      <c r="B59" s="3">
        <v>42745</v>
      </c>
      <c r="C59" t="s">
        <v>13</v>
      </c>
      <c r="D59" t="s">
        <v>21</v>
      </c>
      <c r="E59" t="s">
        <v>1387</v>
      </c>
      <c r="F59" s="1">
        <v>81.087999999999994</v>
      </c>
      <c r="G59">
        <v>7</v>
      </c>
      <c r="H59" s="1">
        <v>27.3672</v>
      </c>
      <c r="I59" s="4">
        <f>SalesData[[#This Row],[Profit]]/SalesData[[#This Row],[Sales]]</f>
        <v>0.33750000000000002</v>
      </c>
      <c r="J59">
        <f>YEAR(SalesData[[#This Row],[Order Date]])</f>
        <v>2017</v>
      </c>
      <c r="K59" t="str">
        <f>TEXT(SalesData[[#This Row],[Order Date]],"mmm")</f>
        <v>Jan</v>
      </c>
      <c r="L59">
        <f>MONTH(SalesData[[#This Row],[Order Date]])</f>
        <v>1</v>
      </c>
      <c r="M59">
        <f>SalesData[[#This Row],[Sales]]/SalesData[[#This Row],[Quantity]]</f>
        <v>11.584</v>
      </c>
      <c r="N59" t="str">
        <f>IF(SalesData[[#This Row],[Profit]]&gt;0,"Profit","Loss")</f>
        <v>Profit</v>
      </c>
    </row>
    <row r="60" spans="1:14" x14ac:dyDescent="0.3">
      <c r="A60" t="s">
        <v>2763</v>
      </c>
      <c r="B60" s="3">
        <v>42745</v>
      </c>
      <c r="C60" t="s">
        <v>13</v>
      </c>
      <c r="D60" t="s">
        <v>21</v>
      </c>
      <c r="E60" t="s">
        <v>1754</v>
      </c>
      <c r="F60" s="1">
        <v>19.440000000000001</v>
      </c>
      <c r="G60">
        <v>3</v>
      </c>
      <c r="H60" s="1">
        <v>9.3312000000000008</v>
      </c>
      <c r="I60" s="4">
        <f>SalesData[[#This Row],[Profit]]/SalesData[[#This Row],[Sales]]</f>
        <v>0.48000000000000004</v>
      </c>
      <c r="J60">
        <f>YEAR(SalesData[[#This Row],[Order Date]])</f>
        <v>2017</v>
      </c>
      <c r="K60" t="str">
        <f>TEXT(SalesData[[#This Row],[Order Date]],"mmm")</f>
        <v>Jan</v>
      </c>
      <c r="L60">
        <f>MONTH(SalesData[[#This Row],[Order Date]])</f>
        <v>1</v>
      </c>
      <c r="M60">
        <f>SalesData[[#This Row],[Sales]]/SalesData[[#This Row],[Quantity]]</f>
        <v>6.48</v>
      </c>
      <c r="N60" t="str">
        <f>IF(SalesData[[#This Row],[Profit]]&gt;0,"Profit","Loss")</f>
        <v>Profit</v>
      </c>
    </row>
    <row r="61" spans="1:14" x14ac:dyDescent="0.3">
      <c r="A61" t="s">
        <v>2763</v>
      </c>
      <c r="B61" s="3">
        <v>42745</v>
      </c>
      <c r="C61" t="s">
        <v>13</v>
      </c>
      <c r="D61" t="s">
        <v>14</v>
      </c>
      <c r="E61" t="s">
        <v>866</v>
      </c>
      <c r="F61" s="1">
        <v>451.15199999999999</v>
      </c>
      <c r="G61">
        <v>3</v>
      </c>
      <c r="H61" s="1">
        <v>0</v>
      </c>
      <c r="I61" s="4">
        <f>SalesData[[#This Row],[Profit]]/SalesData[[#This Row],[Sales]]</f>
        <v>0</v>
      </c>
      <c r="J61">
        <f>YEAR(SalesData[[#This Row],[Order Date]])</f>
        <v>2017</v>
      </c>
      <c r="K61" t="str">
        <f>TEXT(SalesData[[#This Row],[Order Date]],"mmm")</f>
        <v>Jan</v>
      </c>
      <c r="L61">
        <f>MONTH(SalesData[[#This Row],[Order Date]])</f>
        <v>1</v>
      </c>
      <c r="M61">
        <f>SalesData[[#This Row],[Sales]]/SalesData[[#This Row],[Quantity]]</f>
        <v>150.38399999999999</v>
      </c>
      <c r="N61" t="str">
        <f>IF(SalesData[[#This Row],[Profit]]&gt;0,"Profit","Loss")</f>
        <v>Loss</v>
      </c>
    </row>
    <row r="62" spans="1:14" x14ac:dyDescent="0.3">
      <c r="A62" t="s">
        <v>2765</v>
      </c>
      <c r="B62" s="3">
        <v>42745</v>
      </c>
      <c r="C62" t="s">
        <v>13</v>
      </c>
      <c r="D62" t="s">
        <v>21</v>
      </c>
      <c r="E62" t="s">
        <v>2726</v>
      </c>
      <c r="F62" s="1">
        <v>1.44</v>
      </c>
      <c r="G62">
        <v>1</v>
      </c>
      <c r="H62" s="1">
        <v>0.504</v>
      </c>
      <c r="I62" s="4">
        <f>SalesData[[#This Row],[Profit]]/SalesData[[#This Row],[Sales]]</f>
        <v>0.35000000000000003</v>
      </c>
      <c r="J62">
        <f>YEAR(SalesData[[#This Row],[Order Date]])</f>
        <v>2017</v>
      </c>
      <c r="K62" t="str">
        <f>TEXT(SalesData[[#This Row],[Order Date]],"mmm")</f>
        <v>Jan</v>
      </c>
      <c r="L62">
        <f>MONTH(SalesData[[#This Row],[Order Date]])</f>
        <v>1</v>
      </c>
      <c r="M62">
        <f>SalesData[[#This Row],[Sales]]/SalesData[[#This Row],[Quantity]]</f>
        <v>1.44</v>
      </c>
      <c r="N62" t="str">
        <f>IF(SalesData[[#This Row],[Profit]]&gt;0,"Profit","Loss")</f>
        <v>Profit</v>
      </c>
    </row>
    <row r="63" spans="1:14" x14ac:dyDescent="0.3">
      <c r="A63" t="s">
        <v>2765</v>
      </c>
      <c r="B63" s="3">
        <v>42745</v>
      </c>
      <c r="C63" t="s">
        <v>13</v>
      </c>
      <c r="D63" t="s">
        <v>21</v>
      </c>
      <c r="E63" t="s">
        <v>415</v>
      </c>
      <c r="F63" s="1">
        <v>61.776000000000003</v>
      </c>
      <c r="G63">
        <v>13</v>
      </c>
      <c r="H63" s="1">
        <v>20.849399999999999</v>
      </c>
      <c r="I63" s="4">
        <f>SalesData[[#This Row],[Profit]]/SalesData[[#This Row],[Sales]]</f>
        <v>0.33749999999999997</v>
      </c>
      <c r="J63">
        <f>YEAR(SalesData[[#This Row],[Order Date]])</f>
        <v>2017</v>
      </c>
      <c r="K63" t="str">
        <f>TEXT(SalesData[[#This Row],[Order Date]],"mmm")</f>
        <v>Jan</v>
      </c>
      <c r="L63">
        <f>MONTH(SalesData[[#This Row],[Order Date]])</f>
        <v>1</v>
      </c>
      <c r="M63">
        <f>SalesData[[#This Row],[Sales]]/SalesData[[#This Row],[Quantity]]</f>
        <v>4.7520000000000007</v>
      </c>
      <c r="N63" t="str">
        <f>IF(SalesData[[#This Row],[Profit]]&gt;0,"Profit","Loss")</f>
        <v>Profit</v>
      </c>
    </row>
    <row r="64" spans="1:14" x14ac:dyDescent="0.3">
      <c r="A64" t="s">
        <v>2765</v>
      </c>
      <c r="B64" s="3">
        <v>42745</v>
      </c>
      <c r="C64" t="s">
        <v>13</v>
      </c>
      <c r="D64" t="s">
        <v>21</v>
      </c>
      <c r="E64" t="s">
        <v>1373</v>
      </c>
      <c r="F64" s="1">
        <v>241.96</v>
      </c>
      <c r="G64">
        <v>2</v>
      </c>
      <c r="H64" s="1">
        <v>60.49</v>
      </c>
      <c r="I64" s="4">
        <f>SalesData[[#This Row],[Profit]]/SalesData[[#This Row],[Sales]]</f>
        <v>0.25</v>
      </c>
      <c r="J64">
        <f>YEAR(SalesData[[#This Row],[Order Date]])</f>
        <v>2017</v>
      </c>
      <c r="K64" t="str">
        <f>TEXT(SalesData[[#This Row],[Order Date]],"mmm")</f>
        <v>Jan</v>
      </c>
      <c r="L64">
        <f>MONTH(SalesData[[#This Row],[Order Date]])</f>
        <v>1</v>
      </c>
      <c r="M64">
        <f>SalesData[[#This Row],[Sales]]/SalesData[[#This Row],[Quantity]]</f>
        <v>120.98</v>
      </c>
      <c r="N64" t="str">
        <f>IF(SalesData[[#This Row],[Profit]]&gt;0,"Profit","Loss")</f>
        <v>Profit</v>
      </c>
    </row>
    <row r="65" spans="1:14" x14ac:dyDescent="0.3">
      <c r="A65" t="s">
        <v>2765</v>
      </c>
      <c r="B65" s="3">
        <v>42745</v>
      </c>
      <c r="C65" t="s">
        <v>13</v>
      </c>
      <c r="D65" t="s">
        <v>14</v>
      </c>
      <c r="E65" t="s">
        <v>1496</v>
      </c>
      <c r="F65" s="1">
        <v>108.608</v>
      </c>
      <c r="G65">
        <v>4</v>
      </c>
      <c r="H65" s="1">
        <v>9.5031999999999996</v>
      </c>
      <c r="I65" s="4">
        <f>SalesData[[#This Row],[Profit]]/SalesData[[#This Row],[Sales]]</f>
        <v>8.7499999999999994E-2</v>
      </c>
      <c r="J65">
        <f>YEAR(SalesData[[#This Row],[Order Date]])</f>
        <v>2017</v>
      </c>
      <c r="K65" t="str">
        <f>TEXT(SalesData[[#This Row],[Order Date]],"mmm")</f>
        <v>Jan</v>
      </c>
      <c r="L65">
        <f>MONTH(SalesData[[#This Row],[Order Date]])</f>
        <v>1</v>
      </c>
      <c r="M65">
        <f>SalesData[[#This Row],[Sales]]/SalesData[[#This Row],[Quantity]]</f>
        <v>27.152000000000001</v>
      </c>
      <c r="N65" t="str">
        <f>IF(SalesData[[#This Row],[Profit]]&gt;0,"Profit","Loss")</f>
        <v>Profit</v>
      </c>
    </row>
    <row r="66" spans="1:14" x14ac:dyDescent="0.3">
      <c r="A66" t="s">
        <v>2766</v>
      </c>
      <c r="B66" s="3">
        <v>42745</v>
      </c>
      <c r="C66" t="s">
        <v>17</v>
      </c>
      <c r="D66" t="s">
        <v>10</v>
      </c>
      <c r="E66" t="s">
        <v>1636</v>
      </c>
      <c r="F66" s="1">
        <v>1704.89</v>
      </c>
      <c r="G66">
        <v>11</v>
      </c>
      <c r="H66" s="1">
        <v>767.20050000000003</v>
      </c>
      <c r="I66" s="4">
        <f>SalesData[[#This Row],[Profit]]/SalesData[[#This Row],[Sales]]</f>
        <v>0.45</v>
      </c>
      <c r="J66">
        <f>YEAR(SalesData[[#This Row],[Order Date]])</f>
        <v>2017</v>
      </c>
      <c r="K66" t="str">
        <f>TEXT(SalesData[[#This Row],[Order Date]],"mmm")</f>
        <v>Jan</v>
      </c>
      <c r="L66">
        <f>MONTH(SalesData[[#This Row],[Order Date]])</f>
        <v>1</v>
      </c>
      <c r="M66">
        <f>SalesData[[#This Row],[Sales]]/SalesData[[#This Row],[Quantity]]</f>
        <v>154.99</v>
      </c>
      <c r="N66" t="str">
        <f>IF(SalesData[[#This Row],[Profit]]&gt;0,"Profit","Loss")</f>
        <v>Profit</v>
      </c>
    </row>
    <row r="67" spans="1:14" x14ac:dyDescent="0.3">
      <c r="A67" t="s">
        <v>2767</v>
      </c>
      <c r="B67" s="3">
        <v>42745</v>
      </c>
      <c r="C67" t="s">
        <v>9</v>
      </c>
      <c r="D67" t="s">
        <v>21</v>
      </c>
      <c r="E67" t="s">
        <v>2166</v>
      </c>
      <c r="F67" s="1">
        <v>104.85</v>
      </c>
      <c r="G67">
        <v>1</v>
      </c>
      <c r="H67" s="1">
        <v>50.328000000000003</v>
      </c>
      <c r="I67" s="4">
        <f>SalesData[[#This Row],[Profit]]/SalesData[[#This Row],[Sales]]</f>
        <v>0.48000000000000004</v>
      </c>
      <c r="J67">
        <f>YEAR(SalesData[[#This Row],[Order Date]])</f>
        <v>2017</v>
      </c>
      <c r="K67" t="str">
        <f>TEXT(SalesData[[#This Row],[Order Date]],"mmm")</f>
        <v>Jan</v>
      </c>
      <c r="L67">
        <f>MONTH(SalesData[[#This Row],[Order Date]])</f>
        <v>1</v>
      </c>
      <c r="M67">
        <f>SalesData[[#This Row],[Sales]]/SalesData[[#This Row],[Quantity]]</f>
        <v>104.85</v>
      </c>
      <c r="N67" t="str">
        <f>IF(SalesData[[#This Row],[Profit]]&gt;0,"Profit","Loss")</f>
        <v>Profit</v>
      </c>
    </row>
    <row r="68" spans="1:14" x14ac:dyDescent="0.3">
      <c r="A68" t="s">
        <v>2768</v>
      </c>
      <c r="B68" s="3">
        <v>42745</v>
      </c>
      <c r="C68" t="s">
        <v>13</v>
      </c>
      <c r="D68" t="s">
        <v>10</v>
      </c>
      <c r="E68" t="s">
        <v>2769</v>
      </c>
      <c r="F68" s="1">
        <v>104.75</v>
      </c>
      <c r="G68">
        <v>5</v>
      </c>
      <c r="H68" s="1">
        <v>21.997499999999999</v>
      </c>
      <c r="I68" s="4">
        <f>SalesData[[#This Row],[Profit]]/SalesData[[#This Row],[Sales]]</f>
        <v>0.21</v>
      </c>
      <c r="J68">
        <f>YEAR(SalesData[[#This Row],[Order Date]])</f>
        <v>2017</v>
      </c>
      <c r="K68" t="str">
        <f>TEXT(SalesData[[#This Row],[Order Date]],"mmm")</f>
        <v>Jan</v>
      </c>
      <c r="L68">
        <f>MONTH(SalesData[[#This Row],[Order Date]])</f>
        <v>1</v>
      </c>
      <c r="M68">
        <f>SalesData[[#This Row],[Sales]]/SalesData[[#This Row],[Quantity]]</f>
        <v>20.95</v>
      </c>
      <c r="N68" t="str">
        <f>IF(SalesData[[#This Row],[Profit]]&gt;0,"Profit","Loss")</f>
        <v>Profit</v>
      </c>
    </row>
    <row r="69" spans="1:14" x14ac:dyDescent="0.3">
      <c r="A69" t="s">
        <v>2770</v>
      </c>
      <c r="B69" s="3">
        <v>42746</v>
      </c>
      <c r="C69" t="s">
        <v>13</v>
      </c>
      <c r="D69" t="s">
        <v>21</v>
      </c>
      <c r="E69" t="s">
        <v>1758</v>
      </c>
      <c r="F69" s="1">
        <v>25.12</v>
      </c>
      <c r="G69">
        <v>5</v>
      </c>
      <c r="H69" s="1">
        <v>7.85</v>
      </c>
      <c r="I69" s="4">
        <f>SalesData[[#This Row],[Profit]]/SalesData[[#This Row],[Sales]]</f>
        <v>0.3125</v>
      </c>
      <c r="J69">
        <f>YEAR(SalesData[[#This Row],[Order Date]])</f>
        <v>2017</v>
      </c>
      <c r="K69" t="str">
        <f>TEXT(SalesData[[#This Row],[Order Date]],"mmm")</f>
        <v>Jan</v>
      </c>
      <c r="L69">
        <f>MONTH(SalesData[[#This Row],[Order Date]])</f>
        <v>1</v>
      </c>
      <c r="M69">
        <f>SalesData[[#This Row],[Sales]]/SalesData[[#This Row],[Quantity]]</f>
        <v>5.024</v>
      </c>
      <c r="N69" t="str">
        <f>IF(SalesData[[#This Row],[Profit]]&gt;0,"Profit","Loss")</f>
        <v>Profit</v>
      </c>
    </row>
    <row r="70" spans="1:14" x14ac:dyDescent="0.3">
      <c r="A70" t="s">
        <v>2770</v>
      </c>
      <c r="B70" s="3">
        <v>42746</v>
      </c>
      <c r="C70" t="s">
        <v>13</v>
      </c>
      <c r="D70" t="s">
        <v>14</v>
      </c>
      <c r="E70" t="s">
        <v>2456</v>
      </c>
      <c r="F70" s="1">
        <v>2665.62</v>
      </c>
      <c r="G70">
        <v>9</v>
      </c>
      <c r="H70" s="1">
        <v>239.9058</v>
      </c>
      <c r="I70" s="4">
        <f>SalesData[[#This Row],[Profit]]/SalesData[[#This Row],[Sales]]</f>
        <v>0.09</v>
      </c>
      <c r="J70">
        <f>YEAR(SalesData[[#This Row],[Order Date]])</f>
        <v>2017</v>
      </c>
      <c r="K70" t="str">
        <f>TEXT(SalesData[[#This Row],[Order Date]],"mmm")</f>
        <v>Jan</v>
      </c>
      <c r="L70">
        <f>MONTH(SalesData[[#This Row],[Order Date]])</f>
        <v>1</v>
      </c>
      <c r="M70">
        <f>SalesData[[#This Row],[Sales]]/SalesData[[#This Row],[Quantity]]</f>
        <v>296.18</v>
      </c>
      <c r="N70" t="str">
        <f>IF(SalesData[[#This Row],[Profit]]&gt;0,"Profit","Loss")</f>
        <v>Profit</v>
      </c>
    </row>
    <row r="71" spans="1:14" x14ac:dyDescent="0.3">
      <c r="A71" t="s">
        <v>2771</v>
      </c>
      <c r="B71" s="3">
        <v>42746</v>
      </c>
      <c r="C71" t="s">
        <v>17</v>
      </c>
      <c r="D71" t="s">
        <v>21</v>
      </c>
      <c r="E71" t="s">
        <v>2332</v>
      </c>
      <c r="F71" s="1">
        <v>189.7</v>
      </c>
      <c r="G71">
        <v>10</v>
      </c>
      <c r="H71" s="1">
        <v>91.055999999999997</v>
      </c>
      <c r="I71" s="4">
        <f>SalesData[[#This Row],[Profit]]/SalesData[[#This Row],[Sales]]</f>
        <v>0.48000000000000004</v>
      </c>
      <c r="J71">
        <f>YEAR(SalesData[[#This Row],[Order Date]])</f>
        <v>2017</v>
      </c>
      <c r="K71" t="str">
        <f>TEXT(SalesData[[#This Row],[Order Date]],"mmm")</f>
        <v>Jan</v>
      </c>
      <c r="L71">
        <f>MONTH(SalesData[[#This Row],[Order Date]])</f>
        <v>1</v>
      </c>
      <c r="M71">
        <f>SalesData[[#This Row],[Sales]]/SalesData[[#This Row],[Quantity]]</f>
        <v>18.97</v>
      </c>
      <c r="N71" t="str">
        <f>IF(SalesData[[#This Row],[Profit]]&gt;0,"Profit","Loss")</f>
        <v>Profit</v>
      </c>
    </row>
    <row r="72" spans="1:14" x14ac:dyDescent="0.3">
      <c r="A72" t="s">
        <v>2771</v>
      </c>
      <c r="B72" s="3">
        <v>42746</v>
      </c>
      <c r="C72" t="s">
        <v>17</v>
      </c>
      <c r="D72" t="s">
        <v>21</v>
      </c>
      <c r="E72" t="s">
        <v>474</v>
      </c>
      <c r="F72" s="1">
        <v>40.99</v>
      </c>
      <c r="G72">
        <v>1</v>
      </c>
      <c r="H72" s="1">
        <v>20.085100000000001</v>
      </c>
      <c r="I72" s="4">
        <f>SalesData[[#This Row],[Profit]]/SalesData[[#This Row],[Sales]]</f>
        <v>0.49</v>
      </c>
      <c r="J72">
        <f>YEAR(SalesData[[#This Row],[Order Date]])</f>
        <v>2017</v>
      </c>
      <c r="K72" t="str">
        <f>TEXT(SalesData[[#This Row],[Order Date]],"mmm")</f>
        <v>Jan</v>
      </c>
      <c r="L72">
        <f>MONTH(SalesData[[#This Row],[Order Date]])</f>
        <v>1</v>
      </c>
      <c r="M72">
        <f>SalesData[[#This Row],[Sales]]/SalesData[[#This Row],[Quantity]]</f>
        <v>40.99</v>
      </c>
      <c r="N72" t="str">
        <f>IF(SalesData[[#This Row],[Profit]]&gt;0,"Profit","Loss")</f>
        <v>Profit</v>
      </c>
    </row>
    <row r="73" spans="1:14" x14ac:dyDescent="0.3">
      <c r="A73" t="s">
        <v>2772</v>
      </c>
      <c r="B73" s="3">
        <v>42747</v>
      </c>
      <c r="C73" t="s">
        <v>9</v>
      </c>
      <c r="D73" t="s">
        <v>21</v>
      </c>
      <c r="E73" t="s">
        <v>540</v>
      </c>
      <c r="F73" s="1">
        <v>83.92</v>
      </c>
      <c r="G73">
        <v>4</v>
      </c>
      <c r="H73" s="1">
        <v>5.8743999999999996</v>
      </c>
      <c r="I73" s="4">
        <f>SalesData[[#This Row],[Profit]]/SalesData[[#This Row],[Sales]]</f>
        <v>6.9999999999999993E-2</v>
      </c>
      <c r="J73">
        <f>YEAR(SalesData[[#This Row],[Order Date]])</f>
        <v>2017</v>
      </c>
      <c r="K73" t="str">
        <f>TEXT(SalesData[[#This Row],[Order Date]],"mmm")</f>
        <v>Jan</v>
      </c>
      <c r="L73">
        <f>MONTH(SalesData[[#This Row],[Order Date]])</f>
        <v>1</v>
      </c>
      <c r="M73">
        <f>SalesData[[#This Row],[Sales]]/SalesData[[#This Row],[Quantity]]</f>
        <v>20.98</v>
      </c>
      <c r="N73" t="str">
        <f>IF(SalesData[[#This Row],[Profit]]&gt;0,"Profit","Loss")</f>
        <v>Profit</v>
      </c>
    </row>
    <row r="74" spans="1:14" x14ac:dyDescent="0.3">
      <c r="A74" t="s">
        <v>2772</v>
      </c>
      <c r="B74" s="3">
        <v>42747</v>
      </c>
      <c r="C74" t="s">
        <v>9</v>
      </c>
      <c r="D74" t="s">
        <v>10</v>
      </c>
      <c r="E74" t="s">
        <v>1263</v>
      </c>
      <c r="F74" s="1">
        <v>131.97999999999999</v>
      </c>
      <c r="G74">
        <v>2</v>
      </c>
      <c r="H74" s="1">
        <v>35.634599999999999</v>
      </c>
      <c r="I74" s="4">
        <f>SalesData[[#This Row],[Profit]]/SalesData[[#This Row],[Sales]]</f>
        <v>0.27</v>
      </c>
      <c r="J74">
        <f>YEAR(SalesData[[#This Row],[Order Date]])</f>
        <v>2017</v>
      </c>
      <c r="K74" t="str">
        <f>TEXT(SalesData[[#This Row],[Order Date]],"mmm")</f>
        <v>Jan</v>
      </c>
      <c r="L74">
        <f>MONTH(SalesData[[#This Row],[Order Date]])</f>
        <v>1</v>
      </c>
      <c r="M74">
        <f>SalesData[[#This Row],[Sales]]/SalesData[[#This Row],[Quantity]]</f>
        <v>65.989999999999995</v>
      </c>
      <c r="N74" t="str">
        <f>IF(SalesData[[#This Row],[Profit]]&gt;0,"Profit","Loss")</f>
        <v>Profit</v>
      </c>
    </row>
    <row r="75" spans="1:14" x14ac:dyDescent="0.3">
      <c r="A75" t="s">
        <v>2772</v>
      </c>
      <c r="B75" s="3">
        <v>42747</v>
      </c>
      <c r="C75" t="s">
        <v>9</v>
      </c>
      <c r="D75" t="s">
        <v>21</v>
      </c>
      <c r="E75" t="s">
        <v>1233</v>
      </c>
      <c r="F75" s="1">
        <v>15.92</v>
      </c>
      <c r="G75">
        <v>4</v>
      </c>
      <c r="H75" s="1">
        <v>7.4824000000000002</v>
      </c>
      <c r="I75" s="4">
        <f>SalesData[[#This Row],[Profit]]/SalesData[[#This Row],[Sales]]</f>
        <v>0.47000000000000003</v>
      </c>
      <c r="J75">
        <f>YEAR(SalesData[[#This Row],[Order Date]])</f>
        <v>2017</v>
      </c>
      <c r="K75" t="str">
        <f>TEXT(SalesData[[#This Row],[Order Date]],"mmm")</f>
        <v>Jan</v>
      </c>
      <c r="L75">
        <f>MONTH(SalesData[[#This Row],[Order Date]])</f>
        <v>1</v>
      </c>
      <c r="M75">
        <f>SalesData[[#This Row],[Sales]]/SalesData[[#This Row],[Quantity]]</f>
        <v>3.98</v>
      </c>
      <c r="N75" t="str">
        <f>IF(SalesData[[#This Row],[Profit]]&gt;0,"Profit","Loss")</f>
        <v>Profit</v>
      </c>
    </row>
    <row r="76" spans="1:14" x14ac:dyDescent="0.3">
      <c r="A76" t="s">
        <v>2772</v>
      </c>
      <c r="B76" s="3">
        <v>42747</v>
      </c>
      <c r="C76" t="s">
        <v>9</v>
      </c>
      <c r="D76" t="s">
        <v>21</v>
      </c>
      <c r="E76" t="s">
        <v>1539</v>
      </c>
      <c r="F76" s="1">
        <v>52.29</v>
      </c>
      <c r="G76">
        <v>9</v>
      </c>
      <c r="H76" s="1">
        <v>16.209900000000001</v>
      </c>
      <c r="I76" s="4">
        <f>SalesData[[#This Row],[Profit]]/SalesData[[#This Row],[Sales]]</f>
        <v>0.31000000000000005</v>
      </c>
      <c r="J76">
        <f>YEAR(SalesData[[#This Row],[Order Date]])</f>
        <v>2017</v>
      </c>
      <c r="K76" t="str">
        <f>TEXT(SalesData[[#This Row],[Order Date]],"mmm")</f>
        <v>Jan</v>
      </c>
      <c r="L76">
        <f>MONTH(SalesData[[#This Row],[Order Date]])</f>
        <v>1</v>
      </c>
      <c r="M76">
        <f>SalesData[[#This Row],[Sales]]/SalesData[[#This Row],[Quantity]]</f>
        <v>5.81</v>
      </c>
      <c r="N76" t="str">
        <f>IF(SalesData[[#This Row],[Profit]]&gt;0,"Profit","Loss")</f>
        <v>Profit</v>
      </c>
    </row>
    <row r="77" spans="1:14" x14ac:dyDescent="0.3">
      <c r="A77" t="s">
        <v>2772</v>
      </c>
      <c r="B77" s="3">
        <v>42747</v>
      </c>
      <c r="C77" t="s">
        <v>9</v>
      </c>
      <c r="D77" t="s">
        <v>21</v>
      </c>
      <c r="E77" t="s">
        <v>421</v>
      </c>
      <c r="F77" s="1">
        <v>91.99</v>
      </c>
      <c r="G77">
        <v>1</v>
      </c>
      <c r="H77" s="1">
        <v>3.6796000000000002</v>
      </c>
      <c r="I77" s="4">
        <f>SalesData[[#This Row],[Profit]]/SalesData[[#This Row],[Sales]]</f>
        <v>4.0000000000000008E-2</v>
      </c>
      <c r="J77">
        <f>YEAR(SalesData[[#This Row],[Order Date]])</f>
        <v>2017</v>
      </c>
      <c r="K77" t="str">
        <f>TEXT(SalesData[[#This Row],[Order Date]],"mmm")</f>
        <v>Jan</v>
      </c>
      <c r="L77">
        <f>MONTH(SalesData[[#This Row],[Order Date]])</f>
        <v>1</v>
      </c>
      <c r="M77">
        <f>SalesData[[#This Row],[Sales]]/SalesData[[#This Row],[Quantity]]</f>
        <v>91.99</v>
      </c>
      <c r="N77" t="str">
        <f>IF(SalesData[[#This Row],[Profit]]&gt;0,"Profit","Loss")</f>
        <v>Profit</v>
      </c>
    </row>
    <row r="78" spans="1:14" x14ac:dyDescent="0.3">
      <c r="A78" t="s">
        <v>2773</v>
      </c>
      <c r="B78" s="3">
        <v>42747</v>
      </c>
      <c r="C78" t="s">
        <v>17</v>
      </c>
      <c r="D78" t="s">
        <v>10</v>
      </c>
      <c r="E78" t="s">
        <v>1900</v>
      </c>
      <c r="F78" s="1">
        <v>20.37</v>
      </c>
      <c r="G78">
        <v>3</v>
      </c>
      <c r="H78" s="1">
        <v>6.9257999999999997</v>
      </c>
      <c r="I78" s="4">
        <f>SalesData[[#This Row],[Profit]]/SalesData[[#This Row],[Sales]]</f>
        <v>0.33999999999999997</v>
      </c>
      <c r="J78">
        <f>YEAR(SalesData[[#This Row],[Order Date]])</f>
        <v>2017</v>
      </c>
      <c r="K78" t="str">
        <f>TEXT(SalesData[[#This Row],[Order Date]],"mmm")</f>
        <v>Jan</v>
      </c>
      <c r="L78">
        <f>MONTH(SalesData[[#This Row],[Order Date]])</f>
        <v>1</v>
      </c>
      <c r="M78">
        <f>SalesData[[#This Row],[Sales]]/SalesData[[#This Row],[Quantity]]</f>
        <v>6.79</v>
      </c>
      <c r="N78" t="str">
        <f>IF(SalesData[[#This Row],[Profit]]&gt;0,"Profit","Loss")</f>
        <v>Profit</v>
      </c>
    </row>
    <row r="79" spans="1:14" x14ac:dyDescent="0.3">
      <c r="A79" t="s">
        <v>2773</v>
      </c>
      <c r="B79" s="3">
        <v>42747</v>
      </c>
      <c r="C79" t="s">
        <v>17</v>
      </c>
      <c r="D79" t="s">
        <v>21</v>
      </c>
      <c r="E79" t="s">
        <v>2774</v>
      </c>
      <c r="F79" s="1">
        <v>221.55</v>
      </c>
      <c r="G79">
        <v>3</v>
      </c>
      <c r="H79" s="1">
        <v>6.6464999999999996</v>
      </c>
      <c r="I79" s="4">
        <f>SalesData[[#This Row],[Profit]]/SalesData[[#This Row],[Sales]]</f>
        <v>2.9999999999999995E-2</v>
      </c>
      <c r="J79">
        <f>YEAR(SalesData[[#This Row],[Order Date]])</f>
        <v>2017</v>
      </c>
      <c r="K79" t="str">
        <f>TEXT(SalesData[[#This Row],[Order Date]],"mmm")</f>
        <v>Jan</v>
      </c>
      <c r="L79">
        <f>MONTH(SalesData[[#This Row],[Order Date]])</f>
        <v>1</v>
      </c>
      <c r="M79">
        <f>SalesData[[#This Row],[Sales]]/SalesData[[#This Row],[Quantity]]</f>
        <v>73.850000000000009</v>
      </c>
      <c r="N79" t="str">
        <f>IF(SalesData[[#This Row],[Profit]]&gt;0,"Profit","Loss")</f>
        <v>Profit</v>
      </c>
    </row>
    <row r="80" spans="1:14" x14ac:dyDescent="0.3">
      <c r="A80" t="s">
        <v>2773</v>
      </c>
      <c r="B80" s="3">
        <v>42747</v>
      </c>
      <c r="C80" t="s">
        <v>17</v>
      </c>
      <c r="D80" t="s">
        <v>21</v>
      </c>
      <c r="E80" t="s">
        <v>2775</v>
      </c>
      <c r="F80" s="1">
        <v>17.52</v>
      </c>
      <c r="G80">
        <v>5</v>
      </c>
      <c r="H80" s="1">
        <v>6.1319999999999997</v>
      </c>
      <c r="I80" s="4">
        <f>SalesData[[#This Row],[Profit]]/SalesData[[#This Row],[Sales]]</f>
        <v>0.35</v>
      </c>
      <c r="J80">
        <f>YEAR(SalesData[[#This Row],[Order Date]])</f>
        <v>2017</v>
      </c>
      <c r="K80" t="str">
        <f>TEXT(SalesData[[#This Row],[Order Date]],"mmm")</f>
        <v>Jan</v>
      </c>
      <c r="L80">
        <f>MONTH(SalesData[[#This Row],[Order Date]])</f>
        <v>1</v>
      </c>
      <c r="M80">
        <f>SalesData[[#This Row],[Sales]]/SalesData[[#This Row],[Quantity]]</f>
        <v>3.504</v>
      </c>
      <c r="N80" t="str">
        <f>IF(SalesData[[#This Row],[Profit]]&gt;0,"Profit","Loss")</f>
        <v>Profit</v>
      </c>
    </row>
    <row r="81" spans="1:14" x14ac:dyDescent="0.3">
      <c r="A81" t="s">
        <v>2776</v>
      </c>
      <c r="B81" s="3">
        <v>42747</v>
      </c>
      <c r="C81" t="s">
        <v>13</v>
      </c>
      <c r="D81" t="s">
        <v>10</v>
      </c>
      <c r="E81" t="s">
        <v>490</v>
      </c>
      <c r="F81" s="1">
        <v>470.37599999999998</v>
      </c>
      <c r="G81">
        <v>3</v>
      </c>
      <c r="H81" s="1">
        <v>52.917299999999997</v>
      </c>
      <c r="I81" s="4">
        <f>SalesData[[#This Row],[Profit]]/SalesData[[#This Row],[Sales]]</f>
        <v>0.1125</v>
      </c>
      <c r="J81">
        <f>YEAR(SalesData[[#This Row],[Order Date]])</f>
        <v>2017</v>
      </c>
      <c r="K81" t="str">
        <f>TEXT(SalesData[[#This Row],[Order Date]],"mmm")</f>
        <v>Jan</v>
      </c>
      <c r="L81">
        <f>MONTH(SalesData[[#This Row],[Order Date]])</f>
        <v>1</v>
      </c>
      <c r="M81">
        <f>SalesData[[#This Row],[Sales]]/SalesData[[#This Row],[Quantity]]</f>
        <v>156.792</v>
      </c>
      <c r="N81" t="str">
        <f>IF(SalesData[[#This Row],[Profit]]&gt;0,"Profit","Loss")</f>
        <v>Profit</v>
      </c>
    </row>
    <row r="82" spans="1:14" x14ac:dyDescent="0.3">
      <c r="A82" t="s">
        <v>2776</v>
      </c>
      <c r="B82" s="3">
        <v>42747</v>
      </c>
      <c r="C82" t="s">
        <v>13</v>
      </c>
      <c r="D82" t="s">
        <v>10</v>
      </c>
      <c r="E82" t="s">
        <v>901</v>
      </c>
      <c r="F82" s="1">
        <v>105.584</v>
      </c>
      <c r="G82">
        <v>2</v>
      </c>
      <c r="H82" s="1">
        <v>9.2385999999999999</v>
      </c>
      <c r="I82" s="4">
        <f>SalesData[[#This Row],[Profit]]/SalesData[[#This Row],[Sales]]</f>
        <v>8.7499999999999994E-2</v>
      </c>
      <c r="J82">
        <f>YEAR(SalesData[[#This Row],[Order Date]])</f>
        <v>2017</v>
      </c>
      <c r="K82" t="str">
        <f>TEXT(SalesData[[#This Row],[Order Date]],"mmm")</f>
        <v>Jan</v>
      </c>
      <c r="L82">
        <f>MONTH(SalesData[[#This Row],[Order Date]])</f>
        <v>1</v>
      </c>
      <c r="M82">
        <f>SalesData[[#This Row],[Sales]]/SalesData[[#This Row],[Quantity]]</f>
        <v>52.792000000000002</v>
      </c>
      <c r="N82" t="str">
        <f>IF(SalesData[[#This Row],[Profit]]&gt;0,"Profit","Loss")</f>
        <v>Profit</v>
      </c>
    </row>
    <row r="83" spans="1:14" x14ac:dyDescent="0.3">
      <c r="A83" t="s">
        <v>2776</v>
      </c>
      <c r="B83" s="3">
        <v>42747</v>
      </c>
      <c r="C83" t="s">
        <v>13</v>
      </c>
      <c r="D83" t="s">
        <v>21</v>
      </c>
      <c r="E83" t="s">
        <v>2295</v>
      </c>
      <c r="F83" s="1">
        <v>31.152000000000001</v>
      </c>
      <c r="G83">
        <v>3</v>
      </c>
      <c r="H83" s="1">
        <v>3.5045999999999999</v>
      </c>
      <c r="I83" s="4">
        <f>SalesData[[#This Row],[Profit]]/SalesData[[#This Row],[Sales]]</f>
        <v>0.11249999999999999</v>
      </c>
      <c r="J83">
        <f>YEAR(SalesData[[#This Row],[Order Date]])</f>
        <v>2017</v>
      </c>
      <c r="K83" t="str">
        <f>TEXT(SalesData[[#This Row],[Order Date]],"mmm")</f>
        <v>Jan</v>
      </c>
      <c r="L83">
        <f>MONTH(SalesData[[#This Row],[Order Date]])</f>
        <v>1</v>
      </c>
      <c r="M83">
        <f>SalesData[[#This Row],[Sales]]/SalesData[[#This Row],[Quantity]]</f>
        <v>10.384</v>
      </c>
      <c r="N83" t="str">
        <f>IF(SalesData[[#This Row],[Profit]]&gt;0,"Profit","Loss")</f>
        <v>Profit</v>
      </c>
    </row>
    <row r="84" spans="1:14" x14ac:dyDescent="0.3">
      <c r="A84" t="s">
        <v>2776</v>
      </c>
      <c r="B84" s="3">
        <v>42747</v>
      </c>
      <c r="C84" t="s">
        <v>13</v>
      </c>
      <c r="D84" t="s">
        <v>21</v>
      </c>
      <c r="E84" t="s">
        <v>976</v>
      </c>
      <c r="F84" s="1">
        <v>6.7830000000000004</v>
      </c>
      <c r="G84">
        <v>7</v>
      </c>
      <c r="H84" s="1">
        <v>-4.7481</v>
      </c>
      <c r="I84" s="4">
        <f>SalesData[[#This Row],[Profit]]/SalesData[[#This Row],[Sales]]</f>
        <v>-0.7</v>
      </c>
      <c r="J84">
        <f>YEAR(SalesData[[#This Row],[Order Date]])</f>
        <v>2017</v>
      </c>
      <c r="K84" t="str">
        <f>TEXT(SalesData[[#This Row],[Order Date]],"mmm")</f>
        <v>Jan</v>
      </c>
      <c r="L84">
        <f>MONTH(SalesData[[#This Row],[Order Date]])</f>
        <v>1</v>
      </c>
      <c r="M84">
        <f>SalesData[[#This Row],[Sales]]/SalesData[[#This Row],[Quantity]]</f>
        <v>0.96900000000000008</v>
      </c>
      <c r="N84" t="str">
        <f>IF(SalesData[[#This Row],[Profit]]&gt;0,"Profit","Loss")</f>
        <v>Loss</v>
      </c>
    </row>
    <row r="85" spans="1:14" x14ac:dyDescent="0.3">
      <c r="A85" t="s">
        <v>2776</v>
      </c>
      <c r="B85" s="3">
        <v>42747</v>
      </c>
      <c r="C85" t="s">
        <v>13</v>
      </c>
      <c r="D85" t="s">
        <v>10</v>
      </c>
      <c r="E85" t="s">
        <v>2777</v>
      </c>
      <c r="F85" s="1">
        <v>406.36799999999999</v>
      </c>
      <c r="G85">
        <v>4</v>
      </c>
      <c r="H85" s="1">
        <v>30.477599999999999</v>
      </c>
      <c r="I85" s="4">
        <f>SalesData[[#This Row],[Profit]]/SalesData[[#This Row],[Sales]]</f>
        <v>7.4999999999999997E-2</v>
      </c>
      <c r="J85">
        <f>YEAR(SalesData[[#This Row],[Order Date]])</f>
        <v>2017</v>
      </c>
      <c r="K85" t="str">
        <f>TEXT(SalesData[[#This Row],[Order Date]],"mmm")</f>
        <v>Jan</v>
      </c>
      <c r="L85">
        <f>MONTH(SalesData[[#This Row],[Order Date]])</f>
        <v>1</v>
      </c>
      <c r="M85">
        <f>SalesData[[#This Row],[Sales]]/SalesData[[#This Row],[Quantity]]</f>
        <v>101.592</v>
      </c>
      <c r="N85" t="str">
        <f>IF(SalesData[[#This Row],[Profit]]&gt;0,"Profit","Loss")</f>
        <v>Profit</v>
      </c>
    </row>
    <row r="86" spans="1:14" x14ac:dyDescent="0.3">
      <c r="A86" t="s">
        <v>2778</v>
      </c>
      <c r="B86" s="3">
        <v>42747</v>
      </c>
      <c r="C86" t="s">
        <v>17</v>
      </c>
      <c r="D86" t="s">
        <v>21</v>
      </c>
      <c r="E86" t="s">
        <v>2779</v>
      </c>
      <c r="F86" s="1">
        <v>104.68</v>
      </c>
      <c r="G86">
        <v>5</v>
      </c>
      <c r="H86" s="1">
        <v>35.329500000000003</v>
      </c>
      <c r="I86" s="4">
        <f>SalesData[[#This Row],[Profit]]/SalesData[[#This Row],[Sales]]</f>
        <v>0.33750000000000002</v>
      </c>
      <c r="J86">
        <f>YEAR(SalesData[[#This Row],[Order Date]])</f>
        <v>2017</v>
      </c>
      <c r="K86" t="str">
        <f>TEXT(SalesData[[#This Row],[Order Date]],"mmm")</f>
        <v>Jan</v>
      </c>
      <c r="L86">
        <f>MONTH(SalesData[[#This Row],[Order Date]])</f>
        <v>1</v>
      </c>
      <c r="M86">
        <f>SalesData[[#This Row],[Sales]]/SalesData[[#This Row],[Quantity]]</f>
        <v>20.936</v>
      </c>
      <c r="N86" t="str">
        <f>IF(SalesData[[#This Row],[Profit]]&gt;0,"Profit","Loss")</f>
        <v>Profit</v>
      </c>
    </row>
    <row r="87" spans="1:14" x14ac:dyDescent="0.3">
      <c r="A87" t="s">
        <v>2778</v>
      </c>
      <c r="B87" s="3">
        <v>42747</v>
      </c>
      <c r="C87" t="s">
        <v>17</v>
      </c>
      <c r="D87" t="s">
        <v>10</v>
      </c>
      <c r="E87" t="s">
        <v>2434</v>
      </c>
      <c r="F87" s="1">
        <v>62.957999999999998</v>
      </c>
      <c r="G87">
        <v>7</v>
      </c>
      <c r="H87" s="1">
        <v>9.4436999999999998</v>
      </c>
      <c r="I87" s="4">
        <f>SalesData[[#This Row],[Profit]]/SalesData[[#This Row],[Sales]]</f>
        <v>0.15</v>
      </c>
      <c r="J87">
        <f>YEAR(SalesData[[#This Row],[Order Date]])</f>
        <v>2017</v>
      </c>
      <c r="K87" t="str">
        <f>TEXT(SalesData[[#This Row],[Order Date]],"mmm")</f>
        <v>Jan</v>
      </c>
      <c r="L87">
        <f>MONTH(SalesData[[#This Row],[Order Date]])</f>
        <v>1</v>
      </c>
      <c r="M87">
        <f>SalesData[[#This Row],[Sales]]/SalesData[[#This Row],[Quantity]]</f>
        <v>8.9939999999999998</v>
      </c>
      <c r="N87" t="str">
        <f>IF(SalesData[[#This Row],[Profit]]&gt;0,"Profit","Loss")</f>
        <v>Profit</v>
      </c>
    </row>
    <row r="88" spans="1:14" x14ac:dyDescent="0.3">
      <c r="A88" t="s">
        <v>2780</v>
      </c>
      <c r="B88" s="3">
        <v>42747</v>
      </c>
      <c r="C88" t="s">
        <v>9</v>
      </c>
      <c r="D88" t="s">
        <v>10</v>
      </c>
      <c r="E88" t="s">
        <v>923</v>
      </c>
      <c r="F88" s="1">
        <v>219.8</v>
      </c>
      <c r="G88">
        <v>5</v>
      </c>
      <c r="H88" s="1">
        <v>24.727499999999999</v>
      </c>
      <c r="I88" s="4">
        <f>SalesData[[#This Row],[Profit]]/SalesData[[#This Row],[Sales]]</f>
        <v>0.11249999999999999</v>
      </c>
      <c r="J88">
        <f>YEAR(SalesData[[#This Row],[Order Date]])</f>
        <v>2017</v>
      </c>
      <c r="K88" t="str">
        <f>TEXT(SalesData[[#This Row],[Order Date]],"mmm")</f>
        <v>Jan</v>
      </c>
      <c r="L88">
        <f>MONTH(SalesData[[#This Row],[Order Date]])</f>
        <v>1</v>
      </c>
      <c r="M88">
        <f>SalesData[[#This Row],[Sales]]/SalesData[[#This Row],[Quantity]]</f>
        <v>43.96</v>
      </c>
      <c r="N88" t="str">
        <f>IF(SalesData[[#This Row],[Profit]]&gt;0,"Profit","Loss")</f>
        <v>Profit</v>
      </c>
    </row>
    <row r="89" spans="1:14" x14ac:dyDescent="0.3">
      <c r="A89" t="s">
        <v>2780</v>
      </c>
      <c r="B89" s="3">
        <v>42747</v>
      </c>
      <c r="C89" t="s">
        <v>9</v>
      </c>
      <c r="D89" t="s">
        <v>14</v>
      </c>
      <c r="E89" t="s">
        <v>363</v>
      </c>
      <c r="F89" s="1">
        <v>317.05799999999999</v>
      </c>
      <c r="G89">
        <v>3</v>
      </c>
      <c r="H89" s="1">
        <v>-18.117599999999999</v>
      </c>
      <c r="I89" s="4">
        <f>SalesData[[#This Row],[Profit]]/SalesData[[#This Row],[Sales]]</f>
        <v>-5.7142857142857141E-2</v>
      </c>
      <c r="J89">
        <f>YEAR(SalesData[[#This Row],[Order Date]])</f>
        <v>2017</v>
      </c>
      <c r="K89" t="str">
        <f>TEXT(SalesData[[#This Row],[Order Date]],"mmm")</f>
        <v>Jan</v>
      </c>
      <c r="L89">
        <f>MONTH(SalesData[[#This Row],[Order Date]])</f>
        <v>1</v>
      </c>
      <c r="M89">
        <f>SalesData[[#This Row],[Sales]]/SalesData[[#This Row],[Quantity]]</f>
        <v>105.68599999999999</v>
      </c>
      <c r="N89" t="str">
        <f>IF(SalesData[[#This Row],[Profit]]&gt;0,"Profit","Loss")</f>
        <v>Loss</v>
      </c>
    </row>
    <row r="90" spans="1:14" x14ac:dyDescent="0.3">
      <c r="A90" t="s">
        <v>2781</v>
      </c>
      <c r="B90" s="3">
        <v>42747</v>
      </c>
      <c r="C90" t="s">
        <v>13</v>
      </c>
      <c r="D90" t="s">
        <v>21</v>
      </c>
      <c r="E90" t="s">
        <v>2782</v>
      </c>
      <c r="F90" s="1">
        <v>45.36</v>
      </c>
      <c r="G90">
        <v>7</v>
      </c>
      <c r="H90" s="1">
        <v>21.7728</v>
      </c>
      <c r="I90" s="4">
        <f>SalesData[[#This Row],[Profit]]/SalesData[[#This Row],[Sales]]</f>
        <v>0.48</v>
      </c>
      <c r="J90">
        <f>YEAR(SalesData[[#This Row],[Order Date]])</f>
        <v>2017</v>
      </c>
      <c r="K90" t="str">
        <f>TEXT(SalesData[[#This Row],[Order Date]],"mmm")</f>
        <v>Jan</v>
      </c>
      <c r="L90">
        <f>MONTH(SalesData[[#This Row],[Order Date]])</f>
        <v>1</v>
      </c>
      <c r="M90">
        <f>SalesData[[#This Row],[Sales]]/SalesData[[#This Row],[Quantity]]</f>
        <v>6.4799999999999995</v>
      </c>
      <c r="N90" t="str">
        <f>IF(SalesData[[#This Row],[Profit]]&gt;0,"Profit","Loss")</f>
        <v>Profit</v>
      </c>
    </row>
    <row r="91" spans="1:14" x14ac:dyDescent="0.3">
      <c r="A91" t="s">
        <v>2781</v>
      </c>
      <c r="B91" s="3">
        <v>42747</v>
      </c>
      <c r="C91" t="s">
        <v>13</v>
      </c>
      <c r="D91" t="s">
        <v>21</v>
      </c>
      <c r="E91" t="s">
        <v>225</v>
      </c>
      <c r="F91" s="1">
        <v>10.128</v>
      </c>
      <c r="G91">
        <v>2</v>
      </c>
      <c r="H91" s="1">
        <v>3.6714000000000002</v>
      </c>
      <c r="I91" s="4">
        <f>SalesData[[#This Row],[Profit]]/SalesData[[#This Row],[Sales]]</f>
        <v>0.36250000000000004</v>
      </c>
      <c r="J91">
        <f>YEAR(SalesData[[#This Row],[Order Date]])</f>
        <v>2017</v>
      </c>
      <c r="K91" t="str">
        <f>TEXT(SalesData[[#This Row],[Order Date]],"mmm")</f>
        <v>Jan</v>
      </c>
      <c r="L91">
        <f>MONTH(SalesData[[#This Row],[Order Date]])</f>
        <v>1</v>
      </c>
      <c r="M91">
        <f>SalesData[[#This Row],[Sales]]/SalesData[[#This Row],[Quantity]]</f>
        <v>5.0640000000000001</v>
      </c>
      <c r="N91" t="str">
        <f>IF(SalesData[[#This Row],[Profit]]&gt;0,"Profit","Loss")</f>
        <v>Profit</v>
      </c>
    </row>
    <row r="92" spans="1:14" x14ac:dyDescent="0.3">
      <c r="A92" t="s">
        <v>2783</v>
      </c>
      <c r="B92" s="3">
        <v>42747</v>
      </c>
      <c r="C92" t="s">
        <v>17</v>
      </c>
      <c r="D92" t="s">
        <v>21</v>
      </c>
      <c r="E92" t="s">
        <v>2784</v>
      </c>
      <c r="F92" s="1">
        <v>37.392000000000003</v>
      </c>
      <c r="G92">
        <v>3</v>
      </c>
      <c r="H92" s="1">
        <v>2.3370000000000002</v>
      </c>
      <c r="I92" s="4">
        <f>SalesData[[#This Row],[Profit]]/SalesData[[#This Row],[Sales]]</f>
        <v>6.25E-2</v>
      </c>
      <c r="J92">
        <f>YEAR(SalesData[[#This Row],[Order Date]])</f>
        <v>2017</v>
      </c>
      <c r="K92" t="str">
        <f>TEXT(SalesData[[#This Row],[Order Date]],"mmm")</f>
        <v>Jan</v>
      </c>
      <c r="L92">
        <f>MONTH(SalesData[[#This Row],[Order Date]])</f>
        <v>1</v>
      </c>
      <c r="M92">
        <f>SalesData[[#This Row],[Sales]]/SalesData[[#This Row],[Quantity]]</f>
        <v>12.464</v>
      </c>
      <c r="N92" t="str">
        <f>IF(SalesData[[#This Row],[Profit]]&gt;0,"Profit","Loss")</f>
        <v>Profit</v>
      </c>
    </row>
    <row r="93" spans="1:14" x14ac:dyDescent="0.3">
      <c r="A93" t="s">
        <v>2783</v>
      </c>
      <c r="B93" s="3">
        <v>42747</v>
      </c>
      <c r="C93" t="s">
        <v>17</v>
      </c>
      <c r="D93" t="s">
        <v>14</v>
      </c>
      <c r="E93" t="s">
        <v>2785</v>
      </c>
      <c r="F93" s="1">
        <v>79.12</v>
      </c>
      <c r="G93">
        <v>5</v>
      </c>
      <c r="H93" s="1">
        <v>13.846</v>
      </c>
      <c r="I93" s="4">
        <f>SalesData[[#This Row],[Profit]]/SalesData[[#This Row],[Sales]]</f>
        <v>0.17499999999999999</v>
      </c>
      <c r="J93">
        <f>YEAR(SalesData[[#This Row],[Order Date]])</f>
        <v>2017</v>
      </c>
      <c r="K93" t="str">
        <f>TEXT(SalesData[[#This Row],[Order Date]],"mmm")</f>
        <v>Jan</v>
      </c>
      <c r="L93">
        <f>MONTH(SalesData[[#This Row],[Order Date]])</f>
        <v>1</v>
      </c>
      <c r="M93">
        <f>SalesData[[#This Row],[Sales]]/SalesData[[#This Row],[Quantity]]</f>
        <v>15.824000000000002</v>
      </c>
      <c r="N93" t="str">
        <f>IF(SalesData[[#This Row],[Profit]]&gt;0,"Profit","Loss")</f>
        <v>Profit</v>
      </c>
    </row>
    <row r="94" spans="1:14" x14ac:dyDescent="0.3">
      <c r="A94" t="s">
        <v>2786</v>
      </c>
      <c r="B94" s="3">
        <v>42747</v>
      </c>
      <c r="C94" t="s">
        <v>17</v>
      </c>
      <c r="D94" t="s">
        <v>21</v>
      </c>
      <c r="E94" t="s">
        <v>115</v>
      </c>
      <c r="F94" s="1">
        <v>19.440000000000001</v>
      </c>
      <c r="G94">
        <v>3</v>
      </c>
      <c r="H94" s="1">
        <v>9.3312000000000008</v>
      </c>
      <c r="I94" s="4">
        <f>SalesData[[#This Row],[Profit]]/SalesData[[#This Row],[Sales]]</f>
        <v>0.48000000000000004</v>
      </c>
      <c r="J94">
        <f>YEAR(SalesData[[#This Row],[Order Date]])</f>
        <v>2017</v>
      </c>
      <c r="K94" t="str">
        <f>TEXT(SalesData[[#This Row],[Order Date]],"mmm")</f>
        <v>Jan</v>
      </c>
      <c r="L94">
        <f>MONTH(SalesData[[#This Row],[Order Date]])</f>
        <v>1</v>
      </c>
      <c r="M94">
        <f>SalesData[[#This Row],[Sales]]/SalesData[[#This Row],[Quantity]]</f>
        <v>6.48</v>
      </c>
      <c r="N94" t="str">
        <f>IF(SalesData[[#This Row],[Profit]]&gt;0,"Profit","Loss")</f>
        <v>Profit</v>
      </c>
    </row>
    <row r="95" spans="1:14" x14ac:dyDescent="0.3">
      <c r="A95" t="s">
        <v>2786</v>
      </c>
      <c r="B95" s="3">
        <v>42747</v>
      </c>
      <c r="C95" t="s">
        <v>17</v>
      </c>
      <c r="D95" t="s">
        <v>14</v>
      </c>
      <c r="E95" t="s">
        <v>530</v>
      </c>
      <c r="F95" s="1">
        <v>897.15</v>
      </c>
      <c r="G95">
        <v>3</v>
      </c>
      <c r="H95" s="1">
        <v>251.202</v>
      </c>
      <c r="I95" s="4">
        <f>SalesData[[#This Row],[Profit]]/SalesData[[#This Row],[Sales]]</f>
        <v>0.28000000000000003</v>
      </c>
      <c r="J95">
        <f>YEAR(SalesData[[#This Row],[Order Date]])</f>
        <v>2017</v>
      </c>
      <c r="K95" t="str">
        <f>TEXT(SalesData[[#This Row],[Order Date]],"mmm")</f>
        <v>Jan</v>
      </c>
      <c r="L95">
        <f>MONTH(SalesData[[#This Row],[Order Date]])</f>
        <v>1</v>
      </c>
      <c r="M95">
        <f>SalesData[[#This Row],[Sales]]/SalesData[[#This Row],[Quantity]]</f>
        <v>299.05</v>
      </c>
      <c r="N95" t="str">
        <f>IF(SalesData[[#This Row],[Profit]]&gt;0,"Profit","Loss")</f>
        <v>Profit</v>
      </c>
    </row>
    <row r="96" spans="1:14" x14ac:dyDescent="0.3">
      <c r="A96" t="s">
        <v>2787</v>
      </c>
      <c r="B96" s="3">
        <v>42747</v>
      </c>
      <c r="C96" t="s">
        <v>17</v>
      </c>
      <c r="D96" t="s">
        <v>14</v>
      </c>
      <c r="E96" t="s">
        <v>2068</v>
      </c>
      <c r="F96" s="1">
        <v>7.7119999999999997</v>
      </c>
      <c r="G96">
        <v>2</v>
      </c>
      <c r="H96" s="1">
        <v>1.7352000000000001</v>
      </c>
      <c r="I96" s="4">
        <f>SalesData[[#This Row],[Profit]]/SalesData[[#This Row],[Sales]]</f>
        <v>0.22500000000000001</v>
      </c>
      <c r="J96">
        <f>YEAR(SalesData[[#This Row],[Order Date]])</f>
        <v>2017</v>
      </c>
      <c r="K96" t="str">
        <f>TEXT(SalesData[[#This Row],[Order Date]],"mmm")</f>
        <v>Jan</v>
      </c>
      <c r="L96">
        <f>MONTH(SalesData[[#This Row],[Order Date]])</f>
        <v>1</v>
      </c>
      <c r="M96">
        <f>SalesData[[#This Row],[Sales]]/SalesData[[#This Row],[Quantity]]</f>
        <v>3.8559999999999999</v>
      </c>
      <c r="N96" t="str">
        <f>IF(SalesData[[#This Row],[Profit]]&gt;0,"Profit","Loss")</f>
        <v>Profit</v>
      </c>
    </row>
    <row r="97" spans="1:14" x14ac:dyDescent="0.3">
      <c r="A97" t="s">
        <v>2788</v>
      </c>
      <c r="B97" s="3">
        <v>42747</v>
      </c>
      <c r="C97" t="s">
        <v>9</v>
      </c>
      <c r="D97" t="s">
        <v>21</v>
      </c>
      <c r="E97" t="s">
        <v>1731</v>
      </c>
      <c r="F97" s="1">
        <v>10.368</v>
      </c>
      <c r="G97">
        <v>2</v>
      </c>
      <c r="H97" s="1">
        <v>3.6288</v>
      </c>
      <c r="I97" s="4">
        <f>SalesData[[#This Row],[Profit]]/SalesData[[#This Row],[Sales]]</f>
        <v>0.35</v>
      </c>
      <c r="J97">
        <f>YEAR(SalesData[[#This Row],[Order Date]])</f>
        <v>2017</v>
      </c>
      <c r="K97" t="str">
        <f>TEXT(SalesData[[#This Row],[Order Date]],"mmm")</f>
        <v>Jan</v>
      </c>
      <c r="L97">
        <f>MONTH(SalesData[[#This Row],[Order Date]])</f>
        <v>1</v>
      </c>
      <c r="M97">
        <f>SalesData[[#This Row],[Sales]]/SalesData[[#This Row],[Quantity]]</f>
        <v>5.1840000000000002</v>
      </c>
      <c r="N97" t="str">
        <f>IF(SalesData[[#This Row],[Profit]]&gt;0,"Profit","Loss")</f>
        <v>Profit</v>
      </c>
    </row>
    <row r="98" spans="1:14" x14ac:dyDescent="0.3">
      <c r="A98" t="s">
        <v>2789</v>
      </c>
      <c r="B98" s="3">
        <v>42747</v>
      </c>
      <c r="C98" t="s">
        <v>13</v>
      </c>
      <c r="D98" t="s">
        <v>21</v>
      </c>
      <c r="E98" t="s">
        <v>138</v>
      </c>
      <c r="F98" s="1">
        <v>41.86</v>
      </c>
      <c r="G98">
        <v>7</v>
      </c>
      <c r="H98" s="1">
        <v>18.837</v>
      </c>
      <c r="I98" s="4">
        <f>SalesData[[#This Row],[Profit]]/SalesData[[#This Row],[Sales]]</f>
        <v>0.45</v>
      </c>
      <c r="J98">
        <f>YEAR(SalesData[[#This Row],[Order Date]])</f>
        <v>2017</v>
      </c>
      <c r="K98" t="str">
        <f>TEXT(SalesData[[#This Row],[Order Date]],"mmm")</f>
        <v>Jan</v>
      </c>
      <c r="L98">
        <f>MONTH(SalesData[[#This Row],[Order Date]])</f>
        <v>1</v>
      </c>
      <c r="M98">
        <f>SalesData[[#This Row],[Sales]]/SalesData[[#This Row],[Quantity]]</f>
        <v>5.9799999999999995</v>
      </c>
      <c r="N98" t="str">
        <f>IF(SalesData[[#This Row],[Profit]]&gt;0,"Profit","Loss")</f>
        <v>Profit</v>
      </c>
    </row>
    <row r="99" spans="1:14" x14ac:dyDescent="0.3">
      <c r="A99" t="s">
        <v>2789</v>
      </c>
      <c r="B99" s="3">
        <v>42747</v>
      </c>
      <c r="C99" t="s">
        <v>13</v>
      </c>
      <c r="D99" t="s">
        <v>14</v>
      </c>
      <c r="E99" t="s">
        <v>1401</v>
      </c>
      <c r="F99" s="1">
        <v>141.96</v>
      </c>
      <c r="G99">
        <v>2</v>
      </c>
      <c r="H99" s="1">
        <v>41.168399999999998</v>
      </c>
      <c r="I99" s="4">
        <f>SalesData[[#This Row],[Profit]]/SalesData[[#This Row],[Sales]]</f>
        <v>0.28999999999999998</v>
      </c>
      <c r="J99">
        <f>YEAR(SalesData[[#This Row],[Order Date]])</f>
        <v>2017</v>
      </c>
      <c r="K99" t="str">
        <f>TEXT(SalesData[[#This Row],[Order Date]],"mmm")</f>
        <v>Jan</v>
      </c>
      <c r="L99">
        <f>MONTH(SalesData[[#This Row],[Order Date]])</f>
        <v>1</v>
      </c>
      <c r="M99">
        <f>SalesData[[#This Row],[Sales]]/SalesData[[#This Row],[Quantity]]</f>
        <v>70.98</v>
      </c>
      <c r="N99" t="str">
        <f>IF(SalesData[[#This Row],[Profit]]&gt;0,"Profit","Loss")</f>
        <v>Profit</v>
      </c>
    </row>
    <row r="100" spans="1:14" x14ac:dyDescent="0.3">
      <c r="A100" t="s">
        <v>2790</v>
      </c>
      <c r="B100" s="3">
        <v>42747</v>
      </c>
      <c r="C100" t="s">
        <v>13</v>
      </c>
      <c r="D100" t="s">
        <v>21</v>
      </c>
      <c r="E100" t="s">
        <v>1152</v>
      </c>
      <c r="F100" s="1">
        <v>15.92</v>
      </c>
      <c r="G100">
        <v>5</v>
      </c>
      <c r="H100" s="1">
        <v>5.3730000000000002</v>
      </c>
      <c r="I100" s="4">
        <f>SalesData[[#This Row],[Profit]]/SalesData[[#This Row],[Sales]]</f>
        <v>0.33750000000000002</v>
      </c>
      <c r="J100">
        <f>YEAR(SalesData[[#This Row],[Order Date]])</f>
        <v>2017</v>
      </c>
      <c r="K100" t="str">
        <f>TEXT(SalesData[[#This Row],[Order Date]],"mmm")</f>
        <v>Jan</v>
      </c>
      <c r="L100">
        <f>MONTH(SalesData[[#This Row],[Order Date]])</f>
        <v>1</v>
      </c>
      <c r="M100">
        <f>SalesData[[#This Row],[Sales]]/SalesData[[#This Row],[Quantity]]</f>
        <v>3.1840000000000002</v>
      </c>
      <c r="N100" t="str">
        <f>IF(SalesData[[#This Row],[Profit]]&gt;0,"Profit","Loss")</f>
        <v>Profit</v>
      </c>
    </row>
    <row r="101" spans="1:14" x14ac:dyDescent="0.3">
      <c r="A101" t="s">
        <v>2790</v>
      </c>
      <c r="B101" s="3">
        <v>42747</v>
      </c>
      <c r="C101" t="s">
        <v>13</v>
      </c>
      <c r="D101" t="s">
        <v>14</v>
      </c>
      <c r="E101" t="s">
        <v>884</v>
      </c>
      <c r="F101" s="1">
        <v>70.680000000000007</v>
      </c>
      <c r="G101">
        <v>12</v>
      </c>
      <c r="H101" s="1">
        <v>31.0992</v>
      </c>
      <c r="I101" s="4">
        <f>SalesData[[#This Row],[Profit]]/SalesData[[#This Row],[Sales]]</f>
        <v>0.43999999999999995</v>
      </c>
      <c r="J101">
        <f>YEAR(SalesData[[#This Row],[Order Date]])</f>
        <v>2017</v>
      </c>
      <c r="K101" t="str">
        <f>TEXT(SalesData[[#This Row],[Order Date]],"mmm")</f>
        <v>Jan</v>
      </c>
      <c r="L101">
        <f>MONTH(SalesData[[#This Row],[Order Date]])</f>
        <v>1</v>
      </c>
      <c r="M101">
        <f>SalesData[[#This Row],[Sales]]/SalesData[[#This Row],[Quantity]]</f>
        <v>5.8900000000000006</v>
      </c>
      <c r="N101" t="str">
        <f>IF(SalesData[[#This Row],[Profit]]&gt;0,"Profit","Loss")</f>
        <v>Profit</v>
      </c>
    </row>
    <row r="102" spans="1:14" x14ac:dyDescent="0.3">
      <c r="A102" t="s">
        <v>2790</v>
      </c>
      <c r="B102" s="3">
        <v>42747</v>
      </c>
      <c r="C102" t="s">
        <v>13</v>
      </c>
      <c r="D102" t="s">
        <v>21</v>
      </c>
      <c r="E102" t="s">
        <v>2660</v>
      </c>
      <c r="F102" s="1">
        <v>541.24</v>
      </c>
      <c r="G102">
        <v>4</v>
      </c>
      <c r="H102" s="1">
        <v>5.4123999999999999</v>
      </c>
      <c r="I102" s="4">
        <f>SalesData[[#This Row],[Profit]]/SalesData[[#This Row],[Sales]]</f>
        <v>0.01</v>
      </c>
      <c r="J102">
        <f>YEAR(SalesData[[#This Row],[Order Date]])</f>
        <v>2017</v>
      </c>
      <c r="K102" t="str">
        <f>TEXT(SalesData[[#This Row],[Order Date]],"mmm")</f>
        <v>Jan</v>
      </c>
      <c r="L102">
        <f>MONTH(SalesData[[#This Row],[Order Date]])</f>
        <v>1</v>
      </c>
      <c r="M102">
        <f>SalesData[[#This Row],[Sales]]/SalesData[[#This Row],[Quantity]]</f>
        <v>135.31</v>
      </c>
      <c r="N102" t="str">
        <f>IF(SalesData[[#This Row],[Profit]]&gt;0,"Profit","Loss")</f>
        <v>Profit</v>
      </c>
    </row>
    <row r="103" spans="1:14" x14ac:dyDescent="0.3">
      <c r="A103" t="s">
        <v>2791</v>
      </c>
      <c r="B103" s="3">
        <v>42747</v>
      </c>
      <c r="C103" t="s">
        <v>13</v>
      </c>
      <c r="D103" t="s">
        <v>14</v>
      </c>
      <c r="E103" t="s">
        <v>2042</v>
      </c>
      <c r="F103" s="1">
        <v>629.64</v>
      </c>
      <c r="G103">
        <v>9</v>
      </c>
      <c r="H103" s="1">
        <v>107.03879999999999</v>
      </c>
      <c r="I103" s="4">
        <f>SalesData[[#This Row],[Profit]]/SalesData[[#This Row],[Sales]]</f>
        <v>0.16999999999999998</v>
      </c>
      <c r="J103">
        <f>YEAR(SalesData[[#This Row],[Order Date]])</f>
        <v>2017</v>
      </c>
      <c r="K103" t="str">
        <f>TEXT(SalesData[[#This Row],[Order Date]],"mmm")</f>
        <v>Jan</v>
      </c>
      <c r="L103">
        <f>MONTH(SalesData[[#This Row],[Order Date]])</f>
        <v>1</v>
      </c>
      <c r="M103">
        <f>SalesData[[#This Row],[Sales]]/SalesData[[#This Row],[Quantity]]</f>
        <v>69.959999999999994</v>
      </c>
      <c r="N103" t="str">
        <f>IF(SalesData[[#This Row],[Profit]]&gt;0,"Profit","Loss")</f>
        <v>Profit</v>
      </c>
    </row>
    <row r="104" spans="1:14" x14ac:dyDescent="0.3">
      <c r="A104" t="s">
        <v>2792</v>
      </c>
      <c r="B104" s="3">
        <v>42747</v>
      </c>
      <c r="C104" t="s">
        <v>17</v>
      </c>
      <c r="D104" t="s">
        <v>21</v>
      </c>
      <c r="E104" t="s">
        <v>878</v>
      </c>
      <c r="F104" s="1">
        <v>15.936</v>
      </c>
      <c r="G104">
        <v>4</v>
      </c>
      <c r="H104" s="1">
        <v>5.1791999999999998</v>
      </c>
      <c r="I104" s="4">
        <f>SalesData[[#This Row],[Profit]]/SalesData[[#This Row],[Sales]]</f>
        <v>0.32500000000000001</v>
      </c>
      <c r="J104">
        <f>YEAR(SalesData[[#This Row],[Order Date]])</f>
        <v>2017</v>
      </c>
      <c r="K104" t="str">
        <f>TEXT(SalesData[[#This Row],[Order Date]],"mmm")</f>
        <v>Jan</v>
      </c>
      <c r="L104">
        <f>MONTH(SalesData[[#This Row],[Order Date]])</f>
        <v>1</v>
      </c>
      <c r="M104">
        <f>SalesData[[#This Row],[Sales]]/SalesData[[#This Row],[Quantity]]</f>
        <v>3.984</v>
      </c>
      <c r="N104" t="str">
        <f>IF(SalesData[[#This Row],[Profit]]&gt;0,"Profit","Loss")</f>
        <v>Profit</v>
      </c>
    </row>
    <row r="105" spans="1:14" x14ac:dyDescent="0.3">
      <c r="A105" t="s">
        <v>2792</v>
      </c>
      <c r="B105" s="3">
        <v>42747</v>
      </c>
      <c r="C105" t="s">
        <v>17</v>
      </c>
      <c r="D105" t="s">
        <v>21</v>
      </c>
      <c r="E105" t="s">
        <v>2793</v>
      </c>
      <c r="F105" s="1">
        <v>8.0009999999999994</v>
      </c>
      <c r="G105">
        <v>7</v>
      </c>
      <c r="H105" s="1">
        <v>-5.6006999999999998</v>
      </c>
      <c r="I105" s="4">
        <f>SalesData[[#This Row],[Profit]]/SalesData[[#This Row],[Sales]]</f>
        <v>-0.70000000000000007</v>
      </c>
      <c r="J105">
        <f>YEAR(SalesData[[#This Row],[Order Date]])</f>
        <v>2017</v>
      </c>
      <c r="K105" t="str">
        <f>TEXT(SalesData[[#This Row],[Order Date]],"mmm")</f>
        <v>Jan</v>
      </c>
      <c r="L105">
        <f>MONTH(SalesData[[#This Row],[Order Date]])</f>
        <v>1</v>
      </c>
      <c r="M105">
        <f>SalesData[[#This Row],[Sales]]/SalesData[[#This Row],[Quantity]]</f>
        <v>1.143</v>
      </c>
      <c r="N105" t="str">
        <f>IF(SalesData[[#This Row],[Profit]]&gt;0,"Profit","Loss")</f>
        <v>Loss</v>
      </c>
    </row>
    <row r="106" spans="1:14" x14ac:dyDescent="0.3">
      <c r="A106" t="s">
        <v>2792</v>
      </c>
      <c r="B106" s="3">
        <v>42747</v>
      </c>
      <c r="C106" t="s">
        <v>17</v>
      </c>
      <c r="D106" t="s">
        <v>14</v>
      </c>
      <c r="E106" t="s">
        <v>915</v>
      </c>
      <c r="F106" s="1">
        <v>398.97199999999998</v>
      </c>
      <c r="G106">
        <v>2</v>
      </c>
      <c r="H106" s="1">
        <v>-28.498000000000001</v>
      </c>
      <c r="I106" s="4">
        <f>SalesData[[#This Row],[Profit]]/SalesData[[#This Row],[Sales]]</f>
        <v>-7.1428571428571438E-2</v>
      </c>
      <c r="J106">
        <f>YEAR(SalesData[[#This Row],[Order Date]])</f>
        <v>2017</v>
      </c>
      <c r="K106" t="str">
        <f>TEXT(SalesData[[#This Row],[Order Date]],"mmm")</f>
        <v>Jan</v>
      </c>
      <c r="L106">
        <f>MONTH(SalesData[[#This Row],[Order Date]])</f>
        <v>1</v>
      </c>
      <c r="M106">
        <f>SalesData[[#This Row],[Sales]]/SalesData[[#This Row],[Quantity]]</f>
        <v>199.48599999999999</v>
      </c>
      <c r="N106" t="str">
        <f>IF(SalesData[[#This Row],[Profit]]&gt;0,"Profit","Loss")</f>
        <v>Loss</v>
      </c>
    </row>
    <row r="107" spans="1:14" x14ac:dyDescent="0.3">
      <c r="A107" t="s">
        <v>2794</v>
      </c>
      <c r="B107" s="3">
        <v>42767</v>
      </c>
      <c r="C107" t="s">
        <v>46</v>
      </c>
      <c r="D107" t="s">
        <v>10</v>
      </c>
      <c r="E107" t="s">
        <v>2488</v>
      </c>
      <c r="F107" s="1">
        <v>695.7</v>
      </c>
      <c r="G107">
        <v>2</v>
      </c>
      <c r="H107" s="1">
        <v>-27.827999999999999</v>
      </c>
      <c r="I107" s="4">
        <f>SalesData[[#This Row],[Profit]]/SalesData[[#This Row],[Sales]]</f>
        <v>-3.9999999999999994E-2</v>
      </c>
      <c r="J107">
        <f>YEAR(SalesData[[#This Row],[Order Date]])</f>
        <v>2017</v>
      </c>
      <c r="K107" t="str">
        <f>TEXT(SalesData[[#This Row],[Order Date]],"mmm")</f>
        <v>Feb</v>
      </c>
      <c r="L107">
        <f>MONTH(SalesData[[#This Row],[Order Date]])</f>
        <v>2</v>
      </c>
      <c r="M107">
        <f>SalesData[[#This Row],[Sales]]/SalesData[[#This Row],[Quantity]]</f>
        <v>347.85</v>
      </c>
      <c r="N107" t="str">
        <f>IF(SalesData[[#This Row],[Profit]]&gt;0,"Profit","Loss")</f>
        <v>Loss</v>
      </c>
    </row>
    <row r="108" spans="1:14" x14ac:dyDescent="0.3">
      <c r="A108" t="s">
        <v>2794</v>
      </c>
      <c r="B108" s="3">
        <v>42767</v>
      </c>
      <c r="C108" t="s">
        <v>46</v>
      </c>
      <c r="D108" t="s">
        <v>21</v>
      </c>
      <c r="E108" t="s">
        <v>2795</v>
      </c>
      <c r="F108" s="1">
        <v>15.66</v>
      </c>
      <c r="G108">
        <v>5</v>
      </c>
      <c r="H108" s="1">
        <v>-12.528</v>
      </c>
      <c r="I108" s="4">
        <f>SalesData[[#This Row],[Profit]]/SalesData[[#This Row],[Sales]]</f>
        <v>-0.8</v>
      </c>
      <c r="J108">
        <f>YEAR(SalesData[[#This Row],[Order Date]])</f>
        <v>2017</v>
      </c>
      <c r="K108" t="str">
        <f>TEXT(SalesData[[#This Row],[Order Date]],"mmm")</f>
        <v>Feb</v>
      </c>
      <c r="L108">
        <f>MONTH(SalesData[[#This Row],[Order Date]])</f>
        <v>2</v>
      </c>
      <c r="M108">
        <f>SalesData[[#This Row],[Sales]]/SalesData[[#This Row],[Quantity]]</f>
        <v>3.1320000000000001</v>
      </c>
      <c r="N108" t="str">
        <f>IF(SalesData[[#This Row],[Profit]]&gt;0,"Profit","Loss")</f>
        <v>Loss</v>
      </c>
    </row>
    <row r="109" spans="1:14" x14ac:dyDescent="0.3">
      <c r="A109" t="s">
        <v>2794</v>
      </c>
      <c r="B109" s="3">
        <v>42767</v>
      </c>
      <c r="C109" t="s">
        <v>46</v>
      </c>
      <c r="D109" t="s">
        <v>21</v>
      </c>
      <c r="E109" t="s">
        <v>607</v>
      </c>
      <c r="F109" s="1">
        <v>28.853999999999999</v>
      </c>
      <c r="G109">
        <v>6</v>
      </c>
      <c r="H109" s="1">
        <v>-21.159600000000001</v>
      </c>
      <c r="I109" s="4">
        <f>SalesData[[#This Row],[Profit]]/SalesData[[#This Row],[Sales]]</f>
        <v>-0.73333333333333339</v>
      </c>
      <c r="J109">
        <f>YEAR(SalesData[[#This Row],[Order Date]])</f>
        <v>2017</v>
      </c>
      <c r="K109" t="str">
        <f>TEXT(SalesData[[#This Row],[Order Date]],"mmm")</f>
        <v>Feb</v>
      </c>
      <c r="L109">
        <f>MONTH(SalesData[[#This Row],[Order Date]])</f>
        <v>2</v>
      </c>
      <c r="M109">
        <f>SalesData[[#This Row],[Sales]]/SalesData[[#This Row],[Quantity]]</f>
        <v>4.8090000000000002</v>
      </c>
      <c r="N109" t="str">
        <f>IF(SalesData[[#This Row],[Profit]]&gt;0,"Profit","Loss")</f>
        <v>Loss</v>
      </c>
    </row>
    <row r="110" spans="1:14" x14ac:dyDescent="0.3">
      <c r="A110" t="s">
        <v>2796</v>
      </c>
      <c r="B110" s="3">
        <v>42767</v>
      </c>
      <c r="C110" t="s">
        <v>9</v>
      </c>
      <c r="D110" t="s">
        <v>21</v>
      </c>
      <c r="E110" t="s">
        <v>317</v>
      </c>
      <c r="F110" s="1">
        <v>31.744</v>
      </c>
      <c r="G110">
        <v>2</v>
      </c>
      <c r="H110" s="1">
        <v>3.968</v>
      </c>
      <c r="I110" s="4">
        <f>SalesData[[#This Row],[Profit]]/SalesData[[#This Row],[Sales]]</f>
        <v>0.125</v>
      </c>
      <c r="J110">
        <f>YEAR(SalesData[[#This Row],[Order Date]])</f>
        <v>2017</v>
      </c>
      <c r="K110" t="str">
        <f>TEXT(SalesData[[#This Row],[Order Date]],"mmm")</f>
        <v>Feb</v>
      </c>
      <c r="L110">
        <f>MONTH(SalesData[[#This Row],[Order Date]])</f>
        <v>2</v>
      </c>
      <c r="M110">
        <f>SalesData[[#This Row],[Sales]]/SalesData[[#This Row],[Quantity]]</f>
        <v>15.872</v>
      </c>
      <c r="N110" t="str">
        <f>IF(SalesData[[#This Row],[Profit]]&gt;0,"Profit","Loss")</f>
        <v>Profit</v>
      </c>
    </row>
    <row r="111" spans="1:14" x14ac:dyDescent="0.3">
      <c r="A111" t="s">
        <v>2796</v>
      </c>
      <c r="B111" s="3">
        <v>42767</v>
      </c>
      <c r="C111" t="s">
        <v>9</v>
      </c>
      <c r="D111" t="s">
        <v>21</v>
      </c>
      <c r="E111" t="s">
        <v>2797</v>
      </c>
      <c r="F111" s="1">
        <v>5.4320000000000004</v>
      </c>
      <c r="G111">
        <v>2</v>
      </c>
      <c r="H111" s="1">
        <v>-13.58</v>
      </c>
      <c r="I111" s="4">
        <f>SalesData[[#This Row],[Profit]]/SalesData[[#This Row],[Sales]]</f>
        <v>-2.5</v>
      </c>
      <c r="J111">
        <f>YEAR(SalesData[[#This Row],[Order Date]])</f>
        <v>2017</v>
      </c>
      <c r="K111" t="str">
        <f>TEXT(SalesData[[#This Row],[Order Date]],"mmm")</f>
        <v>Feb</v>
      </c>
      <c r="L111">
        <f>MONTH(SalesData[[#This Row],[Order Date]])</f>
        <v>2</v>
      </c>
      <c r="M111">
        <f>SalesData[[#This Row],[Sales]]/SalesData[[#This Row],[Quantity]]</f>
        <v>2.7160000000000002</v>
      </c>
      <c r="N111" t="str">
        <f>IF(SalesData[[#This Row],[Profit]]&gt;0,"Profit","Loss")</f>
        <v>Loss</v>
      </c>
    </row>
    <row r="112" spans="1:14" x14ac:dyDescent="0.3">
      <c r="A112" t="s">
        <v>2796</v>
      </c>
      <c r="B112" s="3">
        <v>42767</v>
      </c>
      <c r="C112" t="s">
        <v>9</v>
      </c>
      <c r="D112" t="s">
        <v>14</v>
      </c>
      <c r="E112" t="s">
        <v>233</v>
      </c>
      <c r="F112" s="1">
        <v>913.43</v>
      </c>
      <c r="G112">
        <v>5</v>
      </c>
      <c r="H112" s="1">
        <v>-169.637</v>
      </c>
      <c r="I112" s="4">
        <f>SalesData[[#This Row],[Profit]]/SalesData[[#This Row],[Sales]]</f>
        <v>-0.18571428571428572</v>
      </c>
      <c r="J112">
        <f>YEAR(SalesData[[#This Row],[Order Date]])</f>
        <v>2017</v>
      </c>
      <c r="K112" t="str">
        <f>TEXT(SalesData[[#This Row],[Order Date]],"mmm")</f>
        <v>Feb</v>
      </c>
      <c r="L112">
        <f>MONTH(SalesData[[#This Row],[Order Date]])</f>
        <v>2</v>
      </c>
      <c r="M112">
        <f>SalesData[[#This Row],[Sales]]/SalesData[[#This Row],[Quantity]]</f>
        <v>182.68599999999998</v>
      </c>
      <c r="N112" t="str">
        <f>IF(SalesData[[#This Row],[Profit]]&gt;0,"Profit","Loss")</f>
        <v>Loss</v>
      </c>
    </row>
    <row r="113" spans="1:14" x14ac:dyDescent="0.3">
      <c r="A113" t="s">
        <v>2796</v>
      </c>
      <c r="B113" s="3">
        <v>42767</v>
      </c>
      <c r="C113" t="s">
        <v>9</v>
      </c>
      <c r="D113" t="s">
        <v>21</v>
      </c>
      <c r="E113" t="s">
        <v>1806</v>
      </c>
      <c r="F113" s="1">
        <v>372.14400000000001</v>
      </c>
      <c r="G113">
        <v>3</v>
      </c>
      <c r="H113" s="1">
        <v>27.910799999999998</v>
      </c>
      <c r="I113" s="4">
        <f>SalesData[[#This Row],[Profit]]/SalesData[[#This Row],[Sales]]</f>
        <v>7.4999999999999997E-2</v>
      </c>
      <c r="J113">
        <f>YEAR(SalesData[[#This Row],[Order Date]])</f>
        <v>2017</v>
      </c>
      <c r="K113" t="str">
        <f>TEXT(SalesData[[#This Row],[Order Date]],"mmm")</f>
        <v>Feb</v>
      </c>
      <c r="L113">
        <f>MONTH(SalesData[[#This Row],[Order Date]])</f>
        <v>2</v>
      </c>
      <c r="M113">
        <f>SalesData[[#This Row],[Sales]]/SalesData[[#This Row],[Quantity]]</f>
        <v>124.048</v>
      </c>
      <c r="N113" t="str">
        <f>IF(SalesData[[#This Row],[Profit]]&gt;0,"Profit","Loss")</f>
        <v>Profit</v>
      </c>
    </row>
    <row r="114" spans="1:14" x14ac:dyDescent="0.3">
      <c r="A114" t="s">
        <v>2798</v>
      </c>
      <c r="B114" s="3">
        <v>42767</v>
      </c>
      <c r="C114" t="s">
        <v>13</v>
      </c>
      <c r="D114" t="s">
        <v>10</v>
      </c>
      <c r="E114" t="s">
        <v>2065</v>
      </c>
      <c r="F114" s="1">
        <v>16.59</v>
      </c>
      <c r="G114">
        <v>1</v>
      </c>
      <c r="H114" s="1">
        <v>5.8064999999999998</v>
      </c>
      <c r="I114" s="4">
        <f>SalesData[[#This Row],[Profit]]/SalesData[[#This Row],[Sales]]</f>
        <v>0.35</v>
      </c>
      <c r="J114">
        <f>YEAR(SalesData[[#This Row],[Order Date]])</f>
        <v>2017</v>
      </c>
      <c r="K114" t="str">
        <f>TEXT(SalesData[[#This Row],[Order Date]],"mmm")</f>
        <v>Feb</v>
      </c>
      <c r="L114">
        <f>MONTH(SalesData[[#This Row],[Order Date]])</f>
        <v>2</v>
      </c>
      <c r="M114">
        <f>SalesData[[#This Row],[Sales]]/SalesData[[#This Row],[Quantity]]</f>
        <v>16.59</v>
      </c>
      <c r="N114" t="str">
        <f>IF(SalesData[[#This Row],[Profit]]&gt;0,"Profit","Loss")</f>
        <v>Profit</v>
      </c>
    </row>
    <row r="115" spans="1:14" x14ac:dyDescent="0.3">
      <c r="A115" t="s">
        <v>2799</v>
      </c>
      <c r="B115" s="3">
        <v>42768</v>
      </c>
      <c r="C115" t="s">
        <v>17</v>
      </c>
      <c r="D115" t="s">
        <v>10</v>
      </c>
      <c r="E115" t="s">
        <v>1905</v>
      </c>
      <c r="F115" s="1">
        <v>59.97</v>
      </c>
      <c r="G115">
        <v>5</v>
      </c>
      <c r="H115" s="1">
        <v>-11.994</v>
      </c>
      <c r="I115" s="4">
        <f>SalesData[[#This Row],[Profit]]/SalesData[[#This Row],[Sales]]</f>
        <v>-0.2</v>
      </c>
      <c r="J115">
        <f>YEAR(SalesData[[#This Row],[Order Date]])</f>
        <v>2017</v>
      </c>
      <c r="K115" t="str">
        <f>TEXT(SalesData[[#This Row],[Order Date]],"mmm")</f>
        <v>Feb</v>
      </c>
      <c r="L115">
        <f>MONTH(SalesData[[#This Row],[Order Date]])</f>
        <v>2</v>
      </c>
      <c r="M115">
        <f>SalesData[[#This Row],[Sales]]/SalesData[[#This Row],[Quantity]]</f>
        <v>11.994</v>
      </c>
      <c r="N115" t="str">
        <f>IF(SalesData[[#This Row],[Profit]]&gt;0,"Profit","Loss")</f>
        <v>Loss</v>
      </c>
    </row>
    <row r="116" spans="1:14" x14ac:dyDescent="0.3">
      <c r="A116" t="s">
        <v>2799</v>
      </c>
      <c r="B116" s="3">
        <v>42768</v>
      </c>
      <c r="C116" t="s">
        <v>17</v>
      </c>
      <c r="D116" t="s">
        <v>21</v>
      </c>
      <c r="E116" t="s">
        <v>61</v>
      </c>
      <c r="F116" s="1">
        <v>78.304000000000002</v>
      </c>
      <c r="G116">
        <v>2</v>
      </c>
      <c r="H116" s="1">
        <v>29.364000000000001</v>
      </c>
      <c r="I116" s="4">
        <f>SalesData[[#This Row],[Profit]]/SalesData[[#This Row],[Sales]]</f>
        <v>0.375</v>
      </c>
      <c r="J116">
        <f>YEAR(SalesData[[#This Row],[Order Date]])</f>
        <v>2017</v>
      </c>
      <c r="K116" t="str">
        <f>TEXT(SalesData[[#This Row],[Order Date]],"mmm")</f>
        <v>Feb</v>
      </c>
      <c r="L116">
        <f>MONTH(SalesData[[#This Row],[Order Date]])</f>
        <v>2</v>
      </c>
      <c r="M116">
        <f>SalesData[[#This Row],[Sales]]/SalesData[[#This Row],[Quantity]]</f>
        <v>39.152000000000001</v>
      </c>
      <c r="N116" t="str">
        <f>IF(SalesData[[#This Row],[Profit]]&gt;0,"Profit","Loss")</f>
        <v>Profit</v>
      </c>
    </row>
    <row r="117" spans="1:14" x14ac:dyDescent="0.3">
      <c r="A117" t="s">
        <v>2799</v>
      </c>
      <c r="B117" s="3">
        <v>42768</v>
      </c>
      <c r="C117" t="s">
        <v>17</v>
      </c>
      <c r="D117" t="s">
        <v>21</v>
      </c>
      <c r="E117" t="s">
        <v>83</v>
      </c>
      <c r="F117" s="1">
        <v>21.456</v>
      </c>
      <c r="G117">
        <v>9</v>
      </c>
      <c r="H117" s="1">
        <v>6.9732000000000003</v>
      </c>
      <c r="I117" s="4">
        <f>SalesData[[#This Row],[Profit]]/SalesData[[#This Row],[Sales]]</f>
        <v>0.32500000000000001</v>
      </c>
      <c r="J117">
        <f>YEAR(SalesData[[#This Row],[Order Date]])</f>
        <v>2017</v>
      </c>
      <c r="K117" t="str">
        <f>TEXT(SalesData[[#This Row],[Order Date]],"mmm")</f>
        <v>Feb</v>
      </c>
      <c r="L117">
        <f>MONTH(SalesData[[#This Row],[Order Date]])</f>
        <v>2</v>
      </c>
      <c r="M117">
        <f>SalesData[[#This Row],[Sales]]/SalesData[[#This Row],[Quantity]]</f>
        <v>2.3839999999999999</v>
      </c>
      <c r="N117" t="str">
        <f>IF(SalesData[[#This Row],[Profit]]&gt;0,"Profit","Loss")</f>
        <v>Profit</v>
      </c>
    </row>
    <row r="118" spans="1:14" x14ac:dyDescent="0.3">
      <c r="A118" t="s">
        <v>2800</v>
      </c>
      <c r="B118" s="3">
        <v>42768</v>
      </c>
      <c r="C118" t="s">
        <v>13</v>
      </c>
      <c r="D118" t="s">
        <v>14</v>
      </c>
      <c r="E118" t="s">
        <v>590</v>
      </c>
      <c r="F118" s="1">
        <v>86.26</v>
      </c>
      <c r="G118">
        <v>2</v>
      </c>
      <c r="H118" s="1">
        <v>29.328399999999998</v>
      </c>
      <c r="I118" s="4">
        <f>SalesData[[#This Row],[Profit]]/SalesData[[#This Row],[Sales]]</f>
        <v>0.33999999999999997</v>
      </c>
      <c r="J118">
        <f>YEAR(SalesData[[#This Row],[Order Date]])</f>
        <v>2017</v>
      </c>
      <c r="K118" t="str">
        <f>TEXT(SalesData[[#This Row],[Order Date]],"mmm")</f>
        <v>Feb</v>
      </c>
      <c r="L118">
        <f>MONTH(SalesData[[#This Row],[Order Date]])</f>
        <v>2</v>
      </c>
      <c r="M118">
        <f>SalesData[[#This Row],[Sales]]/SalesData[[#This Row],[Quantity]]</f>
        <v>43.13</v>
      </c>
      <c r="N118" t="str">
        <f>IF(SalesData[[#This Row],[Profit]]&gt;0,"Profit","Loss")</f>
        <v>Profit</v>
      </c>
    </row>
    <row r="119" spans="1:14" x14ac:dyDescent="0.3">
      <c r="A119" t="s">
        <v>2800</v>
      </c>
      <c r="B119" s="3">
        <v>42768</v>
      </c>
      <c r="C119" t="s">
        <v>13</v>
      </c>
      <c r="D119" t="s">
        <v>21</v>
      </c>
      <c r="E119" t="s">
        <v>90</v>
      </c>
      <c r="F119" s="1">
        <v>139.04</v>
      </c>
      <c r="G119">
        <v>4</v>
      </c>
      <c r="H119" s="1">
        <v>38.931199999999997</v>
      </c>
      <c r="I119" s="4">
        <f>SalesData[[#This Row],[Profit]]/SalesData[[#This Row],[Sales]]</f>
        <v>0.27999999999999997</v>
      </c>
      <c r="J119">
        <f>YEAR(SalesData[[#This Row],[Order Date]])</f>
        <v>2017</v>
      </c>
      <c r="K119" t="str">
        <f>TEXT(SalesData[[#This Row],[Order Date]],"mmm")</f>
        <v>Feb</v>
      </c>
      <c r="L119">
        <f>MONTH(SalesData[[#This Row],[Order Date]])</f>
        <v>2</v>
      </c>
      <c r="M119">
        <f>SalesData[[#This Row],[Sales]]/SalesData[[#This Row],[Quantity]]</f>
        <v>34.76</v>
      </c>
      <c r="N119" t="str">
        <f>IF(SalesData[[#This Row],[Profit]]&gt;0,"Profit","Loss")</f>
        <v>Profit</v>
      </c>
    </row>
    <row r="120" spans="1:14" x14ac:dyDescent="0.3">
      <c r="A120" t="s">
        <v>2800</v>
      </c>
      <c r="B120" s="3">
        <v>42768</v>
      </c>
      <c r="C120" t="s">
        <v>13</v>
      </c>
      <c r="D120" t="s">
        <v>21</v>
      </c>
      <c r="E120" t="s">
        <v>2589</v>
      </c>
      <c r="F120" s="1">
        <v>46.8</v>
      </c>
      <c r="G120">
        <v>4</v>
      </c>
      <c r="H120" s="1">
        <v>16.38</v>
      </c>
      <c r="I120" s="4">
        <f>SalesData[[#This Row],[Profit]]/SalesData[[#This Row],[Sales]]</f>
        <v>0.35</v>
      </c>
      <c r="J120">
        <f>YEAR(SalesData[[#This Row],[Order Date]])</f>
        <v>2017</v>
      </c>
      <c r="K120" t="str">
        <f>TEXT(SalesData[[#This Row],[Order Date]],"mmm")</f>
        <v>Feb</v>
      </c>
      <c r="L120">
        <f>MONTH(SalesData[[#This Row],[Order Date]])</f>
        <v>2</v>
      </c>
      <c r="M120">
        <f>SalesData[[#This Row],[Sales]]/SalesData[[#This Row],[Quantity]]</f>
        <v>11.7</v>
      </c>
      <c r="N120" t="str">
        <f>IF(SalesData[[#This Row],[Profit]]&gt;0,"Profit","Loss")</f>
        <v>Profit</v>
      </c>
    </row>
    <row r="121" spans="1:14" x14ac:dyDescent="0.3">
      <c r="A121" t="s">
        <v>2801</v>
      </c>
      <c r="B121" s="3">
        <v>42768</v>
      </c>
      <c r="C121" t="s">
        <v>13</v>
      </c>
      <c r="D121" t="s">
        <v>14</v>
      </c>
      <c r="E121" t="s">
        <v>1217</v>
      </c>
      <c r="F121" s="1">
        <v>210.58</v>
      </c>
      <c r="G121">
        <v>2</v>
      </c>
      <c r="H121" s="1">
        <v>12.6348</v>
      </c>
      <c r="I121" s="4">
        <f>SalesData[[#This Row],[Profit]]/SalesData[[#This Row],[Sales]]</f>
        <v>0.06</v>
      </c>
      <c r="J121">
        <f>YEAR(SalesData[[#This Row],[Order Date]])</f>
        <v>2017</v>
      </c>
      <c r="K121" t="str">
        <f>TEXT(SalesData[[#This Row],[Order Date]],"mmm")</f>
        <v>Feb</v>
      </c>
      <c r="L121">
        <f>MONTH(SalesData[[#This Row],[Order Date]])</f>
        <v>2</v>
      </c>
      <c r="M121">
        <f>SalesData[[#This Row],[Sales]]/SalesData[[#This Row],[Quantity]]</f>
        <v>105.29</v>
      </c>
      <c r="N121" t="str">
        <f>IF(SalesData[[#This Row],[Profit]]&gt;0,"Profit","Loss")</f>
        <v>Profit</v>
      </c>
    </row>
    <row r="122" spans="1:14" x14ac:dyDescent="0.3">
      <c r="A122" t="s">
        <v>2801</v>
      </c>
      <c r="B122" s="3">
        <v>42768</v>
      </c>
      <c r="C122" t="s">
        <v>13</v>
      </c>
      <c r="D122" t="s">
        <v>21</v>
      </c>
      <c r="E122" t="s">
        <v>2802</v>
      </c>
      <c r="F122" s="1">
        <v>30.96</v>
      </c>
      <c r="G122">
        <v>2</v>
      </c>
      <c r="H122" s="1">
        <v>10.061999999999999</v>
      </c>
      <c r="I122" s="4">
        <f>SalesData[[#This Row],[Profit]]/SalesData[[#This Row],[Sales]]</f>
        <v>0.32499999999999996</v>
      </c>
      <c r="J122">
        <f>YEAR(SalesData[[#This Row],[Order Date]])</f>
        <v>2017</v>
      </c>
      <c r="K122" t="str">
        <f>TEXT(SalesData[[#This Row],[Order Date]],"mmm")</f>
        <v>Feb</v>
      </c>
      <c r="L122">
        <f>MONTH(SalesData[[#This Row],[Order Date]])</f>
        <v>2</v>
      </c>
      <c r="M122">
        <f>SalesData[[#This Row],[Sales]]/SalesData[[#This Row],[Quantity]]</f>
        <v>15.48</v>
      </c>
      <c r="N122" t="str">
        <f>IF(SalesData[[#This Row],[Profit]]&gt;0,"Profit","Loss")</f>
        <v>Profit</v>
      </c>
    </row>
    <row r="123" spans="1:14" x14ac:dyDescent="0.3">
      <c r="A123" t="s">
        <v>2801</v>
      </c>
      <c r="B123" s="3">
        <v>42768</v>
      </c>
      <c r="C123" t="s">
        <v>13</v>
      </c>
      <c r="D123" t="s">
        <v>10</v>
      </c>
      <c r="E123" t="s">
        <v>2803</v>
      </c>
      <c r="F123" s="1">
        <v>239.98400000000001</v>
      </c>
      <c r="G123">
        <v>2</v>
      </c>
      <c r="H123" s="1">
        <v>38.997399999999999</v>
      </c>
      <c r="I123" s="4">
        <f>SalesData[[#This Row],[Profit]]/SalesData[[#This Row],[Sales]]</f>
        <v>0.16249999999999998</v>
      </c>
      <c r="J123">
        <f>YEAR(SalesData[[#This Row],[Order Date]])</f>
        <v>2017</v>
      </c>
      <c r="K123" t="str">
        <f>TEXT(SalesData[[#This Row],[Order Date]],"mmm")</f>
        <v>Feb</v>
      </c>
      <c r="L123">
        <f>MONTH(SalesData[[#This Row],[Order Date]])</f>
        <v>2</v>
      </c>
      <c r="M123">
        <f>SalesData[[#This Row],[Sales]]/SalesData[[#This Row],[Quantity]]</f>
        <v>119.992</v>
      </c>
      <c r="N123" t="str">
        <f>IF(SalesData[[#This Row],[Profit]]&gt;0,"Profit","Loss")</f>
        <v>Profit</v>
      </c>
    </row>
    <row r="124" spans="1:14" x14ac:dyDescent="0.3">
      <c r="A124" t="s">
        <v>2804</v>
      </c>
      <c r="B124" s="3">
        <v>42769</v>
      </c>
      <c r="C124" t="s">
        <v>9</v>
      </c>
      <c r="D124" t="s">
        <v>21</v>
      </c>
      <c r="E124" t="s">
        <v>749</v>
      </c>
      <c r="F124" s="1">
        <v>6.976</v>
      </c>
      <c r="G124">
        <v>4</v>
      </c>
      <c r="H124" s="1">
        <v>-1.3952</v>
      </c>
      <c r="I124" s="4">
        <f>SalesData[[#This Row],[Profit]]/SalesData[[#This Row],[Sales]]</f>
        <v>-0.2</v>
      </c>
      <c r="J124">
        <f>YEAR(SalesData[[#This Row],[Order Date]])</f>
        <v>2017</v>
      </c>
      <c r="K124" t="str">
        <f>TEXT(SalesData[[#This Row],[Order Date]],"mmm")</f>
        <v>Feb</v>
      </c>
      <c r="L124">
        <f>MONTH(SalesData[[#This Row],[Order Date]])</f>
        <v>2</v>
      </c>
      <c r="M124">
        <f>SalesData[[#This Row],[Sales]]/SalesData[[#This Row],[Quantity]]</f>
        <v>1.744</v>
      </c>
      <c r="N124" t="str">
        <f>IF(SalesData[[#This Row],[Profit]]&gt;0,"Profit","Loss")</f>
        <v>Loss</v>
      </c>
    </row>
    <row r="125" spans="1:14" x14ac:dyDescent="0.3">
      <c r="A125" t="s">
        <v>2804</v>
      </c>
      <c r="B125" s="3">
        <v>42769</v>
      </c>
      <c r="C125" t="s">
        <v>9</v>
      </c>
      <c r="D125" t="s">
        <v>21</v>
      </c>
      <c r="E125" t="s">
        <v>760</v>
      </c>
      <c r="F125" s="1">
        <v>12.222</v>
      </c>
      <c r="G125">
        <v>7</v>
      </c>
      <c r="H125" s="1">
        <v>-20.1663</v>
      </c>
      <c r="I125" s="4">
        <f>SalesData[[#This Row],[Profit]]/SalesData[[#This Row],[Sales]]</f>
        <v>-1.6500000000000001</v>
      </c>
      <c r="J125">
        <f>YEAR(SalesData[[#This Row],[Order Date]])</f>
        <v>2017</v>
      </c>
      <c r="K125" t="str">
        <f>TEXT(SalesData[[#This Row],[Order Date]],"mmm")</f>
        <v>Feb</v>
      </c>
      <c r="L125">
        <f>MONTH(SalesData[[#This Row],[Order Date]])</f>
        <v>2</v>
      </c>
      <c r="M125">
        <f>SalesData[[#This Row],[Sales]]/SalesData[[#This Row],[Quantity]]</f>
        <v>1.746</v>
      </c>
      <c r="N125" t="str">
        <f>IF(SalesData[[#This Row],[Profit]]&gt;0,"Profit","Loss")</f>
        <v>Loss</v>
      </c>
    </row>
    <row r="126" spans="1:14" x14ac:dyDescent="0.3">
      <c r="A126" t="s">
        <v>2805</v>
      </c>
      <c r="B126" s="3">
        <v>42769</v>
      </c>
      <c r="C126" t="s">
        <v>13</v>
      </c>
      <c r="D126" t="s">
        <v>10</v>
      </c>
      <c r="E126" t="s">
        <v>602</v>
      </c>
      <c r="F126" s="1">
        <v>196.77600000000001</v>
      </c>
      <c r="G126">
        <v>3</v>
      </c>
      <c r="H126" s="1">
        <v>14.7582</v>
      </c>
      <c r="I126" s="4">
        <f>SalesData[[#This Row],[Profit]]/SalesData[[#This Row],[Sales]]</f>
        <v>7.4999999999999997E-2</v>
      </c>
      <c r="J126">
        <f>YEAR(SalesData[[#This Row],[Order Date]])</f>
        <v>2017</v>
      </c>
      <c r="K126" t="str">
        <f>TEXT(SalesData[[#This Row],[Order Date]],"mmm")</f>
        <v>Feb</v>
      </c>
      <c r="L126">
        <f>MONTH(SalesData[[#This Row],[Order Date]])</f>
        <v>2</v>
      </c>
      <c r="M126">
        <f>SalesData[[#This Row],[Sales]]/SalesData[[#This Row],[Quantity]]</f>
        <v>65.591999999999999</v>
      </c>
      <c r="N126" t="str">
        <f>IF(SalesData[[#This Row],[Profit]]&gt;0,"Profit","Loss")</f>
        <v>Profit</v>
      </c>
    </row>
    <row r="127" spans="1:14" x14ac:dyDescent="0.3">
      <c r="A127" t="s">
        <v>2805</v>
      </c>
      <c r="B127" s="3">
        <v>42769</v>
      </c>
      <c r="C127" t="s">
        <v>13</v>
      </c>
      <c r="D127" t="s">
        <v>10</v>
      </c>
      <c r="E127" t="s">
        <v>2806</v>
      </c>
      <c r="F127" s="1">
        <v>479.94</v>
      </c>
      <c r="G127">
        <v>6</v>
      </c>
      <c r="H127" s="1">
        <v>52.793399999999998</v>
      </c>
      <c r="I127" s="4">
        <f>SalesData[[#This Row],[Profit]]/SalesData[[#This Row],[Sales]]</f>
        <v>0.11</v>
      </c>
      <c r="J127">
        <f>YEAR(SalesData[[#This Row],[Order Date]])</f>
        <v>2017</v>
      </c>
      <c r="K127" t="str">
        <f>TEXT(SalesData[[#This Row],[Order Date]],"mmm")</f>
        <v>Feb</v>
      </c>
      <c r="L127">
        <f>MONTH(SalesData[[#This Row],[Order Date]])</f>
        <v>2</v>
      </c>
      <c r="M127">
        <f>SalesData[[#This Row],[Sales]]/SalesData[[#This Row],[Quantity]]</f>
        <v>79.989999999999995</v>
      </c>
      <c r="N127" t="str">
        <f>IF(SalesData[[#This Row],[Profit]]&gt;0,"Profit","Loss")</f>
        <v>Profit</v>
      </c>
    </row>
    <row r="128" spans="1:14" x14ac:dyDescent="0.3">
      <c r="A128" t="s">
        <v>2807</v>
      </c>
      <c r="B128" s="3">
        <v>42769</v>
      </c>
      <c r="C128" t="s">
        <v>17</v>
      </c>
      <c r="D128" t="s">
        <v>21</v>
      </c>
      <c r="E128" t="s">
        <v>1323</v>
      </c>
      <c r="F128" s="1">
        <v>59.52</v>
      </c>
      <c r="G128">
        <v>3</v>
      </c>
      <c r="H128" s="1">
        <v>15.475199999999999</v>
      </c>
      <c r="I128" s="4">
        <f>SalesData[[#This Row],[Profit]]/SalesData[[#This Row],[Sales]]</f>
        <v>0.25999999999999995</v>
      </c>
      <c r="J128">
        <f>YEAR(SalesData[[#This Row],[Order Date]])</f>
        <v>2017</v>
      </c>
      <c r="K128" t="str">
        <f>TEXT(SalesData[[#This Row],[Order Date]],"mmm")</f>
        <v>Feb</v>
      </c>
      <c r="L128">
        <f>MONTH(SalesData[[#This Row],[Order Date]])</f>
        <v>2</v>
      </c>
      <c r="M128">
        <f>SalesData[[#This Row],[Sales]]/SalesData[[#This Row],[Quantity]]</f>
        <v>19.84</v>
      </c>
      <c r="N128" t="str">
        <f>IF(SalesData[[#This Row],[Profit]]&gt;0,"Profit","Loss")</f>
        <v>Profit</v>
      </c>
    </row>
    <row r="129" spans="1:14" x14ac:dyDescent="0.3">
      <c r="A129" t="s">
        <v>2807</v>
      </c>
      <c r="B129" s="3">
        <v>42769</v>
      </c>
      <c r="C129" t="s">
        <v>17</v>
      </c>
      <c r="D129" t="s">
        <v>21</v>
      </c>
      <c r="E129" t="s">
        <v>127</v>
      </c>
      <c r="F129" s="1">
        <v>57.96</v>
      </c>
      <c r="G129">
        <v>7</v>
      </c>
      <c r="H129" s="1">
        <v>27.241199999999999</v>
      </c>
      <c r="I129" s="4">
        <f>SalesData[[#This Row],[Profit]]/SalesData[[#This Row],[Sales]]</f>
        <v>0.47</v>
      </c>
      <c r="J129">
        <f>YEAR(SalesData[[#This Row],[Order Date]])</f>
        <v>2017</v>
      </c>
      <c r="K129" t="str">
        <f>TEXT(SalesData[[#This Row],[Order Date]],"mmm")</f>
        <v>Feb</v>
      </c>
      <c r="L129">
        <f>MONTH(SalesData[[#This Row],[Order Date]])</f>
        <v>2</v>
      </c>
      <c r="M129">
        <f>SalesData[[#This Row],[Sales]]/SalesData[[#This Row],[Quantity]]</f>
        <v>8.2799999999999994</v>
      </c>
      <c r="N129" t="str">
        <f>IF(SalesData[[#This Row],[Profit]]&gt;0,"Profit","Loss")</f>
        <v>Profit</v>
      </c>
    </row>
    <row r="130" spans="1:14" x14ac:dyDescent="0.3">
      <c r="A130" t="s">
        <v>2807</v>
      </c>
      <c r="B130" s="3">
        <v>42769</v>
      </c>
      <c r="C130" t="s">
        <v>17</v>
      </c>
      <c r="D130" t="s">
        <v>14</v>
      </c>
      <c r="E130" t="s">
        <v>1369</v>
      </c>
      <c r="F130" s="1">
        <v>441.96</v>
      </c>
      <c r="G130">
        <v>2</v>
      </c>
      <c r="H130" s="1">
        <v>101.6508</v>
      </c>
      <c r="I130" s="4">
        <f>SalesData[[#This Row],[Profit]]/SalesData[[#This Row],[Sales]]</f>
        <v>0.23</v>
      </c>
      <c r="J130">
        <f>YEAR(SalesData[[#This Row],[Order Date]])</f>
        <v>2017</v>
      </c>
      <c r="K130" t="str">
        <f>TEXT(SalesData[[#This Row],[Order Date]],"mmm")</f>
        <v>Feb</v>
      </c>
      <c r="L130">
        <f>MONTH(SalesData[[#This Row],[Order Date]])</f>
        <v>2</v>
      </c>
      <c r="M130">
        <f>SalesData[[#This Row],[Sales]]/SalesData[[#This Row],[Quantity]]</f>
        <v>220.98</v>
      </c>
      <c r="N130" t="str">
        <f>IF(SalesData[[#This Row],[Profit]]&gt;0,"Profit","Loss")</f>
        <v>Profit</v>
      </c>
    </row>
    <row r="131" spans="1:14" x14ac:dyDescent="0.3">
      <c r="A131" t="s">
        <v>2807</v>
      </c>
      <c r="B131" s="3">
        <v>42769</v>
      </c>
      <c r="C131" t="s">
        <v>17</v>
      </c>
      <c r="D131" t="s">
        <v>21</v>
      </c>
      <c r="E131" t="s">
        <v>94</v>
      </c>
      <c r="F131" s="1">
        <v>68.040000000000006</v>
      </c>
      <c r="G131">
        <v>6</v>
      </c>
      <c r="H131" s="1">
        <v>33.339599999999997</v>
      </c>
      <c r="I131" s="4">
        <f>SalesData[[#This Row],[Profit]]/SalesData[[#This Row],[Sales]]</f>
        <v>0.48999999999999994</v>
      </c>
      <c r="J131">
        <f>YEAR(SalesData[[#This Row],[Order Date]])</f>
        <v>2017</v>
      </c>
      <c r="K131" t="str">
        <f>TEXT(SalesData[[#This Row],[Order Date]],"mmm")</f>
        <v>Feb</v>
      </c>
      <c r="L131">
        <f>MONTH(SalesData[[#This Row],[Order Date]])</f>
        <v>2</v>
      </c>
      <c r="M131">
        <f>SalesData[[#This Row],[Sales]]/SalesData[[#This Row],[Quantity]]</f>
        <v>11.340000000000002</v>
      </c>
      <c r="N131" t="str">
        <f>IF(SalesData[[#This Row],[Profit]]&gt;0,"Profit","Loss")</f>
        <v>Profit</v>
      </c>
    </row>
    <row r="132" spans="1:14" x14ac:dyDescent="0.3">
      <c r="A132" t="s">
        <v>2808</v>
      </c>
      <c r="B132" s="3">
        <v>42769</v>
      </c>
      <c r="C132" t="s">
        <v>17</v>
      </c>
      <c r="D132" t="s">
        <v>21</v>
      </c>
      <c r="E132" t="s">
        <v>1994</v>
      </c>
      <c r="F132" s="1">
        <v>18.527999999999999</v>
      </c>
      <c r="G132">
        <v>4</v>
      </c>
      <c r="H132" s="1">
        <v>-12.352</v>
      </c>
      <c r="I132" s="4">
        <f>SalesData[[#This Row],[Profit]]/SalesData[[#This Row],[Sales]]</f>
        <v>-0.66666666666666674</v>
      </c>
      <c r="J132">
        <f>YEAR(SalesData[[#This Row],[Order Date]])</f>
        <v>2017</v>
      </c>
      <c r="K132" t="str">
        <f>TEXT(SalesData[[#This Row],[Order Date]],"mmm")</f>
        <v>Feb</v>
      </c>
      <c r="L132">
        <f>MONTH(SalesData[[#This Row],[Order Date]])</f>
        <v>2</v>
      </c>
      <c r="M132">
        <f>SalesData[[#This Row],[Sales]]/SalesData[[#This Row],[Quantity]]</f>
        <v>4.6319999999999997</v>
      </c>
      <c r="N132" t="str">
        <f>IF(SalesData[[#This Row],[Profit]]&gt;0,"Profit","Loss")</f>
        <v>Loss</v>
      </c>
    </row>
    <row r="133" spans="1:14" x14ac:dyDescent="0.3">
      <c r="A133" t="s">
        <v>2809</v>
      </c>
      <c r="B133" s="3">
        <v>42769</v>
      </c>
      <c r="C133" t="s">
        <v>13</v>
      </c>
      <c r="D133" t="s">
        <v>21</v>
      </c>
      <c r="E133" t="s">
        <v>568</v>
      </c>
      <c r="F133" s="1">
        <v>107.648</v>
      </c>
      <c r="G133">
        <v>2</v>
      </c>
      <c r="H133" s="1">
        <v>33.64</v>
      </c>
      <c r="I133" s="4">
        <f>SalesData[[#This Row],[Profit]]/SalesData[[#This Row],[Sales]]</f>
        <v>0.3125</v>
      </c>
      <c r="J133">
        <f>YEAR(SalesData[[#This Row],[Order Date]])</f>
        <v>2017</v>
      </c>
      <c r="K133" t="str">
        <f>TEXT(SalesData[[#This Row],[Order Date]],"mmm")</f>
        <v>Feb</v>
      </c>
      <c r="L133">
        <f>MONTH(SalesData[[#This Row],[Order Date]])</f>
        <v>2</v>
      </c>
      <c r="M133">
        <f>SalesData[[#This Row],[Sales]]/SalesData[[#This Row],[Quantity]]</f>
        <v>53.823999999999998</v>
      </c>
      <c r="N133" t="str">
        <f>IF(SalesData[[#This Row],[Profit]]&gt;0,"Profit","Loss")</f>
        <v>Profit</v>
      </c>
    </row>
    <row r="134" spans="1:14" x14ac:dyDescent="0.3">
      <c r="A134" t="s">
        <v>2810</v>
      </c>
      <c r="B134" s="3">
        <v>42769</v>
      </c>
      <c r="C134" t="s">
        <v>9</v>
      </c>
      <c r="D134" t="s">
        <v>21</v>
      </c>
      <c r="E134" t="s">
        <v>1686</v>
      </c>
      <c r="F134" s="1">
        <v>0.55600000000000005</v>
      </c>
      <c r="G134">
        <v>1</v>
      </c>
      <c r="H134" s="1">
        <v>-0.94520000000000004</v>
      </c>
      <c r="I134" s="4">
        <f>SalesData[[#This Row],[Profit]]/SalesData[[#This Row],[Sales]]</f>
        <v>-1.7</v>
      </c>
      <c r="J134">
        <f>YEAR(SalesData[[#This Row],[Order Date]])</f>
        <v>2017</v>
      </c>
      <c r="K134" t="str">
        <f>TEXT(SalesData[[#This Row],[Order Date]],"mmm")</f>
        <v>Feb</v>
      </c>
      <c r="L134">
        <f>MONTH(SalesData[[#This Row],[Order Date]])</f>
        <v>2</v>
      </c>
      <c r="M134">
        <f>SalesData[[#This Row],[Sales]]/SalesData[[#This Row],[Quantity]]</f>
        <v>0.55600000000000005</v>
      </c>
      <c r="N134" t="str">
        <f>IF(SalesData[[#This Row],[Profit]]&gt;0,"Profit","Loss")</f>
        <v>Loss</v>
      </c>
    </row>
    <row r="135" spans="1:14" x14ac:dyDescent="0.3">
      <c r="A135" t="s">
        <v>2811</v>
      </c>
      <c r="B135" s="3">
        <v>42770</v>
      </c>
      <c r="C135" t="s">
        <v>13</v>
      </c>
      <c r="D135" t="s">
        <v>14</v>
      </c>
      <c r="E135" t="s">
        <v>848</v>
      </c>
      <c r="F135" s="1">
        <v>25.11</v>
      </c>
      <c r="G135">
        <v>3</v>
      </c>
      <c r="H135" s="1">
        <v>6.5286</v>
      </c>
      <c r="I135" s="4">
        <f>SalesData[[#This Row],[Profit]]/SalesData[[#This Row],[Sales]]</f>
        <v>0.26</v>
      </c>
      <c r="J135">
        <f>YEAR(SalesData[[#This Row],[Order Date]])</f>
        <v>2017</v>
      </c>
      <c r="K135" t="str">
        <f>TEXT(SalesData[[#This Row],[Order Date]],"mmm")</f>
        <v>Feb</v>
      </c>
      <c r="L135">
        <f>MONTH(SalesData[[#This Row],[Order Date]])</f>
        <v>2</v>
      </c>
      <c r="M135">
        <f>SalesData[[#This Row],[Sales]]/SalesData[[#This Row],[Quantity]]</f>
        <v>8.3699999999999992</v>
      </c>
      <c r="N135" t="str">
        <f>IF(SalesData[[#This Row],[Profit]]&gt;0,"Profit","Loss")</f>
        <v>Profit</v>
      </c>
    </row>
    <row r="136" spans="1:14" x14ac:dyDescent="0.3">
      <c r="A136" t="s">
        <v>2812</v>
      </c>
      <c r="B136" s="3">
        <v>42770</v>
      </c>
      <c r="C136" t="s">
        <v>46</v>
      </c>
      <c r="D136" t="s">
        <v>14</v>
      </c>
      <c r="E136" t="s">
        <v>752</v>
      </c>
      <c r="F136" s="1">
        <v>411.8</v>
      </c>
      <c r="G136">
        <v>2</v>
      </c>
      <c r="H136" s="1">
        <v>70.006</v>
      </c>
      <c r="I136" s="4">
        <f>SalesData[[#This Row],[Profit]]/SalesData[[#This Row],[Sales]]</f>
        <v>0.16999999999999998</v>
      </c>
      <c r="J136">
        <f>YEAR(SalesData[[#This Row],[Order Date]])</f>
        <v>2017</v>
      </c>
      <c r="K136" t="str">
        <f>TEXT(SalesData[[#This Row],[Order Date]],"mmm")</f>
        <v>Feb</v>
      </c>
      <c r="L136">
        <f>MONTH(SalesData[[#This Row],[Order Date]])</f>
        <v>2</v>
      </c>
      <c r="M136">
        <f>SalesData[[#This Row],[Sales]]/SalesData[[#This Row],[Quantity]]</f>
        <v>205.9</v>
      </c>
      <c r="N136" t="str">
        <f>IF(SalesData[[#This Row],[Profit]]&gt;0,"Profit","Loss")</f>
        <v>Profit</v>
      </c>
    </row>
    <row r="137" spans="1:14" x14ac:dyDescent="0.3">
      <c r="A137" t="s">
        <v>2812</v>
      </c>
      <c r="B137" s="3">
        <v>42770</v>
      </c>
      <c r="C137" t="s">
        <v>46</v>
      </c>
      <c r="D137" t="s">
        <v>10</v>
      </c>
      <c r="E137" t="s">
        <v>366</v>
      </c>
      <c r="F137" s="1">
        <v>360</v>
      </c>
      <c r="G137">
        <v>4</v>
      </c>
      <c r="H137" s="1">
        <v>129.6</v>
      </c>
      <c r="I137" s="4">
        <f>SalesData[[#This Row],[Profit]]/SalesData[[#This Row],[Sales]]</f>
        <v>0.36</v>
      </c>
      <c r="J137">
        <f>YEAR(SalesData[[#This Row],[Order Date]])</f>
        <v>2017</v>
      </c>
      <c r="K137" t="str">
        <f>TEXT(SalesData[[#This Row],[Order Date]],"mmm")</f>
        <v>Feb</v>
      </c>
      <c r="L137">
        <f>MONTH(SalesData[[#This Row],[Order Date]])</f>
        <v>2</v>
      </c>
      <c r="M137">
        <f>SalesData[[#This Row],[Sales]]/SalesData[[#This Row],[Quantity]]</f>
        <v>90</v>
      </c>
      <c r="N137" t="str">
        <f>IF(SalesData[[#This Row],[Profit]]&gt;0,"Profit","Loss")</f>
        <v>Profit</v>
      </c>
    </row>
    <row r="138" spans="1:14" x14ac:dyDescent="0.3">
      <c r="A138" t="s">
        <v>2813</v>
      </c>
      <c r="B138" s="3">
        <v>42770</v>
      </c>
      <c r="C138" t="s">
        <v>17</v>
      </c>
      <c r="D138" t="s">
        <v>21</v>
      </c>
      <c r="E138" t="s">
        <v>2508</v>
      </c>
      <c r="F138" s="1">
        <v>11.12</v>
      </c>
      <c r="G138">
        <v>4</v>
      </c>
      <c r="H138" s="1">
        <v>2.8912</v>
      </c>
      <c r="I138" s="4">
        <f>SalesData[[#This Row],[Profit]]/SalesData[[#This Row],[Sales]]</f>
        <v>0.26</v>
      </c>
      <c r="J138">
        <f>YEAR(SalesData[[#This Row],[Order Date]])</f>
        <v>2017</v>
      </c>
      <c r="K138" t="str">
        <f>TEXT(SalesData[[#This Row],[Order Date]],"mmm")</f>
        <v>Feb</v>
      </c>
      <c r="L138">
        <f>MONTH(SalesData[[#This Row],[Order Date]])</f>
        <v>2</v>
      </c>
      <c r="M138">
        <f>SalesData[[#This Row],[Sales]]/SalesData[[#This Row],[Quantity]]</f>
        <v>2.78</v>
      </c>
      <c r="N138" t="str">
        <f>IF(SalesData[[#This Row],[Profit]]&gt;0,"Profit","Loss")</f>
        <v>Profit</v>
      </c>
    </row>
    <row r="139" spans="1:14" x14ac:dyDescent="0.3">
      <c r="A139" t="s">
        <v>2814</v>
      </c>
      <c r="B139" s="3">
        <v>42770</v>
      </c>
      <c r="C139" t="s">
        <v>46</v>
      </c>
      <c r="D139" t="s">
        <v>21</v>
      </c>
      <c r="E139" t="s">
        <v>181</v>
      </c>
      <c r="F139" s="1">
        <v>14.94</v>
      </c>
      <c r="G139">
        <v>3</v>
      </c>
      <c r="H139" s="1">
        <v>6.8723999999999998</v>
      </c>
      <c r="I139" s="4">
        <f>SalesData[[#This Row],[Profit]]/SalesData[[#This Row],[Sales]]</f>
        <v>0.46</v>
      </c>
      <c r="J139">
        <f>YEAR(SalesData[[#This Row],[Order Date]])</f>
        <v>2017</v>
      </c>
      <c r="K139" t="str">
        <f>TEXT(SalesData[[#This Row],[Order Date]],"mmm")</f>
        <v>Feb</v>
      </c>
      <c r="L139">
        <f>MONTH(SalesData[[#This Row],[Order Date]])</f>
        <v>2</v>
      </c>
      <c r="M139">
        <f>SalesData[[#This Row],[Sales]]/SalesData[[#This Row],[Quantity]]</f>
        <v>4.9799999999999995</v>
      </c>
      <c r="N139" t="str">
        <f>IF(SalesData[[#This Row],[Profit]]&gt;0,"Profit","Loss")</f>
        <v>Profit</v>
      </c>
    </row>
    <row r="140" spans="1:14" x14ac:dyDescent="0.3">
      <c r="A140" t="s">
        <v>2815</v>
      </c>
      <c r="B140" s="3">
        <v>42771</v>
      </c>
      <c r="C140" t="s">
        <v>17</v>
      </c>
      <c r="D140" t="s">
        <v>14</v>
      </c>
      <c r="E140" t="s">
        <v>1043</v>
      </c>
      <c r="F140" s="1">
        <v>129.93</v>
      </c>
      <c r="G140">
        <v>3</v>
      </c>
      <c r="H140" s="1">
        <v>12.993</v>
      </c>
      <c r="I140" s="4">
        <f>SalesData[[#This Row],[Profit]]/SalesData[[#This Row],[Sales]]</f>
        <v>9.9999999999999992E-2</v>
      </c>
      <c r="J140">
        <f>YEAR(SalesData[[#This Row],[Order Date]])</f>
        <v>2017</v>
      </c>
      <c r="K140" t="str">
        <f>TEXT(SalesData[[#This Row],[Order Date]],"mmm")</f>
        <v>Feb</v>
      </c>
      <c r="L140">
        <f>MONTH(SalesData[[#This Row],[Order Date]])</f>
        <v>2</v>
      </c>
      <c r="M140">
        <f>SalesData[[#This Row],[Sales]]/SalesData[[#This Row],[Quantity]]</f>
        <v>43.31</v>
      </c>
      <c r="N140" t="str">
        <f>IF(SalesData[[#This Row],[Profit]]&gt;0,"Profit","Loss")</f>
        <v>Profit</v>
      </c>
    </row>
    <row r="141" spans="1:14" x14ac:dyDescent="0.3">
      <c r="A141" t="s">
        <v>2816</v>
      </c>
      <c r="B141" s="3">
        <v>42771</v>
      </c>
      <c r="C141" t="s">
        <v>13</v>
      </c>
      <c r="D141" t="s">
        <v>10</v>
      </c>
      <c r="E141" t="s">
        <v>1980</v>
      </c>
      <c r="F141" s="1">
        <v>159.56</v>
      </c>
      <c r="G141">
        <v>4</v>
      </c>
      <c r="H141" s="1">
        <v>59.037199999999999</v>
      </c>
      <c r="I141" s="4">
        <f>SalesData[[#This Row],[Profit]]/SalesData[[#This Row],[Sales]]</f>
        <v>0.37</v>
      </c>
      <c r="J141">
        <f>YEAR(SalesData[[#This Row],[Order Date]])</f>
        <v>2017</v>
      </c>
      <c r="K141" t="str">
        <f>TEXT(SalesData[[#This Row],[Order Date]],"mmm")</f>
        <v>Feb</v>
      </c>
      <c r="L141">
        <f>MONTH(SalesData[[#This Row],[Order Date]])</f>
        <v>2</v>
      </c>
      <c r="M141">
        <f>SalesData[[#This Row],[Sales]]/SalesData[[#This Row],[Quantity]]</f>
        <v>39.89</v>
      </c>
      <c r="N141" t="str">
        <f>IF(SalesData[[#This Row],[Profit]]&gt;0,"Profit","Loss")</f>
        <v>Profit</v>
      </c>
    </row>
    <row r="142" spans="1:14" x14ac:dyDescent="0.3">
      <c r="A142" t="s">
        <v>2817</v>
      </c>
      <c r="B142" s="3">
        <v>42771</v>
      </c>
      <c r="C142" t="s">
        <v>13</v>
      </c>
      <c r="D142" t="s">
        <v>21</v>
      </c>
      <c r="E142" t="s">
        <v>407</v>
      </c>
      <c r="F142" s="1">
        <v>15.7</v>
      </c>
      <c r="G142">
        <v>5</v>
      </c>
      <c r="H142" s="1">
        <v>7.0650000000000004</v>
      </c>
      <c r="I142" s="4">
        <f>SalesData[[#This Row],[Profit]]/SalesData[[#This Row],[Sales]]</f>
        <v>0.45000000000000007</v>
      </c>
      <c r="J142">
        <f>YEAR(SalesData[[#This Row],[Order Date]])</f>
        <v>2017</v>
      </c>
      <c r="K142" t="str">
        <f>TEXT(SalesData[[#This Row],[Order Date]],"mmm")</f>
        <v>Feb</v>
      </c>
      <c r="L142">
        <f>MONTH(SalesData[[#This Row],[Order Date]])</f>
        <v>2</v>
      </c>
      <c r="M142">
        <f>SalesData[[#This Row],[Sales]]/SalesData[[#This Row],[Quantity]]</f>
        <v>3.1399999999999997</v>
      </c>
      <c r="N142" t="str">
        <f>IF(SalesData[[#This Row],[Profit]]&gt;0,"Profit","Loss")</f>
        <v>Profit</v>
      </c>
    </row>
    <row r="143" spans="1:14" x14ac:dyDescent="0.3">
      <c r="A143" t="s">
        <v>2817</v>
      </c>
      <c r="B143" s="3">
        <v>42771</v>
      </c>
      <c r="C143" t="s">
        <v>13</v>
      </c>
      <c r="D143" t="s">
        <v>21</v>
      </c>
      <c r="E143" t="s">
        <v>1323</v>
      </c>
      <c r="F143" s="1">
        <v>59.52</v>
      </c>
      <c r="G143">
        <v>3</v>
      </c>
      <c r="H143" s="1">
        <v>15.475199999999999</v>
      </c>
      <c r="I143" s="4">
        <f>SalesData[[#This Row],[Profit]]/SalesData[[#This Row],[Sales]]</f>
        <v>0.25999999999999995</v>
      </c>
      <c r="J143">
        <f>YEAR(SalesData[[#This Row],[Order Date]])</f>
        <v>2017</v>
      </c>
      <c r="K143" t="str">
        <f>TEXT(SalesData[[#This Row],[Order Date]],"mmm")</f>
        <v>Feb</v>
      </c>
      <c r="L143">
        <f>MONTH(SalesData[[#This Row],[Order Date]])</f>
        <v>2</v>
      </c>
      <c r="M143">
        <f>SalesData[[#This Row],[Sales]]/SalesData[[#This Row],[Quantity]]</f>
        <v>19.84</v>
      </c>
      <c r="N143" t="str">
        <f>IF(SalesData[[#This Row],[Profit]]&gt;0,"Profit","Loss")</f>
        <v>Profit</v>
      </c>
    </row>
    <row r="144" spans="1:14" x14ac:dyDescent="0.3">
      <c r="A144" t="s">
        <v>2817</v>
      </c>
      <c r="B144" s="3">
        <v>42771</v>
      </c>
      <c r="C144" t="s">
        <v>13</v>
      </c>
      <c r="D144" t="s">
        <v>21</v>
      </c>
      <c r="E144" t="s">
        <v>1735</v>
      </c>
      <c r="F144" s="1">
        <v>34.4</v>
      </c>
      <c r="G144">
        <v>5</v>
      </c>
      <c r="H144" s="1">
        <v>15.824</v>
      </c>
      <c r="I144" s="4">
        <f>SalesData[[#This Row],[Profit]]/SalesData[[#This Row],[Sales]]</f>
        <v>0.46</v>
      </c>
      <c r="J144">
        <f>YEAR(SalesData[[#This Row],[Order Date]])</f>
        <v>2017</v>
      </c>
      <c r="K144" t="str">
        <f>TEXT(SalesData[[#This Row],[Order Date]],"mmm")</f>
        <v>Feb</v>
      </c>
      <c r="L144">
        <f>MONTH(SalesData[[#This Row],[Order Date]])</f>
        <v>2</v>
      </c>
      <c r="M144">
        <f>SalesData[[#This Row],[Sales]]/SalesData[[#This Row],[Quantity]]</f>
        <v>6.88</v>
      </c>
      <c r="N144" t="str">
        <f>IF(SalesData[[#This Row],[Profit]]&gt;0,"Profit","Loss")</f>
        <v>Profit</v>
      </c>
    </row>
    <row r="145" spans="1:14" x14ac:dyDescent="0.3">
      <c r="A145" t="s">
        <v>2818</v>
      </c>
      <c r="B145" s="3">
        <v>42772</v>
      </c>
      <c r="C145" t="s">
        <v>17</v>
      </c>
      <c r="D145" t="s">
        <v>10</v>
      </c>
      <c r="E145" t="s">
        <v>1093</v>
      </c>
      <c r="F145" s="1">
        <v>2.97</v>
      </c>
      <c r="G145">
        <v>1</v>
      </c>
      <c r="H145" s="1">
        <v>-0.64349999999999996</v>
      </c>
      <c r="I145" s="4">
        <f>SalesData[[#This Row],[Profit]]/SalesData[[#This Row],[Sales]]</f>
        <v>-0.21666666666666665</v>
      </c>
      <c r="J145">
        <f>YEAR(SalesData[[#This Row],[Order Date]])</f>
        <v>2017</v>
      </c>
      <c r="K145" t="str">
        <f>TEXT(SalesData[[#This Row],[Order Date]],"mmm")</f>
        <v>Feb</v>
      </c>
      <c r="L145">
        <f>MONTH(SalesData[[#This Row],[Order Date]])</f>
        <v>2</v>
      </c>
      <c r="M145">
        <f>SalesData[[#This Row],[Sales]]/SalesData[[#This Row],[Quantity]]</f>
        <v>2.97</v>
      </c>
      <c r="N145" t="str">
        <f>IF(SalesData[[#This Row],[Profit]]&gt;0,"Profit","Loss")</f>
        <v>Loss</v>
      </c>
    </row>
    <row r="146" spans="1:14" x14ac:dyDescent="0.3">
      <c r="A146" t="s">
        <v>2818</v>
      </c>
      <c r="B146" s="3">
        <v>42772</v>
      </c>
      <c r="C146" t="s">
        <v>17</v>
      </c>
      <c r="D146" t="s">
        <v>21</v>
      </c>
      <c r="E146" t="s">
        <v>1145</v>
      </c>
      <c r="F146" s="1">
        <v>27.44</v>
      </c>
      <c r="G146">
        <v>2</v>
      </c>
      <c r="H146" s="1">
        <v>2.4009999999999998</v>
      </c>
      <c r="I146" s="4">
        <f>SalesData[[#This Row],[Profit]]/SalesData[[#This Row],[Sales]]</f>
        <v>8.7499999999999994E-2</v>
      </c>
      <c r="J146">
        <f>YEAR(SalesData[[#This Row],[Order Date]])</f>
        <v>2017</v>
      </c>
      <c r="K146" t="str">
        <f>TEXT(SalesData[[#This Row],[Order Date]],"mmm")</f>
        <v>Feb</v>
      </c>
      <c r="L146">
        <f>MONTH(SalesData[[#This Row],[Order Date]])</f>
        <v>2</v>
      </c>
      <c r="M146">
        <f>SalesData[[#This Row],[Sales]]/SalesData[[#This Row],[Quantity]]</f>
        <v>13.72</v>
      </c>
      <c r="N146" t="str">
        <f>IF(SalesData[[#This Row],[Profit]]&gt;0,"Profit","Loss")</f>
        <v>Profit</v>
      </c>
    </row>
    <row r="147" spans="1:14" x14ac:dyDescent="0.3">
      <c r="A147" t="s">
        <v>2819</v>
      </c>
      <c r="B147" s="3">
        <v>42772</v>
      </c>
      <c r="C147" t="s">
        <v>13</v>
      </c>
      <c r="D147" t="s">
        <v>21</v>
      </c>
      <c r="E147" t="s">
        <v>865</v>
      </c>
      <c r="F147" s="1">
        <v>25.344000000000001</v>
      </c>
      <c r="G147">
        <v>6</v>
      </c>
      <c r="H147" s="1">
        <v>7.92</v>
      </c>
      <c r="I147" s="4">
        <f>SalesData[[#This Row],[Profit]]/SalesData[[#This Row],[Sales]]</f>
        <v>0.3125</v>
      </c>
      <c r="J147">
        <f>YEAR(SalesData[[#This Row],[Order Date]])</f>
        <v>2017</v>
      </c>
      <c r="K147" t="str">
        <f>TEXT(SalesData[[#This Row],[Order Date]],"mmm")</f>
        <v>Feb</v>
      </c>
      <c r="L147">
        <f>MONTH(SalesData[[#This Row],[Order Date]])</f>
        <v>2</v>
      </c>
      <c r="M147">
        <f>SalesData[[#This Row],[Sales]]/SalesData[[#This Row],[Quantity]]</f>
        <v>4.2240000000000002</v>
      </c>
      <c r="N147" t="str">
        <f>IF(SalesData[[#This Row],[Profit]]&gt;0,"Profit","Loss")</f>
        <v>Profit</v>
      </c>
    </row>
    <row r="148" spans="1:14" x14ac:dyDescent="0.3">
      <c r="A148" t="s">
        <v>2819</v>
      </c>
      <c r="B148" s="3">
        <v>42772</v>
      </c>
      <c r="C148" t="s">
        <v>13</v>
      </c>
      <c r="D148" t="s">
        <v>21</v>
      </c>
      <c r="E148" t="s">
        <v>2672</v>
      </c>
      <c r="F148" s="1">
        <v>43.92</v>
      </c>
      <c r="G148">
        <v>5</v>
      </c>
      <c r="H148" s="1">
        <v>15.920999999999999</v>
      </c>
      <c r="I148" s="4">
        <f>SalesData[[#This Row],[Profit]]/SalesData[[#This Row],[Sales]]</f>
        <v>0.36249999999999999</v>
      </c>
      <c r="J148">
        <f>YEAR(SalesData[[#This Row],[Order Date]])</f>
        <v>2017</v>
      </c>
      <c r="K148" t="str">
        <f>TEXT(SalesData[[#This Row],[Order Date]],"mmm")</f>
        <v>Feb</v>
      </c>
      <c r="L148">
        <f>MONTH(SalesData[[#This Row],[Order Date]])</f>
        <v>2</v>
      </c>
      <c r="M148">
        <f>SalesData[[#This Row],[Sales]]/SalesData[[#This Row],[Quantity]]</f>
        <v>8.7840000000000007</v>
      </c>
      <c r="N148" t="str">
        <f>IF(SalesData[[#This Row],[Profit]]&gt;0,"Profit","Loss")</f>
        <v>Profit</v>
      </c>
    </row>
    <row r="149" spans="1:14" x14ac:dyDescent="0.3">
      <c r="A149" t="s">
        <v>2820</v>
      </c>
      <c r="B149" s="3">
        <v>42772</v>
      </c>
      <c r="C149" t="s">
        <v>46</v>
      </c>
      <c r="D149" t="s">
        <v>21</v>
      </c>
      <c r="E149" t="s">
        <v>646</v>
      </c>
      <c r="F149" s="1">
        <v>25.344000000000001</v>
      </c>
      <c r="G149">
        <v>4</v>
      </c>
      <c r="H149" s="1">
        <v>9.1872000000000007</v>
      </c>
      <c r="I149" s="4">
        <f>SalesData[[#This Row],[Profit]]/SalesData[[#This Row],[Sales]]</f>
        <v>0.36249999999999999</v>
      </c>
      <c r="J149">
        <f>YEAR(SalesData[[#This Row],[Order Date]])</f>
        <v>2017</v>
      </c>
      <c r="K149" t="str">
        <f>TEXT(SalesData[[#This Row],[Order Date]],"mmm")</f>
        <v>Feb</v>
      </c>
      <c r="L149">
        <f>MONTH(SalesData[[#This Row],[Order Date]])</f>
        <v>2</v>
      </c>
      <c r="M149">
        <f>SalesData[[#This Row],[Sales]]/SalesData[[#This Row],[Quantity]]</f>
        <v>6.3360000000000003</v>
      </c>
      <c r="N149" t="str">
        <f>IF(SalesData[[#This Row],[Profit]]&gt;0,"Profit","Loss")</f>
        <v>Profit</v>
      </c>
    </row>
    <row r="150" spans="1:14" x14ac:dyDescent="0.3">
      <c r="A150" t="s">
        <v>2821</v>
      </c>
      <c r="B150" s="3">
        <v>42772</v>
      </c>
      <c r="C150" t="s">
        <v>9</v>
      </c>
      <c r="D150" t="s">
        <v>21</v>
      </c>
      <c r="E150" t="s">
        <v>2318</v>
      </c>
      <c r="F150" s="1">
        <v>10.688000000000001</v>
      </c>
      <c r="G150">
        <v>2</v>
      </c>
      <c r="H150" s="1">
        <v>3.7408000000000001</v>
      </c>
      <c r="I150" s="4">
        <f>SalesData[[#This Row],[Profit]]/SalesData[[#This Row],[Sales]]</f>
        <v>0.35</v>
      </c>
      <c r="J150">
        <f>YEAR(SalesData[[#This Row],[Order Date]])</f>
        <v>2017</v>
      </c>
      <c r="K150" t="str">
        <f>TEXT(SalesData[[#This Row],[Order Date]],"mmm")</f>
        <v>Feb</v>
      </c>
      <c r="L150">
        <f>MONTH(SalesData[[#This Row],[Order Date]])</f>
        <v>2</v>
      </c>
      <c r="M150">
        <f>SalesData[[#This Row],[Sales]]/SalesData[[#This Row],[Quantity]]</f>
        <v>5.3440000000000003</v>
      </c>
      <c r="N150" t="str">
        <f>IF(SalesData[[#This Row],[Profit]]&gt;0,"Profit","Loss")</f>
        <v>Profit</v>
      </c>
    </row>
    <row r="151" spans="1:14" x14ac:dyDescent="0.3">
      <c r="A151" t="s">
        <v>2822</v>
      </c>
      <c r="B151" s="3">
        <v>42773</v>
      </c>
      <c r="C151" t="s">
        <v>9</v>
      </c>
      <c r="D151" t="s">
        <v>21</v>
      </c>
      <c r="E151" t="s">
        <v>2173</v>
      </c>
      <c r="F151" s="1">
        <v>163.96</v>
      </c>
      <c r="G151">
        <v>5</v>
      </c>
      <c r="H151" s="1">
        <v>59.435499999999998</v>
      </c>
      <c r="I151" s="4">
        <f>SalesData[[#This Row],[Profit]]/SalesData[[#This Row],[Sales]]</f>
        <v>0.36249999999999999</v>
      </c>
      <c r="J151">
        <f>YEAR(SalesData[[#This Row],[Order Date]])</f>
        <v>2017</v>
      </c>
      <c r="K151" t="str">
        <f>TEXT(SalesData[[#This Row],[Order Date]],"mmm")</f>
        <v>Feb</v>
      </c>
      <c r="L151">
        <f>MONTH(SalesData[[#This Row],[Order Date]])</f>
        <v>2</v>
      </c>
      <c r="M151">
        <f>SalesData[[#This Row],[Sales]]/SalesData[[#This Row],[Quantity]]</f>
        <v>32.792000000000002</v>
      </c>
      <c r="N151" t="str">
        <f>IF(SalesData[[#This Row],[Profit]]&gt;0,"Profit","Loss")</f>
        <v>Profit</v>
      </c>
    </row>
    <row r="152" spans="1:14" x14ac:dyDescent="0.3">
      <c r="A152" t="s">
        <v>2822</v>
      </c>
      <c r="B152" s="3">
        <v>42773</v>
      </c>
      <c r="C152" t="s">
        <v>9</v>
      </c>
      <c r="D152" t="s">
        <v>21</v>
      </c>
      <c r="E152" t="s">
        <v>429</v>
      </c>
      <c r="F152" s="1">
        <v>5.2320000000000002</v>
      </c>
      <c r="G152">
        <v>4</v>
      </c>
      <c r="H152" s="1">
        <v>-8.1096000000000004</v>
      </c>
      <c r="I152" s="4">
        <f>SalesData[[#This Row],[Profit]]/SalesData[[#This Row],[Sales]]</f>
        <v>-1.55</v>
      </c>
      <c r="J152">
        <f>YEAR(SalesData[[#This Row],[Order Date]])</f>
        <v>2017</v>
      </c>
      <c r="K152" t="str">
        <f>TEXT(SalesData[[#This Row],[Order Date]],"mmm")</f>
        <v>Feb</v>
      </c>
      <c r="L152">
        <f>MONTH(SalesData[[#This Row],[Order Date]])</f>
        <v>2</v>
      </c>
      <c r="M152">
        <f>SalesData[[#This Row],[Sales]]/SalesData[[#This Row],[Quantity]]</f>
        <v>1.3080000000000001</v>
      </c>
      <c r="N152" t="str">
        <f>IF(SalesData[[#This Row],[Profit]]&gt;0,"Profit","Loss")</f>
        <v>Loss</v>
      </c>
    </row>
    <row r="153" spans="1:14" x14ac:dyDescent="0.3">
      <c r="A153" t="s">
        <v>2823</v>
      </c>
      <c r="B153" s="3">
        <v>42775</v>
      </c>
      <c r="C153" t="s">
        <v>17</v>
      </c>
      <c r="D153" t="s">
        <v>14</v>
      </c>
      <c r="E153" t="s">
        <v>2824</v>
      </c>
      <c r="F153" s="1">
        <v>15.071999999999999</v>
      </c>
      <c r="G153">
        <v>3</v>
      </c>
      <c r="H153" s="1">
        <v>4.1448</v>
      </c>
      <c r="I153" s="4">
        <f>SalesData[[#This Row],[Profit]]/SalesData[[#This Row],[Sales]]</f>
        <v>0.27500000000000002</v>
      </c>
      <c r="J153">
        <f>YEAR(SalesData[[#This Row],[Order Date]])</f>
        <v>2017</v>
      </c>
      <c r="K153" t="str">
        <f>TEXT(SalesData[[#This Row],[Order Date]],"mmm")</f>
        <v>Feb</v>
      </c>
      <c r="L153">
        <f>MONTH(SalesData[[#This Row],[Order Date]])</f>
        <v>2</v>
      </c>
      <c r="M153">
        <f>SalesData[[#This Row],[Sales]]/SalesData[[#This Row],[Quantity]]</f>
        <v>5.024</v>
      </c>
      <c r="N153" t="str">
        <f>IF(SalesData[[#This Row],[Profit]]&gt;0,"Profit","Loss")</f>
        <v>Profit</v>
      </c>
    </row>
    <row r="154" spans="1:14" x14ac:dyDescent="0.3">
      <c r="A154" t="s">
        <v>2825</v>
      </c>
      <c r="B154" s="3">
        <v>42775</v>
      </c>
      <c r="C154" t="s">
        <v>9</v>
      </c>
      <c r="D154" t="s">
        <v>10</v>
      </c>
      <c r="E154" t="s">
        <v>2826</v>
      </c>
      <c r="F154" s="1">
        <v>1199.8</v>
      </c>
      <c r="G154">
        <v>4</v>
      </c>
      <c r="H154" s="1">
        <v>323.94600000000003</v>
      </c>
      <c r="I154" s="4">
        <f>SalesData[[#This Row],[Profit]]/SalesData[[#This Row],[Sales]]</f>
        <v>0.27</v>
      </c>
      <c r="J154">
        <f>YEAR(SalesData[[#This Row],[Order Date]])</f>
        <v>2017</v>
      </c>
      <c r="K154" t="str">
        <f>TEXT(SalesData[[#This Row],[Order Date]],"mmm")</f>
        <v>Feb</v>
      </c>
      <c r="L154">
        <f>MONTH(SalesData[[#This Row],[Order Date]])</f>
        <v>2</v>
      </c>
      <c r="M154">
        <f>SalesData[[#This Row],[Sales]]/SalesData[[#This Row],[Quantity]]</f>
        <v>299.95</v>
      </c>
      <c r="N154" t="str">
        <f>IF(SalesData[[#This Row],[Profit]]&gt;0,"Profit","Loss")</f>
        <v>Profit</v>
      </c>
    </row>
    <row r="155" spans="1:14" x14ac:dyDescent="0.3">
      <c r="A155" t="s">
        <v>2825</v>
      </c>
      <c r="B155" s="3">
        <v>42775</v>
      </c>
      <c r="C155" t="s">
        <v>9</v>
      </c>
      <c r="D155" t="s">
        <v>10</v>
      </c>
      <c r="E155" t="s">
        <v>2827</v>
      </c>
      <c r="F155" s="1">
        <v>1928.78</v>
      </c>
      <c r="G155">
        <v>7</v>
      </c>
      <c r="H155" s="1">
        <v>829.37540000000001</v>
      </c>
      <c r="I155" s="4">
        <f>SalesData[[#This Row],[Profit]]/SalesData[[#This Row],[Sales]]</f>
        <v>0.43</v>
      </c>
      <c r="J155">
        <f>YEAR(SalesData[[#This Row],[Order Date]])</f>
        <v>2017</v>
      </c>
      <c r="K155" t="str">
        <f>TEXT(SalesData[[#This Row],[Order Date]],"mmm")</f>
        <v>Feb</v>
      </c>
      <c r="L155">
        <f>MONTH(SalesData[[#This Row],[Order Date]])</f>
        <v>2</v>
      </c>
      <c r="M155">
        <f>SalesData[[#This Row],[Sales]]/SalesData[[#This Row],[Quantity]]</f>
        <v>275.54000000000002</v>
      </c>
      <c r="N155" t="str">
        <f>IF(SalesData[[#This Row],[Profit]]&gt;0,"Profit","Loss")</f>
        <v>Profit</v>
      </c>
    </row>
    <row r="156" spans="1:14" x14ac:dyDescent="0.3">
      <c r="A156" t="s">
        <v>2825</v>
      </c>
      <c r="B156" s="3">
        <v>42775</v>
      </c>
      <c r="C156" t="s">
        <v>9</v>
      </c>
      <c r="D156" t="s">
        <v>21</v>
      </c>
      <c r="E156" t="s">
        <v>933</v>
      </c>
      <c r="F156" s="1">
        <v>352.38</v>
      </c>
      <c r="G156">
        <v>2</v>
      </c>
      <c r="H156" s="1">
        <v>81.047399999999996</v>
      </c>
      <c r="I156" s="4">
        <f>SalesData[[#This Row],[Profit]]/SalesData[[#This Row],[Sales]]</f>
        <v>0.22999999999999998</v>
      </c>
      <c r="J156">
        <f>YEAR(SalesData[[#This Row],[Order Date]])</f>
        <v>2017</v>
      </c>
      <c r="K156" t="str">
        <f>TEXT(SalesData[[#This Row],[Order Date]],"mmm")</f>
        <v>Feb</v>
      </c>
      <c r="L156">
        <f>MONTH(SalesData[[#This Row],[Order Date]])</f>
        <v>2</v>
      </c>
      <c r="M156">
        <f>SalesData[[#This Row],[Sales]]/SalesData[[#This Row],[Quantity]]</f>
        <v>176.19</v>
      </c>
      <c r="N156" t="str">
        <f>IF(SalesData[[#This Row],[Profit]]&gt;0,"Profit","Loss")</f>
        <v>Profit</v>
      </c>
    </row>
    <row r="157" spans="1:14" x14ac:dyDescent="0.3">
      <c r="A157" t="s">
        <v>2828</v>
      </c>
      <c r="B157" s="3">
        <v>42775</v>
      </c>
      <c r="C157" t="s">
        <v>17</v>
      </c>
      <c r="D157" t="s">
        <v>21</v>
      </c>
      <c r="E157" t="s">
        <v>215</v>
      </c>
      <c r="F157" s="1">
        <v>12.192</v>
      </c>
      <c r="G157">
        <v>3</v>
      </c>
      <c r="H157" s="1">
        <v>4.1147999999999998</v>
      </c>
      <c r="I157" s="4">
        <f>SalesData[[#This Row],[Profit]]/SalesData[[#This Row],[Sales]]</f>
        <v>0.33749999999999997</v>
      </c>
      <c r="J157">
        <f>YEAR(SalesData[[#This Row],[Order Date]])</f>
        <v>2017</v>
      </c>
      <c r="K157" t="str">
        <f>TEXT(SalesData[[#This Row],[Order Date]],"mmm")</f>
        <v>Feb</v>
      </c>
      <c r="L157">
        <f>MONTH(SalesData[[#This Row],[Order Date]])</f>
        <v>2</v>
      </c>
      <c r="M157">
        <f>SalesData[[#This Row],[Sales]]/SalesData[[#This Row],[Quantity]]</f>
        <v>4.0640000000000001</v>
      </c>
      <c r="N157" t="str">
        <f>IF(SalesData[[#This Row],[Profit]]&gt;0,"Profit","Loss")</f>
        <v>Profit</v>
      </c>
    </row>
    <row r="158" spans="1:14" x14ac:dyDescent="0.3">
      <c r="A158" t="s">
        <v>2829</v>
      </c>
      <c r="B158" s="3">
        <v>42775</v>
      </c>
      <c r="C158" t="s">
        <v>13</v>
      </c>
      <c r="D158" t="s">
        <v>21</v>
      </c>
      <c r="E158" t="s">
        <v>2830</v>
      </c>
      <c r="F158" s="1">
        <v>6.57</v>
      </c>
      <c r="G158">
        <v>3</v>
      </c>
      <c r="H158" s="1">
        <v>1.7739</v>
      </c>
      <c r="I158" s="4">
        <f>SalesData[[#This Row],[Profit]]/SalesData[[#This Row],[Sales]]</f>
        <v>0.27</v>
      </c>
      <c r="J158">
        <f>YEAR(SalesData[[#This Row],[Order Date]])</f>
        <v>2017</v>
      </c>
      <c r="K158" t="str">
        <f>TEXT(SalesData[[#This Row],[Order Date]],"mmm")</f>
        <v>Feb</v>
      </c>
      <c r="L158">
        <f>MONTH(SalesData[[#This Row],[Order Date]])</f>
        <v>2</v>
      </c>
      <c r="M158">
        <f>SalesData[[#This Row],[Sales]]/SalesData[[#This Row],[Quantity]]</f>
        <v>2.19</v>
      </c>
      <c r="N158" t="str">
        <f>IF(SalesData[[#This Row],[Profit]]&gt;0,"Profit","Loss")</f>
        <v>Profit</v>
      </c>
    </row>
    <row r="159" spans="1:14" x14ac:dyDescent="0.3">
      <c r="A159" t="s">
        <v>2831</v>
      </c>
      <c r="B159" s="3">
        <v>42775</v>
      </c>
      <c r="C159" t="s">
        <v>17</v>
      </c>
      <c r="D159" t="s">
        <v>21</v>
      </c>
      <c r="E159" t="s">
        <v>164</v>
      </c>
      <c r="F159" s="1">
        <v>23.1</v>
      </c>
      <c r="G159">
        <v>2</v>
      </c>
      <c r="H159" s="1">
        <v>6.468</v>
      </c>
      <c r="I159" s="4">
        <f>SalesData[[#This Row],[Profit]]/SalesData[[#This Row],[Sales]]</f>
        <v>0.27999999999999997</v>
      </c>
      <c r="J159">
        <f>YEAR(SalesData[[#This Row],[Order Date]])</f>
        <v>2017</v>
      </c>
      <c r="K159" t="str">
        <f>TEXT(SalesData[[#This Row],[Order Date]],"mmm")</f>
        <v>Feb</v>
      </c>
      <c r="L159">
        <f>MONTH(SalesData[[#This Row],[Order Date]])</f>
        <v>2</v>
      </c>
      <c r="M159">
        <f>SalesData[[#This Row],[Sales]]/SalesData[[#This Row],[Quantity]]</f>
        <v>11.55</v>
      </c>
      <c r="N159" t="str">
        <f>IF(SalesData[[#This Row],[Profit]]&gt;0,"Profit","Loss")</f>
        <v>Profit</v>
      </c>
    </row>
    <row r="160" spans="1:14" x14ac:dyDescent="0.3">
      <c r="A160" t="s">
        <v>2831</v>
      </c>
      <c r="B160" s="3">
        <v>42775</v>
      </c>
      <c r="C160" t="s">
        <v>17</v>
      </c>
      <c r="D160" t="s">
        <v>14</v>
      </c>
      <c r="E160" t="s">
        <v>936</v>
      </c>
      <c r="F160" s="1">
        <v>11.54</v>
      </c>
      <c r="G160">
        <v>2</v>
      </c>
      <c r="H160" s="1">
        <v>3.4620000000000002</v>
      </c>
      <c r="I160" s="4">
        <f>SalesData[[#This Row],[Profit]]/SalesData[[#This Row],[Sales]]</f>
        <v>0.30000000000000004</v>
      </c>
      <c r="J160">
        <f>YEAR(SalesData[[#This Row],[Order Date]])</f>
        <v>2017</v>
      </c>
      <c r="K160" t="str">
        <f>TEXT(SalesData[[#This Row],[Order Date]],"mmm")</f>
        <v>Feb</v>
      </c>
      <c r="L160">
        <f>MONTH(SalesData[[#This Row],[Order Date]])</f>
        <v>2</v>
      </c>
      <c r="M160">
        <f>SalesData[[#This Row],[Sales]]/SalesData[[#This Row],[Quantity]]</f>
        <v>5.77</v>
      </c>
      <c r="N160" t="str">
        <f>IF(SalesData[[#This Row],[Profit]]&gt;0,"Profit","Loss")</f>
        <v>Profit</v>
      </c>
    </row>
    <row r="161" spans="1:14" x14ac:dyDescent="0.3">
      <c r="A161" t="s">
        <v>2831</v>
      </c>
      <c r="B161" s="3">
        <v>42775</v>
      </c>
      <c r="C161" t="s">
        <v>17</v>
      </c>
      <c r="D161" t="s">
        <v>14</v>
      </c>
      <c r="E161" t="s">
        <v>1683</v>
      </c>
      <c r="F161" s="1">
        <v>254.52600000000001</v>
      </c>
      <c r="G161">
        <v>1</v>
      </c>
      <c r="H161" s="1">
        <v>-93.3262</v>
      </c>
      <c r="I161" s="4">
        <f>SalesData[[#This Row],[Profit]]/SalesData[[#This Row],[Sales]]</f>
        <v>-0.36666666666666664</v>
      </c>
      <c r="J161">
        <f>YEAR(SalesData[[#This Row],[Order Date]])</f>
        <v>2017</v>
      </c>
      <c r="K161" t="str">
        <f>TEXT(SalesData[[#This Row],[Order Date]],"mmm")</f>
        <v>Feb</v>
      </c>
      <c r="L161">
        <f>MONTH(SalesData[[#This Row],[Order Date]])</f>
        <v>2</v>
      </c>
      <c r="M161">
        <f>SalesData[[#This Row],[Sales]]/SalesData[[#This Row],[Quantity]]</f>
        <v>254.52600000000001</v>
      </c>
      <c r="N161" t="str">
        <f>IF(SalesData[[#This Row],[Profit]]&gt;0,"Profit","Loss")</f>
        <v>Loss</v>
      </c>
    </row>
    <row r="162" spans="1:14" x14ac:dyDescent="0.3">
      <c r="A162" t="s">
        <v>2831</v>
      </c>
      <c r="B162" s="3">
        <v>42775</v>
      </c>
      <c r="C162" t="s">
        <v>17</v>
      </c>
      <c r="D162" t="s">
        <v>21</v>
      </c>
      <c r="E162" t="s">
        <v>2295</v>
      </c>
      <c r="F162" s="1">
        <v>12.98</v>
      </c>
      <c r="G162">
        <v>1</v>
      </c>
      <c r="H162" s="1">
        <v>3.7642000000000002</v>
      </c>
      <c r="I162" s="4">
        <f>SalesData[[#This Row],[Profit]]/SalesData[[#This Row],[Sales]]</f>
        <v>0.28999999999999998</v>
      </c>
      <c r="J162">
        <f>YEAR(SalesData[[#This Row],[Order Date]])</f>
        <v>2017</v>
      </c>
      <c r="K162" t="str">
        <f>TEXT(SalesData[[#This Row],[Order Date]],"mmm")</f>
        <v>Feb</v>
      </c>
      <c r="L162">
        <f>MONTH(SalesData[[#This Row],[Order Date]])</f>
        <v>2</v>
      </c>
      <c r="M162">
        <f>SalesData[[#This Row],[Sales]]/SalesData[[#This Row],[Quantity]]</f>
        <v>12.98</v>
      </c>
      <c r="N162" t="str">
        <f>IF(SalesData[[#This Row],[Profit]]&gt;0,"Profit","Loss")</f>
        <v>Profit</v>
      </c>
    </row>
    <row r="163" spans="1:14" x14ac:dyDescent="0.3">
      <c r="A163" t="s">
        <v>2831</v>
      </c>
      <c r="B163" s="3">
        <v>42775</v>
      </c>
      <c r="C163" t="s">
        <v>17</v>
      </c>
      <c r="D163" t="s">
        <v>21</v>
      </c>
      <c r="E163" t="s">
        <v>631</v>
      </c>
      <c r="F163" s="1">
        <v>26.431999999999999</v>
      </c>
      <c r="G163">
        <v>8</v>
      </c>
      <c r="H163" s="1">
        <v>8.9207999999999998</v>
      </c>
      <c r="I163" s="4">
        <f>SalesData[[#This Row],[Profit]]/SalesData[[#This Row],[Sales]]</f>
        <v>0.33750000000000002</v>
      </c>
      <c r="J163">
        <f>YEAR(SalesData[[#This Row],[Order Date]])</f>
        <v>2017</v>
      </c>
      <c r="K163" t="str">
        <f>TEXT(SalesData[[#This Row],[Order Date]],"mmm")</f>
        <v>Feb</v>
      </c>
      <c r="L163">
        <f>MONTH(SalesData[[#This Row],[Order Date]])</f>
        <v>2</v>
      </c>
      <c r="M163">
        <f>SalesData[[#This Row],[Sales]]/SalesData[[#This Row],[Quantity]]</f>
        <v>3.3039999999999998</v>
      </c>
      <c r="N163" t="str">
        <f>IF(SalesData[[#This Row],[Profit]]&gt;0,"Profit","Loss")</f>
        <v>Profit</v>
      </c>
    </row>
    <row r="164" spans="1:14" x14ac:dyDescent="0.3">
      <c r="A164" t="s">
        <v>2831</v>
      </c>
      <c r="B164" s="3">
        <v>42775</v>
      </c>
      <c r="C164" t="s">
        <v>17</v>
      </c>
      <c r="D164" t="s">
        <v>10</v>
      </c>
      <c r="E164" t="s">
        <v>914</v>
      </c>
      <c r="F164" s="1">
        <v>197.97</v>
      </c>
      <c r="G164">
        <v>3</v>
      </c>
      <c r="H164" s="1">
        <v>57.411299999999997</v>
      </c>
      <c r="I164" s="4">
        <f>SalesData[[#This Row],[Profit]]/SalesData[[#This Row],[Sales]]</f>
        <v>0.28999999999999998</v>
      </c>
      <c r="J164">
        <f>YEAR(SalesData[[#This Row],[Order Date]])</f>
        <v>2017</v>
      </c>
      <c r="K164" t="str">
        <f>TEXT(SalesData[[#This Row],[Order Date]],"mmm")</f>
        <v>Feb</v>
      </c>
      <c r="L164">
        <f>MONTH(SalesData[[#This Row],[Order Date]])</f>
        <v>2</v>
      </c>
      <c r="M164">
        <f>SalesData[[#This Row],[Sales]]/SalesData[[#This Row],[Quantity]]</f>
        <v>65.989999999999995</v>
      </c>
      <c r="N164" t="str">
        <f>IF(SalesData[[#This Row],[Profit]]&gt;0,"Profit","Loss")</f>
        <v>Profit</v>
      </c>
    </row>
    <row r="165" spans="1:14" x14ac:dyDescent="0.3">
      <c r="A165" t="s">
        <v>2831</v>
      </c>
      <c r="B165" s="3">
        <v>42775</v>
      </c>
      <c r="C165" t="s">
        <v>17</v>
      </c>
      <c r="D165" t="s">
        <v>21</v>
      </c>
      <c r="E165" t="s">
        <v>314</v>
      </c>
      <c r="F165" s="1">
        <v>18.899999999999999</v>
      </c>
      <c r="G165">
        <v>6</v>
      </c>
      <c r="H165" s="1">
        <v>9.0719999999999992</v>
      </c>
      <c r="I165" s="4">
        <f>SalesData[[#This Row],[Profit]]/SalesData[[#This Row],[Sales]]</f>
        <v>0.48</v>
      </c>
      <c r="J165">
        <f>YEAR(SalesData[[#This Row],[Order Date]])</f>
        <v>2017</v>
      </c>
      <c r="K165" t="str">
        <f>TEXT(SalesData[[#This Row],[Order Date]],"mmm")</f>
        <v>Feb</v>
      </c>
      <c r="L165">
        <f>MONTH(SalesData[[#This Row],[Order Date]])</f>
        <v>2</v>
      </c>
      <c r="M165">
        <f>SalesData[[#This Row],[Sales]]/SalesData[[#This Row],[Quantity]]</f>
        <v>3.15</v>
      </c>
      <c r="N165" t="str">
        <f>IF(SalesData[[#This Row],[Profit]]&gt;0,"Profit","Loss")</f>
        <v>Profit</v>
      </c>
    </row>
    <row r="166" spans="1:14" x14ac:dyDescent="0.3">
      <c r="A166" t="s">
        <v>2831</v>
      </c>
      <c r="B166" s="3">
        <v>42775</v>
      </c>
      <c r="C166" t="s">
        <v>17</v>
      </c>
      <c r="D166" t="s">
        <v>14</v>
      </c>
      <c r="E166" t="s">
        <v>915</v>
      </c>
      <c r="F166" s="1">
        <v>1282.4100000000001</v>
      </c>
      <c r="G166">
        <v>5</v>
      </c>
      <c r="H166" s="1">
        <v>213.73500000000001</v>
      </c>
      <c r="I166" s="4">
        <f>SalesData[[#This Row],[Profit]]/SalesData[[#This Row],[Sales]]</f>
        <v>0.16666666666666666</v>
      </c>
      <c r="J166">
        <f>YEAR(SalesData[[#This Row],[Order Date]])</f>
        <v>2017</v>
      </c>
      <c r="K166" t="str">
        <f>TEXT(SalesData[[#This Row],[Order Date]],"mmm")</f>
        <v>Feb</v>
      </c>
      <c r="L166">
        <f>MONTH(SalesData[[#This Row],[Order Date]])</f>
        <v>2</v>
      </c>
      <c r="M166">
        <f>SalesData[[#This Row],[Sales]]/SalesData[[#This Row],[Quantity]]</f>
        <v>256.48200000000003</v>
      </c>
      <c r="N166" t="str">
        <f>IF(SalesData[[#This Row],[Profit]]&gt;0,"Profit","Loss")</f>
        <v>Profit</v>
      </c>
    </row>
    <row r="167" spans="1:14" x14ac:dyDescent="0.3">
      <c r="A167" t="s">
        <v>2831</v>
      </c>
      <c r="B167" s="3">
        <v>42775</v>
      </c>
      <c r="C167" t="s">
        <v>17</v>
      </c>
      <c r="D167" t="s">
        <v>21</v>
      </c>
      <c r="E167" t="s">
        <v>2832</v>
      </c>
      <c r="F167" s="1">
        <v>4.92</v>
      </c>
      <c r="G167">
        <v>3</v>
      </c>
      <c r="H167" s="1">
        <v>2.214</v>
      </c>
      <c r="I167" s="4">
        <f>SalesData[[#This Row],[Profit]]/SalesData[[#This Row],[Sales]]</f>
        <v>0.45</v>
      </c>
      <c r="J167">
        <f>YEAR(SalesData[[#This Row],[Order Date]])</f>
        <v>2017</v>
      </c>
      <c r="K167" t="str">
        <f>TEXT(SalesData[[#This Row],[Order Date]],"mmm")</f>
        <v>Feb</v>
      </c>
      <c r="L167">
        <f>MONTH(SalesData[[#This Row],[Order Date]])</f>
        <v>2</v>
      </c>
      <c r="M167">
        <f>SalesData[[#This Row],[Sales]]/SalesData[[#This Row],[Quantity]]</f>
        <v>1.64</v>
      </c>
      <c r="N167" t="str">
        <f>IF(SalesData[[#This Row],[Profit]]&gt;0,"Profit","Loss")</f>
        <v>Profit</v>
      </c>
    </row>
    <row r="168" spans="1:14" x14ac:dyDescent="0.3">
      <c r="A168" t="s">
        <v>2831</v>
      </c>
      <c r="B168" s="3">
        <v>42775</v>
      </c>
      <c r="C168" t="s">
        <v>17</v>
      </c>
      <c r="D168" t="s">
        <v>10</v>
      </c>
      <c r="E168" t="s">
        <v>73</v>
      </c>
      <c r="F168" s="1">
        <v>238</v>
      </c>
      <c r="G168">
        <v>2</v>
      </c>
      <c r="H168" s="1">
        <v>38.08</v>
      </c>
      <c r="I168" s="4">
        <f>SalesData[[#This Row],[Profit]]/SalesData[[#This Row],[Sales]]</f>
        <v>0.16</v>
      </c>
      <c r="J168">
        <f>YEAR(SalesData[[#This Row],[Order Date]])</f>
        <v>2017</v>
      </c>
      <c r="K168" t="str">
        <f>TEXT(SalesData[[#This Row],[Order Date]],"mmm")</f>
        <v>Feb</v>
      </c>
      <c r="L168">
        <f>MONTH(SalesData[[#This Row],[Order Date]])</f>
        <v>2</v>
      </c>
      <c r="M168">
        <f>SalesData[[#This Row],[Sales]]/SalesData[[#This Row],[Quantity]]</f>
        <v>119</v>
      </c>
      <c r="N168" t="str">
        <f>IF(SalesData[[#This Row],[Profit]]&gt;0,"Profit","Loss")</f>
        <v>Profit</v>
      </c>
    </row>
    <row r="169" spans="1:14" x14ac:dyDescent="0.3">
      <c r="A169" t="s">
        <v>2831</v>
      </c>
      <c r="B169" s="3">
        <v>42775</v>
      </c>
      <c r="C169" t="s">
        <v>17</v>
      </c>
      <c r="D169" t="s">
        <v>10</v>
      </c>
      <c r="E169" t="s">
        <v>734</v>
      </c>
      <c r="F169" s="1">
        <v>167.97</v>
      </c>
      <c r="G169">
        <v>3</v>
      </c>
      <c r="H169" s="1">
        <v>40.312800000000003</v>
      </c>
      <c r="I169" s="4">
        <f>SalesData[[#This Row],[Profit]]/SalesData[[#This Row],[Sales]]</f>
        <v>0.24000000000000002</v>
      </c>
      <c r="J169">
        <f>YEAR(SalesData[[#This Row],[Order Date]])</f>
        <v>2017</v>
      </c>
      <c r="K169" t="str">
        <f>TEXT(SalesData[[#This Row],[Order Date]],"mmm")</f>
        <v>Feb</v>
      </c>
      <c r="L169">
        <f>MONTH(SalesData[[#This Row],[Order Date]])</f>
        <v>2</v>
      </c>
      <c r="M169">
        <f>SalesData[[#This Row],[Sales]]/SalesData[[#This Row],[Quantity]]</f>
        <v>55.99</v>
      </c>
      <c r="N169" t="str">
        <f>IF(SalesData[[#This Row],[Profit]]&gt;0,"Profit","Loss")</f>
        <v>Profit</v>
      </c>
    </row>
    <row r="170" spans="1:14" x14ac:dyDescent="0.3">
      <c r="A170" t="s">
        <v>2831</v>
      </c>
      <c r="B170" s="3">
        <v>42775</v>
      </c>
      <c r="C170" t="s">
        <v>17</v>
      </c>
      <c r="D170" t="s">
        <v>21</v>
      </c>
      <c r="E170" t="s">
        <v>1817</v>
      </c>
      <c r="F170" s="1">
        <v>17.12</v>
      </c>
      <c r="G170">
        <v>4</v>
      </c>
      <c r="H170" s="1">
        <v>7.7039999999999997</v>
      </c>
      <c r="I170" s="4">
        <f>SalesData[[#This Row],[Profit]]/SalesData[[#This Row],[Sales]]</f>
        <v>0.44999999999999996</v>
      </c>
      <c r="J170">
        <f>YEAR(SalesData[[#This Row],[Order Date]])</f>
        <v>2017</v>
      </c>
      <c r="K170" t="str">
        <f>TEXT(SalesData[[#This Row],[Order Date]],"mmm")</f>
        <v>Feb</v>
      </c>
      <c r="L170">
        <f>MONTH(SalesData[[#This Row],[Order Date]])</f>
        <v>2</v>
      </c>
      <c r="M170">
        <f>SalesData[[#This Row],[Sales]]/SalesData[[#This Row],[Quantity]]</f>
        <v>4.28</v>
      </c>
      <c r="N170" t="str">
        <f>IF(SalesData[[#This Row],[Profit]]&gt;0,"Profit","Loss")</f>
        <v>Profit</v>
      </c>
    </row>
    <row r="171" spans="1:14" x14ac:dyDescent="0.3">
      <c r="A171" t="s">
        <v>2833</v>
      </c>
      <c r="B171" s="3">
        <v>42775</v>
      </c>
      <c r="C171" t="s">
        <v>13</v>
      </c>
      <c r="D171" t="s">
        <v>21</v>
      </c>
      <c r="E171" t="s">
        <v>91</v>
      </c>
      <c r="F171" s="1">
        <v>9.4</v>
      </c>
      <c r="G171">
        <v>5</v>
      </c>
      <c r="H171" s="1">
        <v>2.726</v>
      </c>
      <c r="I171" s="4">
        <f>SalesData[[#This Row],[Profit]]/SalesData[[#This Row],[Sales]]</f>
        <v>0.28999999999999998</v>
      </c>
      <c r="J171">
        <f>YEAR(SalesData[[#This Row],[Order Date]])</f>
        <v>2017</v>
      </c>
      <c r="K171" t="str">
        <f>TEXT(SalesData[[#This Row],[Order Date]],"mmm")</f>
        <v>Feb</v>
      </c>
      <c r="L171">
        <f>MONTH(SalesData[[#This Row],[Order Date]])</f>
        <v>2</v>
      </c>
      <c r="M171">
        <f>SalesData[[#This Row],[Sales]]/SalesData[[#This Row],[Quantity]]</f>
        <v>1.8800000000000001</v>
      </c>
      <c r="N171" t="str">
        <f>IF(SalesData[[#This Row],[Profit]]&gt;0,"Profit","Loss")</f>
        <v>Profit</v>
      </c>
    </row>
    <row r="172" spans="1:14" x14ac:dyDescent="0.3">
      <c r="A172" t="s">
        <v>2833</v>
      </c>
      <c r="B172" s="3">
        <v>42775</v>
      </c>
      <c r="C172" t="s">
        <v>13</v>
      </c>
      <c r="D172" t="s">
        <v>21</v>
      </c>
      <c r="E172" t="s">
        <v>1121</v>
      </c>
      <c r="F172" s="1">
        <v>74</v>
      </c>
      <c r="G172">
        <v>5</v>
      </c>
      <c r="H172" s="1">
        <v>37</v>
      </c>
      <c r="I172" s="4">
        <f>SalesData[[#This Row],[Profit]]/SalesData[[#This Row],[Sales]]</f>
        <v>0.5</v>
      </c>
      <c r="J172">
        <f>YEAR(SalesData[[#This Row],[Order Date]])</f>
        <v>2017</v>
      </c>
      <c r="K172" t="str">
        <f>TEXT(SalesData[[#This Row],[Order Date]],"mmm")</f>
        <v>Feb</v>
      </c>
      <c r="L172">
        <f>MONTH(SalesData[[#This Row],[Order Date]])</f>
        <v>2</v>
      </c>
      <c r="M172">
        <f>SalesData[[#This Row],[Sales]]/SalesData[[#This Row],[Quantity]]</f>
        <v>14.8</v>
      </c>
      <c r="N172" t="str">
        <f>IF(SalesData[[#This Row],[Profit]]&gt;0,"Profit","Loss")</f>
        <v>Profit</v>
      </c>
    </row>
    <row r="173" spans="1:14" x14ac:dyDescent="0.3">
      <c r="A173" t="s">
        <v>2833</v>
      </c>
      <c r="B173" s="3">
        <v>42775</v>
      </c>
      <c r="C173" t="s">
        <v>13</v>
      </c>
      <c r="D173" t="s">
        <v>10</v>
      </c>
      <c r="E173" t="s">
        <v>2834</v>
      </c>
      <c r="F173" s="1">
        <v>201.584</v>
      </c>
      <c r="G173">
        <v>2</v>
      </c>
      <c r="H173" s="1">
        <v>12.599</v>
      </c>
      <c r="I173" s="4">
        <f>SalesData[[#This Row],[Profit]]/SalesData[[#This Row],[Sales]]</f>
        <v>6.25E-2</v>
      </c>
      <c r="J173">
        <f>YEAR(SalesData[[#This Row],[Order Date]])</f>
        <v>2017</v>
      </c>
      <c r="K173" t="str">
        <f>TEXT(SalesData[[#This Row],[Order Date]],"mmm")</f>
        <v>Feb</v>
      </c>
      <c r="L173">
        <f>MONTH(SalesData[[#This Row],[Order Date]])</f>
        <v>2</v>
      </c>
      <c r="M173">
        <f>SalesData[[#This Row],[Sales]]/SalesData[[#This Row],[Quantity]]</f>
        <v>100.792</v>
      </c>
      <c r="N173" t="str">
        <f>IF(SalesData[[#This Row],[Profit]]&gt;0,"Profit","Loss")</f>
        <v>Profit</v>
      </c>
    </row>
    <row r="174" spans="1:14" x14ac:dyDescent="0.3">
      <c r="A174" t="s">
        <v>2835</v>
      </c>
      <c r="B174" s="3">
        <v>42775</v>
      </c>
      <c r="C174" t="s">
        <v>17</v>
      </c>
      <c r="D174" t="s">
        <v>21</v>
      </c>
      <c r="E174" t="s">
        <v>2046</v>
      </c>
      <c r="F174" s="1">
        <v>10.9</v>
      </c>
      <c r="G174">
        <v>1</v>
      </c>
      <c r="H174" s="1">
        <v>2.8340000000000001</v>
      </c>
      <c r="I174" s="4">
        <f>SalesData[[#This Row],[Profit]]/SalesData[[#This Row],[Sales]]</f>
        <v>0.26</v>
      </c>
      <c r="J174">
        <f>YEAR(SalesData[[#This Row],[Order Date]])</f>
        <v>2017</v>
      </c>
      <c r="K174" t="str">
        <f>TEXT(SalesData[[#This Row],[Order Date]],"mmm")</f>
        <v>Feb</v>
      </c>
      <c r="L174">
        <f>MONTH(SalesData[[#This Row],[Order Date]])</f>
        <v>2</v>
      </c>
      <c r="M174">
        <f>SalesData[[#This Row],[Sales]]/SalesData[[#This Row],[Quantity]]</f>
        <v>10.9</v>
      </c>
      <c r="N174" t="str">
        <f>IF(SalesData[[#This Row],[Profit]]&gt;0,"Profit","Loss")</f>
        <v>Profit</v>
      </c>
    </row>
    <row r="175" spans="1:14" x14ac:dyDescent="0.3">
      <c r="A175" t="s">
        <v>2835</v>
      </c>
      <c r="B175" s="3">
        <v>42775</v>
      </c>
      <c r="C175" t="s">
        <v>17</v>
      </c>
      <c r="D175" t="s">
        <v>21</v>
      </c>
      <c r="E175" t="s">
        <v>2280</v>
      </c>
      <c r="F175" s="1">
        <v>79.92</v>
      </c>
      <c r="G175">
        <v>4</v>
      </c>
      <c r="H175" s="1">
        <v>37.562399999999997</v>
      </c>
      <c r="I175" s="4">
        <f>SalesData[[#This Row],[Profit]]/SalesData[[#This Row],[Sales]]</f>
        <v>0.47</v>
      </c>
      <c r="J175">
        <f>YEAR(SalesData[[#This Row],[Order Date]])</f>
        <v>2017</v>
      </c>
      <c r="K175" t="str">
        <f>TEXT(SalesData[[#This Row],[Order Date]],"mmm")</f>
        <v>Feb</v>
      </c>
      <c r="L175">
        <f>MONTH(SalesData[[#This Row],[Order Date]])</f>
        <v>2</v>
      </c>
      <c r="M175">
        <f>SalesData[[#This Row],[Sales]]/SalesData[[#This Row],[Quantity]]</f>
        <v>19.98</v>
      </c>
      <c r="N175" t="str">
        <f>IF(SalesData[[#This Row],[Profit]]&gt;0,"Profit","Loss")</f>
        <v>Profit</v>
      </c>
    </row>
    <row r="176" spans="1:14" x14ac:dyDescent="0.3">
      <c r="A176" t="s">
        <v>2835</v>
      </c>
      <c r="B176" s="3">
        <v>42775</v>
      </c>
      <c r="C176" t="s">
        <v>17</v>
      </c>
      <c r="D176" t="s">
        <v>21</v>
      </c>
      <c r="E176" t="s">
        <v>2836</v>
      </c>
      <c r="F176" s="1">
        <v>146.82</v>
      </c>
      <c r="G176">
        <v>3</v>
      </c>
      <c r="H176" s="1">
        <v>73.41</v>
      </c>
      <c r="I176" s="4">
        <f>SalesData[[#This Row],[Profit]]/SalesData[[#This Row],[Sales]]</f>
        <v>0.5</v>
      </c>
      <c r="J176">
        <f>YEAR(SalesData[[#This Row],[Order Date]])</f>
        <v>2017</v>
      </c>
      <c r="K176" t="str">
        <f>TEXT(SalesData[[#This Row],[Order Date]],"mmm")</f>
        <v>Feb</v>
      </c>
      <c r="L176">
        <f>MONTH(SalesData[[#This Row],[Order Date]])</f>
        <v>2</v>
      </c>
      <c r="M176">
        <f>SalesData[[#This Row],[Sales]]/SalesData[[#This Row],[Quantity]]</f>
        <v>48.94</v>
      </c>
      <c r="N176" t="str">
        <f>IF(SalesData[[#This Row],[Profit]]&gt;0,"Profit","Loss")</f>
        <v>Profit</v>
      </c>
    </row>
    <row r="177" spans="1:14" x14ac:dyDescent="0.3">
      <c r="A177" t="s">
        <v>2837</v>
      </c>
      <c r="B177" s="3">
        <v>42775</v>
      </c>
      <c r="C177" t="s">
        <v>9</v>
      </c>
      <c r="D177" t="s">
        <v>21</v>
      </c>
      <c r="E177" t="s">
        <v>480</v>
      </c>
      <c r="F177" s="1">
        <v>16</v>
      </c>
      <c r="G177">
        <v>4</v>
      </c>
      <c r="H177" s="1">
        <v>5.6</v>
      </c>
      <c r="I177" s="4">
        <f>SalesData[[#This Row],[Profit]]/SalesData[[#This Row],[Sales]]</f>
        <v>0.35</v>
      </c>
      <c r="J177">
        <f>YEAR(SalesData[[#This Row],[Order Date]])</f>
        <v>2017</v>
      </c>
      <c r="K177" t="str">
        <f>TEXT(SalesData[[#This Row],[Order Date]],"mmm")</f>
        <v>Feb</v>
      </c>
      <c r="L177">
        <f>MONTH(SalesData[[#This Row],[Order Date]])</f>
        <v>2</v>
      </c>
      <c r="M177">
        <f>SalesData[[#This Row],[Sales]]/SalesData[[#This Row],[Quantity]]</f>
        <v>4</v>
      </c>
      <c r="N177" t="str">
        <f>IF(SalesData[[#This Row],[Profit]]&gt;0,"Profit","Loss")</f>
        <v>Profit</v>
      </c>
    </row>
    <row r="178" spans="1:14" x14ac:dyDescent="0.3">
      <c r="A178" t="s">
        <v>2837</v>
      </c>
      <c r="B178" s="3">
        <v>42775</v>
      </c>
      <c r="C178" t="s">
        <v>9</v>
      </c>
      <c r="D178" t="s">
        <v>21</v>
      </c>
      <c r="E178" t="s">
        <v>2334</v>
      </c>
      <c r="F178" s="1">
        <v>5.5880000000000001</v>
      </c>
      <c r="G178">
        <v>2</v>
      </c>
      <c r="H178" s="1">
        <v>-15.0876</v>
      </c>
      <c r="I178" s="4">
        <f>SalesData[[#This Row],[Profit]]/SalesData[[#This Row],[Sales]]</f>
        <v>-2.7</v>
      </c>
      <c r="J178">
        <f>YEAR(SalesData[[#This Row],[Order Date]])</f>
        <v>2017</v>
      </c>
      <c r="K178" t="str">
        <f>TEXT(SalesData[[#This Row],[Order Date]],"mmm")</f>
        <v>Feb</v>
      </c>
      <c r="L178">
        <f>MONTH(SalesData[[#This Row],[Order Date]])</f>
        <v>2</v>
      </c>
      <c r="M178">
        <f>SalesData[[#This Row],[Sales]]/SalesData[[#This Row],[Quantity]]</f>
        <v>2.794</v>
      </c>
      <c r="N178" t="str">
        <f>IF(SalesData[[#This Row],[Profit]]&gt;0,"Profit","Loss")</f>
        <v>Loss</v>
      </c>
    </row>
    <row r="179" spans="1:14" x14ac:dyDescent="0.3">
      <c r="A179" t="s">
        <v>2837</v>
      </c>
      <c r="B179" s="3">
        <v>42775</v>
      </c>
      <c r="C179" t="s">
        <v>9</v>
      </c>
      <c r="D179" t="s">
        <v>21</v>
      </c>
      <c r="E179" t="s">
        <v>1708</v>
      </c>
      <c r="F179" s="1">
        <v>235.92</v>
      </c>
      <c r="G179">
        <v>5</v>
      </c>
      <c r="H179" s="1">
        <v>-44.234999999999999</v>
      </c>
      <c r="I179" s="4">
        <f>SalesData[[#This Row],[Profit]]/SalesData[[#This Row],[Sales]]</f>
        <v>-0.1875</v>
      </c>
      <c r="J179">
        <f>YEAR(SalesData[[#This Row],[Order Date]])</f>
        <v>2017</v>
      </c>
      <c r="K179" t="str">
        <f>TEXT(SalesData[[#This Row],[Order Date]],"mmm")</f>
        <v>Feb</v>
      </c>
      <c r="L179">
        <f>MONTH(SalesData[[#This Row],[Order Date]])</f>
        <v>2</v>
      </c>
      <c r="M179">
        <f>SalesData[[#This Row],[Sales]]/SalesData[[#This Row],[Quantity]]</f>
        <v>47.183999999999997</v>
      </c>
      <c r="N179" t="str">
        <f>IF(SalesData[[#This Row],[Profit]]&gt;0,"Profit","Loss")</f>
        <v>Loss</v>
      </c>
    </row>
    <row r="180" spans="1:14" x14ac:dyDescent="0.3">
      <c r="A180" t="s">
        <v>2838</v>
      </c>
      <c r="B180" s="3">
        <v>42775</v>
      </c>
      <c r="C180" t="s">
        <v>9</v>
      </c>
      <c r="D180" t="s">
        <v>10</v>
      </c>
      <c r="E180" t="s">
        <v>504</v>
      </c>
      <c r="F180" s="1">
        <v>40.68</v>
      </c>
      <c r="G180">
        <v>3</v>
      </c>
      <c r="H180" s="1">
        <v>-7.1189999999999998</v>
      </c>
      <c r="I180" s="4">
        <f>SalesData[[#This Row],[Profit]]/SalesData[[#This Row],[Sales]]</f>
        <v>-0.17499999999999999</v>
      </c>
      <c r="J180">
        <f>YEAR(SalesData[[#This Row],[Order Date]])</f>
        <v>2017</v>
      </c>
      <c r="K180" t="str">
        <f>TEXT(SalesData[[#This Row],[Order Date]],"mmm")</f>
        <v>Feb</v>
      </c>
      <c r="L180">
        <f>MONTH(SalesData[[#This Row],[Order Date]])</f>
        <v>2</v>
      </c>
      <c r="M180">
        <f>SalesData[[#This Row],[Sales]]/SalesData[[#This Row],[Quantity]]</f>
        <v>13.56</v>
      </c>
      <c r="N180" t="str">
        <f>IF(SalesData[[#This Row],[Profit]]&gt;0,"Profit","Loss")</f>
        <v>Loss</v>
      </c>
    </row>
    <row r="181" spans="1:14" x14ac:dyDescent="0.3">
      <c r="A181" t="s">
        <v>2839</v>
      </c>
      <c r="B181" s="3">
        <v>42775</v>
      </c>
      <c r="C181" t="s">
        <v>13</v>
      </c>
      <c r="D181" t="s">
        <v>21</v>
      </c>
      <c r="E181" t="s">
        <v>1008</v>
      </c>
      <c r="F181" s="1">
        <v>18.72</v>
      </c>
      <c r="G181">
        <v>5</v>
      </c>
      <c r="H181" s="1">
        <v>6.5519999999999996</v>
      </c>
      <c r="I181" s="4">
        <f>SalesData[[#This Row],[Profit]]/SalesData[[#This Row],[Sales]]</f>
        <v>0.35</v>
      </c>
      <c r="J181">
        <f>YEAR(SalesData[[#This Row],[Order Date]])</f>
        <v>2017</v>
      </c>
      <c r="K181" t="str">
        <f>TEXT(SalesData[[#This Row],[Order Date]],"mmm")</f>
        <v>Feb</v>
      </c>
      <c r="L181">
        <f>MONTH(SalesData[[#This Row],[Order Date]])</f>
        <v>2</v>
      </c>
      <c r="M181">
        <f>SalesData[[#This Row],[Sales]]/SalesData[[#This Row],[Quantity]]</f>
        <v>3.7439999999999998</v>
      </c>
      <c r="N181" t="str">
        <f>IF(SalesData[[#This Row],[Profit]]&gt;0,"Profit","Loss")</f>
        <v>Profit</v>
      </c>
    </row>
    <row r="182" spans="1:14" x14ac:dyDescent="0.3">
      <c r="A182" t="s">
        <v>2839</v>
      </c>
      <c r="B182" s="3">
        <v>42775</v>
      </c>
      <c r="C182" t="s">
        <v>13</v>
      </c>
      <c r="D182" t="s">
        <v>14</v>
      </c>
      <c r="E182" t="s">
        <v>2840</v>
      </c>
      <c r="F182" s="1">
        <v>236.52799999999999</v>
      </c>
      <c r="G182">
        <v>2</v>
      </c>
      <c r="H182" s="1">
        <v>-2.9565999999999999</v>
      </c>
      <c r="I182" s="4">
        <f>SalesData[[#This Row],[Profit]]/SalesData[[#This Row],[Sales]]</f>
        <v>-1.2500000000000001E-2</v>
      </c>
      <c r="J182">
        <f>YEAR(SalesData[[#This Row],[Order Date]])</f>
        <v>2017</v>
      </c>
      <c r="K182" t="str">
        <f>TEXT(SalesData[[#This Row],[Order Date]],"mmm")</f>
        <v>Feb</v>
      </c>
      <c r="L182">
        <f>MONTH(SalesData[[#This Row],[Order Date]])</f>
        <v>2</v>
      </c>
      <c r="M182">
        <f>SalesData[[#This Row],[Sales]]/SalesData[[#This Row],[Quantity]]</f>
        <v>118.264</v>
      </c>
      <c r="N182" t="str">
        <f>IF(SalesData[[#This Row],[Profit]]&gt;0,"Profit","Loss")</f>
        <v>Loss</v>
      </c>
    </row>
    <row r="183" spans="1:14" x14ac:dyDescent="0.3">
      <c r="A183" t="s">
        <v>2841</v>
      </c>
      <c r="B183" s="3">
        <v>42775</v>
      </c>
      <c r="C183" t="s">
        <v>13</v>
      </c>
      <c r="D183" t="s">
        <v>14</v>
      </c>
      <c r="E183" t="s">
        <v>1982</v>
      </c>
      <c r="F183" s="1">
        <v>215.976</v>
      </c>
      <c r="G183">
        <v>3</v>
      </c>
      <c r="H183" s="1">
        <v>-2.6997</v>
      </c>
      <c r="I183" s="4">
        <f>SalesData[[#This Row],[Profit]]/SalesData[[#This Row],[Sales]]</f>
        <v>-1.2500000000000001E-2</v>
      </c>
      <c r="J183">
        <f>YEAR(SalesData[[#This Row],[Order Date]])</f>
        <v>2017</v>
      </c>
      <c r="K183" t="str">
        <f>TEXT(SalesData[[#This Row],[Order Date]],"mmm")</f>
        <v>Feb</v>
      </c>
      <c r="L183">
        <f>MONTH(SalesData[[#This Row],[Order Date]])</f>
        <v>2</v>
      </c>
      <c r="M183">
        <f>SalesData[[#This Row],[Sales]]/SalesData[[#This Row],[Quantity]]</f>
        <v>71.992000000000004</v>
      </c>
      <c r="N183" t="str">
        <f>IF(SalesData[[#This Row],[Profit]]&gt;0,"Profit","Loss")</f>
        <v>Loss</v>
      </c>
    </row>
    <row r="184" spans="1:14" x14ac:dyDescent="0.3">
      <c r="A184" t="s">
        <v>2842</v>
      </c>
      <c r="B184" s="3">
        <v>42775</v>
      </c>
      <c r="C184" t="s">
        <v>46</v>
      </c>
      <c r="D184" t="s">
        <v>21</v>
      </c>
      <c r="E184" t="s">
        <v>1045</v>
      </c>
      <c r="F184" s="1">
        <v>1577.94</v>
      </c>
      <c r="G184">
        <v>3</v>
      </c>
      <c r="H184" s="1">
        <v>757.41120000000001</v>
      </c>
      <c r="I184" s="4">
        <f>SalesData[[#This Row],[Profit]]/SalesData[[#This Row],[Sales]]</f>
        <v>0.48</v>
      </c>
      <c r="J184">
        <f>YEAR(SalesData[[#This Row],[Order Date]])</f>
        <v>2017</v>
      </c>
      <c r="K184" t="str">
        <f>TEXT(SalesData[[#This Row],[Order Date]],"mmm")</f>
        <v>Feb</v>
      </c>
      <c r="L184">
        <f>MONTH(SalesData[[#This Row],[Order Date]])</f>
        <v>2</v>
      </c>
      <c r="M184">
        <f>SalesData[[#This Row],[Sales]]/SalesData[[#This Row],[Quantity]]</f>
        <v>525.98</v>
      </c>
      <c r="N184" t="str">
        <f>IF(SalesData[[#This Row],[Profit]]&gt;0,"Profit","Loss")</f>
        <v>Profit</v>
      </c>
    </row>
    <row r="185" spans="1:14" x14ac:dyDescent="0.3">
      <c r="A185" t="s">
        <v>2843</v>
      </c>
      <c r="B185" s="3">
        <v>42775</v>
      </c>
      <c r="C185" t="s">
        <v>13</v>
      </c>
      <c r="D185" t="s">
        <v>21</v>
      </c>
      <c r="E185" t="s">
        <v>359</v>
      </c>
      <c r="F185" s="1">
        <v>11.696</v>
      </c>
      <c r="G185">
        <v>2</v>
      </c>
      <c r="H185" s="1">
        <v>3.9474</v>
      </c>
      <c r="I185" s="4">
        <f>SalesData[[#This Row],[Profit]]/SalesData[[#This Row],[Sales]]</f>
        <v>0.33750000000000002</v>
      </c>
      <c r="J185">
        <f>YEAR(SalesData[[#This Row],[Order Date]])</f>
        <v>2017</v>
      </c>
      <c r="K185" t="str">
        <f>TEXT(SalesData[[#This Row],[Order Date]],"mmm")</f>
        <v>Feb</v>
      </c>
      <c r="L185">
        <f>MONTH(SalesData[[#This Row],[Order Date]])</f>
        <v>2</v>
      </c>
      <c r="M185">
        <f>SalesData[[#This Row],[Sales]]/SalesData[[#This Row],[Quantity]]</f>
        <v>5.8479999999999999</v>
      </c>
      <c r="N185" t="str">
        <f>IF(SalesData[[#This Row],[Profit]]&gt;0,"Profit","Loss")</f>
        <v>Profit</v>
      </c>
    </row>
    <row r="186" spans="1:14" x14ac:dyDescent="0.3">
      <c r="A186" t="s">
        <v>2844</v>
      </c>
      <c r="B186" s="3">
        <v>42775</v>
      </c>
      <c r="C186" t="s">
        <v>13</v>
      </c>
      <c r="D186" t="s">
        <v>21</v>
      </c>
      <c r="E186" t="s">
        <v>1489</v>
      </c>
      <c r="F186" s="1">
        <v>43.1</v>
      </c>
      <c r="G186">
        <v>5</v>
      </c>
      <c r="H186" s="1">
        <v>11.206</v>
      </c>
      <c r="I186" s="4">
        <f>SalesData[[#This Row],[Profit]]/SalesData[[#This Row],[Sales]]</f>
        <v>0.25999999999999995</v>
      </c>
      <c r="J186">
        <f>YEAR(SalesData[[#This Row],[Order Date]])</f>
        <v>2017</v>
      </c>
      <c r="K186" t="str">
        <f>TEXT(SalesData[[#This Row],[Order Date]],"mmm")</f>
        <v>Feb</v>
      </c>
      <c r="L186">
        <f>MONTH(SalesData[[#This Row],[Order Date]])</f>
        <v>2</v>
      </c>
      <c r="M186">
        <f>SalesData[[#This Row],[Sales]]/SalesData[[#This Row],[Quantity]]</f>
        <v>8.620000000000001</v>
      </c>
      <c r="N186" t="str">
        <f>IF(SalesData[[#This Row],[Profit]]&gt;0,"Profit","Loss")</f>
        <v>Profit</v>
      </c>
    </row>
    <row r="187" spans="1:14" x14ac:dyDescent="0.3">
      <c r="A187" t="s">
        <v>2844</v>
      </c>
      <c r="B187" s="3">
        <v>42775</v>
      </c>
      <c r="C187" t="s">
        <v>13</v>
      </c>
      <c r="D187" t="s">
        <v>14</v>
      </c>
      <c r="E187" t="s">
        <v>2845</v>
      </c>
      <c r="F187" s="1">
        <v>511.5</v>
      </c>
      <c r="G187">
        <v>5</v>
      </c>
      <c r="H187" s="1">
        <v>132.99</v>
      </c>
      <c r="I187" s="4">
        <f>SalesData[[#This Row],[Profit]]/SalesData[[#This Row],[Sales]]</f>
        <v>0.26</v>
      </c>
      <c r="J187">
        <f>YEAR(SalesData[[#This Row],[Order Date]])</f>
        <v>2017</v>
      </c>
      <c r="K187" t="str">
        <f>TEXT(SalesData[[#This Row],[Order Date]],"mmm")</f>
        <v>Feb</v>
      </c>
      <c r="L187">
        <f>MONTH(SalesData[[#This Row],[Order Date]])</f>
        <v>2</v>
      </c>
      <c r="M187">
        <f>SalesData[[#This Row],[Sales]]/SalesData[[#This Row],[Quantity]]</f>
        <v>102.3</v>
      </c>
      <c r="N187" t="str">
        <f>IF(SalesData[[#This Row],[Profit]]&gt;0,"Profit","Loss")</f>
        <v>Profit</v>
      </c>
    </row>
    <row r="188" spans="1:14" x14ac:dyDescent="0.3">
      <c r="A188" t="s">
        <v>2844</v>
      </c>
      <c r="B188" s="3">
        <v>42775</v>
      </c>
      <c r="C188" t="s">
        <v>13</v>
      </c>
      <c r="D188" t="s">
        <v>21</v>
      </c>
      <c r="E188" t="s">
        <v>2022</v>
      </c>
      <c r="F188" s="1">
        <v>147.91999999999999</v>
      </c>
      <c r="G188">
        <v>5</v>
      </c>
      <c r="H188" s="1">
        <v>46.225000000000001</v>
      </c>
      <c r="I188" s="4">
        <f>SalesData[[#This Row],[Profit]]/SalesData[[#This Row],[Sales]]</f>
        <v>0.31250000000000006</v>
      </c>
      <c r="J188">
        <f>YEAR(SalesData[[#This Row],[Order Date]])</f>
        <v>2017</v>
      </c>
      <c r="K188" t="str">
        <f>TEXT(SalesData[[#This Row],[Order Date]],"mmm")</f>
        <v>Feb</v>
      </c>
      <c r="L188">
        <f>MONTH(SalesData[[#This Row],[Order Date]])</f>
        <v>2</v>
      </c>
      <c r="M188">
        <f>SalesData[[#This Row],[Sales]]/SalesData[[#This Row],[Quantity]]</f>
        <v>29.583999999999996</v>
      </c>
      <c r="N188" t="str">
        <f>IF(SalesData[[#This Row],[Profit]]&gt;0,"Profit","Loss")</f>
        <v>Profit</v>
      </c>
    </row>
    <row r="189" spans="1:14" x14ac:dyDescent="0.3">
      <c r="A189" t="s">
        <v>2846</v>
      </c>
      <c r="B189" s="3">
        <v>42776</v>
      </c>
      <c r="C189" t="s">
        <v>9</v>
      </c>
      <c r="D189" t="s">
        <v>21</v>
      </c>
      <c r="E189" t="s">
        <v>2802</v>
      </c>
      <c r="F189" s="1">
        <v>58.05</v>
      </c>
      <c r="G189">
        <v>3</v>
      </c>
      <c r="H189" s="1">
        <v>26.702999999999999</v>
      </c>
      <c r="I189" s="4">
        <f>SalesData[[#This Row],[Profit]]/SalesData[[#This Row],[Sales]]</f>
        <v>0.46</v>
      </c>
      <c r="J189">
        <f>YEAR(SalesData[[#This Row],[Order Date]])</f>
        <v>2017</v>
      </c>
      <c r="K189" t="str">
        <f>TEXT(SalesData[[#This Row],[Order Date]],"mmm")</f>
        <v>Feb</v>
      </c>
      <c r="L189">
        <f>MONTH(SalesData[[#This Row],[Order Date]])</f>
        <v>2</v>
      </c>
      <c r="M189">
        <f>SalesData[[#This Row],[Sales]]/SalesData[[#This Row],[Quantity]]</f>
        <v>19.349999999999998</v>
      </c>
      <c r="N189" t="str">
        <f>IF(SalesData[[#This Row],[Profit]]&gt;0,"Profit","Loss")</f>
        <v>Profit</v>
      </c>
    </row>
    <row r="190" spans="1:14" x14ac:dyDescent="0.3">
      <c r="A190" t="s">
        <v>2846</v>
      </c>
      <c r="B190" s="3">
        <v>42776</v>
      </c>
      <c r="C190" t="s">
        <v>9</v>
      </c>
      <c r="D190" t="s">
        <v>14</v>
      </c>
      <c r="E190" t="s">
        <v>2847</v>
      </c>
      <c r="F190" s="1">
        <v>157.74</v>
      </c>
      <c r="G190">
        <v>11</v>
      </c>
      <c r="H190" s="1">
        <v>56.7864</v>
      </c>
      <c r="I190" s="4">
        <f>SalesData[[#This Row],[Profit]]/SalesData[[#This Row],[Sales]]</f>
        <v>0.36</v>
      </c>
      <c r="J190">
        <f>YEAR(SalesData[[#This Row],[Order Date]])</f>
        <v>2017</v>
      </c>
      <c r="K190" t="str">
        <f>TEXT(SalesData[[#This Row],[Order Date]],"mmm")</f>
        <v>Feb</v>
      </c>
      <c r="L190">
        <f>MONTH(SalesData[[#This Row],[Order Date]])</f>
        <v>2</v>
      </c>
      <c r="M190">
        <f>SalesData[[#This Row],[Sales]]/SalesData[[#This Row],[Quantity]]</f>
        <v>14.340000000000002</v>
      </c>
      <c r="N190" t="str">
        <f>IF(SalesData[[#This Row],[Profit]]&gt;0,"Profit","Loss")</f>
        <v>Profit</v>
      </c>
    </row>
    <row r="191" spans="1:14" x14ac:dyDescent="0.3">
      <c r="A191" t="s">
        <v>2846</v>
      </c>
      <c r="B191" s="3">
        <v>42776</v>
      </c>
      <c r="C191" t="s">
        <v>9</v>
      </c>
      <c r="D191" t="s">
        <v>21</v>
      </c>
      <c r="E191" t="s">
        <v>383</v>
      </c>
      <c r="F191" s="1">
        <v>56.98</v>
      </c>
      <c r="G191">
        <v>7</v>
      </c>
      <c r="H191" s="1">
        <v>22.792000000000002</v>
      </c>
      <c r="I191" s="4">
        <f>SalesData[[#This Row],[Profit]]/SalesData[[#This Row],[Sales]]</f>
        <v>0.4</v>
      </c>
      <c r="J191">
        <f>YEAR(SalesData[[#This Row],[Order Date]])</f>
        <v>2017</v>
      </c>
      <c r="K191" t="str">
        <f>TEXT(SalesData[[#This Row],[Order Date]],"mmm")</f>
        <v>Feb</v>
      </c>
      <c r="L191">
        <f>MONTH(SalesData[[#This Row],[Order Date]])</f>
        <v>2</v>
      </c>
      <c r="M191">
        <f>SalesData[[#This Row],[Sales]]/SalesData[[#This Row],[Quantity]]</f>
        <v>8.1399999999999988</v>
      </c>
      <c r="N191" t="str">
        <f>IF(SalesData[[#This Row],[Profit]]&gt;0,"Profit","Loss")</f>
        <v>Profit</v>
      </c>
    </row>
    <row r="192" spans="1:14" x14ac:dyDescent="0.3">
      <c r="A192" t="s">
        <v>2846</v>
      </c>
      <c r="B192" s="3">
        <v>42776</v>
      </c>
      <c r="C192" t="s">
        <v>9</v>
      </c>
      <c r="D192" t="s">
        <v>21</v>
      </c>
      <c r="E192" t="s">
        <v>56</v>
      </c>
      <c r="F192" s="1">
        <v>2.88</v>
      </c>
      <c r="G192">
        <v>1</v>
      </c>
      <c r="H192" s="1">
        <v>1.4112</v>
      </c>
      <c r="I192" s="4">
        <f>SalesData[[#This Row],[Profit]]/SalesData[[#This Row],[Sales]]</f>
        <v>0.49000000000000005</v>
      </c>
      <c r="J192">
        <f>YEAR(SalesData[[#This Row],[Order Date]])</f>
        <v>2017</v>
      </c>
      <c r="K192" t="str">
        <f>TEXT(SalesData[[#This Row],[Order Date]],"mmm")</f>
        <v>Feb</v>
      </c>
      <c r="L192">
        <f>MONTH(SalesData[[#This Row],[Order Date]])</f>
        <v>2</v>
      </c>
      <c r="M192">
        <f>SalesData[[#This Row],[Sales]]/SalesData[[#This Row],[Quantity]]</f>
        <v>2.88</v>
      </c>
      <c r="N192" t="str">
        <f>IF(SalesData[[#This Row],[Profit]]&gt;0,"Profit","Loss")</f>
        <v>Profit</v>
      </c>
    </row>
    <row r="193" spans="1:14" x14ac:dyDescent="0.3">
      <c r="A193" t="s">
        <v>2848</v>
      </c>
      <c r="B193" s="3">
        <v>42776</v>
      </c>
      <c r="C193" t="s">
        <v>17</v>
      </c>
      <c r="D193" t="s">
        <v>21</v>
      </c>
      <c r="E193" t="s">
        <v>2718</v>
      </c>
      <c r="F193" s="1">
        <v>49.12</v>
      </c>
      <c r="G193">
        <v>4</v>
      </c>
      <c r="H193" s="1">
        <v>23.086400000000001</v>
      </c>
      <c r="I193" s="4">
        <f>SalesData[[#This Row],[Profit]]/SalesData[[#This Row],[Sales]]</f>
        <v>0.47000000000000003</v>
      </c>
      <c r="J193">
        <f>YEAR(SalesData[[#This Row],[Order Date]])</f>
        <v>2017</v>
      </c>
      <c r="K193" t="str">
        <f>TEXT(SalesData[[#This Row],[Order Date]],"mmm")</f>
        <v>Feb</v>
      </c>
      <c r="L193">
        <f>MONTH(SalesData[[#This Row],[Order Date]])</f>
        <v>2</v>
      </c>
      <c r="M193">
        <f>SalesData[[#This Row],[Sales]]/SalesData[[#This Row],[Quantity]]</f>
        <v>12.28</v>
      </c>
      <c r="N193" t="str">
        <f>IF(SalesData[[#This Row],[Profit]]&gt;0,"Profit","Loss")</f>
        <v>Profit</v>
      </c>
    </row>
    <row r="194" spans="1:14" x14ac:dyDescent="0.3">
      <c r="A194" t="s">
        <v>2849</v>
      </c>
      <c r="B194" s="3">
        <v>42776</v>
      </c>
      <c r="C194" t="s">
        <v>17</v>
      </c>
      <c r="D194" t="s">
        <v>10</v>
      </c>
      <c r="E194" t="s">
        <v>2850</v>
      </c>
      <c r="F194" s="1">
        <v>65.989999999999995</v>
      </c>
      <c r="G194">
        <v>1</v>
      </c>
      <c r="H194" s="1">
        <v>17.157399999999999</v>
      </c>
      <c r="I194" s="4">
        <f>SalesData[[#This Row],[Profit]]/SalesData[[#This Row],[Sales]]</f>
        <v>0.26</v>
      </c>
      <c r="J194">
        <f>YEAR(SalesData[[#This Row],[Order Date]])</f>
        <v>2017</v>
      </c>
      <c r="K194" t="str">
        <f>TEXT(SalesData[[#This Row],[Order Date]],"mmm")</f>
        <v>Feb</v>
      </c>
      <c r="L194">
        <f>MONTH(SalesData[[#This Row],[Order Date]])</f>
        <v>2</v>
      </c>
      <c r="M194">
        <f>SalesData[[#This Row],[Sales]]/SalesData[[#This Row],[Quantity]]</f>
        <v>65.989999999999995</v>
      </c>
      <c r="N194" t="str">
        <f>IF(SalesData[[#This Row],[Profit]]&gt;0,"Profit","Loss")</f>
        <v>Profit</v>
      </c>
    </row>
    <row r="195" spans="1:14" x14ac:dyDescent="0.3">
      <c r="A195" t="s">
        <v>2851</v>
      </c>
      <c r="B195" s="3">
        <v>42776</v>
      </c>
      <c r="C195" t="s">
        <v>13</v>
      </c>
      <c r="D195" t="s">
        <v>21</v>
      </c>
      <c r="E195" t="s">
        <v>83</v>
      </c>
      <c r="F195" s="1">
        <v>8.94</v>
      </c>
      <c r="G195">
        <v>3</v>
      </c>
      <c r="H195" s="1">
        <v>4.1124000000000001</v>
      </c>
      <c r="I195" s="4">
        <f>SalesData[[#This Row],[Profit]]/SalesData[[#This Row],[Sales]]</f>
        <v>0.46</v>
      </c>
      <c r="J195">
        <f>YEAR(SalesData[[#This Row],[Order Date]])</f>
        <v>2017</v>
      </c>
      <c r="K195" t="str">
        <f>TEXT(SalesData[[#This Row],[Order Date]],"mmm")</f>
        <v>Feb</v>
      </c>
      <c r="L195">
        <f>MONTH(SalesData[[#This Row],[Order Date]])</f>
        <v>2</v>
      </c>
      <c r="M195">
        <f>SalesData[[#This Row],[Sales]]/SalesData[[#This Row],[Quantity]]</f>
        <v>2.98</v>
      </c>
      <c r="N195" t="str">
        <f>IF(SalesData[[#This Row],[Profit]]&gt;0,"Profit","Loss")</f>
        <v>Profit</v>
      </c>
    </row>
    <row r="196" spans="1:14" x14ac:dyDescent="0.3">
      <c r="A196" t="s">
        <v>2851</v>
      </c>
      <c r="B196" s="3">
        <v>42776</v>
      </c>
      <c r="C196" t="s">
        <v>13</v>
      </c>
      <c r="D196" t="s">
        <v>10</v>
      </c>
      <c r="E196" t="s">
        <v>2852</v>
      </c>
      <c r="F196" s="1">
        <v>84.784000000000006</v>
      </c>
      <c r="G196">
        <v>2</v>
      </c>
      <c r="H196" s="1">
        <v>-20.136199999999999</v>
      </c>
      <c r="I196" s="4">
        <f>SalesData[[#This Row],[Profit]]/SalesData[[#This Row],[Sales]]</f>
        <v>-0.23749999999999996</v>
      </c>
      <c r="J196">
        <f>YEAR(SalesData[[#This Row],[Order Date]])</f>
        <v>2017</v>
      </c>
      <c r="K196" t="str">
        <f>TEXT(SalesData[[#This Row],[Order Date]],"mmm")</f>
        <v>Feb</v>
      </c>
      <c r="L196">
        <f>MONTH(SalesData[[#This Row],[Order Date]])</f>
        <v>2</v>
      </c>
      <c r="M196">
        <f>SalesData[[#This Row],[Sales]]/SalesData[[#This Row],[Quantity]]</f>
        <v>42.392000000000003</v>
      </c>
      <c r="N196" t="str">
        <f>IF(SalesData[[#This Row],[Profit]]&gt;0,"Profit","Loss")</f>
        <v>Loss</v>
      </c>
    </row>
    <row r="197" spans="1:14" x14ac:dyDescent="0.3">
      <c r="A197" t="s">
        <v>2853</v>
      </c>
      <c r="B197" s="3">
        <v>42776</v>
      </c>
      <c r="C197" t="s">
        <v>13</v>
      </c>
      <c r="D197" t="s">
        <v>21</v>
      </c>
      <c r="E197" t="s">
        <v>999</v>
      </c>
      <c r="F197" s="1">
        <v>112.12</v>
      </c>
      <c r="G197">
        <v>5</v>
      </c>
      <c r="H197" s="1">
        <v>42.045000000000002</v>
      </c>
      <c r="I197" s="4">
        <f>SalesData[[#This Row],[Profit]]/SalesData[[#This Row],[Sales]]</f>
        <v>0.375</v>
      </c>
      <c r="J197">
        <f>YEAR(SalesData[[#This Row],[Order Date]])</f>
        <v>2017</v>
      </c>
      <c r="K197" t="str">
        <f>TEXT(SalesData[[#This Row],[Order Date]],"mmm")</f>
        <v>Feb</v>
      </c>
      <c r="L197">
        <f>MONTH(SalesData[[#This Row],[Order Date]])</f>
        <v>2</v>
      </c>
      <c r="M197">
        <f>SalesData[[#This Row],[Sales]]/SalesData[[#This Row],[Quantity]]</f>
        <v>22.423999999999999</v>
      </c>
      <c r="N197" t="str">
        <f>IF(SalesData[[#This Row],[Profit]]&gt;0,"Profit","Loss")</f>
        <v>Profit</v>
      </c>
    </row>
    <row r="198" spans="1:14" x14ac:dyDescent="0.3">
      <c r="A198" t="s">
        <v>2853</v>
      </c>
      <c r="B198" s="3">
        <v>42776</v>
      </c>
      <c r="C198" t="s">
        <v>13</v>
      </c>
      <c r="D198" t="s">
        <v>21</v>
      </c>
      <c r="E198" t="s">
        <v>460</v>
      </c>
      <c r="F198" s="1">
        <v>1575.14</v>
      </c>
      <c r="G198">
        <v>7</v>
      </c>
      <c r="H198" s="1">
        <v>204.76820000000001</v>
      </c>
      <c r="I198" s="4">
        <f>SalesData[[#This Row],[Profit]]/SalesData[[#This Row],[Sales]]</f>
        <v>0.13</v>
      </c>
      <c r="J198">
        <f>YEAR(SalesData[[#This Row],[Order Date]])</f>
        <v>2017</v>
      </c>
      <c r="K198" t="str">
        <f>TEXT(SalesData[[#This Row],[Order Date]],"mmm")</f>
        <v>Feb</v>
      </c>
      <c r="L198">
        <f>MONTH(SalesData[[#This Row],[Order Date]])</f>
        <v>2</v>
      </c>
      <c r="M198">
        <f>SalesData[[#This Row],[Sales]]/SalesData[[#This Row],[Quantity]]</f>
        <v>225.02</v>
      </c>
      <c r="N198" t="str">
        <f>IF(SalesData[[#This Row],[Profit]]&gt;0,"Profit","Loss")</f>
        <v>Profit</v>
      </c>
    </row>
    <row r="199" spans="1:14" x14ac:dyDescent="0.3">
      <c r="A199" t="s">
        <v>2854</v>
      </c>
      <c r="B199" s="3">
        <v>42776</v>
      </c>
      <c r="C199" t="s">
        <v>46</v>
      </c>
      <c r="D199" t="s">
        <v>14</v>
      </c>
      <c r="E199" t="s">
        <v>1356</v>
      </c>
      <c r="F199" s="1">
        <v>11.808</v>
      </c>
      <c r="G199">
        <v>2</v>
      </c>
      <c r="H199" s="1">
        <v>1.3284</v>
      </c>
      <c r="I199" s="4">
        <f>SalesData[[#This Row],[Profit]]/SalesData[[#This Row],[Sales]]</f>
        <v>0.1125</v>
      </c>
      <c r="J199">
        <f>YEAR(SalesData[[#This Row],[Order Date]])</f>
        <v>2017</v>
      </c>
      <c r="K199" t="str">
        <f>TEXT(SalesData[[#This Row],[Order Date]],"mmm")</f>
        <v>Feb</v>
      </c>
      <c r="L199">
        <f>MONTH(SalesData[[#This Row],[Order Date]])</f>
        <v>2</v>
      </c>
      <c r="M199">
        <f>SalesData[[#This Row],[Sales]]/SalesData[[#This Row],[Quantity]]</f>
        <v>5.9039999999999999</v>
      </c>
      <c r="N199" t="str">
        <f>IF(SalesData[[#This Row],[Profit]]&gt;0,"Profit","Loss")</f>
        <v>Profit</v>
      </c>
    </row>
    <row r="200" spans="1:14" x14ac:dyDescent="0.3">
      <c r="A200" t="s">
        <v>2854</v>
      </c>
      <c r="B200" s="3">
        <v>42776</v>
      </c>
      <c r="C200" t="s">
        <v>46</v>
      </c>
      <c r="D200" t="s">
        <v>14</v>
      </c>
      <c r="E200" t="s">
        <v>1898</v>
      </c>
      <c r="F200" s="1">
        <v>9.6560000000000006</v>
      </c>
      <c r="G200">
        <v>1</v>
      </c>
      <c r="H200" s="1">
        <v>1.5690999999999999</v>
      </c>
      <c r="I200" s="4">
        <f>SalesData[[#This Row],[Profit]]/SalesData[[#This Row],[Sales]]</f>
        <v>0.16249999999999998</v>
      </c>
      <c r="J200">
        <f>YEAR(SalesData[[#This Row],[Order Date]])</f>
        <v>2017</v>
      </c>
      <c r="K200" t="str">
        <f>TEXT(SalesData[[#This Row],[Order Date]],"mmm")</f>
        <v>Feb</v>
      </c>
      <c r="L200">
        <f>MONTH(SalesData[[#This Row],[Order Date]])</f>
        <v>2</v>
      </c>
      <c r="M200">
        <f>SalesData[[#This Row],[Sales]]/SalesData[[#This Row],[Quantity]]</f>
        <v>9.6560000000000006</v>
      </c>
      <c r="N200" t="str">
        <f>IF(SalesData[[#This Row],[Profit]]&gt;0,"Profit","Loss")</f>
        <v>Profit</v>
      </c>
    </row>
    <row r="201" spans="1:14" x14ac:dyDescent="0.3">
      <c r="A201" t="s">
        <v>2854</v>
      </c>
      <c r="B201" s="3">
        <v>42776</v>
      </c>
      <c r="C201" t="s">
        <v>46</v>
      </c>
      <c r="D201" t="s">
        <v>21</v>
      </c>
      <c r="E201" t="s">
        <v>2566</v>
      </c>
      <c r="F201" s="1">
        <v>20.736000000000001</v>
      </c>
      <c r="G201">
        <v>4</v>
      </c>
      <c r="H201" s="1">
        <v>7.2576000000000001</v>
      </c>
      <c r="I201" s="4">
        <f>SalesData[[#This Row],[Profit]]/SalesData[[#This Row],[Sales]]</f>
        <v>0.35</v>
      </c>
      <c r="J201">
        <f>YEAR(SalesData[[#This Row],[Order Date]])</f>
        <v>2017</v>
      </c>
      <c r="K201" t="str">
        <f>TEXT(SalesData[[#This Row],[Order Date]],"mmm")</f>
        <v>Feb</v>
      </c>
      <c r="L201">
        <f>MONTH(SalesData[[#This Row],[Order Date]])</f>
        <v>2</v>
      </c>
      <c r="M201">
        <f>SalesData[[#This Row],[Sales]]/SalesData[[#This Row],[Quantity]]</f>
        <v>5.1840000000000002</v>
      </c>
      <c r="N201" t="str">
        <f>IF(SalesData[[#This Row],[Profit]]&gt;0,"Profit","Loss")</f>
        <v>Profit</v>
      </c>
    </row>
    <row r="202" spans="1:14" x14ac:dyDescent="0.3">
      <c r="A202" t="s">
        <v>2854</v>
      </c>
      <c r="B202" s="3">
        <v>42776</v>
      </c>
      <c r="C202" t="s">
        <v>46</v>
      </c>
      <c r="D202" t="s">
        <v>21</v>
      </c>
      <c r="E202" t="s">
        <v>2136</v>
      </c>
      <c r="F202" s="1">
        <v>27.36</v>
      </c>
      <c r="G202">
        <v>3</v>
      </c>
      <c r="H202" s="1">
        <v>-21.888000000000002</v>
      </c>
      <c r="I202" s="4">
        <f>SalesData[[#This Row],[Profit]]/SalesData[[#This Row],[Sales]]</f>
        <v>-0.8</v>
      </c>
      <c r="J202">
        <f>YEAR(SalesData[[#This Row],[Order Date]])</f>
        <v>2017</v>
      </c>
      <c r="K202" t="str">
        <f>TEXT(SalesData[[#This Row],[Order Date]],"mmm")</f>
        <v>Feb</v>
      </c>
      <c r="L202">
        <f>MONTH(SalesData[[#This Row],[Order Date]])</f>
        <v>2</v>
      </c>
      <c r="M202">
        <f>SalesData[[#This Row],[Sales]]/SalesData[[#This Row],[Quantity]]</f>
        <v>9.1199999999999992</v>
      </c>
      <c r="N202" t="str">
        <f>IF(SalesData[[#This Row],[Profit]]&gt;0,"Profit","Loss")</f>
        <v>Loss</v>
      </c>
    </row>
    <row r="203" spans="1:14" x14ac:dyDescent="0.3">
      <c r="A203" t="s">
        <v>2854</v>
      </c>
      <c r="B203" s="3">
        <v>42776</v>
      </c>
      <c r="C203" t="s">
        <v>46</v>
      </c>
      <c r="D203" t="s">
        <v>14</v>
      </c>
      <c r="E203" t="s">
        <v>2855</v>
      </c>
      <c r="F203" s="1">
        <v>2314.116</v>
      </c>
      <c r="G203">
        <v>7</v>
      </c>
      <c r="H203" s="1">
        <v>-1002.7836</v>
      </c>
      <c r="I203" s="4">
        <f>SalesData[[#This Row],[Profit]]/SalesData[[#This Row],[Sales]]</f>
        <v>-0.43333333333333335</v>
      </c>
      <c r="J203">
        <f>YEAR(SalesData[[#This Row],[Order Date]])</f>
        <v>2017</v>
      </c>
      <c r="K203" t="str">
        <f>TEXT(SalesData[[#This Row],[Order Date]],"mmm")</f>
        <v>Feb</v>
      </c>
      <c r="L203">
        <f>MONTH(SalesData[[#This Row],[Order Date]])</f>
        <v>2</v>
      </c>
      <c r="M203">
        <f>SalesData[[#This Row],[Sales]]/SalesData[[#This Row],[Quantity]]</f>
        <v>330.58800000000002</v>
      </c>
      <c r="N203" t="str">
        <f>IF(SalesData[[#This Row],[Profit]]&gt;0,"Profit","Loss")</f>
        <v>Loss</v>
      </c>
    </row>
    <row r="204" spans="1:14" x14ac:dyDescent="0.3">
      <c r="A204" t="s">
        <v>2854</v>
      </c>
      <c r="B204" s="3">
        <v>42776</v>
      </c>
      <c r="C204" t="s">
        <v>46</v>
      </c>
      <c r="D204" t="s">
        <v>21</v>
      </c>
      <c r="E204" t="s">
        <v>2856</v>
      </c>
      <c r="F204" s="1">
        <v>34.235999999999997</v>
      </c>
      <c r="G204">
        <v>4</v>
      </c>
      <c r="H204" s="1">
        <v>-26.247599999999998</v>
      </c>
      <c r="I204" s="4">
        <f>SalesData[[#This Row],[Profit]]/SalesData[[#This Row],[Sales]]</f>
        <v>-0.76666666666666672</v>
      </c>
      <c r="J204">
        <f>YEAR(SalesData[[#This Row],[Order Date]])</f>
        <v>2017</v>
      </c>
      <c r="K204" t="str">
        <f>TEXT(SalesData[[#This Row],[Order Date]],"mmm")</f>
        <v>Feb</v>
      </c>
      <c r="L204">
        <f>MONTH(SalesData[[#This Row],[Order Date]])</f>
        <v>2</v>
      </c>
      <c r="M204">
        <f>SalesData[[#This Row],[Sales]]/SalesData[[#This Row],[Quantity]]</f>
        <v>8.5589999999999993</v>
      </c>
      <c r="N204" t="str">
        <f>IF(SalesData[[#This Row],[Profit]]&gt;0,"Profit","Loss")</f>
        <v>Loss</v>
      </c>
    </row>
    <row r="205" spans="1:14" x14ac:dyDescent="0.3">
      <c r="A205" t="s">
        <v>2854</v>
      </c>
      <c r="B205" s="3">
        <v>42776</v>
      </c>
      <c r="C205" t="s">
        <v>46</v>
      </c>
      <c r="D205" t="s">
        <v>14</v>
      </c>
      <c r="E205" t="s">
        <v>925</v>
      </c>
      <c r="F205" s="1">
        <v>19.760000000000002</v>
      </c>
      <c r="G205">
        <v>2</v>
      </c>
      <c r="H205" s="1">
        <v>5.9279999999999999</v>
      </c>
      <c r="I205" s="4">
        <f>SalesData[[#This Row],[Profit]]/SalesData[[#This Row],[Sales]]</f>
        <v>0.3</v>
      </c>
      <c r="J205">
        <f>YEAR(SalesData[[#This Row],[Order Date]])</f>
        <v>2017</v>
      </c>
      <c r="K205" t="str">
        <f>TEXT(SalesData[[#This Row],[Order Date]],"mmm")</f>
        <v>Feb</v>
      </c>
      <c r="L205">
        <f>MONTH(SalesData[[#This Row],[Order Date]])</f>
        <v>2</v>
      </c>
      <c r="M205">
        <f>SalesData[[#This Row],[Sales]]/SalesData[[#This Row],[Quantity]]</f>
        <v>9.8800000000000008</v>
      </c>
      <c r="N205" t="str">
        <f>IF(SalesData[[#This Row],[Profit]]&gt;0,"Profit","Loss")</f>
        <v>Profit</v>
      </c>
    </row>
    <row r="206" spans="1:14" x14ac:dyDescent="0.3">
      <c r="A206" t="s">
        <v>2857</v>
      </c>
      <c r="B206" s="3">
        <v>42776</v>
      </c>
      <c r="C206" t="s">
        <v>46</v>
      </c>
      <c r="D206" t="s">
        <v>14</v>
      </c>
      <c r="E206" t="s">
        <v>2858</v>
      </c>
      <c r="F206" s="1">
        <v>10.16</v>
      </c>
      <c r="G206">
        <v>2</v>
      </c>
      <c r="H206" s="1">
        <v>3.4544000000000001</v>
      </c>
      <c r="I206" s="4">
        <f>SalesData[[#This Row],[Profit]]/SalesData[[#This Row],[Sales]]</f>
        <v>0.34</v>
      </c>
      <c r="J206">
        <f>YEAR(SalesData[[#This Row],[Order Date]])</f>
        <v>2017</v>
      </c>
      <c r="K206" t="str">
        <f>TEXT(SalesData[[#This Row],[Order Date]],"mmm")</f>
        <v>Feb</v>
      </c>
      <c r="L206">
        <f>MONTH(SalesData[[#This Row],[Order Date]])</f>
        <v>2</v>
      </c>
      <c r="M206">
        <f>SalesData[[#This Row],[Sales]]/SalesData[[#This Row],[Quantity]]</f>
        <v>5.08</v>
      </c>
      <c r="N206" t="str">
        <f>IF(SalesData[[#This Row],[Profit]]&gt;0,"Profit","Loss")</f>
        <v>Profit</v>
      </c>
    </row>
    <row r="207" spans="1:14" x14ac:dyDescent="0.3">
      <c r="A207" t="s">
        <v>2859</v>
      </c>
      <c r="B207" s="3">
        <v>42776</v>
      </c>
      <c r="C207" t="s">
        <v>13</v>
      </c>
      <c r="D207" t="s">
        <v>14</v>
      </c>
      <c r="E207" t="s">
        <v>228</v>
      </c>
      <c r="F207" s="1">
        <v>217.76400000000001</v>
      </c>
      <c r="G207">
        <v>6</v>
      </c>
      <c r="H207" s="1">
        <v>-384.71640000000002</v>
      </c>
      <c r="I207" s="4">
        <f>SalesData[[#This Row],[Profit]]/SalesData[[#This Row],[Sales]]</f>
        <v>-1.7666666666666666</v>
      </c>
      <c r="J207">
        <f>YEAR(SalesData[[#This Row],[Order Date]])</f>
        <v>2017</v>
      </c>
      <c r="K207" t="str">
        <f>TEXT(SalesData[[#This Row],[Order Date]],"mmm")</f>
        <v>Feb</v>
      </c>
      <c r="L207">
        <f>MONTH(SalesData[[#This Row],[Order Date]])</f>
        <v>2</v>
      </c>
      <c r="M207">
        <f>SalesData[[#This Row],[Sales]]/SalesData[[#This Row],[Quantity]]</f>
        <v>36.294000000000004</v>
      </c>
      <c r="N207" t="str">
        <f>IF(SalesData[[#This Row],[Profit]]&gt;0,"Profit","Loss")</f>
        <v>Loss</v>
      </c>
    </row>
    <row r="208" spans="1:14" x14ac:dyDescent="0.3">
      <c r="A208" t="s">
        <v>2859</v>
      </c>
      <c r="B208" s="3">
        <v>42776</v>
      </c>
      <c r="C208" t="s">
        <v>13</v>
      </c>
      <c r="D208" t="s">
        <v>21</v>
      </c>
      <c r="E208" t="s">
        <v>1932</v>
      </c>
      <c r="F208" s="1">
        <v>39.072000000000003</v>
      </c>
      <c r="G208">
        <v>6</v>
      </c>
      <c r="H208" s="1">
        <v>4.3956</v>
      </c>
      <c r="I208" s="4">
        <f>SalesData[[#This Row],[Profit]]/SalesData[[#This Row],[Sales]]</f>
        <v>0.11249999999999999</v>
      </c>
      <c r="J208">
        <f>YEAR(SalesData[[#This Row],[Order Date]])</f>
        <v>2017</v>
      </c>
      <c r="K208" t="str">
        <f>TEXT(SalesData[[#This Row],[Order Date]],"mmm")</f>
        <v>Feb</v>
      </c>
      <c r="L208">
        <f>MONTH(SalesData[[#This Row],[Order Date]])</f>
        <v>2</v>
      </c>
      <c r="M208">
        <f>SalesData[[#This Row],[Sales]]/SalesData[[#This Row],[Quantity]]</f>
        <v>6.5120000000000005</v>
      </c>
      <c r="N208" t="str">
        <f>IF(SalesData[[#This Row],[Profit]]&gt;0,"Profit","Loss")</f>
        <v>Profit</v>
      </c>
    </row>
    <row r="209" spans="1:14" x14ac:dyDescent="0.3">
      <c r="A209" t="s">
        <v>2859</v>
      </c>
      <c r="B209" s="3">
        <v>42776</v>
      </c>
      <c r="C209" t="s">
        <v>13</v>
      </c>
      <c r="D209" t="s">
        <v>21</v>
      </c>
      <c r="E209" t="s">
        <v>308</v>
      </c>
      <c r="F209" s="1">
        <v>22.638000000000002</v>
      </c>
      <c r="G209">
        <v>7</v>
      </c>
      <c r="H209" s="1">
        <v>-16.601199999999999</v>
      </c>
      <c r="I209" s="4">
        <f>SalesData[[#This Row],[Profit]]/SalesData[[#This Row],[Sales]]</f>
        <v>-0.73333333333333317</v>
      </c>
      <c r="J209">
        <f>YEAR(SalesData[[#This Row],[Order Date]])</f>
        <v>2017</v>
      </c>
      <c r="K209" t="str">
        <f>TEXT(SalesData[[#This Row],[Order Date]],"mmm")</f>
        <v>Feb</v>
      </c>
      <c r="L209">
        <f>MONTH(SalesData[[#This Row],[Order Date]])</f>
        <v>2</v>
      </c>
      <c r="M209">
        <f>SalesData[[#This Row],[Sales]]/SalesData[[#This Row],[Quantity]]</f>
        <v>3.2340000000000004</v>
      </c>
      <c r="N209" t="str">
        <f>IF(SalesData[[#This Row],[Profit]]&gt;0,"Profit","Loss")</f>
        <v>Loss</v>
      </c>
    </row>
    <row r="210" spans="1:14" x14ac:dyDescent="0.3">
      <c r="A210" t="s">
        <v>2859</v>
      </c>
      <c r="B210" s="3">
        <v>42776</v>
      </c>
      <c r="C210" t="s">
        <v>13</v>
      </c>
      <c r="D210" t="s">
        <v>21</v>
      </c>
      <c r="E210" t="s">
        <v>2097</v>
      </c>
      <c r="F210" s="1">
        <v>95.144000000000005</v>
      </c>
      <c r="G210">
        <v>7</v>
      </c>
      <c r="H210" s="1">
        <v>10.7037</v>
      </c>
      <c r="I210" s="4">
        <f>SalesData[[#This Row],[Profit]]/SalesData[[#This Row],[Sales]]</f>
        <v>0.11249999999999999</v>
      </c>
      <c r="J210">
        <f>YEAR(SalesData[[#This Row],[Order Date]])</f>
        <v>2017</v>
      </c>
      <c r="K210" t="str">
        <f>TEXT(SalesData[[#This Row],[Order Date]],"mmm")</f>
        <v>Feb</v>
      </c>
      <c r="L210">
        <f>MONTH(SalesData[[#This Row],[Order Date]])</f>
        <v>2</v>
      </c>
      <c r="M210">
        <f>SalesData[[#This Row],[Sales]]/SalesData[[#This Row],[Quantity]]</f>
        <v>13.592000000000001</v>
      </c>
      <c r="N210" t="str">
        <f>IF(SalesData[[#This Row],[Profit]]&gt;0,"Profit","Loss")</f>
        <v>Profit</v>
      </c>
    </row>
    <row r="211" spans="1:14" x14ac:dyDescent="0.3">
      <c r="A211" t="s">
        <v>2860</v>
      </c>
      <c r="B211" s="3">
        <v>42776</v>
      </c>
      <c r="C211" t="s">
        <v>13</v>
      </c>
      <c r="D211" t="s">
        <v>14</v>
      </c>
      <c r="E211" t="s">
        <v>2688</v>
      </c>
      <c r="F211" s="1">
        <v>17.46</v>
      </c>
      <c r="G211">
        <v>2</v>
      </c>
      <c r="H211" s="1">
        <v>5.9363999999999999</v>
      </c>
      <c r="I211" s="4">
        <f>SalesData[[#This Row],[Profit]]/SalesData[[#This Row],[Sales]]</f>
        <v>0.33999999999999997</v>
      </c>
      <c r="J211">
        <f>YEAR(SalesData[[#This Row],[Order Date]])</f>
        <v>2017</v>
      </c>
      <c r="K211" t="str">
        <f>TEXT(SalesData[[#This Row],[Order Date]],"mmm")</f>
        <v>Feb</v>
      </c>
      <c r="L211">
        <f>MONTH(SalesData[[#This Row],[Order Date]])</f>
        <v>2</v>
      </c>
      <c r="M211">
        <f>SalesData[[#This Row],[Sales]]/SalesData[[#This Row],[Quantity]]</f>
        <v>8.73</v>
      </c>
      <c r="N211" t="str">
        <f>IF(SalesData[[#This Row],[Profit]]&gt;0,"Profit","Loss")</f>
        <v>Profit</v>
      </c>
    </row>
    <row r="212" spans="1:14" x14ac:dyDescent="0.3">
      <c r="A212" t="s">
        <v>2860</v>
      </c>
      <c r="B212" s="3">
        <v>42776</v>
      </c>
      <c r="C212" t="s">
        <v>13</v>
      </c>
      <c r="D212" t="s">
        <v>10</v>
      </c>
      <c r="E212" t="s">
        <v>2861</v>
      </c>
      <c r="F212" s="1">
        <v>369.16</v>
      </c>
      <c r="G212">
        <v>11</v>
      </c>
      <c r="H212" s="1">
        <v>32.301499999999997</v>
      </c>
      <c r="I212" s="4">
        <f>SalesData[[#This Row],[Profit]]/SalesData[[#This Row],[Sales]]</f>
        <v>8.7499999999999981E-2</v>
      </c>
      <c r="J212">
        <f>YEAR(SalesData[[#This Row],[Order Date]])</f>
        <v>2017</v>
      </c>
      <c r="K212" t="str">
        <f>TEXT(SalesData[[#This Row],[Order Date]],"mmm")</f>
        <v>Feb</v>
      </c>
      <c r="L212">
        <f>MONTH(SalesData[[#This Row],[Order Date]])</f>
        <v>2</v>
      </c>
      <c r="M212">
        <f>SalesData[[#This Row],[Sales]]/SalesData[[#This Row],[Quantity]]</f>
        <v>33.56</v>
      </c>
      <c r="N212" t="str">
        <f>IF(SalesData[[#This Row],[Profit]]&gt;0,"Profit","Loss")</f>
        <v>Profit</v>
      </c>
    </row>
    <row r="213" spans="1:14" x14ac:dyDescent="0.3">
      <c r="A213" t="s">
        <v>2862</v>
      </c>
      <c r="B213" s="3">
        <v>42776</v>
      </c>
      <c r="C213" t="s">
        <v>9</v>
      </c>
      <c r="D213" t="s">
        <v>21</v>
      </c>
      <c r="E213" t="s">
        <v>100</v>
      </c>
      <c r="F213" s="1">
        <v>15.224</v>
      </c>
      <c r="G213">
        <v>2</v>
      </c>
      <c r="H213" s="1">
        <v>-38.821199999999997</v>
      </c>
      <c r="I213" s="4">
        <f>SalesData[[#This Row],[Profit]]/SalesData[[#This Row],[Sales]]</f>
        <v>-2.5499999999999998</v>
      </c>
      <c r="J213">
        <f>YEAR(SalesData[[#This Row],[Order Date]])</f>
        <v>2017</v>
      </c>
      <c r="K213" t="str">
        <f>TEXT(SalesData[[#This Row],[Order Date]],"mmm")</f>
        <v>Feb</v>
      </c>
      <c r="L213">
        <f>MONTH(SalesData[[#This Row],[Order Date]])</f>
        <v>2</v>
      </c>
      <c r="M213">
        <f>SalesData[[#This Row],[Sales]]/SalesData[[#This Row],[Quantity]]</f>
        <v>7.6120000000000001</v>
      </c>
      <c r="N213" t="str">
        <f>IF(SalesData[[#This Row],[Profit]]&gt;0,"Profit","Loss")</f>
        <v>Loss</v>
      </c>
    </row>
    <row r="214" spans="1:14" x14ac:dyDescent="0.3">
      <c r="A214" t="s">
        <v>2862</v>
      </c>
      <c r="B214" s="3">
        <v>42776</v>
      </c>
      <c r="C214" t="s">
        <v>9</v>
      </c>
      <c r="D214" t="s">
        <v>21</v>
      </c>
      <c r="E214" t="s">
        <v>2863</v>
      </c>
      <c r="F214" s="1">
        <v>21.984000000000002</v>
      </c>
      <c r="G214">
        <v>6</v>
      </c>
      <c r="H214" s="1">
        <v>-56.059199999999997</v>
      </c>
      <c r="I214" s="4">
        <f>SalesData[[#This Row],[Profit]]/SalesData[[#This Row],[Sales]]</f>
        <v>-2.5499999999999998</v>
      </c>
      <c r="J214">
        <f>YEAR(SalesData[[#This Row],[Order Date]])</f>
        <v>2017</v>
      </c>
      <c r="K214" t="str">
        <f>TEXT(SalesData[[#This Row],[Order Date]],"mmm")</f>
        <v>Feb</v>
      </c>
      <c r="L214">
        <f>MONTH(SalesData[[#This Row],[Order Date]])</f>
        <v>2</v>
      </c>
      <c r="M214">
        <f>SalesData[[#This Row],[Sales]]/SalesData[[#This Row],[Quantity]]</f>
        <v>3.6640000000000001</v>
      </c>
      <c r="N214" t="str">
        <f>IF(SalesData[[#This Row],[Profit]]&gt;0,"Profit","Loss")</f>
        <v>Loss</v>
      </c>
    </row>
    <row r="215" spans="1:14" x14ac:dyDescent="0.3">
      <c r="A215" t="s">
        <v>2864</v>
      </c>
      <c r="B215" s="3">
        <v>42777</v>
      </c>
      <c r="C215" t="s">
        <v>13</v>
      </c>
      <c r="D215" t="s">
        <v>21</v>
      </c>
      <c r="E215" t="s">
        <v>1538</v>
      </c>
      <c r="F215" s="1">
        <v>23.85</v>
      </c>
      <c r="G215">
        <v>5</v>
      </c>
      <c r="H215" s="1">
        <v>10.7325</v>
      </c>
      <c r="I215" s="4">
        <f>SalesData[[#This Row],[Profit]]/SalesData[[#This Row],[Sales]]</f>
        <v>0.44999999999999996</v>
      </c>
      <c r="J215">
        <f>YEAR(SalesData[[#This Row],[Order Date]])</f>
        <v>2017</v>
      </c>
      <c r="K215" t="str">
        <f>TEXT(SalesData[[#This Row],[Order Date]],"mmm")</f>
        <v>Feb</v>
      </c>
      <c r="L215">
        <f>MONTH(SalesData[[#This Row],[Order Date]])</f>
        <v>2</v>
      </c>
      <c r="M215">
        <f>SalesData[[#This Row],[Sales]]/SalesData[[#This Row],[Quantity]]</f>
        <v>4.7700000000000005</v>
      </c>
      <c r="N215" t="str">
        <f>IF(SalesData[[#This Row],[Profit]]&gt;0,"Profit","Loss")</f>
        <v>Profit</v>
      </c>
    </row>
    <row r="216" spans="1:14" x14ac:dyDescent="0.3">
      <c r="A216" t="s">
        <v>2865</v>
      </c>
      <c r="B216" s="3">
        <v>42777</v>
      </c>
      <c r="C216" t="s">
        <v>9</v>
      </c>
      <c r="D216" t="s">
        <v>21</v>
      </c>
      <c r="E216" t="s">
        <v>83</v>
      </c>
      <c r="F216" s="1">
        <v>18.239999999999998</v>
      </c>
      <c r="G216">
        <v>3</v>
      </c>
      <c r="H216" s="1">
        <v>9.1199999999999992</v>
      </c>
      <c r="I216" s="4">
        <f>SalesData[[#This Row],[Profit]]/SalesData[[#This Row],[Sales]]</f>
        <v>0.5</v>
      </c>
      <c r="J216">
        <f>YEAR(SalesData[[#This Row],[Order Date]])</f>
        <v>2017</v>
      </c>
      <c r="K216" t="str">
        <f>TEXT(SalesData[[#This Row],[Order Date]],"mmm")</f>
        <v>Feb</v>
      </c>
      <c r="L216">
        <f>MONTH(SalesData[[#This Row],[Order Date]])</f>
        <v>2</v>
      </c>
      <c r="M216">
        <f>SalesData[[#This Row],[Sales]]/SalesData[[#This Row],[Quantity]]</f>
        <v>6.0799999999999992</v>
      </c>
      <c r="N216" t="str">
        <f>IF(SalesData[[#This Row],[Profit]]&gt;0,"Profit","Loss")</f>
        <v>Profit</v>
      </c>
    </row>
    <row r="217" spans="1:14" x14ac:dyDescent="0.3">
      <c r="A217" t="s">
        <v>2865</v>
      </c>
      <c r="B217" s="3">
        <v>42777</v>
      </c>
      <c r="C217" t="s">
        <v>9</v>
      </c>
      <c r="D217" t="s">
        <v>21</v>
      </c>
      <c r="E217" t="s">
        <v>403</v>
      </c>
      <c r="F217" s="1">
        <v>27.78</v>
      </c>
      <c r="G217">
        <v>6</v>
      </c>
      <c r="H217" s="1">
        <v>9.1674000000000007</v>
      </c>
      <c r="I217" s="4">
        <f>SalesData[[#This Row],[Profit]]/SalesData[[#This Row],[Sales]]</f>
        <v>0.33</v>
      </c>
      <c r="J217">
        <f>YEAR(SalesData[[#This Row],[Order Date]])</f>
        <v>2017</v>
      </c>
      <c r="K217" t="str">
        <f>TEXT(SalesData[[#This Row],[Order Date]],"mmm")</f>
        <v>Feb</v>
      </c>
      <c r="L217">
        <f>MONTH(SalesData[[#This Row],[Order Date]])</f>
        <v>2</v>
      </c>
      <c r="M217">
        <f>SalesData[[#This Row],[Sales]]/SalesData[[#This Row],[Quantity]]</f>
        <v>4.63</v>
      </c>
      <c r="N217" t="str">
        <f>IF(SalesData[[#This Row],[Profit]]&gt;0,"Profit","Loss")</f>
        <v>Profit</v>
      </c>
    </row>
    <row r="218" spans="1:14" x14ac:dyDescent="0.3">
      <c r="A218" t="s">
        <v>2866</v>
      </c>
      <c r="B218" s="3">
        <v>42777</v>
      </c>
      <c r="C218" t="s">
        <v>13</v>
      </c>
      <c r="D218" t="s">
        <v>21</v>
      </c>
      <c r="E218" t="s">
        <v>1223</v>
      </c>
      <c r="F218" s="1">
        <v>76.58</v>
      </c>
      <c r="G218">
        <v>7</v>
      </c>
      <c r="H218" s="1">
        <v>38.29</v>
      </c>
      <c r="I218" s="4">
        <f>SalesData[[#This Row],[Profit]]/SalesData[[#This Row],[Sales]]</f>
        <v>0.5</v>
      </c>
      <c r="J218">
        <f>YEAR(SalesData[[#This Row],[Order Date]])</f>
        <v>2017</v>
      </c>
      <c r="K218" t="str">
        <f>TEXT(SalesData[[#This Row],[Order Date]],"mmm")</f>
        <v>Feb</v>
      </c>
      <c r="L218">
        <f>MONTH(SalesData[[#This Row],[Order Date]])</f>
        <v>2</v>
      </c>
      <c r="M218">
        <f>SalesData[[#This Row],[Sales]]/SalesData[[#This Row],[Quantity]]</f>
        <v>10.94</v>
      </c>
      <c r="N218" t="str">
        <f>IF(SalesData[[#This Row],[Profit]]&gt;0,"Profit","Loss")</f>
        <v>Profit</v>
      </c>
    </row>
    <row r="219" spans="1:14" x14ac:dyDescent="0.3">
      <c r="A219" t="s">
        <v>2866</v>
      </c>
      <c r="B219" s="3">
        <v>42777</v>
      </c>
      <c r="C219" t="s">
        <v>13</v>
      </c>
      <c r="D219" t="s">
        <v>21</v>
      </c>
      <c r="E219" t="s">
        <v>708</v>
      </c>
      <c r="F219" s="1">
        <v>8.8000000000000007</v>
      </c>
      <c r="G219">
        <v>5</v>
      </c>
      <c r="H219" s="1">
        <v>4.2240000000000002</v>
      </c>
      <c r="I219" s="4">
        <f>SalesData[[#This Row],[Profit]]/SalesData[[#This Row],[Sales]]</f>
        <v>0.48</v>
      </c>
      <c r="J219">
        <f>YEAR(SalesData[[#This Row],[Order Date]])</f>
        <v>2017</v>
      </c>
      <c r="K219" t="str">
        <f>TEXT(SalesData[[#This Row],[Order Date]],"mmm")</f>
        <v>Feb</v>
      </c>
      <c r="L219">
        <f>MONTH(SalesData[[#This Row],[Order Date]])</f>
        <v>2</v>
      </c>
      <c r="M219">
        <f>SalesData[[#This Row],[Sales]]/SalesData[[#This Row],[Quantity]]</f>
        <v>1.7600000000000002</v>
      </c>
      <c r="N219" t="str">
        <f>IF(SalesData[[#This Row],[Profit]]&gt;0,"Profit","Loss")</f>
        <v>Profit</v>
      </c>
    </row>
    <row r="220" spans="1:14" x14ac:dyDescent="0.3">
      <c r="A220" t="s">
        <v>2866</v>
      </c>
      <c r="B220" s="3">
        <v>42777</v>
      </c>
      <c r="C220" t="s">
        <v>13</v>
      </c>
      <c r="D220" t="s">
        <v>21</v>
      </c>
      <c r="E220" t="s">
        <v>1258</v>
      </c>
      <c r="F220" s="1">
        <v>590.35199999999998</v>
      </c>
      <c r="G220">
        <v>6</v>
      </c>
      <c r="H220" s="1">
        <v>206.6232</v>
      </c>
      <c r="I220" s="4">
        <f>SalesData[[#This Row],[Profit]]/SalesData[[#This Row],[Sales]]</f>
        <v>0.35000000000000003</v>
      </c>
      <c r="J220">
        <f>YEAR(SalesData[[#This Row],[Order Date]])</f>
        <v>2017</v>
      </c>
      <c r="K220" t="str">
        <f>TEXT(SalesData[[#This Row],[Order Date]],"mmm")</f>
        <v>Feb</v>
      </c>
      <c r="L220">
        <f>MONTH(SalesData[[#This Row],[Order Date]])</f>
        <v>2</v>
      </c>
      <c r="M220">
        <f>SalesData[[#This Row],[Sales]]/SalesData[[#This Row],[Quantity]]</f>
        <v>98.391999999999996</v>
      </c>
      <c r="N220" t="str">
        <f>IF(SalesData[[#This Row],[Profit]]&gt;0,"Profit","Loss")</f>
        <v>Profit</v>
      </c>
    </row>
    <row r="221" spans="1:14" x14ac:dyDescent="0.3">
      <c r="A221" t="s">
        <v>2866</v>
      </c>
      <c r="B221" s="3">
        <v>42777</v>
      </c>
      <c r="C221" t="s">
        <v>13</v>
      </c>
      <c r="D221" t="s">
        <v>21</v>
      </c>
      <c r="E221" t="s">
        <v>778</v>
      </c>
      <c r="F221" s="1">
        <v>5.58</v>
      </c>
      <c r="G221">
        <v>3</v>
      </c>
      <c r="H221" s="1">
        <v>0.16739999999999999</v>
      </c>
      <c r="I221" s="4">
        <f>SalesData[[#This Row],[Profit]]/SalesData[[#This Row],[Sales]]</f>
        <v>0.03</v>
      </c>
      <c r="J221">
        <f>YEAR(SalesData[[#This Row],[Order Date]])</f>
        <v>2017</v>
      </c>
      <c r="K221" t="str">
        <f>TEXT(SalesData[[#This Row],[Order Date]],"mmm")</f>
        <v>Feb</v>
      </c>
      <c r="L221">
        <f>MONTH(SalesData[[#This Row],[Order Date]])</f>
        <v>2</v>
      </c>
      <c r="M221">
        <f>SalesData[[#This Row],[Sales]]/SalesData[[#This Row],[Quantity]]</f>
        <v>1.86</v>
      </c>
      <c r="N221" t="str">
        <f>IF(SalesData[[#This Row],[Profit]]&gt;0,"Profit","Loss")</f>
        <v>Profit</v>
      </c>
    </row>
    <row r="222" spans="1:14" x14ac:dyDescent="0.3">
      <c r="A222" t="s">
        <v>2866</v>
      </c>
      <c r="B222" s="3">
        <v>42777</v>
      </c>
      <c r="C222" t="s">
        <v>13</v>
      </c>
      <c r="D222" t="s">
        <v>14</v>
      </c>
      <c r="E222" t="s">
        <v>2867</v>
      </c>
      <c r="F222" s="1">
        <v>25.02</v>
      </c>
      <c r="G222">
        <v>3</v>
      </c>
      <c r="H222" s="1">
        <v>10.5084</v>
      </c>
      <c r="I222" s="4">
        <f>SalesData[[#This Row],[Profit]]/SalesData[[#This Row],[Sales]]</f>
        <v>0.42</v>
      </c>
      <c r="J222">
        <f>YEAR(SalesData[[#This Row],[Order Date]])</f>
        <v>2017</v>
      </c>
      <c r="K222" t="str">
        <f>TEXT(SalesData[[#This Row],[Order Date]],"mmm")</f>
        <v>Feb</v>
      </c>
      <c r="L222">
        <f>MONTH(SalesData[[#This Row],[Order Date]])</f>
        <v>2</v>
      </c>
      <c r="M222">
        <f>SalesData[[#This Row],[Sales]]/SalesData[[#This Row],[Quantity]]</f>
        <v>8.34</v>
      </c>
      <c r="N222" t="str">
        <f>IF(SalesData[[#This Row],[Profit]]&gt;0,"Profit","Loss")</f>
        <v>Profit</v>
      </c>
    </row>
    <row r="223" spans="1:14" x14ac:dyDescent="0.3">
      <c r="A223" t="s">
        <v>2866</v>
      </c>
      <c r="B223" s="3">
        <v>42777</v>
      </c>
      <c r="C223" t="s">
        <v>13</v>
      </c>
      <c r="D223" t="s">
        <v>21</v>
      </c>
      <c r="E223" t="s">
        <v>2868</v>
      </c>
      <c r="F223" s="1">
        <v>452.55</v>
      </c>
      <c r="G223">
        <v>7</v>
      </c>
      <c r="H223" s="1">
        <v>22.627500000000001</v>
      </c>
      <c r="I223" s="4">
        <f>SalesData[[#This Row],[Profit]]/SalesData[[#This Row],[Sales]]</f>
        <v>0.05</v>
      </c>
      <c r="J223">
        <f>YEAR(SalesData[[#This Row],[Order Date]])</f>
        <v>2017</v>
      </c>
      <c r="K223" t="str">
        <f>TEXT(SalesData[[#This Row],[Order Date]],"mmm")</f>
        <v>Feb</v>
      </c>
      <c r="L223">
        <f>MONTH(SalesData[[#This Row],[Order Date]])</f>
        <v>2</v>
      </c>
      <c r="M223">
        <f>SalesData[[#This Row],[Sales]]/SalesData[[#This Row],[Quantity]]</f>
        <v>64.650000000000006</v>
      </c>
      <c r="N223" t="str">
        <f>IF(SalesData[[#This Row],[Profit]]&gt;0,"Profit","Loss")</f>
        <v>Profit</v>
      </c>
    </row>
    <row r="224" spans="1:14" x14ac:dyDescent="0.3">
      <c r="A224" t="s">
        <v>2869</v>
      </c>
      <c r="B224" s="3">
        <v>42777</v>
      </c>
      <c r="C224" t="s">
        <v>46</v>
      </c>
      <c r="D224" t="s">
        <v>21</v>
      </c>
      <c r="E224" t="s">
        <v>176</v>
      </c>
      <c r="F224" s="1">
        <v>5.32</v>
      </c>
      <c r="G224">
        <v>2</v>
      </c>
      <c r="H224" s="1">
        <v>2.6067999999999998</v>
      </c>
      <c r="I224" s="4">
        <f>SalesData[[#This Row],[Profit]]/SalesData[[#This Row],[Sales]]</f>
        <v>0.48999999999999994</v>
      </c>
      <c r="J224">
        <f>YEAR(SalesData[[#This Row],[Order Date]])</f>
        <v>2017</v>
      </c>
      <c r="K224" t="str">
        <f>TEXT(SalesData[[#This Row],[Order Date]],"mmm")</f>
        <v>Feb</v>
      </c>
      <c r="L224">
        <f>MONTH(SalesData[[#This Row],[Order Date]])</f>
        <v>2</v>
      </c>
      <c r="M224">
        <f>SalesData[[#This Row],[Sales]]/SalesData[[#This Row],[Quantity]]</f>
        <v>2.66</v>
      </c>
      <c r="N224" t="str">
        <f>IF(SalesData[[#This Row],[Profit]]&gt;0,"Profit","Loss")</f>
        <v>Profit</v>
      </c>
    </row>
    <row r="225" spans="1:14" x14ac:dyDescent="0.3">
      <c r="A225" t="s">
        <v>2869</v>
      </c>
      <c r="B225" s="3">
        <v>42777</v>
      </c>
      <c r="C225" t="s">
        <v>46</v>
      </c>
      <c r="D225" t="s">
        <v>14</v>
      </c>
      <c r="E225" t="s">
        <v>700</v>
      </c>
      <c r="F225" s="1">
        <v>975.92</v>
      </c>
      <c r="G225">
        <v>4</v>
      </c>
      <c r="H225" s="1">
        <v>292.77600000000001</v>
      </c>
      <c r="I225" s="4">
        <f>SalesData[[#This Row],[Profit]]/SalesData[[#This Row],[Sales]]</f>
        <v>0.30000000000000004</v>
      </c>
      <c r="J225">
        <f>YEAR(SalesData[[#This Row],[Order Date]])</f>
        <v>2017</v>
      </c>
      <c r="K225" t="str">
        <f>TEXT(SalesData[[#This Row],[Order Date]],"mmm")</f>
        <v>Feb</v>
      </c>
      <c r="L225">
        <f>MONTH(SalesData[[#This Row],[Order Date]])</f>
        <v>2</v>
      </c>
      <c r="M225">
        <f>SalesData[[#This Row],[Sales]]/SalesData[[#This Row],[Quantity]]</f>
        <v>243.98</v>
      </c>
      <c r="N225" t="str">
        <f>IF(SalesData[[#This Row],[Profit]]&gt;0,"Profit","Loss")</f>
        <v>Profit</v>
      </c>
    </row>
    <row r="226" spans="1:14" x14ac:dyDescent="0.3">
      <c r="A226" t="s">
        <v>2869</v>
      </c>
      <c r="B226" s="3">
        <v>42777</v>
      </c>
      <c r="C226" t="s">
        <v>46</v>
      </c>
      <c r="D226" t="s">
        <v>10</v>
      </c>
      <c r="E226" t="s">
        <v>2693</v>
      </c>
      <c r="F226" s="1">
        <v>2249.91</v>
      </c>
      <c r="G226">
        <v>9</v>
      </c>
      <c r="H226" s="1">
        <v>517.47929999999997</v>
      </c>
      <c r="I226" s="4">
        <f>SalesData[[#This Row],[Profit]]/SalesData[[#This Row],[Sales]]</f>
        <v>0.23</v>
      </c>
      <c r="J226">
        <f>YEAR(SalesData[[#This Row],[Order Date]])</f>
        <v>2017</v>
      </c>
      <c r="K226" t="str">
        <f>TEXT(SalesData[[#This Row],[Order Date]],"mmm")</f>
        <v>Feb</v>
      </c>
      <c r="L226">
        <f>MONTH(SalesData[[#This Row],[Order Date]])</f>
        <v>2</v>
      </c>
      <c r="M226">
        <f>SalesData[[#This Row],[Sales]]/SalesData[[#This Row],[Quantity]]</f>
        <v>249.98999999999998</v>
      </c>
      <c r="N226" t="str">
        <f>IF(SalesData[[#This Row],[Profit]]&gt;0,"Profit","Loss")</f>
        <v>Profit</v>
      </c>
    </row>
    <row r="227" spans="1:14" x14ac:dyDescent="0.3">
      <c r="A227" t="s">
        <v>2869</v>
      </c>
      <c r="B227" s="3">
        <v>42777</v>
      </c>
      <c r="C227" t="s">
        <v>46</v>
      </c>
      <c r="D227" t="s">
        <v>21</v>
      </c>
      <c r="E227" t="s">
        <v>1949</v>
      </c>
      <c r="F227" s="1">
        <v>59.92</v>
      </c>
      <c r="G227">
        <v>4</v>
      </c>
      <c r="H227" s="1">
        <v>16.7776</v>
      </c>
      <c r="I227" s="4">
        <f>SalesData[[#This Row],[Profit]]/SalesData[[#This Row],[Sales]]</f>
        <v>0.27999999999999997</v>
      </c>
      <c r="J227">
        <f>YEAR(SalesData[[#This Row],[Order Date]])</f>
        <v>2017</v>
      </c>
      <c r="K227" t="str">
        <f>TEXT(SalesData[[#This Row],[Order Date]],"mmm")</f>
        <v>Feb</v>
      </c>
      <c r="L227">
        <f>MONTH(SalesData[[#This Row],[Order Date]])</f>
        <v>2</v>
      </c>
      <c r="M227">
        <f>SalesData[[#This Row],[Sales]]/SalesData[[#This Row],[Quantity]]</f>
        <v>14.98</v>
      </c>
      <c r="N227" t="str">
        <f>IF(SalesData[[#This Row],[Profit]]&gt;0,"Profit","Loss")</f>
        <v>Profit</v>
      </c>
    </row>
    <row r="228" spans="1:14" x14ac:dyDescent="0.3">
      <c r="A228" t="s">
        <v>2870</v>
      </c>
      <c r="B228" s="3">
        <v>42777</v>
      </c>
      <c r="C228" t="s">
        <v>17</v>
      </c>
      <c r="D228" t="s">
        <v>14</v>
      </c>
      <c r="E228" t="s">
        <v>2871</v>
      </c>
      <c r="F228" s="1">
        <v>3.3119999999999998</v>
      </c>
      <c r="G228">
        <v>1</v>
      </c>
      <c r="H228" s="1">
        <v>0.66239999999999999</v>
      </c>
      <c r="I228" s="4">
        <f>SalesData[[#This Row],[Profit]]/SalesData[[#This Row],[Sales]]</f>
        <v>0.2</v>
      </c>
      <c r="J228">
        <f>YEAR(SalesData[[#This Row],[Order Date]])</f>
        <v>2017</v>
      </c>
      <c r="K228" t="str">
        <f>TEXT(SalesData[[#This Row],[Order Date]],"mmm")</f>
        <v>Feb</v>
      </c>
      <c r="L228">
        <f>MONTH(SalesData[[#This Row],[Order Date]])</f>
        <v>2</v>
      </c>
      <c r="M228">
        <f>SalesData[[#This Row],[Sales]]/SalesData[[#This Row],[Quantity]]</f>
        <v>3.3119999999999998</v>
      </c>
      <c r="N228" t="str">
        <f>IF(SalesData[[#This Row],[Profit]]&gt;0,"Profit","Loss")</f>
        <v>Profit</v>
      </c>
    </row>
    <row r="229" spans="1:14" x14ac:dyDescent="0.3">
      <c r="A229" t="s">
        <v>2870</v>
      </c>
      <c r="B229" s="3">
        <v>42777</v>
      </c>
      <c r="C229" t="s">
        <v>17</v>
      </c>
      <c r="D229" t="s">
        <v>21</v>
      </c>
      <c r="E229" t="s">
        <v>698</v>
      </c>
      <c r="F229" s="1">
        <v>20.135999999999999</v>
      </c>
      <c r="G229">
        <v>3</v>
      </c>
      <c r="H229" s="1">
        <v>1.2585</v>
      </c>
      <c r="I229" s="4">
        <f>SalesData[[#This Row],[Profit]]/SalesData[[#This Row],[Sales]]</f>
        <v>6.25E-2</v>
      </c>
      <c r="J229">
        <f>YEAR(SalesData[[#This Row],[Order Date]])</f>
        <v>2017</v>
      </c>
      <c r="K229" t="str">
        <f>TEXT(SalesData[[#This Row],[Order Date]],"mmm")</f>
        <v>Feb</v>
      </c>
      <c r="L229">
        <f>MONTH(SalesData[[#This Row],[Order Date]])</f>
        <v>2</v>
      </c>
      <c r="M229">
        <f>SalesData[[#This Row],[Sales]]/SalesData[[#This Row],[Quantity]]</f>
        <v>6.7119999999999997</v>
      </c>
      <c r="N229" t="str">
        <f>IF(SalesData[[#This Row],[Profit]]&gt;0,"Profit","Loss")</f>
        <v>Profit</v>
      </c>
    </row>
    <row r="230" spans="1:14" x14ac:dyDescent="0.3">
      <c r="A230" t="s">
        <v>2870</v>
      </c>
      <c r="B230" s="3">
        <v>42777</v>
      </c>
      <c r="C230" t="s">
        <v>17</v>
      </c>
      <c r="D230" t="s">
        <v>21</v>
      </c>
      <c r="E230" t="s">
        <v>2872</v>
      </c>
      <c r="F230" s="1">
        <v>8.8559999999999999</v>
      </c>
      <c r="G230">
        <v>3</v>
      </c>
      <c r="H230" s="1">
        <v>2.8782000000000001</v>
      </c>
      <c r="I230" s="4">
        <f>SalesData[[#This Row],[Profit]]/SalesData[[#This Row],[Sales]]</f>
        <v>0.32500000000000001</v>
      </c>
      <c r="J230">
        <f>YEAR(SalesData[[#This Row],[Order Date]])</f>
        <v>2017</v>
      </c>
      <c r="K230" t="str">
        <f>TEXT(SalesData[[#This Row],[Order Date]],"mmm")</f>
        <v>Feb</v>
      </c>
      <c r="L230">
        <f>MONTH(SalesData[[#This Row],[Order Date]])</f>
        <v>2</v>
      </c>
      <c r="M230">
        <f>SalesData[[#This Row],[Sales]]/SalesData[[#This Row],[Quantity]]</f>
        <v>2.952</v>
      </c>
      <c r="N230" t="str">
        <f>IF(SalesData[[#This Row],[Profit]]&gt;0,"Profit","Loss")</f>
        <v>Profit</v>
      </c>
    </row>
    <row r="231" spans="1:14" x14ac:dyDescent="0.3">
      <c r="A231" t="s">
        <v>2870</v>
      </c>
      <c r="B231" s="3">
        <v>42777</v>
      </c>
      <c r="C231" t="s">
        <v>17</v>
      </c>
      <c r="D231" t="s">
        <v>10</v>
      </c>
      <c r="E231" t="s">
        <v>832</v>
      </c>
      <c r="F231" s="1">
        <v>859.2</v>
      </c>
      <c r="G231">
        <v>4</v>
      </c>
      <c r="H231" s="1">
        <v>-186.16</v>
      </c>
      <c r="I231" s="4">
        <f>SalesData[[#This Row],[Profit]]/SalesData[[#This Row],[Sales]]</f>
        <v>-0.21666666666666665</v>
      </c>
      <c r="J231">
        <f>YEAR(SalesData[[#This Row],[Order Date]])</f>
        <v>2017</v>
      </c>
      <c r="K231" t="str">
        <f>TEXT(SalesData[[#This Row],[Order Date]],"mmm")</f>
        <v>Feb</v>
      </c>
      <c r="L231">
        <f>MONTH(SalesData[[#This Row],[Order Date]])</f>
        <v>2</v>
      </c>
      <c r="M231">
        <f>SalesData[[#This Row],[Sales]]/SalesData[[#This Row],[Quantity]]</f>
        <v>214.8</v>
      </c>
      <c r="N231" t="str">
        <f>IF(SalesData[[#This Row],[Profit]]&gt;0,"Profit","Loss")</f>
        <v>Loss</v>
      </c>
    </row>
    <row r="232" spans="1:14" x14ac:dyDescent="0.3">
      <c r="A232" t="s">
        <v>2873</v>
      </c>
      <c r="B232" s="3">
        <v>42777</v>
      </c>
      <c r="C232" t="s">
        <v>13</v>
      </c>
      <c r="D232" t="s">
        <v>21</v>
      </c>
      <c r="E232" t="s">
        <v>1011</v>
      </c>
      <c r="F232" s="1">
        <v>19.440000000000001</v>
      </c>
      <c r="G232">
        <v>3</v>
      </c>
      <c r="H232" s="1">
        <v>9.3312000000000008</v>
      </c>
      <c r="I232" s="4">
        <f>SalesData[[#This Row],[Profit]]/SalesData[[#This Row],[Sales]]</f>
        <v>0.48000000000000004</v>
      </c>
      <c r="J232">
        <f>YEAR(SalesData[[#This Row],[Order Date]])</f>
        <v>2017</v>
      </c>
      <c r="K232" t="str">
        <f>TEXT(SalesData[[#This Row],[Order Date]],"mmm")</f>
        <v>Feb</v>
      </c>
      <c r="L232">
        <f>MONTH(SalesData[[#This Row],[Order Date]])</f>
        <v>2</v>
      </c>
      <c r="M232">
        <f>SalesData[[#This Row],[Sales]]/SalesData[[#This Row],[Quantity]]</f>
        <v>6.48</v>
      </c>
      <c r="N232" t="str">
        <f>IF(SalesData[[#This Row],[Profit]]&gt;0,"Profit","Loss")</f>
        <v>Profit</v>
      </c>
    </row>
    <row r="233" spans="1:14" x14ac:dyDescent="0.3">
      <c r="A233" t="s">
        <v>2874</v>
      </c>
      <c r="B233" s="3">
        <v>42777</v>
      </c>
      <c r="C233" t="s">
        <v>17</v>
      </c>
      <c r="D233" t="s">
        <v>21</v>
      </c>
      <c r="E233" t="s">
        <v>2181</v>
      </c>
      <c r="F233" s="1">
        <v>384.59199999999998</v>
      </c>
      <c r="G233">
        <v>2</v>
      </c>
      <c r="H233" s="1">
        <v>-81.725800000000007</v>
      </c>
      <c r="I233" s="4">
        <f>SalesData[[#This Row],[Profit]]/SalesData[[#This Row],[Sales]]</f>
        <v>-0.21250000000000002</v>
      </c>
      <c r="J233">
        <f>YEAR(SalesData[[#This Row],[Order Date]])</f>
        <v>2017</v>
      </c>
      <c r="K233" t="str">
        <f>TEXT(SalesData[[#This Row],[Order Date]],"mmm")</f>
        <v>Feb</v>
      </c>
      <c r="L233">
        <f>MONTH(SalesData[[#This Row],[Order Date]])</f>
        <v>2</v>
      </c>
      <c r="M233">
        <f>SalesData[[#This Row],[Sales]]/SalesData[[#This Row],[Quantity]]</f>
        <v>192.29599999999999</v>
      </c>
      <c r="N233" t="str">
        <f>IF(SalesData[[#This Row],[Profit]]&gt;0,"Profit","Loss")</f>
        <v>Loss</v>
      </c>
    </row>
    <row r="234" spans="1:14" x14ac:dyDescent="0.3">
      <c r="A234" t="s">
        <v>2875</v>
      </c>
      <c r="B234" s="3">
        <v>42777</v>
      </c>
      <c r="C234" t="s">
        <v>13</v>
      </c>
      <c r="D234" t="s">
        <v>21</v>
      </c>
      <c r="E234" t="s">
        <v>2876</v>
      </c>
      <c r="F234" s="1">
        <v>168.1</v>
      </c>
      <c r="G234">
        <v>5</v>
      </c>
      <c r="H234" s="1">
        <v>43.706000000000003</v>
      </c>
      <c r="I234" s="4">
        <f>SalesData[[#This Row],[Profit]]/SalesData[[#This Row],[Sales]]</f>
        <v>0.26</v>
      </c>
      <c r="J234">
        <f>YEAR(SalesData[[#This Row],[Order Date]])</f>
        <v>2017</v>
      </c>
      <c r="K234" t="str">
        <f>TEXT(SalesData[[#This Row],[Order Date]],"mmm")</f>
        <v>Feb</v>
      </c>
      <c r="L234">
        <f>MONTH(SalesData[[#This Row],[Order Date]])</f>
        <v>2</v>
      </c>
      <c r="M234">
        <f>SalesData[[#This Row],[Sales]]/SalesData[[#This Row],[Quantity]]</f>
        <v>33.619999999999997</v>
      </c>
      <c r="N234" t="str">
        <f>IF(SalesData[[#This Row],[Profit]]&gt;0,"Profit","Loss")</f>
        <v>Profit</v>
      </c>
    </row>
    <row r="235" spans="1:14" x14ac:dyDescent="0.3">
      <c r="A235" t="s">
        <v>2877</v>
      </c>
      <c r="B235" s="3">
        <v>42777</v>
      </c>
      <c r="C235" t="s">
        <v>9</v>
      </c>
      <c r="D235" t="s">
        <v>21</v>
      </c>
      <c r="E235" t="s">
        <v>1991</v>
      </c>
      <c r="F235" s="1">
        <v>54.335999999999999</v>
      </c>
      <c r="G235">
        <v>4</v>
      </c>
      <c r="H235" s="1">
        <v>5.4336000000000002</v>
      </c>
      <c r="I235" s="4">
        <f>SalesData[[#This Row],[Profit]]/SalesData[[#This Row],[Sales]]</f>
        <v>0.1</v>
      </c>
      <c r="J235">
        <f>YEAR(SalesData[[#This Row],[Order Date]])</f>
        <v>2017</v>
      </c>
      <c r="K235" t="str">
        <f>TEXT(SalesData[[#This Row],[Order Date]],"mmm")</f>
        <v>Feb</v>
      </c>
      <c r="L235">
        <f>MONTH(SalesData[[#This Row],[Order Date]])</f>
        <v>2</v>
      </c>
      <c r="M235">
        <f>SalesData[[#This Row],[Sales]]/SalesData[[#This Row],[Quantity]]</f>
        <v>13.584</v>
      </c>
      <c r="N235" t="str">
        <f>IF(SalesData[[#This Row],[Profit]]&gt;0,"Profit","Loss")</f>
        <v>Profit</v>
      </c>
    </row>
    <row r="236" spans="1:14" x14ac:dyDescent="0.3">
      <c r="A236" t="s">
        <v>2878</v>
      </c>
      <c r="B236" s="3">
        <v>42777</v>
      </c>
      <c r="C236" t="s">
        <v>9</v>
      </c>
      <c r="D236" t="s">
        <v>21</v>
      </c>
      <c r="E236" t="s">
        <v>698</v>
      </c>
      <c r="F236" s="1">
        <v>83.9</v>
      </c>
      <c r="G236">
        <v>10</v>
      </c>
      <c r="H236" s="1">
        <v>20.975000000000001</v>
      </c>
      <c r="I236" s="4">
        <f>SalesData[[#This Row],[Profit]]/SalesData[[#This Row],[Sales]]</f>
        <v>0.25</v>
      </c>
      <c r="J236">
        <f>YEAR(SalesData[[#This Row],[Order Date]])</f>
        <v>2017</v>
      </c>
      <c r="K236" t="str">
        <f>TEXT(SalesData[[#This Row],[Order Date]],"mmm")</f>
        <v>Feb</v>
      </c>
      <c r="L236">
        <f>MONTH(SalesData[[#This Row],[Order Date]])</f>
        <v>2</v>
      </c>
      <c r="M236">
        <f>SalesData[[#This Row],[Sales]]/SalesData[[#This Row],[Quantity]]</f>
        <v>8.39</v>
      </c>
      <c r="N236" t="str">
        <f>IF(SalesData[[#This Row],[Profit]]&gt;0,"Profit","Loss")</f>
        <v>Profit</v>
      </c>
    </row>
    <row r="237" spans="1:14" x14ac:dyDescent="0.3">
      <c r="A237" t="s">
        <v>2878</v>
      </c>
      <c r="B237" s="3">
        <v>42777</v>
      </c>
      <c r="C237" t="s">
        <v>9</v>
      </c>
      <c r="D237" t="s">
        <v>21</v>
      </c>
      <c r="E237" t="s">
        <v>174</v>
      </c>
      <c r="F237" s="1">
        <v>11.76</v>
      </c>
      <c r="G237">
        <v>2</v>
      </c>
      <c r="H237" s="1">
        <v>5.7624000000000004</v>
      </c>
      <c r="I237" s="4">
        <f>SalesData[[#This Row],[Profit]]/SalesData[[#This Row],[Sales]]</f>
        <v>0.49000000000000005</v>
      </c>
      <c r="J237">
        <f>YEAR(SalesData[[#This Row],[Order Date]])</f>
        <v>2017</v>
      </c>
      <c r="K237" t="str">
        <f>TEXT(SalesData[[#This Row],[Order Date]],"mmm")</f>
        <v>Feb</v>
      </c>
      <c r="L237">
        <f>MONTH(SalesData[[#This Row],[Order Date]])</f>
        <v>2</v>
      </c>
      <c r="M237">
        <f>SalesData[[#This Row],[Sales]]/SalesData[[#This Row],[Quantity]]</f>
        <v>5.88</v>
      </c>
      <c r="N237" t="str">
        <f>IF(SalesData[[#This Row],[Profit]]&gt;0,"Profit","Loss")</f>
        <v>Profit</v>
      </c>
    </row>
    <row r="238" spans="1:14" x14ac:dyDescent="0.3">
      <c r="A238" t="s">
        <v>2879</v>
      </c>
      <c r="B238" s="3">
        <v>42777</v>
      </c>
      <c r="C238" t="s">
        <v>17</v>
      </c>
      <c r="D238" t="s">
        <v>14</v>
      </c>
      <c r="E238" t="s">
        <v>1156</v>
      </c>
      <c r="F238" s="1">
        <v>155.37200000000001</v>
      </c>
      <c r="G238">
        <v>2</v>
      </c>
      <c r="H238" s="1">
        <v>-35.513599999999997</v>
      </c>
      <c r="I238" s="4">
        <f>SalesData[[#This Row],[Profit]]/SalesData[[#This Row],[Sales]]</f>
        <v>-0.22857142857142854</v>
      </c>
      <c r="J238">
        <f>YEAR(SalesData[[#This Row],[Order Date]])</f>
        <v>2017</v>
      </c>
      <c r="K238" t="str">
        <f>TEXT(SalesData[[#This Row],[Order Date]],"mmm")</f>
        <v>Feb</v>
      </c>
      <c r="L238">
        <f>MONTH(SalesData[[#This Row],[Order Date]])</f>
        <v>2</v>
      </c>
      <c r="M238">
        <f>SalesData[[#This Row],[Sales]]/SalesData[[#This Row],[Quantity]]</f>
        <v>77.686000000000007</v>
      </c>
      <c r="N238" t="str">
        <f>IF(SalesData[[#This Row],[Profit]]&gt;0,"Profit","Loss")</f>
        <v>Loss</v>
      </c>
    </row>
    <row r="239" spans="1:14" x14ac:dyDescent="0.3">
      <c r="A239" t="s">
        <v>2880</v>
      </c>
      <c r="B239" s="3">
        <v>42777</v>
      </c>
      <c r="C239" t="s">
        <v>46</v>
      </c>
      <c r="D239" t="s">
        <v>21</v>
      </c>
      <c r="E239" t="s">
        <v>2508</v>
      </c>
      <c r="F239" s="1">
        <v>5.56</v>
      </c>
      <c r="G239">
        <v>2</v>
      </c>
      <c r="H239" s="1">
        <v>1.4456</v>
      </c>
      <c r="I239" s="4">
        <f>SalesData[[#This Row],[Profit]]/SalesData[[#This Row],[Sales]]</f>
        <v>0.26</v>
      </c>
      <c r="J239">
        <f>YEAR(SalesData[[#This Row],[Order Date]])</f>
        <v>2017</v>
      </c>
      <c r="K239" t="str">
        <f>TEXT(SalesData[[#This Row],[Order Date]],"mmm")</f>
        <v>Feb</v>
      </c>
      <c r="L239">
        <f>MONTH(SalesData[[#This Row],[Order Date]])</f>
        <v>2</v>
      </c>
      <c r="M239">
        <f>SalesData[[#This Row],[Sales]]/SalesData[[#This Row],[Quantity]]</f>
        <v>2.78</v>
      </c>
      <c r="N239" t="str">
        <f>IF(SalesData[[#This Row],[Profit]]&gt;0,"Profit","Loss")</f>
        <v>Profit</v>
      </c>
    </row>
    <row r="240" spans="1:14" x14ac:dyDescent="0.3">
      <c r="A240" t="s">
        <v>2881</v>
      </c>
      <c r="B240" s="3">
        <v>42778</v>
      </c>
      <c r="C240" t="s">
        <v>13</v>
      </c>
      <c r="D240" t="s">
        <v>21</v>
      </c>
      <c r="E240" t="s">
        <v>2176</v>
      </c>
      <c r="F240" s="1">
        <v>559.62</v>
      </c>
      <c r="G240">
        <v>9</v>
      </c>
      <c r="H240" s="1">
        <v>151.09739999999999</v>
      </c>
      <c r="I240" s="4">
        <f>SalesData[[#This Row],[Profit]]/SalesData[[#This Row],[Sales]]</f>
        <v>0.26999999999999996</v>
      </c>
      <c r="J240">
        <f>YEAR(SalesData[[#This Row],[Order Date]])</f>
        <v>2017</v>
      </c>
      <c r="K240" t="str">
        <f>TEXT(SalesData[[#This Row],[Order Date]],"mmm")</f>
        <v>Feb</v>
      </c>
      <c r="L240">
        <f>MONTH(SalesData[[#This Row],[Order Date]])</f>
        <v>2</v>
      </c>
      <c r="M240">
        <f>SalesData[[#This Row],[Sales]]/SalesData[[#This Row],[Quantity]]</f>
        <v>62.18</v>
      </c>
      <c r="N240" t="str">
        <f>IF(SalesData[[#This Row],[Profit]]&gt;0,"Profit","Loss")</f>
        <v>Profit</v>
      </c>
    </row>
    <row r="241" spans="1:14" x14ac:dyDescent="0.3">
      <c r="A241" t="s">
        <v>2881</v>
      </c>
      <c r="B241" s="3">
        <v>42778</v>
      </c>
      <c r="C241" t="s">
        <v>13</v>
      </c>
      <c r="D241" t="s">
        <v>21</v>
      </c>
      <c r="E241" t="s">
        <v>2882</v>
      </c>
      <c r="F241" s="1">
        <v>109.92</v>
      </c>
      <c r="G241">
        <v>2</v>
      </c>
      <c r="H241" s="1">
        <v>53.860799999999998</v>
      </c>
      <c r="I241" s="4">
        <f>SalesData[[#This Row],[Profit]]/SalesData[[#This Row],[Sales]]</f>
        <v>0.49</v>
      </c>
      <c r="J241">
        <f>YEAR(SalesData[[#This Row],[Order Date]])</f>
        <v>2017</v>
      </c>
      <c r="K241" t="str">
        <f>TEXT(SalesData[[#This Row],[Order Date]],"mmm")</f>
        <v>Feb</v>
      </c>
      <c r="L241">
        <f>MONTH(SalesData[[#This Row],[Order Date]])</f>
        <v>2</v>
      </c>
      <c r="M241">
        <f>SalesData[[#This Row],[Sales]]/SalesData[[#This Row],[Quantity]]</f>
        <v>54.96</v>
      </c>
      <c r="N241" t="str">
        <f>IF(SalesData[[#This Row],[Profit]]&gt;0,"Profit","Loss")</f>
        <v>Profit</v>
      </c>
    </row>
    <row r="242" spans="1:14" x14ac:dyDescent="0.3">
      <c r="A242" t="s">
        <v>2881</v>
      </c>
      <c r="B242" s="3">
        <v>42778</v>
      </c>
      <c r="C242" t="s">
        <v>13</v>
      </c>
      <c r="D242" t="s">
        <v>21</v>
      </c>
      <c r="E242" t="s">
        <v>1817</v>
      </c>
      <c r="F242" s="1">
        <v>8.56</v>
      </c>
      <c r="G242">
        <v>2</v>
      </c>
      <c r="H242" s="1">
        <v>3.8519999999999999</v>
      </c>
      <c r="I242" s="4">
        <f>SalesData[[#This Row],[Profit]]/SalesData[[#This Row],[Sales]]</f>
        <v>0.44999999999999996</v>
      </c>
      <c r="J242">
        <f>YEAR(SalesData[[#This Row],[Order Date]])</f>
        <v>2017</v>
      </c>
      <c r="K242" t="str">
        <f>TEXT(SalesData[[#This Row],[Order Date]],"mmm")</f>
        <v>Feb</v>
      </c>
      <c r="L242">
        <f>MONTH(SalesData[[#This Row],[Order Date]])</f>
        <v>2</v>
      </c>
      <c r="M242">
        <f>SalesData[[#This Row],[Sales]]/SalesData[[#This Row],[Quantity]]</f>
        <v>4.28</v>
      </c>
      <c r="N242" t="str">
        <f>IF(SalesData[[#This Row],[Profit]]&gt;0,"Profit","Loss")</f>
        <v>Profit</v>
      </c>
    </row>
    <row r="243" spans="1:14" x14ac:dyDescent="0.3">
      <c r="A243" t="s">
        <v>2883</v>
      </c>
      <c r="B243" s="3">
        <v>42778</v>
      </c>
      <c r="C243" t="s">
        <v>46</v>
      </c>
      <c r="D243" t="s">
        <v>21</v>
      </c>
      <c r="E243" t="s">
        <v>2627</v>
      </c>
      <c r="F243" s="1">
        <v>34.65</v>
      </c>
      <c r="G243">
        <v>3</v>
      </c>
      <c r="H243" s="1">
        <v>10.395</v>
      </c>
      <c r="I243" s="4">
        <f>SalesData[[#This Row],[Profit]]/SalesData[[#This Row],[Sales]]</f>
        <v>0.3</v>
      </c>
      <c r="J243">
        <f>YEAR(SalesData[[#This Row],[Order Date]])</f>
        <v>2017</v>
      </c>
      <c r="K243" t="str">
        <f>TEXT(SalesData[[#This Row],[Order Date]],"mmm")</f>
        <v>Feb</v>
      </c>
      <c r="L243">
        <f>MONTH(SalesData[[#This Row],[Order Date]])</f>
        <v>2</v>
      </c>
      <c r="M243">
        <f>SalesData[[#This Row],[Sales]]/SalesData[[#This Row],[Quantity]]</f>
        <v>11.549999999999999</v>
      </c>
      <c r="N243" t="str">
        <f>IF(SalesData[[#This Row],[Profit]]&gt;0,"Profit","Loss")</f>
        <v>Profit</v>
      </c>
    </row>
    <row r="244" spans="1:14" x14ac:dyDescent="0.3">
      <c r="A244" t="s">
        <v>2884</v>
      </c>
      <c r="B244" s="3">
        <v>42778</v>
      </c>
      <c r="C244" t="s">
        <v>9</v>
      </c>
      <c r="D244" t="s">
        <v>21</v>
      </c>
      <c r="E244" t="s">
        <v>231</v>
      </c>
      <c r="F244" s="1">
        <v>294.62</v>
      </c>
      <c r="G244">
        <v>5</v>
      </c>
      <c r="H244" s="1">
        <v>-766.01199999999994</v>
      </c>
      <c r="I244" s="4">
        <f>SalesData[[#This Row],[Profit]]/SalesData[[#This Row],[Sales]]</f>
        <v>-2.5999999999999996</v>
      </c>
      <c r="J244">
        <f>YEAR(SalesData[[#This Row],[Order Date]])</f>
        <v>2017</v>
      </c>
      <c r="K244" t="str">
        <f>TEXT(SalesData[[#This Row],[Order Date]],"mmm")</f>
        <v>Feb</v>
      </c>
      <c r="L244">
        <f>MONTH(SalesData[[#This Row],[Order Date]])</f>
        <v>2</v>
      </c>
      <c r="M244">
        <f>SalesData[[#This Row],[Sales]]/SalesData[[#This Row],[Quantity]]</f>
        <v>58.923999999999999</v>
      </c>
      <c r="N244" t="str">
        <f>IF(SalesData[[#This Row],[Profit]]&gt;0,"Profit","Loss")</f>
        <v>Loss</v>
      </c>
    </row>
    <row r="245" spans="1:14" x14ac:dyDescent="0.3">
      <c r="A245" t="s">
        <v>2884</v>
      </c>
      <c r="B245" s="3">
        <v>42778</v>
      </c>
      <c r="C245" t="s">
        <v>9</v>
      </c>
      <c r="D245" t="s">
        <v>14</v>
      </c>
      <c r="E245" t="s">
        <v>316</v>
      </c>
      <c r="F245" s="1">
        <v>8.7520000000000007</v>
      </c>
      <c r="G245">
        <v>4</v>
      </c>
      <c r="H245" s="1">
        <v>-3.7195999999999998</v>
      </c>
      <c r="I245" s="4">
        <f>SalesData[[#This Row],[Profit]]/SalesData[[#This Row],[Sales]]</f>
        <v>-0.42499999999999993</v>
      </c>
      <c r="J245">
        <f>YEAR(SalesData[[#This Row],[Order Date]])</f>
        <v>2017</v>
      </c>
      <c r="K245" t="str">
        <f>TEXT(SalesData[[#This Row],[Order Date]],"mmm")</f>
        <v>Feb</v>
      </c>
      <c r="L245">
        <f>MONTH(SalesData[[#This Row],[Order Date]])</f>
        <v>2</v>
      </c>
      <c r="M245">
        <f>SalesData[[#This Row],[Sales]]/SalesData[[#This Row],[Quantity]]</f>
        <v>2.1880000000000002</v>
      </c>
      <c r="N245" t="str">
        <f>IF(SalesData[[#This Row],[Profit]]&gt;0,"Profit","Loss")</f>
        <v>Loss</v>
      </c>
    </row>
    <row r="246" spans="1:14" x14ac:dyDescent="0.3">
      <c r="A246" t="s">
        <v>2885</v>
      </c>
      <c r="B246" s="3">
        <v>42778</v>
      </c>
      <c r="C246" t="s">
        <v>46</v>
      </c>
      <c r="D246" t="s">
        <v>21</v>
      </c>
      <c r="E246" t="s">
        <v>1004</v>
      </c>
      <c r="F246" s="1">
        <v>47.96</v>
      </c>
      <c r="G246">
        <v>5</v>
      </c>
      <c r="H246" s="1">
        <v>4.1965000000000003</v>
      </c>
      <c r="I246" s="4">
        <f>SalesData[[#This Row],[Profit]]/SalesData[[#This Row],[Sales]]</f>
        <v>8.7500000000000008E-2</v>
      </c>
      <c r="J246">
        <f>YEAR(SalesData[[#This Row],[Order Date]])</f>
        <v>2017</v>
      </c>
      <c r="K246" t="str">
        <f>TEXT(SalesData[[#This Row],[Order Date]],"mmm")</f>
        <v>Feb</v>
      </c>
      <c r="L246">
        <f>MONTH(SalesData[[#This Row],[Order Date]])</f>
        <v>2</v>
      </c>
      <c r="M246">
        <f>SalesData[[#This Row],[Sales]]/SalesData[[#This Row],[Quantity]]</f>
        <v>9.5920000000000005</v>
      </c>
      <c r="N246" t="str">
        <f>IF(SalesData[[#This Row],[Profit]]&gt;0,"Profit","Loss")</f>
        <v>Profit</v>
      </c>
    </row>
    <row r="247" spans="1:14" x14ac:dyDescent="0.3">
      <c r="A247" t="s">
        <v>2886</v>
      </c>
      <c r="B247" s="3">
        <v>42778</v>
      </c>
      <c r="C247" t="s">
        <v>13</v>
      </c>
      <c r="D247" t="s">
        <v>21</v>
      </c>
      <c r="E247" t="s">
        <v>1479</v>
      </c>
      <c r="F247" s="1">
        <v>9.0239999999999991</v>
      </c>
      <c r="G247">
        <v>6</v>
      </c>
      <c r="H247" s="1">
        <v>3.1583999999999999</v>
      </c>
      <c r="I247" s="4">
        <f>SalesData[[#This Row],[Profit]]/SalesData[[#This Row],[Sales]]</f>
        <v>0.35000000000000003</v>
      </c>
      <c r="J247">
        <f>YEAR(SalesData[[#This Row],[Order Date]])</f>
        <v>2017</v>
      </c>
      <c r="K247" t="str">
        <f>TEXT(SalesData[[#This Row],[Order Date]],"mmm")</f>
        <v>Feb</v>
      </c>
      <c r="L247">
        <f>MONTH(SalesData[[#This Row],[Order Date]])</f>
        <v>2</v>
      </c>
      <c r="M247">
        <f>SalesData[[#This Row],[Sales]]/SalesData[[#This Row],[Quantity]]</f>
        <v>1.5039999999999998</v>
      </c>
      <c r="N247" t="str">
        <f>IF(SalesData[[#This Row],[Profit]]&gt;0,"Profit","Loss")</f>
        <v>Profit</v>
      </c>
    </row>
    <row r="248" spans="1:14" x14ac:dyDescent="0.3">
      <c r="A248" t="s">
        <v>2886</v>
      </c>
      <c r="B248" s="3">
        <v>42778</v>
      </c>
      <c r="C248" t="s">
        <v>13</v>
      </c>
      <c r="D248" t="s">
        <v>21</v>
      </c>
      <c r="E248" t="s">
        <v>621</v>
      </c>
      <c r="F248" s="1">
        <v>69.456000000000003</v>
      </c>
      <c r="G248">
        <v>2</v>
      </c>
      <c r="H248" s="1">
        <v>22.5732</v>
      </c>
      <c r="I248" s="4">
        <f>SalesData[[#This Row],[Profit]]/SalesData[[#This Row],[Sales]]</f>
        <v>0.32500000000000001</v>
      </c>
      <c r="J248">
        <f>YEAR(SalesData[[#This Row],[Order Date]])</f>
        <v>2017</v>
      </c>
      <c r="K248" t="str">
        <f>TEXT(SalesData[[#This Row],[Order Date]],"mmm")</f>
        <v>Feb</v>
      </c>
      <c r="L248">
        <f>MONTH(SalesData[[#This Row],[Order Date]])</f>
        <v>2</v>
      </c>
      <c r="M248">
        <f>SalesData[[#This Row],[Sales]]/SalesData[[#This Row],[Quantity]]</f>
        <v>34.728000000000002</v>
      </c>
      <c r="N248" t="str">
        <f>IF(SalesData[[#This Row],[Profit]]&gt;0,"Profit","Loss")</f>
        <v>Profit</v>
      </c>
    </row>
    <row r="249" spans="1:14" x14ac:dyDescent="0.3">
      <c r="A249" t="s">
        <v>2886</v>
      </c>
      <c r="B249" s="3">
        <v>42778</v>
      </c>
      <c r="C249" t="s">
        <v>13</v>
      </c>
      <c r="D249" t="s">
        <v>21</v>
      </c>
      <c r="E249" t="s">
        <v>953</v>
      </c>
      <c r="F249" s="1">
        <v>10.86</v>
      </c>
      <c r="G249">
        <v>2</v>
      </c>
      <c r="H249" s="1">
        <v>5.3213999999999997</v>
      </c>
      <c r="I249" s="4">
        <f>SalesData[[#This Row],[Profit]]/SalesData[[#This Row],[Sales]]</f>
        <v>0.49</v>
      </c>
      <c r="J249">
        <f>YEAR(SalesData[[#This Row],[Order Date]])</f>
        <v>2017</v>
      </c>
      <c r="K249" t="str">
        <f>TEXT(SalesData[[#This Row],[Order Date]],"mmm")</f>
        <v>Feb</v>
      </c>
      <c r="L249">
        <f>MONTH(SalesData[[#This Row],[Order Date]])</f>
        <v>2</v>
      </c>
      <c r="M249">
        <f>SalesData[[#This Row],[Sales]]/SalesData[[#This Row],[Quantity]]</f>
        <v>5.43</v>
      </c>
      <c r="N249" t="str">
        <f>IF(SalesData[[#This Row],[Profit]]&gt;0,"Profit","Loss")</f>
        <v>Profit</v>
      </c>
    </row>
    <row r="250" spans="1:14" x14ac:dyDescent="0.3">
      <c r="A250" t="s">
        <v>2886</v>
      </c>
      <c r="B250" s="3">
        <v>42778</v>
      </c>
      <c r="C250" t="s">
        <v>13</v>
      </c>
      <c r="D250" t="s">
        <v>21</v>
      </c>
      <c r="E250" t="s">
        <v>439</v>
      </c>
      <c r="F250" s="1">
        <v>79.47</v>
      </c>
      <c r="G250">
        <v>3</v>
      </c>
      <c r="H250" s="1">
        <v>22.2516</v>
      </c>
      <c r="I250" s="4">
        <f>SalesData[[#This Row],[Profit]]/SalesData[[#This Row],[Sales]]</f>
        <v>0.28000000000000003</v>
      </c>
      <c r="J250">
        <f>YEAR(SalesData[[#This Row],[Order Date]])</f>
        <v>2017</v>
      </c>
      <c r="K250" t="str">
        <f>TEXT(SalesData[[#This Row],[Order Date]],"mmm")</f>
        <v>Feb</v>
      </c>
      <c r="L250">
        <f>MONTH(SalesData[[#This Row],[Order Date]])</f>
        <v>2</v>
      </c>
      <c r="M250">
        <f>SalesData[[#This Row],[Sales]]/SalesData[[#This Row],[Quantity]]</f>
        <v>26.49</v>
      </c>
      <c r="N250" t="str">
        <f>IF(SalesData[[#This Row],[Profit]]&gt;0,"Profit","Loss")</f>
        <v>Profit</v>
      </c>
    </row>
    <row r="251" spans="1:14" x14ac:dyDescent="0.3">
      <c r="A251" t="s">
        <v>2886</v>
      </c>
      <c r="B251" s="3">
        <v>42778</v>
      </c>
      <c r="C251" t="s">
        <v>13</v>
      </c>
      <c r="D251" t="s">
        <v>21</v>
      </c>
      <c r="E251" t="s">
        <v>296</v>
      </c>
      <c r="F251" s="1">
        <v>10.08</v>
      </c>
      <c r="G251">
        <v>6</v>
      </c>
      <c r="H251" s="1">
        <v>5.04</v>
      </c>
      <c r="I251" s="4">
        <f>SalesData[[#This Row],[Profit]]/SalesData[[#This Row],[Sales]]</f>
        <v>0.5</v>
      </c>
      <c r="J251">
        <f>YEAR(SalesData[[#This Row],[Order Date]])</f>
        <v>2017</v>
      </c>
      <c r="K251" t="str">
        <f>TEXT(SalesData[[#This Row],[Order Date]],"mmm")</f>
        <v>Feb</v>
      </c>
      <c r="L251">
        <f>MONTH(SalesData[[#This Row],[Order Date]])</f>
        <v>2</v>
      </c>
      <c r="M251">
        <f>SalesData[[#This Row],[Sales]]/SalesData[[#This Row],[Quantity]]</f>
        <v>1.68</v>
      </c>
      <c r="N251" t="str">
        <f>IF(SalesData[[#This Row],[Profit]]&gt;0,"Profit","Loss")</f>
        <v>Profit</v>
      </c>
    </row>
    <row r="252" spans="1:14" x14ac:dyDescent="0.3">
      <c r="A252" t="s">
        <v>2887</v>
      </c>
      <c r="B252" s="3">
        <v>42778</v>
      </c>
      <c r="C252" t="s">
        <v>46</v>
      </c>
      <c r="D252" t="s">
        <v>21</v>
      </c>
      <c r="E252" t="s">
        <v>854</v>
      </c>
      <c r="F252" s="1">
        <v>45.66</v>
      </c>
      <c r="G252">
        <v>5</v>
      </c>
      <c r="H252" s="1">
        <v>-33.484000000000002</v>
      </c>
      <c r="I252" s="4">
        <f>SalesData[[#This Row],[Profit]]/SalesData[[#This Row],[Sales]]</f>
        <v>-0.73333333333333339</v>
      </c>
      <c r="J252">
        <f>YEAR(SalesData[[#This Row],[Order Date]])</f>
        <v>2017</v>
      </c>
      <c r="K252" t="str">
        <f>TEXT(SalesData[[#This Row],[Order Date]],"mmm")</f>
        <v>Feb</v>
      </c>
      <c r="L252">
        <f>MONTH(SalesData[[#This Row],[Order Date]])</f>
        <v>2</v>
      </c>
      <c r="M252">
        <f>SalesData[[#This Row],[Sales]]/SalesData[[#This Row],[Quantity]]</f>
        <v>9.1319999999999997</v>
      </c>
      <c r="N252" t="str">
        <f>IF(SalesData[[#This Row],[Profit]]&gt;0,"Profit","Loss")</f>
        <v>Loss</v>
      </c>
    </row>
    <row r="253" spans="1:14" x14ac:dyDescent="0.3">
      <c r="A253" t="s">
        <v>2888</v>
      </c>
      <c r="B253" s="3">
        <v>42778</v>
      </c>
      <c r="C253" t="s">
        <v>17</v>
      </c>
      <c r="D253" t="s">
        <v>21</v>
      </c>
      <c r="E253" t="s">
        <v>1045</v>
      </c>
      <c r="F253" s="1">
        <v>631.17600000000004</v>
      </c>
      <c r="G253">
        <v>4</v>
      </c>
      <c r="H253" s="1">
        <v>-462.86239999999998</v>
      </c>
      <c r="I253" s="4">
        <f>SalesData[[#This Row],[Profit]]/SalesData[[#This Row],[Sales]]</f>
        <v>-0.73333333333333328</v>
      </c>
      <c r="J253">
        <f>YEAR(SalesData[[#This Row],[Order Date]])</f>
        <v>2017</v>
      </c>
      <c r="K253" t="str">
        <f>TEXT(SalesData[[#This Row],[Order Date]],"mmm")</f>
        <v>Feb</v>
      </c>
      <c r="L253">
        <f>MONTH(SalesData[[#This Row],[Order Date]])</f>
        <v>2</v>
      </c>
      <c r="M253">
        <f>SalesData[[#This Row],[Sales]]/SalesData[[#This Row],[Quantity]]</f>
        <v>157.79400000000001</v>
      </c>
      <c r="N253" t="str">
        <f>IF(SalesData[[#This Row],[Profit]]&gt;0,"Profit","Loss")</f>
        <v>Loss</v>
      </c>
    </row>
    <row r="254" spans="1:14" x14ac:dyDescent="0.3">
      <c r="A254" t="s">
        <v>2889</v>
      </c>
      <c r="B254" s="3">
        <v>42778</v>
      </c>
      <c r="C254" t="s">
        <v>9</v>
      </c>
      <c r="D254" t="s">
        <v>10</v>
      </c>
      <c r="E254" t="s">
        <v>78</v>
      </c>
      <c r="F254" s="1">
        <v>2479.96</v>
      </c>
      <c r="G254">
        <v>4</v>
      </c>
      <c r="H254" s="1">
        <v>743.98800000000006</v>
      </c>
      <c r="I254" s="4">
        <f>SalesData[[#This Row],[Profit]]/SalesData[[#This Row],[Sales]]</f>
        <v>0.30000000000000004</v>
      </c>
      <c r="J254">
        <f>YEAR(SalesData[[#This Row],[Order Date]])</f>
        <v>2017</v>
      </c>
      <c r="K254" t="str">
        <f>TEXT(SalesData[[#This Row],[Order Date]],"mmm")</f>
        <v>Feb</v>
      </c>
      <c r="L254">
        <f>MONTH(SalesData[[#This Row],[Order Date]])</f>
        <v>2</v>
      </c>
      <c r="M254">
        <f>SalesData[[#This Row],[Sales]]/SalesData[[#This Row],[Quantity]]</f>
        <v>619.99</v>
      </c>
      <c r="N254" t="str">
        <f>IF(SalesData[[#This Row],[Profit]]&gt;0,"Profit","Loss")</f>
        <v>Profit</v>
      </c>
    </row>
    <row r="255" spans="1:14" x14ac:dyDescent="0.3">
      <c r="A255" t="s">
        <v>2890</v>
      </c>
      <c r="B255" s="3">
        <v>42778</v>
      </c>
      <c r="C255" t="s">
        <v>13</v>
      </c>
      <c r="D255" t="s">
        <v>10</v>
      </c>
      <c r="E255" t="s">
        <v>2102</v>
      </c>
      <c r="F255" s="1">
        <v>39.991999999999997</v>
      </c>
      <c r="G255">
        <v>1</v>
      </c>
      <c r="H255" s="1">
        <v>-7.9984000000000002</v>
      </c>
      <c r="I255" s="4">
        <f>SalesData[[#This Row],[Profit]]/SalesData[[#This Row],[Sales]]</f>
        <v>-0.2</v>
      </c>
      <c r="J255">
        <f>YEAR(SalesData[[#This Row],[Order Date]])</f>
        <v>2017</v>
      </c>
      <c r="K255" t="str">
        <f>TEXT(SalesData[[#This Row],[Order Date]],"mmm")</f>
        <v>Feb</v>
      </c>
      <c r="L255">
        <f>MONTH(SalesData[[#This Row],[Order Date]])</f>
        <v>2</v>
      </c>
      <c r="M255">
        <f>SalesData[[#This Row],[Sales]]/SalesData[[#This Row],[Quantity]]</f>
        <v>39.991999999999997</v>
      </c>
      <c r="N255" t="str">
        <f>IF(SalesData[[#This Row],[Profit]]&gt;0,"Profit","Loss")</f>
        <v>Loss</v>
      </c>
    </row>
    <row r="256" spans="1:14" x14ac:dyDescent="0.3">
      <c r="A256" t="s">
        <v>2890</v>
      </c>
      <c r="B256" s="3">
        <v>42778</v>
      </c>
      <c r="C256" t="s">
        <v>13</v>
      </c>
      <c r="D256" t="s">
        <v>14</v>
      </c>
      <c r="E256" t="s">
        <v>1250</v>
      </c>
      <c r="F256" s="1">
        <v>1159.056</v>
      </c>
      <c r="G256">
        <v>9</v>
      </c>
      <c r="H256" s="1">
        <v>43.464599999999997</v>
      </c>
      <c r="I256" s="4">
        <f>SalesData[[#This Row],[Profit]]/SalesData[[#This Row],[Sales]]</f>
        <v>3.7499999999999999E-2</v>
      </c>
      <c r="J256">
        <f>YEAR(SalesData[[#This Row],[Order Date]])</f>
        <v>2017</v>
      </c>
      <c r="K256" t="str">
        <f>TEXT(SalesData[[#This Row],[Order Date]],"mmm")</f>
        <v>Feb</v>
      </c>
      <c r="L256">
        <f>MONTH(SalesData[[#This Row],[Order Date]])</f>
        <v>2</v>
      </c>
      <c r="M256">
        <f>SalesData[[#This Row],[Sales]]/SalesData[[#This Row],[Quantity]]</f>
        <v>128.78399999999999</v>
      </c>
      <c r="N256" t="str">
        <f>IF(SalesData[[#This Row],[Profit]]&gt;0,"Profit","Loss")</f>
        <v>Profit</v>
      </c>
    </row>
    <row r="257" spans="1:14" x14ac:dyDescent="0.3">
      <c r="A257" t="s">
        <v>2890</v>
      </c>
      <c r="B257" s="3">
        <v>42778</v>
      </c>
      <c r="C257" t="s">
        <v>13</v>
      </c>
      <c r="D257" t="s">
        <v>21</v>
      </c>
      <c r="E257" t="s">
        <v>1066</v>
      </c>
      <c r="F257" s="1">
        <v>179.9</v>
      </c>
      <c r="G257">
        <v>5</v>
      </c>
      <c r="H257" s="1">
        <v>44.975000000000001</v>
      </c>
      <c r="I257" s="4">
        <f>SalesData[[#This Row],[Profit]]/SalesData[[#This Row],[Sales]]</f>
        <v>0.25</v>
      </c>
      <c r="J257">
        <f>YEAR(SalesData[[#This Row],[Order Date]])</f>
        <v>2017</v>
      </c>
      <c r="K257" t="str">
        <f>TEXT(SalesData[[#This Row],[Order Date]],"mmm")</f>
        <v>Feb</v>
      </c>
      <c r="L257">
        <f>MONTH(SalesData[[#This Row],[Order Date]])</f>
        <v>2</v>
      </c>
      <c r="M257">
        <f>SalesData[[#This Row],[Sales]]/SalesData[[#This Row],[Quantity]]</f>
        <v>35.980000000000004</v>
      </c>
      <c r="N257" t="str">
        <f>IF(SalesData[[#This Row],[Profit]]&gt;0,"Profit","Loss")</f>
        <v>Profit</v>
      </c>
    </row>
    <row r="258" spans="1:14" x14ac:dyDescent="0.3">
      <c r="A258" t="s">
        <v>2891</v>
      </c>
      <c r="B258" s="3">
        <v>42778</v>
      </c>
      <c r="C258" t="s">
        <v>46</v>
      </c>
      <c r="D258" t="s">
        <v>14</v>
      </c>
      <c r="E258" t="s">
        <v>106</v>
      </c>
      <c r="F258" s="1">
        <v>701.96</v>
      </c>
      <c r="G258">
        <v>2</v>
      </c>
      <c r="H258" s="1">
        <v>168.47040000000001</v>
      </c>
      <c r="I258" s="4">
        <f>SalesData[[#This Row],[Profit]]/SalesData[[#This Row],[Sales]]</f>
        <v>0.24</v>
      </c>
      <c r="J258">
        <f>YEAR(SalesData[[#This Row],[Order Date]])</f>
        <v>2017</v>
      </c>
      <c r="K258" t="str">
        <f>TEXT(SalesData[[#This Row],[Order Date]],"mmm")</f>
        <v>Feb</v>
      </c>
      <c r="L258">
        <f>MONTH(SalesData[[#This Row],[Order Date]])</f>
        <v>2</v>
      </c>
      <c r="M258">
        <f>SalesData[[#This Row],[Sales]]/SalesData[[#This Row],[Quantity]]</f>
        <v>350.98</v>
      </c>
      <c r="N258" t="str">
        <f>IF(SalesData[[#This Row],[Profit]]&gt;0,"Profit","Loss")</f>
        <v>Profit</v>
      </c>
    </row>
    <row r="259" spans="1:14" x14ac:dyDescent="0.3">
      <c r="A259" t="s">
        <v>2892</v>
      </c>
      <c r="B259" s="3">
        <v>42778</v>
      </c>
      <c r="C259" t="s">
        <v>9</v>
      </c>
      <c r="D259" t="s">
        <v>21</v>
      </c>
      <c r="E259" t="s">
        <v>1710</v>
      </c>
      <c r="F259" s="1">
        <v>12.16</v>
      </c>
      <c r="G259">
        <v>5</v>
      </c>
      <c r="H259" s="1">
        <v>2.1280000000000001</v>
      </c>
      <c r="I259" s="4">
        <f>SalesData[[#This Row],[Profit]]/SalesData[[#This Row],[Sales]]</f>
        <v>0.17500000000000002</v>
      </c>
      <c r="J259">
        <f>YEAR(SalesData[[#This Row],[Order Date]])</f>
        <v>2017</v>
      </c>
      <c r="K259" t="str">
        <f>TEXT(SalesData[[#This Row],[Order Date]],"mmm")</f>
        <v>Feb</v>
      </c>
      <c r="L259">
        <f>MONTH(SalesData[[#This Row],[Order Date]])</f>
        <v>2</v>
      </c>
      <c r="M259">
        <f>SalesData[[#This Row],[Sales]]/SalesData[[#This Row],[Quantity]]</f>
        <v>2.4319999999999999</v>
      </c>
      <c r="N259" t="str">
        <f>IF(SalesData[[#This Row],[Profit]]&gt;0,"Profit","Loss")</f>
        <v>Profit</v>
      </c>
    </row>
    <row r="260" spans="1:14" x14ac:dyDescent="0.3">
      <c r="A260" t="s">
        <v>2893</v>
      </c>
      <c r="B260" s="3">
        <v>42778</v>
      </c>
      <c r="C260" t="s">
        <v>46</v>
      </c>
      <c r="D260" t="s">
        <v>21</v>
      </c>
      <c r="E260" t="s">
        <v>926</v>
      </c>
      <c r="F260" s="1">
        <v>32.776000000000003</v>
      </c>
      <c r="G260">
        <v>1</v>
      </c>
      <c r="H260" s="1">
        <v>2.4582000000000002</v>
      </c>
      <c r="I260" s="4">
        <f>SalesData[[#This Row],[Profit]]/SalesData[[#This Row],[Sales]]</f>
        <v>7.4999999999999997E-2</v>
      </c>
      <c r="J260">
        <f>YEAR(SalesData[[#This Row],[Order Date]])</f>
        <v>2017</v>
      </c>
      <c r="K260" t="str">
        <f>TEXT(SalesData[[#This Row],[Order Date]],"mmm")</f>
        <v>Feb</v>
      </c>
      <c r="L260">
        <f>MONTH(SalesData[[#This Row],[Order Date]])</f>
        <v>2</v>
      </c>
      <c r="M260">
        <f>SalesData[[#This Row],[Sales]]/SalesData[[#This Row],[Quantity]]</f>
        <v>32.776000000000003</v>
      </c>
      <c r="N260" t="str">
        <f>IF(SalesData[[#This Row],[Profit]]&gt;0,"Profit","Loss")</f>
        <v>Profit</v>
      </c>
    </row>
    <row r="261" spans="1:14" x14ac:dyDescent="0.3">
      <c r="A261" t="s">
        <v>2894</v>
      </c>
      <c r="B261" s="3">
        <v>42778</v>
      </c>
      <c r="C261" t="s">
        <v>13</v>
      </c>
      <c r="D261" t="s">
        <v>21</v>
      </c>
      <c r="E261" t="s">
        <v>1724</v>
      </c>
      <c r="F261" s="1">
        <v>114.288</v>
      </c>
      <c r="G261">
        <v>1</v>
      </c>
      <c r="H261" s="1">
        <v>12.8574</v>
      </c>
      <c r="I261" s="4">
        <f>SalesData[[#This Row],[Profit]]/SalesData[[#This Row],[Sales]]</f>
        <v>0.1125</v>
      </c>
      <c r="J261">
        <f>YEAR(SalesData[[#This Row],[Order Date]])</f>
        <v>2017</v>
      </c>
      <c r="K261" t="str">
        <f>TEXT(SalesData[[#This Row],[Order Date]],"mmm")</f>
        <v>Feb</v>
      </c>
      <c r="L261">
        <f>MONTH(SalesData[[#This Row],[Order Date]])</f>
        <v>2</v>
      </c>
      <c r="M261">
        <f>SalesData[[#This Row],[Sales]]/SalesData[[#This Row],[Quantity]]</f>
        <v>114.288</v>
      </c>
      <c r="N261" t="str">
        <f>IF(SalesData[[#This Row],[Profit]]&gt;0,"Profit","Loss")</f>
        <v>Profit</v>
      </c>
    </row>
    <row r="262" spans="1:14" x14ac:dyDescent="0.3">
      <c r="A262" t="s">
        <v>2894</v>
      </c>
      <c r="B262" s="3">
        <v>42778</v>
      </c>
      <c r="C262" t="s">
        <v>13</v>
      </c>
      <c r="D262" t="s">
        <v>21</v>
      </c>
      <c r="E262" t="s">
        <v>1136</v>
      </c>
      <c r="F262" s="1">
        <v>36.624000000000002</v>
      </c>
      <c r="G262">
        <v>8</v>
      </c>
      <c r="H262" s="1">
        <v>-24.416</v>
      </c>
      <c r="I262" s="4">
        <f>SalesData[[#This Row],[Profit]]/SalesData[[#This Row],[Sales]]</f>
        <v>-0.66666666666666663</v>
      </c>
      <c r="J262">
        <f>YEAR(SalesData[[#This Row],[Order Date]])</f>
        <v>2017</v>
      </c>
      <c r="K262" t="str">
        <f>TEXT(SalesData[[#This Row],[Order Date]],"mmm")</f>
        <v>Feb</v>
      </c>
      <c r="L262">
        <f>MONTH(SalesData[[#This Row],[Order Date]])</f>
        <v>2</v>
      </c>
      <c r="M262">
        <f>SalesData[[#This Row],[Sales]]/SalesData[[#This Row],[Quantity]]</f>
        <v>4.5780000000000003</v>
      </c>
      <c r="N262" t="str">
        <f>IF(SalesData[[#This Row],[Profit]]&gt;0,"Profit","Loss")</f>
        <v>Loss</v>
      </c>
    </row>
    <row r="263" spans="1:14" x14ac:dyDescent="0.3">
      <c r="A263" t="s">
        <v>2894</v>
      </c>
      <c r="B263" s="3">
        <v>42778</v>
      </c>
      <c r="C263" t="s">
        <v>13</v>
      </c>
      <c r="D263" t="s">
        <v>14</v>
      </c>
      <c r="E263" t="s">
        <v>2895</v>
      </c>
      <c r="F263" s="1">
        <v>242.352</v>
      </c>
      <c r="G263">
        <v>8</v>
      </c>
      <c r="H263" s="1">
        <v>-363.52800000000002</v>
      </c>
      <c r="I263" s="4">
        <f>SalesData[[#This Row],[Profit]]/SalesData[[#This Row],[Sales]]</f>
        <v>-1.5</v>
      </c>
      <c r="J263">
        <f>YEAR(SalesData[[#This Row],[Order Date]])</f>
        <v>2017</v>
      </c>
      <c r="K263" t="str">
        <f>TEXT(SalesData[[#This Row],[Order Date]],"mmm")</f>
        <v>Feb</v>
      </c>
      <c r="L263">
        <f>MONTH(SalesData[[#This Row],[Order Date]])</f>
        <v>2</v>
      </c>
      <c r="M263">
        <f>SalesData[[#This Row],[Sales]]/SalesData[[#This Row],[Quantity]]</f>
        <v>30.294</v>
      </c>
      <c r="N263" t="str">
        <f>IF(SalesData[[#This Row],[Profit]]&gt;0,"Profit","Loss")</f>
        <v>Loss</v>
      </c>
    </row>
    <row r="264" spans="1:14" x14ac:dyDescent="0.3">
      <c r="A264" t="s">
        <v>2894</v>
      </c>
      <c r="B264" s="3">
        <v>42778</v>
      </c>
      <c r="C264" t="s">
        <v>13</v>
      </c>
      <c r="D264" t="s">
        <v>10</v>
      </c>
      <c r="E264" t="s">
        <v>2896</v>
      </c>
      <c r="F264" s="1">
        <v>49.616</v>
      </c>
      <c r="G264">
        <v>2</v>
      </c>
      <c r="H264" s="1">
        <v>4.9615999999999998</v>
      </c>
      <c r="I264" s="4">
        <f>SalesData[[#This Row],[Profit]]/SalesData[[#This Row],[Sales]]</f>
        <v>9.9999999999999992E-2</v>
      </c>
      <c r="J264">
        <f>YEAR(SalesData[[#This Row],[Order Date]])</f>
        <v>2017</v>
      </c>
      <c r="K264" t="str">
        <f>TEXT(SalesData[[#This Row],[Order Date]],"mmm")</f>
        <v>Feb</v>
      </c>
      <c r="L264">
        <f>MONTH(SalesData[[#This Row],[Order Date]])</f>
        <v>2</v>
      </c>
      <c r="M264">
        <f>SalesData[[#This Row],[Sales]]/SalesData[[#This Row],[Quantity]]</f>
        <v>24.808</v>
      </c>
      <c r="N264" t="str">
        <f>IF(SalesData[[#This Row],[Profit]]&gt;0,"Profit","Loss")</f>
        <v>Profit</v>
      </c>
    </row>
    <row r="265" spans="1:14" x14ac:dyDescent="0.3">
      <c r="A265" t="s">
        <v>2894</v>
      </c>
      <c r="B265" s="3">
        <v>42778</v>
      </c>
      <c r="C265" t="s">
        <v>13</v>
      </c>
      <c r="D265" t="s">
        <v>14</v>
      </c>
      <c r="E265" t="s">
        <v>2405</v>
      </c>
      <c r="F265" s="1">
        <v>508.70400000000001</v>
      </c>
      <c r="G265">
        <v>6</v>
      </c>
      <c r="H265" s="1">
        <v>0</v>
      </c>
      <c r="I265" s="4">
        <f>SalesData[[#This Row],[Profit]]/SalesData[[#This Row],[Sales]]</f>
        <v>0</v>
      </c>
      <c r="J265">
        <f>YEAR(SalesData[[#This Row],[Order Date]])</f>
        <v>2017</v>
      </c>
      <c r="K265" t="str">
        <f>TEXT(SalesData[[#This Row],[Order Date]],"mmm")</f>
        <v>Feb</v>
      </c>
      <c r="L265">
        <f>MONTH(SalesData[[#This Row],[Order Date]])</f>
        <v>2</v>
      </c>
      <c r="M265">
        <f>SalesData[[#This Row],[Sales]]/SalesData[[#This Row],[Quantity]]</f>
        <v>84.784000000000006</v>
      </c>
      <c r="N265" t="str">
        <f>IF(SalesData[[#This Row],[Profit]]&gt;0,"Profit","Loss")</f>
        <v>Loss</v>
      </c>
    </row>
    <row r="266" spans="1:14" x14ac:dyDescent="0.3">
      <c r="A266" t="s">
        <v>2894</v>
      </c>
      <c r="B266" s="3">
        <v>42778</v>
      </c>
      <c r="C266" t="s">
        <v>13</v>
      </c>
      <c r="D266" t="s">
        <v>10</v>
      </c>
      <c r="E266" t="s">
        <v>2897</v>
      </c>
      <c r="F266" s="1">
        <v>57.36</v>
      </c>
      <c r="G266">
        <v>6</v>
      </c>
      <c r="H266" s="1">
        <v>-14.34</v>
      </c>
      <c r="I266" s="4">
        <f>SalesData[[#This Row],[Profit]]/SalesData[[#This Row],[Sales]]</f>
        <v>-0.25</v>
      </c>
      <c r="J266">
        <f>YEAR(SalesData[[#This Row],[Order Date]])</f>
        <v>2017</v>
      </c>
      <c r="K266" t="str">
        <f>TEXT(SalesData[[#This Row],[Order Date]],"mmm")</f>
        <v>Feb</v>
      </c>
      <c r="L266">
        <f>MONTH(SalesData[[#This Row],[Order Date]])</f>
        <v>2</v>
      </c>
      <c r="M266">
        <f>SalesData[[#This Row],[Sales]]/SalesData[[#This Row],[Quantity]]</f>
        <v>9.56</v>
      </c>
      <c r="N266" t="str">
        <f>IF(SalesData[[#This Row],[Profit]]&gt;0,"Profit","Loss")</f>
        <v>Loss</v>
      </c>
    </row>
    <row r="267" spans="1:14" x14ac:dyDescent="0.3">
      <c r="A267" t="s">
        <v>2894</v>
      </c>
      <c r="B267" s="3">
        <v>42778</v>
      </c>
      <c r="C267" t="s">
        <v>13</v>
      </c>
      <c r="D267" t="s">
        <v>14</v>
      </c>
      <c r="E267" t="s">
        <v>441</v>
      </c>
      <c r="F267" s="1">
        <v>906.68</v>
      </c>
      <c r="G267">
        <v>5</v>
      </c>
      <c r="H267" s="1">
        <v>68.001000000000005</v>
      </c>
      <c r="I267" s="4">
        <f>SalesData[[#This Row],[Profit]]/SalesData[[#This Row],[Sales]]</f>
        <v>7.5000000000000011E-2</v>
      </c>
      <c r="J267">
        <f>YEAR(SalesData[[#This Row],[Order Date]])</f>
        <v>2017</v>
      </c>
      <c r="K267" t="str">
        <f>TEXT(SalesData[[#This Row],[Order Date]],"mmm")</f>
        <v>Feb</v>
      </c>
      <c r="L267">
        <f>MONTH(SalesData[[#This Row],[Order Date]])</f>
        <v>2</v>
      </c>
      <c r="M267">
        <f>SalesData[[#This Row],[Sales]]/SalesData[[#This Row],[Quantity]]</f>
        <v>181.33599999999998</v>
      </c>
      <c r="N267" t="str">
        <f>IF(SalesData[[#This Row],[Profit]]&gt;0,"Profit","Loss")</f>
        <v>Profit</v>
      </c>
    </row>
    <row r="268" spans="1:14" x14ac:dyDescent="0.3">
      <c r="A268" t="s">
        <v>2898</v>
      </c>
      <c r="B268" s="3">
        <v>42778</v>
      </c>
      <c r="C268" t="s">
        <v>13</v>
      </c>
      <c r="D268" t="s">
        <v>21</v>
      </c>
      <c r="E268" t="s">
        <v>424</v>
      </c>
      <c r="F268" s="1">
        <v>67.86</v>
      </c>
      <c r="G268">
        <v>6</v>
      </c>
      <c r="H268" s="1">
        <v>-45.24</v>
      </c>
      <c r="I268" s="4">
        <f>SalesData[[#This Row],[Profit]]/SalesData[[#This Row],[Sales]]</f>
        <v>-0.66666666666666674</v>
      </c>
      <c r="J268">
        <f>YEAR(SalesData[[#This Row],[Order Date]])</f>
        <v>2017</v>
      </c>
      <c r="K268" t="str">
        <f>TEXT(SalesData[[#This Row],[Order Date]],"mmm")</f>
        <v>Feb</v>
      </c>
      <c r="L268">
        <f>MONTH(SalesData[[#This Row],[Order Date]])</f>
        <v>2</v>
      </c>
      <c r="M268">
        <f>SalesData[[#This Row],[Sales]]/SalesData[[#This Row],[Quantity]]</f>
        <v>11.31</v>
      </c>
      <c r="N268" t="str">
        <f>IF(SalesData[[#This Row],[Profit]]&gt;0,"Profit","Loss")</f>
        <v>Loss</v>
      </c>
    </row>
    <row r="269" spans="1:14" x14ac:dyDescent="0.3">
      <c r="A269" t="s">
        <v>2899</v>
      </c>
      <c r="B269" s="3">
        <v>42778</v>
      </c>
      <c r="C269" t="s">
        <v>17</v>
      </c>
      <c r="D269" t="s">
        <v>21</v>
      </c>
      <c r="E269" t="s">
        <v>489</v>
      </c>
      <c r="F269" s="1">
        <v>19.728000000000002</v>
      </c>
      <c r="G269">
        <v>9</v>
      </c>
      <c r="H269" s="1">
        <v>1.7262</v>
      </c>
      <c r="I269" s="4">
        <f>SalesData[[#This Row],[Profit]]/SalesData[[#This Row],[Sales]]</f>
        <v>8.7499999999999994E-2</v>
      </c>
      <c r="J269">
        <f>YEAR(SalesData[[#This Row],[Order Date]])</f>
        <v>2017</v>
      </c>
      <c r="K269" t="str">
        <f>TEXT(SalesData[[#This Row],[Order Date]],"mmm")</f>
        <v>Feb</v>
      </c>
      <c r="L269">
        <f>MONTH(SalesData[[#This Row],[Order Date]])</f>
        <v>2</v>
      </c>
      <c r="M269">
        <f>SalesData[[#This Row],[Sales]]/SalesData[[#This Row],[Quantity]]</f>
        <v>2.1920000000000002</v>
      </c>
      <c r="N269" t="str">
        <f>IF(SalesData[[#This Row],[Profit]]&gt;0,"Profit","Loss")</f>
        <v>Profit</v>
      </c>
    </row>
    <row r="270" spans="1:14" x14ac:dyDescent="0.3">
      <c r="A270" t="s">
        <v>2899</v>
      </c>
      <c r="B270" s="3">
        <v>42778</v>
      </c>
      <c r="C270" t="s">
        <v>17</v>
      </c>
      <c r="D270" t="s">
        <v>10</v>
      </c>
      <c r="E270" t="s">
        <v>2900</v>
      </c>
      <c r="F270" s="1">
        <v>151.18799999999999</v>
      </c>
      <c r="G270">
        <v>2</v>
      </c>
      <c r="H270" s="1">
        <v>-25.198</v>
      </c>
      <c r="I270" s="4">
        <f>SalesData[[#This Row],[Profit]]/SalesData[[#This Row],[Sales]]</f>
        <v>-0.16666666666666669</v>
      </c>
      <c r="J270">
        <f>YEAR(SalesData[[#This Row],[Order Date]])</f>
        <v>2017</v>
      </c>
      <c r="K270" t="str">
        <f>TEXT(SalesData[[#This Row],[Order Date]],"mmm")</f>
        <v>Feb</v>
      </c>
      <c r="L270">
        <f>MONTH(SalesData[[#This Row],[Order Date]])</f>
        <v>2</v>
      </c>
      <c r="M270">
        <f>SalesData[[#This Row],[Sales]]/SalesData[[#This Row],[Quantity]]</f>
        <v>75.593999999999994</v>
      </c>
      <c r="N270" t="str">
        <f>IF(SalesData[[#This Row],[Profit]]&gt;0,"Profit","Loss")</f>
        <v>Loss</v>
      </c>
    </row>
    <row r="271" spans="1:14" x14ac:dyDescent="0.3">
      <c r="A271" t="s">
        <v>2901</v>
      </c>
      <c r="B271" s="3">
        <v>42778</v>
      </c>
      <c r="C271" t="s">
        <v>17</v>
      </c>
      <c r="D271" t="s">
        <v>21</v>
      </c>
      <c r="E271" t="s">
        <v>628</v>
      </c>
      <c r="F271" s="1">
        <v>286.86</v>
      </c>
      <c r="G271">
        <v>7</v>
      </c>
      <c r="H271" s="1">
        <v>80.320800000000006</v>
      </c>
      <c r="I271" s="4">
        <f>SalesData[[#This Row],[Profit]]/SalesData[[#This Row],[Sales]]</f>
        <v>0.28000000000000003</v>
      </c>
      <c r="J271">
        <f>YEAR(SalesData[[#This Row],[Order Date]])</f>
        <v>2017</v>
      </c>
      <c r="K271" t="str">
        <f>TEXT(SalesData[[#This Row],[Order Date]],"mmm")</f>
        <v>Feb</v>
      </c>
      <c r="L271">
        <f>MONTH(SalesData[[#This Row],[Order Date]])</f>
        <v>2</v>
      </c>
      <c r="M271">
        <f>SalesData[[#This Row],[Sales]]/SalesData[[#This Row],[Quantity]]</f>
        <v>40.980000000000004</v>
      </c>
      <c r="N271" t="str">
        <f>IF(SalesData[[#This Row],[Profit]]&gt;0,"Profit","Loss")</f>
        <v>Profit</v>
      </c>
    </row>
    <row r="272" spans="1:14" x14ac:dyDescent="0.3">
      <c r="A272" t="s">
        <v>2901</v>
      </c>
      <c r="B272" s="3">
        <v>42778</v>
      </c>
      <c r="C272" t="s">
        <v>17</v>
      </c>
      <c r="D272" t="s">
        <v>10</v>
      </c>
      <c r="E272" t="s">
        <v>490</v>
      </c>
      <c r="F272" s="1">
        <v>979.95</v>
      </c>
      <c r="G272">
        <v>5</v>
      </c>
      <c r="H272" s="1">
        <v>284.18549999999999</v>
      </c>
      <c r="I272" s="4">
        <f>SalesData[[#This Row],[Profit]]/SalesData[[#This Row],[Sales]]</f>
        <v>0.28999999999999998</v>
      </c>
      <c r="J272">
        <f>YEAR(SalesData[[#This Row],[Order Date]])</f>
        <v>2017</v>
      </c>
      <c r="K272" t="str">
        <f>TEXT(SalesData[[#This Row],[Order Date]],"mmm")</f>
        <v>Feb</v>
      </c>
      <c r="L272">
        <f>MONTH(SalesData[[#This Row],[Order Date]])</f>
        <v>2</v>
      </c>
      <c r="M272">
        <f>SalesData[[#This Row],[Sales]]/SalesData[[#This Row],[Quantity]]</f>
        <v>195.99</v>
      </c>
      <c r="N272" t="str">
        <f>IF(SalesData[[#This Row],[Profit]]&gt;0,"Profit","Loss")</f>
        <v>Profit</v>
      </c>
    </row>
    <row r="273" spans="1:14" x14ac:dyDescent="0.3">
      <c r="A273" t="s">
        <v>2901</v>
      </c>
      <c r="B273" s="3">
        <v>42778</v>
      </c>
      <c r="C273" t="s">
        <v>17</v>
      </c>
      <c r="D273" t="s">
        <v>21</v>
      </c>
      <c r="E273" t="s">
        <v>749</v>
      </c>
      <c r="F273" s="1">
        <v>4.3600000000000003</v>
      </c>
      <c r="G273">
        <v>2</v>
      </c>
      <c r="H273" s="1">
        <v>0.1744</v>
      </c>
      <c r="I273" s="4">
        <f>SalesData[[#This Row],[Profit]]/SalesData[[#This Row],[Sales]]</f>
        <v>3.9999999999999994E-2</v>
      </c>
      <c r="J273">
        <f>YEAR(SalesData[[#This Row],[Order Date]])</f>
        <v>2017</v>
      </c>
      <c r="K273" t="str">
        <f>TEXT(SalesData[[#This Row],[Order Date]],"mmm")</f>
        <v>Feb</v>
      </c>
      <c r="L273">
        <f>MONTH(SalesData[[#This Row],[Order Date]])</f>
        <v>2</v>
      </c>
      <c r="M273">
        <f>SalesData[[#This Row],[Sales]]/SalesData[[#This Row],[Quantity]]</f>
        <v>2.1800000000000002</v>
      </c>
      <c r="N273" t="str">
        <f>IF(SalesData[[#This Row],[Profit]]&gt;0,"Profit","Loss")</f>
        <v>Profit</v>
      </c>
    </row>
    <row r="274" spans="1:14" x14ac:dyDescent="0.3">
      <c r="A274" t="s">
        <v>2902</v>
      </c>
      <c r="B274" s="3">
        <v>42795</v>
      </c>
      <c r="C274" t="s">
        <v>13</v>
      </c>
      <c r="D274" t="s">
        <v>21</v>
      </c>
      <c r="E274" t="s">
        <v>2782</v>
      </c>
      <c r="F274" s="1">
        <v>38.880000000000003</v>
      </c>
      <c r="G274">
        <v>6</v>
      </c>
      <c r="H274" s="1">
        <v>18.662400000000002</v>
      </c>
      <c r="I274" s="4">
        <f>SalesData[[#This Row],[Profit]]/SalesData[[#This Row],[Sales]]</f>
        <v>0.48000000000000004</v>
      </c>
      <c r="J274">
        <f>YEAR(SalesData[[#This Row],[Order Date]])</f>
        <v>2017</v>
      </c>
      <c r="K274" t="str">
        <f>TEXT(SalesData[[#This Row],[Order Date]],"mmm")</f>
        <v>Mar</v>
      </c>
      <c r="L274">
        <f>MONTH(SalesData[[#This Row],[Order Date]])</f>
        <v>3</v>
      </c>
      <c r="M274">
        <f>SalesData[[#This Row],[Sales]]/SalesData[[#This Row],[Quantity]]</f>
        <v>6.48</v>
      </c>
      <c r="N274" t="str">
        <f>IF(SalesData[[#This Row],[Profit]]&gt;0,"Profit","Loss")</f>
        <v>Profit</v>
      </c>
    </row>
    <row r="275" spans="1:14" x14ac:dyDescent="0.3">
      <c r="A275" t="s">
        <v>2903</v>
      </c>
      <c r="B275" s="3">
        <v>42795</v>
      </c>
      <c r="C275" t="s">
        <v>13</v>
      </c>
      <c r="D275" t="s">
        <v>21</v>
      </c>
      <c r="E275" t="s">
        <v>2904</v>
      </c>
      <c r="F275" s="1">
        <v>2022.2719999999999</v>
      </c>
      <c r="G275">
        <v>8</v>
      </c>
      <c r="H275" s="1">
        <v>682.51679999999999</v>
      </c>
      <c r="I275" s="4">
        <f>SalesData[[#This Row],[Profit]]/SalesData[[#This Row],[Sales]]</f>
        <v>0.33750000000000002</v>
      </c>
      <c r="J275">
        <f>YEAR(SalesData[[#This Row],[Order Date]])</f>
        <v>2017</v>
      </c>
      <c r="K275" t="str">
        <f>TEXT(SalesData[[#This Row],[Order Date]],"mmm")</f>
        <v>Mar</v>
      </c>
      <c r="L275">
        <f>MONTH(SalesData[[#This Row],[Order Date]])</f>
        <v>3</v>
      </c>
      <c r="M275">
        <f>SalesData[[#This Row],[Sales]]/SalesData[[#This Row],[Quantity]]</f>
        <v>252.78399999999999</v>
      </c>
      <c r="N275" t="str">
        <f>IF(SalesData[[#This Row],[Profit]]&gt;0,"Profit","Loss")</f>
        <v>Profit</v>
      </c>
    </row>
    <row r="276" spans="1:14" x14ac:dyDescent="0.3">
      <c r="A276" t="s">
        <v>2903</v>
      </c>
      <c r="B276" s="3">
        <v>42795</v>
      </c>
      <c r="C276" t="s">
        <v>13</v>
      </c>
      <c r="D276" t="s">
        <v>21</v>
      </c>
      <c r="E276" t="s">
        <v>1710</v>
      </c>
      <c r="F276" s="1">
        <v>9.1199999999999992</v>
      </c>
      <c r="G276">
        <v>3</v>
      </c>
      <c r="H276" s="1">
        <v>3.1008</v>
      </c>
      <c r="I276" s="4">
        <f>SalesData[[#This Row],[Profit]]/SalesData[[#This Row],[Sales]]</f>
        <v>0.34</v>
      </c>
      <c r="J276">
        <f>YEAR(SalesData[[#This Row],[Order Date]])</f>
        <v>2017</v>
      </c>
      <c r="K276" t="str">
        <f>TEXT(SalesData[[#This Row],[Order Date]],"mmm")</f>
        <v>Mar</v>
      </c>
      <c r="L276">
        <f>MONTH(SalesData[[#This Row],[Order Date]])</f>
        <v>3</v>
      </c>
      <c r="M276">
        <f>SalesData[[#This Row],[Sales]]/SalesData[[#This Row],[Quantity]]</f>
        <v>3.0399999999999996</v>
      </c>
      <c r="N276" t="str">
        <f>IF(SalesData[[#This Row],[Profit]]&gt;0,"Profit","Loss")</f>
        <v>Profit</v>
      </c>
    </row>
    <row r="277" spans="1:14" x14ac:dyDescent="0.3">
      <c r="A277" t="s">
        <v>2905</v>
      </c>
      <c r="B277" s="3">
        <v>42796</v>
      </c>
      <c r="C277" t="s">
        <v>17</v>
      </c>
      <c r="D277" t="s">
        <v>21</v>
      </c>
      <c r="E277" t="s">
        <v>2074</v>
      </c>
      <c r="F277" s="1">
        <v>5.2290000000000001</v>
      </c>
      <c r="G277">
        <v>3</v>
      </c>
      <c r="H277" s="1">
        <v>-4.1832000000000003</v>
      </c>
      <c r="I277" s="4">
        <f>SalesData[[#This Row],[Profit]]/SalesData[[#This Row],[Sales]]</f>
        <v>-0.8</v>
      </c>
      <c r="J277">
        <f>YEAR(SalesData[[#This Row],[Order Date]])</f>
        <v>2017</v>
      </c>
      <c r="K277" t="str">
        <f>TEXT(SalesData[[#This Row],[Order Date]],"mmm")</f>
        <v>Mar</v>
      </c>
      <c r="L277">
        <f>MONTH(SalesData[[#This Row],[Order Date]])</f>
        <v>3</v>
      </c>
      <c r="M277">
        <f>SalesData[[#This Row],[Sales]]/SalesData[[#This Row],[Quantity]]</f>
        <v>1.7430000000000001</v>
      </c>
      <c r="N277" t="str">
        <f>IF(SalesData[[#This Row],[Profit]]&gt;0,"Profit","Loss")</f>
        <v>Loss</v>
      </c>
    </row>
    <row r="278" spans="1:14" x14ac:dyDescent="0.3">
      <c r="A278" t="s">
        <v>2905</v>
      </c>
      <c r="B278" s="3">
        <v>42796</v>
      </c>
      <c r="C278" t="s">
        <v>17</v>
      </c>
      <c r="D278" t="s">
        <v>21</v>
      </c>
      <c r="E278" t="s">
        <v>150</v>
      </c>
      <c r="F278" s="1">
        <v>285.55200000000002</v>
      </c>
      <c r="G278">
        <v>2</v>
      </c>
      <c r="H278" s="1">
        <v>35.694000000000003</v>
      </c>
      <c r="I278" s="4">
        <f>SalesData[[#This Row],[Profit]]/SalesData[[#This Row],[Sales]]</f>
        <v>0.125</v>
      </c>
      <c r="J278">
        <f>YEAR(SalesData[[#This Row],[Order Date]])</f>
        <v>2017</v>
      </c>
      <c r="K278" t="str">
        <f>TEXT(SalesData[[#This Row],[Order Date]],"mmm")</f>
        <v>Mar</v>
      </c>
      <c r="L278">
        <f>MONTH(SalesData[[#This Row],[Order Date]])</f>
        <v>3</v>
      </c>
      <c r="M278">
        <f>SalesData[[#This Row],[Sales]]/SalesData[[#This Row],[Quantity]]</f>
        <v>142.77600000000001</v>
      </c>
      <c r="N278" t="str">
        <f>IF(SalesData[[#This Row],[Profit]]&gt;0,"Profit","Loss")</f>
        <v>Profit</v>
      </c>
    </row>
    <row r="279" spans="1:14" x14ac:dyDescent="0.3">
      <c r="A279" t="s">
        <v>2906</v>
      </c>
      <c r="B279" s="3">
        <v>42796</v>
      </c>
      <c r="C279" t="s">
        <v>46</v>
      </c>
      <c r="D279" t="s">
        <v>21</v>
      </c>
      <c r="E279" t="s">
        <v>2164</v>
      </c>
      <c r="F279" s="1">
        <v>3.8820000000000001</v>
      </c>
      <c r="G279">
        <v>2</v>
      </c>
      <c r="H279" s="1">
        <v>-2.5880000000000001</v>
      </c>
      <c r="I279" s="4">
        <f>SalesData[[#This Row],[Profit]]/SalesData[[#This Row],[Sales]]</f>
        <v>-0.66666666666666663</v>
      </c>
      <c r="J279">
        <f>YEAR(SalesData[[#This Row],[Order Date]])</f>
        <v>2017</v>
      </c>
      <c r="K279" t="str">
        <f>TEXT(SalesData[[#This Row],[Order Date]],"mmm")</f>
        <v>Mar</v>
      </c>
      <c r="L279">
        <f>MONTH(SalesData[[#This Row],[Order Date]])</f>
        <v>3</v>
      </c>
      <c r="M279">
        <f>SalesData[[#This Row],[Sales]]/SalesData[[#This Row],[Quantity]]</f>
        <v>1.9410000000000001</v>
      </c>
      <c r="N279" t="str">
        <f>IF(SalesData[[#This Row],[Profit]]&gt;0,"Profit","Loss")</f>
        <v>Loss</v>
      </c>
    </row>
    <row r="280" spans="1:14" x14ac:dyDescent="0.3">
      <c r="A280" t="s">
        <v>2906</v>
      </c>
      <c r="B280" s="3">
        <v>42796</v>
      </c>
      <c r="C280" t="s">
        <v>46</v>
      </c>
      <c r="D280" t="s">
        <v>21</v>
      </c>
      <c r="E280" t="s">
        <v>2215</v>
      </c>
      <c r="F280" s="1">
        <v>115.29600000000001</v>
      </c>
      <c r="G280">
        <v>3</v>
      </c>
      <c r="H280" s="1">
        <v>40.3536</v>
      </c>
      <c r="I280" s="4">
        <f>SalesData[[#This Row],[Profit]]/SalesData[[#This Row],[Sales]]</f>
        <v>0.35</v>
      </c>
      <c r="J280">
        <f>YEAR(SalesData[[#This Row],[Order Date]])</f>
        <v>2017</v>
      </c>
      <c r="K280" t="str">
        <f>TEXT(SalesData[[#This Row],[Order Date]],"mmm")</f>
        <v>Mar</v>
      </c>
      <c r="L280">
        <f>MONTH(SalesData[[#This Row],[Order Date]])</f>
        <v>3</v>
      </c>
      <c r="M280">
        <f>SalesData[[#This Row],[Sales]]/SalesData[[#This Row],[Quantity]]</f>
        <v>38.432000000000002</v>
      </c>
      <c r="N280" t="str">
        <f>IF(SalesData[[#This Row],[Profit]]&gt;0,"Profit","Loss")</f>
        <v>Profit</v>
      </c>
    </row>
    <row r="281" spans="1:14" x14ac:dyDescent="0.3">
      <c r="A281" t="s">
        <v>2907</v>
      </c>
      <c r="B281" s="3">
        <v>42796</v>
      </c>
      <c r="C281" t="s">
        <v>9</v>
      </c>
      <c r="D281" t="s">
        <v>21</v>
      </c>
      <c r="E281" t="s">
        <v>2597</v>
      </c>
      <c r="F281" s="1">
        <v>5.1840000000000002</v>
      </c>
      <c r="G281">
        <v>1</v>
      </c>
      <c r="H281" s="1">
        <v>1.8144</v>
      </c>
      <c r="I281" s="4">
        <f>SalesData[[#This Row],[Profit]]/SalesData[[#This Row],[Sales]]</f>
        <v>0.35</v>
      </c>
      <c r="J281">
        <f>YEAR(SalesData[[#This Row],[Order Date]])</f>
        <v>2017</v>
      </c>
      <c r="K281" t="str">
        <f>TEXT(SalesData[[#This Row],[Order Date]],"mmm")</f>
        <v>Mar</v>
      </c>
      <c r="L281">
        <f>MONTH(SalesData[[#This Row],[Order Date]])</f>
        <v>3</v>
      </c>
      <c r="M281">
        <f>SalesData[[#This Row],[Sales]]/SalesData[[#This Row],[Quantity]]</f>
        <v>5.1840000000000002</v>
      </c>
      <c r="N281" t="str">
        <f>IF(SalesData[[#This Row],[Profit]]&gt;0,"Profit","Loss")</f>
        <v>Profit</v>
      </c>
    </row>
    <row r="282" spans="1:14" x14ac:dyDescent="0.3">
      <c r="A282" t="s">
        <v>2907</v>
      </c>
      <c r="B282" s="3">
        <v>42796</v>
      </c>
      <c r="C282" t="s">
        <v>9</v>
      </c>
      <c r="D282" t="s">
        <v>21</v>
      </c>
      <c r="E282" t="s">
        <v>474</v>
      </c>
      <c r="F282" s="1">
        <v>65.584000000000003</v>
      </c>
      <c r="G282">
        <v>2</v>
      </c>
      <c r="H282" s="1">
        <v>23.7742</v>
      </c>
      <c r="I282" s="4">
        <f>SalesData[[#This Row],[Profit]]/SalesData[[#This Row],[Sales]]</f>
        <v>0.36249999999999999</v>
      </c>
      <c r="J282">
        <f>YEAR(SalesData[[#This Row],[Order Date]])</f>
        <v>2017</v>
      </c>
      <c r="K282" t="str">
        <f>TEXT(SalesData[[#This Row],[Order Date]],"mmm")</f>
        <v>Mar</v>
      </c>
      <c r="L282">
        <f>MONTH(SalesData[[#This Row],[Order Date]])</f>
        <v>3</v>
      </c>
      <c r="M282">
        <f>SalesData[[#This Row],[Sales]]/SalesData[[#This Row],[Quantity]]</f>
        <v>32.792000000000002</v>
      </c>
      <c r="N282" t="str">
        <f>IF(SalesData[[#This Row],[Profit]]&gt;0,"Profit","Loss")</f>
        <v>Profit</v>
      </c>
    </row>
    <row r="283" spans="1:14" x14ac:dyDescent="0.3">
      <c r="A283" t="s">
        <v>2907</v>
      </c>
      <c r="B283" s="3">
        <v>42796</v>
      </c>
      <c r="C283" t="s">
        <v>9</v>
      </c>
      <c r="D283" t="s">
        <v>14</v>
      </c>
      <c r="E283" t="s">
        <v>1858</v>
      </c>
      <c r="F283" s="1">
        <v>22.2</v>
      </c>
      <c r="G283">
        <v>1</v>
      </c>
      <c r="H283" s="1">
        <v>-26.085000000000001</v>
      </c>
      <c r="I283" s="4">
        <f>SalesData[[#This Row],[Profit]]/SalesData[[#This Row],[Sales]]</f>
        <v>-1.175</v>
      </c>
      <c r="J283">
        <f>YEAR(SalesData[[#This Row],[Order Date]])</f>
        <v>2017</v>
      </c>
      <c r="K283" t="str">
        <f>TEXT(SalesData[[#This Row],[Order Date]],"mmm")</f>
        <v>Mar</v>
      </c>
      <c r="L283">
        <f>MONTH(SalesData[[#This Row],[Order Date]])</f>
        <v>3</v>
      </c>
      <c r="M283">
        <f>SalesData[[#This Row],[Sales]]/SalesData[[#This Row],[Quantity]]</f>
        <v>22.2</v>
      </c>
      <c r="N283" t="str">
        <f>IF(SalesData[[#This Row],[Profit]]&gt;0,"Profit","Loss")</f>
        <v>Loss</v>
      </c>
    </row>
    <row r="284" spans="1:14" x14ac:dyDescent="0.3">
      <c r="A284" t="s">
        <v>2907</v>
      </c>
      <c r="B284" s="3">
        <v>42796</v>
      </c>
      <c r="C284" t="s">
        <v>9</v>
      </c>
      <c r="D284" t="s">
        <v>21</v>
      </c>
      <c r="E284" t="s">
        <v>2908</v>
      </c>
      <c r="F284" s="1">
        <v>419.4</v>
      </c>
      <c r="G284">
        <v>5</v>
      </c>
      <c r="H284" s="1">
        <v>146.79</v>
      </c>
      <c r="I284" s="4">
        <f>SalesData[[#This Row],[Profit]]/SalesData[[#This Row],[Sales]]</f>
        <v>0.35</v>
      </c>
      <c r="J284">
        <f>YEAR(SalesData[[#This Row],[Order Date]])</f>
        <v>2017</v>
      </c>
      <c r="K284" t="str">
        <f>TEXT(SalesData[[#This Row],[Order Date]],"mmm")</f>
        <v>Mar</v>
      </c>
      <c r="L284">
        <f>MONTH(SalesData[[#This Row],[Order Date]])</f>
        <v>3</v>
      </c>
      <c r="M284">
        <f>SalesData[[#This Row],[Sales]]/SalesData[[#This Row],[Quantity]]</f>
        <v>83.88</v>
      </c>
      <c r="N284" t="str">
        <f>IF(SalesData[[#This Row],[Profit]]&gt;0,"Profit","Loss")</f>
        <v>Profit</v>
      </c>
    </row>
    <row r="285" spans="1:14" x14ac:dyDescent="0.3">
      <c r="A285" t="s">
        <v>2909</v>
      </c>
      <c r="B285" s="3">
        <v>42797</v>
      </c>
      <c r="C285" t="s">
        <v>46</v>
      </c>
      <c r="D285" t="s">
        <v>21</v>
      </c>
      <c r="E285" t="s">
        <v>51</v>
      </c>
      <c r="F285" s="1">
        <v>72.8</v>
      </c>
      <c r="G285">
        <v>5</v>
      </c>
      <c r="H285" s="1">
        <v>19.655999999999999</v>
      </c>
      <c r="I285" s="4">
        <f>SalesData[[#This Row],[Profit]]/SalesData[[#This Row],[Sales]]</f>
        <v>0.27</v>
      </c>
      <c r="J285">
        <f>YEAR(SalesData[[#This Row],[Order Date]])</f>
        <v>2017</v>
      </c>
      <c r="K285" t="str">
        <f>TEXT(SalesData[[#This Row],[Order Date]],"mmm")</f>
        <v>Mar</v>
      </c>
      <c r="L285">
        <f>MONTH(SalesData[[#This Row],[Order Date]])</f>
        <v>3</v>
      </c>
      <c r="M285">
        <f>SalesData[[#This Row],[Sales]]/SalesData[[#This Row],[Quantity]]</f>
        <v>14.559999999999999</v>
      </c>
      <c r="N285" t="str">
        <f>IF(SalesData[[#This Row],[Profit]]&gt;0,"Profit","Loss")</f>
        <v>Profit</v>
      </c>
    </row>
    <row r="286" spans="1:14" x14ac:dyDescent="0.3">
      <c r="A286" t="s">
        <v>2910</v>
      </c>
      <c r="B286" s="3">
        <v>42797</v>
      </c>
      <c r="C286" t="s">
        <v>9</v>
      </c>
      <c r="D286" t="s">
        <v>21</v>
      </c>
      <c r="E286" t="s">
        <v>1155</v>
      </c>
      <c r="F286" s="1">
        <v>26.88</v>
      </c>
      <c r="G286">
        <v>8</v>
      </c>
      <c r="H286" s="1">
        <v>9.7439999999999998</v>
      </c>
      <c r="I286" s="4">
        <f>SalesData[[#This Row],[Profit]]/SalesData[[#This Row],[Sales]]</f>
        <v>0.36249999999999999</v>
      </c>
      <c r="J286">
        <f>YEAR(SalesData[[#This Row],[Order Date]])</f>
        <v>2017</v>
      </c>
      <c r="K286" t="str">
        <f>TEXT(SalesData[[#This Row],[Order Date]],"mmm")</f>
        <v>Mar</v>
      </c>
      <c r="L286">
        <f>MONTH(SalesData[[#This Row],[Order Date]])</f>
        <v>3</v>
      </c>
      <c r="M286">
        <f>SalesData[[#This Row],[Sales]]/SalesData[[#This Row],[Quantity]]</f>
        <v>3.36</v>
      </c>
      <c r="N286" t="str">
        <f>IF(SalesData[[#This Row],[Profit]]&gt;0,"Profit","Loss")</f>
        <v>Profit</v>
      </c>
    </row>
    <row r="287" spans="1:14" x14ac:dyDescent="0.3">
      <c r="A287" t="s">
        <v>2911</v>
      </c>
      <c r="B287" s="3">
        <v>42797</v>
      </c>
      <c r="C287" t="s">
        <v>9</v>
      </c>
      <c r="D287" t="s">
        <v>14</v>
      </c>
      <c r="E287" t="s">
        <v>1567</v>
      </c>
      <c r="F287" s="1">
        <v>180.98</v>
      </c>
      <c r="G287">
        <v>1</v>
      </c>
      <c r="H287" s="1">
        <v>47.0548</v>
      </c>
      <c r="I287" s="4">
        <f>SalesData[[#This Row],[Profit]]/SalesData[[#This Row],[Sales]]</f>
        <v>0.26</v>
      </c>
      <c r="J287">
        <f>YEAR(SalesData[[#This Row],[Order Date]])</f>
        <v>2017</v>
      </c>
      <c r="K287" t="str">
        <f>TEXT(SalesData[[#This Row],[Order Date]],"mmm")</f>
        <v>Mar</v>
      </c>
      <c r="L287">
        <f>MONTH(SalesData[[#This Row],[Order Date]])</f>
        <v>3</v>
      </c>
      <c r="M287">
        <f>SalesData[[#This Row],[Sales]]/SalesData[[#This Row],[Quantity]]</f>
        <v>180.98</v>
      </c>
      <c r="N287" t="str">
        <f>IF(SalesData[[#This Row],[Profit]]&gt;0,"Profit","Loss")</f>
        <v>Profit</v>
      </c>
    </row>
    <row r="288" spans="1:14" x14ac:dyDescent="0.3">
      <c r="A288" t="s">
        <v>2911</v>
      </c>
      <c r="B288" s="3">
        <v>42797</v>
      </c>
      <c r="C288" t="s">
        <v>9</v>
      </c>
      <c r="D288" t="s">
        <v>10</v>
      </c>
      <c r="E288" t="s">
        <v>322</v>
      </c>
      <c r="F288" s="1">
        <v>99.98</v>
      </c>
      <c r="G288">
        <v>2</v>
      </c>
      <c r="H288" s="1">
        <v>42.991399999999999</v>
      </c>
      <c r="I288" s="4">
        <f>SalesData[[#This Row],[Profit]]/SalesData[[#This Row],[Sales]]</f>
        <v>0.43</v>
      </c>
      <c r="J288">
        <f>YEAR(SalesData[[#This Row],[Order Date]])</f>
        <v>2017</v>
      </c>
      <c r="K288" t="str">
        <f>TEXT(SalesData[[#This Row],[Order Date]],"mmm")</f>
        <v>Mar</v>
      </c>
      <c r="L288">
        <f>MONTH(SalesData[[#This Row],[Order Date]])</f>
        <v>3</v>
      </c>
      <c r="M288">
        <f>SalesData[[#This Row],[Sales]]/SalesData[[#This Row],[Quantity]]</f>
        <v>49.99</v>
      </c>
      <c r="N288" t="str">
        <f>IF(SalesData[[#This Row],[Profit]]&gt;0,"Profit","Loss")</f>
        <v>Profit</v>
      </c>
    </row>
    <row r="289" spans="1:14" x14ac:dyDescent="0.3">
      <c r="A289" t="s">
        <v>2912</v>
      </c>
      <c r="B289" s="3">
        <v>42797</v>
      </c>
      <c r="C289" t="s">
        <v>13</v>
      </c>
      <c r="D289" t="s">
        <v>10</v>
      </c>
      <c r="E289" t="s">
        <v>2913</v>
      </c>
      <c r="F289" s="1">
        <v>1049.44</v>
      </c>
      <c r="G289">
        <v>8</v>
      </c>
      <c r="H289" s="1">
        <v>440.76479999999998</v>
      </c>
      <c r="I289" s="4">
        <f>SalesData[[#This Row],[Profit]]/SalesData[[#This Row],[Sales]]</f>
        <v>0.42</v>
      </c>
      <c r="J289">
        <f>YEAR(SalesData[[#This Row],[Order Date]])</f>
        <v>2017</v>
      </c>
      <c r="K289" t="str">
        <f>TEXT(SalesData[[#This Row],[Order Date]],"mmm")</f>
        <v>Mar</v>
      </c>
      <c r="L289">
        <f>MONTH(SalesData[[#This Row],[Order Date]])</f>
        <v>3</v>
      </c>
      <c r="M289">
        <f>SalesData[[#This Row],[Sales]]/SalesData[[#This Row],[Quantity]]</f>
        <v>131.18</v>
      </c>
      <c r="N289" t="str">
        <f>IF(SalesData[[#This Row],[Profit]]&gt;0,"Profit","Loss")</f>
        <v>Profit</v>
      </c>
    </row>
    <row r="290" spans="1:14" x14ac:dyDescent="0.3">
      <c r="A290" t="s">
        <v>2912</v>
      </c>
      <c r="B290" s="3">
        <v>42797</v>
      </c>
      <c r="C290" t="s">
        <v>13</v>
      </c>
      <c r="D290" t="s">
        <v>14</v>
      </c>
      <c r="E290" t="s">
        <v>1417</v>
      </c>
      <c r="F290" s="1">
        <v>170.352</v>
      </c>
      <c r="G290">
        <v>3</v>
      </c>
      <c r="H290" s="1">
        <v>-17.0352</v>
      </c>
      <c r="I290" s="4">
        <f>SalesData[[#This Row],[Profit]]/SalesData[[#This Row],[Sales]]</f>
        <v>-9.9999999999999992E-2</v>
      </c>
      <c r="J290">
        <f>YEAR(SalesData[[#This Row],[Order Date]])</f>
        <v>2017</v>
      </c>
      <c r="K290" t="str">
        <f>TEXT(SalesData[[#This Row],[Order Date]],"mmm")</f>
        <v>Mar</v>
      </c>
      <c r="L290">
        <f>MONTH(SalesData[[#This Row],[Order Date]])</f>
        <v>3</v>
      </c>
      <c r="M290">
        <f>SalesData[[#This Row],[Sales]]/SalesData[[#This Row],[Quantity]]</f>
        <v>56.783999999999999</v>
      </c>
      <c r="N290" t="str">
        <f>IF(SalesData[[#This Row],[Profit]]&gt;0,"Profit","Loss")</f>
        <v>Loss</v>
      </c>
    </row>
    <row r="291" spans="1:14" x14ac:dyDescent="0.3">
      <c r="A291" t="s">
        <v>2914</v>
      </c>
      <c r="B291" s="3">
        <v>42797</v>
      </c>
      <c r="C291" t="s">
        <v>13</v>
      </c>
      <c r="D291" t="s">
        <v>14</v>
      </c>
      <c r="E291" t="s">
        <v>1767</v>
      </c>
      <c r="F291" s="1">
        <v>399.67200000000003</v>
      </c>
      <c r="G291">
        <v>7</v>
      </c>
      <c r="H291" s="1">
        <v>-14.9877</v>
      </c>
      <c r="I291" s="4">
        <f>SalesData[[#This Row],[Profit]]/SalesData[[#This Row],[Sales]]</f>
        <v>-3.7499999999999999E-2</v>
      </c>
      <c r="J291">
        <f>YEAR(SalesData[[#This Row],[Order Date]])</f>
        <v>2017</v>
      </c>
      <c r="K291" t="str">
        <f>TEXT(SalesData[[#This Row],[Order Date]],"mmm")</f>
        <v>Mar</v>
      </c>
      <c r="L291">
        <f>MONTH(SalesData[[#This Row],[Order Date]])</f>
        <v>3</v>
      </c>
      <c r="M291">
        <f>SalesData[[#This Row],[Sales]]/SalesData[[#This Row],[Quantity]]</f>
        <v>57.096000000000004</v>
      </c>
      <c r="N291" t="str">
        <f>IF(SalesData[[#This Row],[Profit]]&gt;0,"Profit","Loss")</f>
        <v>Loss</v>
      </c>
    </row>
    <row r="292" spans="1:14" x14ac:dyDescent="0.3">
      <c r="A292" t="s">
        <v>2915</v>
      </c>
      <c r="B292" s="3">
        <v>42798</v>
      </c>
      <c r="C292" t="s">
        <v>17</v>
      </c>
      <c r="D292" t="s">
        <v>14</v>
      </c>
      <c r="E292" t="s">
        <v>1278</v>
      </c>
      <c r="F292" s="1">
        <v>25.472000000000001</v>
      </c>
      <c r="G292">
        <v>4</v>
      </c>
      <c r="H292" s="1">
        <v>7.6416000000000004</v>
      </c>
      <c r="I292" s="4">
        <f>SalesData[[#This Row],[Profit]]/SalesData[[#This Row],[Sales]]</f>
        <v>0.3</v>
      </c>
      <c r="J292">
        <f>YEAR(SalesData[[#This Row],[Order Date]])</f>
        <v>2017</v>
      </c>
      <c r="K292" t="str">
        <f>TEXT(SalesData[[#This Row],[Order Date]],"mmm")</f>
        <v>Mar</v>
      </c>
      <c r="L292">
        <f>MONTH(SalesData[[#This Row],[Order Date]])</f>
        <v>3</v>
      </c>
      <c r="M292">
        <f>SalesData[[#This Row],[Sales]]/SalesData[[#This Row],[Quantity]]</f>
        <v>6.3680000000000003</v>
      </c>
      <c r="N292" t="str">
        <f>IF(SalesData[[#This Row],[Profit]]&gt;0,"Profit","Loss")</f>
        <v>Profit</v>
      </c>
    </row>
    <row r="293" spans="1:14" x14ac:dyDescent="0.3">
      <c r="A293" t="s">
        <v>2916</v>
      </c>
      <c r="B293" s="3">
        <v>42798</v>
      </c>
      <c r="C293" t="s">
        <v>9</v>
      </c>
      <c r="D293" t="s">
        <v>21</v>
      </c>
      <c r="E293" t="s">
        <v>479</v>
      </c>
      <c r="F293" s="1">
        <v>7.056</v>
      </c>
      <c r="G293">
        <v>3</v>
      </c>
      <c r="H293" s="1">
        <v>2.2050000000000001</v>
      </c>
      <c r="I293" s="4">
        <f>SalesData[[#This Row],[Profit]]/SalesData[[#This Row],[Sales]]</f>
        <v>0.3125</v>
      </c>
      <c r="J293">
        <f>YEAR(SalesData[[#This Row],[Order Date]])</f>
        <v>2017</v>
      </c>
      <c r="K293" t="str">
        <f>TEXT(SalesData[[#This Row],[Order Date]],"mmm")</f>
        <v>Mar</v>
      </c>
      <c r="L293">
        <f>MONTH(SalesData[[#This Row],[Order Date]])</f>
        <v>3</v>
      </c>
      <c r="M293">
        <f>SalesData[[#This Row],[Sales]]/SalesData[[#This Row],[Quantity]]</f>
        <v>2.3519999999999999</v>
      </c>
      <c r="N293" t="str">
        <f>IF(SalesData[[#This Row],[Profit]]&gt;0,"Profit","Loss")</f>
        <v>Profit</v>
      </c>
    </row>
    <row r="294" spans="1:14" x14ac:dyDescent="0.3">
      <c r="A294" t="s">
        <v>2917</v>
      </c>
      <c r="B294" s="3">
        <v>42799</v>
      </c>
      <c r="C294" t="s">
        <v>13</v>
      </c>
      <c r="D294" t="s">
        <v>21</v>
      </c>
      <c r="E294" t="s">
        <v>90</v>
      </c>
      <c r="F294" s="1">
        <v>69.52</v>
      </c>
      <c r="G294">
        <v>2</v>
      </c>
      <c r="H294" s="1">
        <v>19.465599999999998</v>
      </c>
      <c r="I294" s="4">
        <f>SalesData[[#This Row],[Profit]]/SalesData[[#This Row],[Sales]]</f>
        <v>0.27999999999999997</v>
      </c>
      <c r="J294">
        <f>YEAR(SalesData[[#This Row],[Order Date]])</f>
        <v>2017</v>
      </c>
      <c r="K294" t="str">
        <f>TEXT(SalesData[[#This Row],[Order Date]],"mmm")</f>
        <v>Mar</v>
      </c>
      <c r="L294">
        <f>MONTH(SalesData[[#This Row],[Order Date]])</f>
        <v>3</v>
      </c>
      <c r="M294">
        <f>SalesData[[#This Row],[Sales]]/SalesData[[#This Row],[Quantity]]</f>
        <v>34.76</v>
      </c>
      <c r="N294" t="str">
        <f>IF(SalesData[[#This Row],[Profit]]&gt;0,"Profit","Loss")</f>
        <v>Profit</v>
      </c>
    </row>
    <row r="295" spans="1:14" x14ac:dyDescent="0.3">
      <c r="A295" t="s">
        <v>2917</v>
      </c>
      <c r="B295" s="3">
        <v>42799</v>
      </c>
      <c r="C295" t="s">
        <v>13</v>
      </c>
      <c r="D295" t="s">
        <v>21</v>
      </c>
      <c r="E295" t="s">
        <v>2918</v>
      </c>
      <c r="F295" s="1">
        <v>763.44</v>
      </c>
      <c r="G295">
        <v>8</v>
      </c>
      <c r="H295" s="1">
        <v>45.806399999999996</v>
      </c>
      <c r="I295" s="4">
        <f>SalesData[[#This Row],[Profit]]/SalesData[[#This Row],[Sales]]</f>
        <v>5.9999999999999991E-2</v>
      </c>
      <c r="J295">
        <f>YEAR(SalesData[[#This Row],[Order Date]])</f>
        <v>2017</v>
      </c>
      <c r="K295" t="str">
        <f>TEXT(SalesData[[#This Row],[Order Date]],"mmm")</f>
        <v>Mar</v>
      </c>
      <c r="L295">
        <f>MONTH(SalesData[[#This Row],[Order Date]])</f>
        <v>3</v>
      </c>
      <c r="M295">
        <f>SalesData[[#This Row],[Sales]]/SalesData[[#This Row],[Quantity]]</f>
        <v>95.43</v>
      </c>
      <c r="N295" t="str">
        <f>IF(SalesData[[#This Row],[Profit]]&gt;0,"Profit","Loss")</f>
        <v>Profit</v>
      </c>
    </row>
    <row r="296" spans="1:14" x14ac:dyDescent="0.3">
      <c r="A296" t="s">
        <v>2919</v>
      </c>
      <c r="B296" s="3">
        <v>42799</v>
      </c>
      <c r="C296" t="s">
        <v>13</v>
      </c>
      <c r="D296" t="s">
        <v>21</v>
      </c>
      <c r="E296" t="s">
        <v>2597</v>
      </c>
      <c r="F296" s="1">
        <v>25.92</v>
      </c>
      <c r="G296">
        <v>4</v>
      </c>
      <c r="H296" s="1">
        <v>12.441599999999999</v>
      </c>
      <c r="I296" s="4">
        <f>SalesData[[#This Row],[Profit]]/SalesData[[#This Row],[Sales]]</f>
        <v>0.47999999999999993</v>
      </c>
      <c r="J296">
        <f>YEAR(SalesData[[#This Row],[Order Date]])</f>
        <v>2017</v>
      </c>
      <c r="K296" t="str">
        <f>TEXT(SalesData[[#This Row],[Order Date]],"mmm")</f>
        <v>Mar</v>
      </c>
      <c r="L296">
        <f>MONTH(SalesData[[#This Row],[Order Date]])</f>
        <v>3</v>
      </c>
      <c r="M296">
        <f>SalesData[[#This Row],[Sales]]/SalesData[[#This Row],[Quantity]]</f>
        <v>6.48</v>
      </c>
      <c r="N296" t="str">
        <f>IF(SalesData[[#This Row],[Profit]]&gt;0,"Profit","Loss")</f>
        <v>Profit</v>
      </c>
    </row>
    <row r="297" spans="1:14" x14ac:dyDescent="0.3">
      <c r="A297" t="s">
        <v>2919</v>
      </c>
      <c r="B297" s="3">
        <v>42799</v>
      </c>
      <c r="C297" t="s">
        <v>13</v>
      </c>
      <c r="D297" t="s">
        <v>21</v>
      </c>
      <c r="E297" t="s">
        <v>408</v>
      </c>
      <c r="F297" s="1">
        <v>22.96</v>
      </c>
      <c r="G297">
        <v>7</v>
      </c>
      <c r="H297" s="1">
        <v>6.6584000000000003</v>
      </c>
      <c r="I297" s="4">
        <f>SalesData[[#This Row],[Profit]]/SalesData[[#This Row],[Sales]]</f>
        <v>0.28999999999999998</v>
      </c>
      <c r="J297">
        <f>YEAR(SalesData[[#This Row],[Order Date]])</f>
        <v>2017</v>
      </c>
      <c r="K297" t="str">
        <f>TEXT(SalesData[[#This Row],[Order Date]],"mmm")</f>
        <v>Mar</v>
      </c>
      <c r="L297">
        <f>MONTH(SalesData[[#This Row],[Order Date]])</f>
        <v>3</v>
      </c>
      <c r="M297">
        <f>SalesData[[#This Row],[Sales]]/SalesData[[#This Row],[Quantity]]</f>
        <v>3.2800000000000002</v>
      </c>
      <c r="N297" t="str">
        <f>IF(SalesData[[#This Row],[Profit]]&gt;0,"Profit","Loss")</f>
        <v>Profit</v>
      </c>
    </row>
    <row r="298" spans="1:14" x14ac:dyDescent="0.3">
      <c r="A298" t="s">
        <v>2920</v>
      </c>
      <c r="B298" s="3">
        <v>42799</v>
      </c>
      <c r="C298" t="s">
        <v>17</v>
      </c>
      <c r="D298" t="s">
        <v>14</v>
      </c>
      <c r="E298" t="s">
        <v>2921</v>
      </c>
      <c r="F298" s="1">
        <v>32.448</v>
      </c>
      <c r="G298">
        <v>2</v>
      </c>
      <c r="H298" s="1">
        <v>7.3007999999999997</v>
      </c>
      <c r="I298" s="4">
        <f>SalesData[[#This Row],[Profit]]/SalesData[[#This Row],[Sales]]</f>
        <v>0.22499999999999998</v>
      </c>
      <c r="J298">
        <f>YEAR(SalesData[[#This Row],[Order Date]])</f>
        <v>2017</v>
      </c>
      <c r="K298" t="str">
        <f>TEXT(SalesData[[#This Row],[Order Date]],"mmm")</f>
        <v>Mar</v>
      </c>
      <c r="L298">
        <f>MONTH(SalesData[[#This Row],[Order Date]])</f>
        <v>3</v>
      </c>
      <c r="M298">
        <f>SalesData[[#This Row],[Sales]]/SalesData[[#This Row],[Quantity]]</f>
        <v>16.224</v>
      </c>
      <c r="N298" t="str">
        <f>IF(SalesData[[#This Row],[Profit]]&gt;0,"Profit","Loss")</f>
        <v>Profit</v>
      </c>
    </row>
    <row r="299" spans="1:14" x14ac:dyDescent="0.3">
      <c r="A299" t="s">
        <v>2920</v>
      </c>
      <c r="B299" s="3">
        <v>42799</v>
      </c>
      <c r="C299" t="s">
        <v>17</v>
      </c>
      <c r="D299" t="s">
        <v>21</v>
      </c>
      <c r="E299" t="s">
        <v>459</v>
      </c>
      <c r="F299" s="1">
        <v>26.388000000000002</v>
      </c>
      <c r="G299">
        <v>4</v>
      </c>
      <c r="H299" s="1">
        <v>-17.591999999999999</v>
      </c>
      <c r="I299" s="4">
        <f>SalesData[[#This Row],[Profit]]/SalesData[[#This Row],[Sales]]</f>
        <v>-0.66666666666666663</v>
      </c>
      <c r="J299">
        <f>YEAR(SalesData[[#This Row],[Order Date]])</f>
        <v>2017</v>
      </c>
      <c r="K299" t="str">
        <f>TEXT(SalesData[[#This Row],[Order Date]],"mmm")</f>
        <v>Mar</v>
      </c>
      <c r="L299">
        <f>MONTH(SalesData[[#This Row],[Order Date]])</f>
        <v>3</v>
      </c>
      <c r="M299">
        <f>SalesData[[#This Row],[Sales]]/SalesData[[#This Row],[Quantity]]</f>
        <v>6.5970000000000004</v>
      </c>
      <c r="N299" t="str">
        <f>IF(SalesData[[#This Row],[Profit]]&gt;0,"Profit","Loss")</f>
        <v>Loss</v>
      </c>
    </row>
    <row r="300" spans="1:14" x14ac:dyDescent="0.3">
      <c r="A300" t="s">
        <v>2920</v>
      </c>
      <c r="B300" s="3">
        <v>42799</v>
      </c>
      <c r="C300" t="s">
        <v>17</v>
      </c>
      <c r="D300" t="s">
        <v>14</v>
      </c>
      <c r="E300" t="s">
        <v>651</v>
      </c>
      <c r="F300" s="1">
        <v>373.47</v>
      </c>
      <c r="G300">
        <v>5</v>
      </c>
      <c r="H300" s="1">
        <v>-112.041</v>
      </c>
      <c r="I300" s="4">
        <f>SalesData[[#This Row],[Profit]]/SalesData[[#This Row],[Sales]]</f>
        <v>-0.3</v>
      </c>
      <c r="J300">
        <f>YEAR(SalesData[[#This Row],[Order Date]])</f>
        <v>2017</v>
      </c>
      <c r="K300" t="str">
        <f>TEXT(SalesData[[#This Row],[Order Date]],"mmm")</f>
        <v>Mar</v>
      </c>
      <c r="L300">
        <f>MONTH(SalesData[[#This Row],[Order Date]])</f>
        <v>3</v>
      </c>
      <c r="M300">
        <f>SalesData[[#This Row],[Sales]]/SalesData[[#This Row],[Quantity]]</f>
        <v>74.694000000000003</v>
      </c>
      <c r="N300" t="str">
        <f>IF(SalesData[[#This Row],[Profit]]&gt;0,"Profit","Loss")</f>
        <v>Loss</v>
      </c>
    </row>
    <row r="301" spans="1:14" x14ac:dyDescent="0.3">
      <c r="A301" t="s">
        <v>2920</v>
      </c>
      <c r="B301" s="3">
        <v>42799</v>
      </c>
      <c r="C301" t="s">
        <v>17</v>
      </c>
      <c r="D301" t="s">
        <v>21</v>
      </c>
      <c r="E301" t="s">
        <v>1629</v>
      </c>
      <c r="F301" s="1">
        <v>64.2</v>
      </c>
      <c r="G301">
        <v>5</v>
      </c>
      <c r="H301" s="1">
        <v>-44.94</v>
      </c>
      <c r="I301" s="4">
        <f>SalesData[[#This Row],[Profit]]/SalesData[[#This Row],[Sales]]</f>
        <v>-0.7</v>
      </c>
      <c r="J301">
        <f>YEAR(SalesData[[#This Row],[Order Date]])</f>
        <v>2017</v>
      </c>
      <c r="K301" t="str">
        <f>TEXT(SalesData[[#This Row],[Order Date]],"mmm")</f>
        <v>Mar</v>
      </c>
      <c r="L301">
        <f>MONTH(SalesData[[#This Row],[Order Date]])</f>
        <v>3</v>
      </c>
      <c r="M301">
        <f>SalesData[[#This Row],[Sales]]/SalesData[[#This Row],[Quantity]]</f>
        <v>12.84</v>
      </c>
      <c r="N301" t="str">
        <f>IF(SalesData[[#This Row],[Profit]]&gt;0,"Profit","Loss")</f>
        <v>Loss</v>
      </c>
    </row>
    <row r="302" spans="1:14" x14ac:dyDescent="0.3">
      <c r="A302" t="s">
        <v>2920</v>
      </c>
      <c r="B302" s="3">
        <v>42799</v>
      </c>
      <c r="C302" t="s">
        <v>17</v>
      </c>
      <c r="D302" t="s">
        <v>21</v>
      </c>
      <c r="E302" t="s">
        <v>480</v>
      </c>
      <c r="F302" s="1">
        <v>8</v>
      </c>
      <c r="G302">
        <v>2</v>
      </c>
      <c r="H302" s="1">
        <v>2.8</v>
      </c>
      <c r="I302" s="4">
        <f>SalesData[[#This Row],[Profit]]/SalesData[[#This Row],[Sales]]</f>
        <v>0.35</v>
      </c>
      <c r="J302">
        <f>YEAR(SalesData[[#This Row],[Order Date]])</f>
        <v>2017</v>
      </c>
      <c r="K302" t="str">
        <f>TEXT(SalesData[[#This Row],[Order Date]],"mmm")</f>
        <v>Mar</v>
      </c>
      <c r="L302">
        <f>MONTH(SalesData[[#This Row],[Order Date]])</f>
        <v>3</v>
      </c>
      <c r="M302">
        <f>SalesData[[#This Row],[Sales]]/SalesData[[#This Row],[Quantity]]</f>
        <v>4</v>
      </c>
      <c r="N302" t="str">
        <f>IF(SalesData[[#This Row],[Profit]]&gt;0,"Profit","Loss")</f>
        <v>Profit</v>
      </c>
    </row>
    <row r="303" spans="1:14" x14ac:dyDescent="0.3">
      <c r="A303" t="s">
        <v>2922</v>
      </c>
      <c r="B303" s="3">
        <v>42800</v>
      </c>
      <c r="C303" t="s">
        <v>46</v>
      </c>
      <c r="D303" t="s">
        <v>14</v>
      </c>
      <c r="E303" t="s">
        <v>2824</v>
      </c>
      <c r="F303" s="1">
        <v>35.167999999999999</v>
      </c>
      <c r="G303">
        <v>7</v>
      </c>
      <c r="H303" s="1">
        <v>9.6712000000000007</v>
      </c>
      <c r="I303" s="4">
        <f>SalesData[[#This Row],[Profit]]/SalesData[[#This Row],[Sales]]</f>
        <v>0.27500000000000002</v>
      </c>
      <c r="J303">
        <f>YEAR(SalesData[[#This Row],[Order Date]])</f>
        <v>2017</v>
      </c>
      <c r="K303" t="str">
        <f>TEXT(SalesData[[#This Row],[Order Date]],"mmm")</f>
        <v>Mar</v>
      </c>
      <c r="L303">
        <f>MONTH(SalesData[[#This Row],[Order Date]])</f>
        <v>3</v>
      </c>
      <c r="M303">
        <f>SalesData[[#This Row],[Sales]]/SalesData[[#This Row],[Quantity]]</f>
        <v>5.024</v>
      </c>
      <c r="N303" t="str">
        <f>IF(SalesData[[#This Row],[Profit]]&gt;0,"Profit","Loss")</f>
        <v>Profit</v>
      </c>
    </row>
    <row r="304" spans="1:14" x14ac:dyDescent="0.3">
      <c r="A304" t="s">
        <v>2923</v>
      </c>
      <c r="B304" s="3">
        <v>42800</v>
      </c>
      <c r="C304" t="s">
        <v>13</v>
      </c>
      <c r="D304" t="s">
        <v>10</v>
      </c>
      <c r="E304" t="s">
        <v>2924</v>
      </c>
      <c r="F304" s="1">
        <v>1099.5</v>
      </c>
      <c r="G304">
        <v>10</v>
      </c>
      <c r="H304" s="1">
        <v>362.83499999999998</v>
      </c>
      <c r="I304" s="4">
        <f>SalesData[[#This Row],[Profit]]/SalesData[[#This Row],[Sales]]</f>
        <v>0.32999999999999996</v>
      </c>
      <c r="J304">
        <f>YEAR(SalesData[[#This Row],[Order Date]])</f>
        <v>2017</v>
      </c>
      <c r="K304" t="str">
        <f>TEXT(SalesData[[#This Row],[Order Date]],"mmm")</f>
        <v>Mar</v>
      </c>
      <c r="L304">
        <f>MONTH(SalesData[[#This Row],[Order Date]])</f>
        <v>3</v>
      </c>
      <c r="M304">
        <f>SalesData[[#This Row],[Sales]]/SalesData[[#This Row],[Quantity]]</f>
        <v>109.95</v>
      </c>
      <c r="N304" t="str">
        <f>IF(SalesData[[#This Row],[Profit]]&gt;0,"Profit","Loss")</f>
        <v>Profit</v>
      </c>
    </row>
    <row r="305" spans="1:14" x14ac:dyDescent="0.3">
      <c r="A305" t="s">
        <v>2925</v>
      </c>
      <c r="B305" s="3">
        <v>42800</v>
      </c>
      <c r="C305" t="s">
        <v>13</v>
      </c>
      <c r="D305" t="s">
        <v>10</v>
      </c>
      <c r="E305" t="s">
        <v>179</v>
      </c>
      <c r="F305" s="1">
        <v>44.75</v>
      </c>
      <c r="G305">
        <v>5</v>
      </c>
      <c r="H305" s="1">
        <v>8.5024999999999995</v>
      </c>
      <c r="I305" s="4">
        <f>SalesData[[#This Row],[Profit]]/SalesData[[#This Row],[Sales]]</f>
        <v>0.19</v>
      </c>
      <c r="J305">
        <f>YEAR(SalesData[[#This Row],[Order Date]])</f>
        <v>2017</v>
      </c>
      <c r="K305" t="str">
        <f>TEXT(SalesData[[#This Row],[Order Date]],"mmm")</f>
        <v>Mar</v>
      </c>
      <c r="L305">
        <f>MONTH(SalesData[[#This Row],[Order Date]])</f>
        <v>3</v>
      </c>
      <c r="M305">
        <f>SalesData[[#This Row],[Sales]]/SalesData[[#This Row],[Quantity]]</f>
        <v>8.9499999999999993</v>
      </c>
      <c r="N305" t="str">
        <f>IF(SalesData[[#This Row],[Profit]]&gt;0,"Profit","Loss")</f>
        <v>Profit</v>
      </c>
    </row>
    <row r="306" spans="1:14" x14ac:dyDescent="0.3">
      <c r="A306" t="s">
        <v>2925</v>
      </c>
      <c r="B306" s="3">
        <v>42800</v>
      </c>
      <c r="C306" t="s">
        <v>13</v>
      </c>
      <c r="D306" t="s">
        <v>21</v>
      </c>
      <c r="E306" t="s">
        <v>138</v>
      </c>
      <c r="F306" s="1">
        <v>11.96</v>
      </c>
      <c r="G306">
        <v>2</v>
      </c>
      <c r="H306" s="1">
        <v>5.3819999999999997</v>
      </c>
      <c r="I306" s="4">
        <f>SalesData[[#This Row],[Profit]]/SalesData[[#This Row],[Sales]]</f>
        <v>0.44999999999999996</v>
      </c>
      <c r="J306">
        <f>YEAR(SalesData[[#This Row],[Order Date]])</f>
        <v>2017</v>
      </c>
      <c r="K306" t="str">
        <f>TEXT(SalesData[[#This Row],[Order Date]],"mmm")</f>
        <v>Mar</v>
      </c>
      <c r="L306">
        <f>MONTH(SalesData[[#This Row],[Order Date]])</f>
        <v>3</v>
      </c>
      <c r="M306">
        <f>SalesData[[#This Row],[Sales]]/SalesData[[#This Row],[Quantity]]</f>
        <v>5.98</v>
      </c>
      <c r="N306" t="str">
        <f>IF(SalesData[[#This Row],[Profit]]&gt;0,"Profit","Loss")</f>
        <v>Profit</v>
      </c>
    </row>
    <row r="307" spans="1:14" x14ac:dyDescent="0.3">
      <c r="A307" t="s">
        <v>2925</v>
      </c>
      <c r="B307" s="3">
        <v>42800</v>
      </c>
      <c r="C307" t="s">
        <v>13</v>
      </c>
      <c r="D307" t="s">
        <v>21</v>
      </c>
      <c r="E307" t="s">
        <v>1404</v>
      </c>
      <c r="F307" s="1">
        <v>3.9119999999999999</v>
      </c>
      <c r="G307">
        <v>1</v>
      </c>
      <c r="H307" s="1">
        <v>1.2714000000000001</v>
      </c>
      <c r="I307" s="4">
        <f>SalesData[[#This Row],[Profit]]/SalesData[[#This Row],[Sales]]</f>
        <v>0.32500000000000001</v>
      </c>
      <c r="J307">
        <f>YEAR(SalesData[[#This Row],[Order Date]])</f>
        <v>2017</v>
      </c>
      <c r="K307" t="str">
        <f>TEXT(SalesData[[#This Row],[Order Date]],"mmm")</f>
        <v>Mar</v>
      </c>
      <c r="L307">
        <f>MONTH(SalesData[[#This Row],[Order Date]])</f>
        <v>3</v>
      </c>
      <c r="M307">
        <f>SalesData[[#This Row],[Sales]]/SalesData[[#This Row],[Quantity]]</f>
        <v>3.9119999999999999</v>
      </c>
      <c r="N307" t="str">
        <f>IF(SalesData[[#This Row],[Profit]]&gt;0,"Profit","Loss")</f>
        <v>Profit</v>
      </c>
    </row>
    <row r="308" spans="1:14" x14ac:dyDescent="0.3">
      <c r="A308" t="s">
        <v>2926</v>
      </c>
      <c r="B308" s="3">
        <v>42800</v>
      </c>
      <c r="C308" t="s">
        <v>46</v>
      </c>
      <c r="D308" t="s">
        <v>21</v>
      </c>
      <c r="E308" t="s">
        <v>1199</v>
      </c>
      <c r="F308" s="1">
        <v>4.5540000000000003</v>
      </c>
      <c r="G308">
        <v>3</v>
      </c>
      <c r="H308" s="1">
        <v>-3.4914000000000001</v>
      </c>
      <c r="I308" s="4">
        <f>SalesData[[#This Row],[Profit]]/SalesData[[#This Row],[Sales]]</f>
        <v>-0.76666666666666661</v>
      </c>
      <c r="J308">
        <f>YEAR(SalesData[[#This Row],[Order Date]])</f>
        <v>2017</v>
      </c>
      <c r="K308" t="str">
        <f>TEXT(SalesData[[#This Row],[Order Date]],"mmm")</f>
        <v>Mar</v>
      </c>
      <c r="L308">
        <f>MONTH(SalesData[[#This Row],[Order Date]])</f>
        <v>3</v>
      </c>
      <c r="M308">
        <f>SalesData[[#This Row],[Sales]]/SalesData[[#This Row],[Quantity]]</f>
        <v>1.518</v>
      </c>
      <c r="N308" t="str">
        <f>IF(SalesData[[#This Row],[Profit]]&gt;0,"Profit","Loss")</f>
        <v>Loss</v>
      </c>
    </row>
    <row r="309" spans="1:14" x14ac:dyDescent="0.3">
      <c r="A309" t="s">
        <v>2926</v>
      </c>
      <c r="B309" s="3">
        <v>42800</v>
      </c>
      <c r="C309" t="s">
        <v>46</v>
      </c>
      <c r="D309" t="s">
        <v>21</v>
      </c>
      <c r="E309" t="s">
        <v>251</v>
      </c>
      <c r="F309" s="1">
        <v>5.2</v>
      </c>
      <c r="G309">
        <v>2</v>
      </c>
      <c r="H309" s="1">
        <v>0.58499999999999996</v>
      </c>
      <c r="I309" s="4">
        <f>SalesData[[#This Row],[Profit]]/SalesData[[#This Row],[Sales]]</f>
        <v>0.11249999999999999</v>
      </c>
      <c r="J309">
        <f>YEAR(SalesData[[#This Row],[Order Date]])</f>
        <v>2017</v>
      </c>
      <c r="K309" t="str">
        <f>TEXT(SalesData[[#This Row],[Order Date]],"mmm")</f>
        <v>Mar</v>
      </c>
      <c r="L309">
        <f>MONTH(SalesData[[#This Row],[Order Date]])</f>
        <v>3</v>
      </c>
      <c r="M309">
        <f>SalesData[[#This Row],[Sales]]/SalesData[[#This Row],[Quantity]]</f>
        <v>2.6</v>
      </c>
      <c r="N309" t="str">
        <f>IF(SalesData[[#This Row],[Profit]]&gt;0,"Profit","Loss")</f>
        <v>Profit</v>
      </c>
    </row>
    <row r="310" spans="1:14" x14ac:dyDescent="0.3">
      <c r="A310" t="s">
        <v>2926</v>
      </c>
      <c r="B310" s="3">
        <v>42800</v>
      </c>
      <c r="C310" t="s">
        <v>46</v>
      </c>
      <c r="D310" t="s">
        <v>10</v>
      </c>
      <c r="E310" t="s">
        <v>2613</v>
      </c>
      <c r="F310" s="1">
        <v>205.99199999999999</v>
      </c>
      <c r="G310">
        <v>1</v>
      </c>
      <c r="H310" s="1">
        <v>-2.5749</v>
      </c>
      <c r="I310" s="4">
        <f>SalesData[[#This Row],[Profit]]/SalesData[[#This Row],[Sales]]</f>
        <v>-1.2500000000000001E-2</v>
      </c>
      <c r="J310">
        <f>YEAR(SalesData[[#This Row],[Order Date]])</f>
        <v>2017</v>
      </c>
      <c r="K310" t="str">
        <f>TEXT(SalesData[[#This Row],[Order Date]],"mmm")</f>
        <v>Mar</v>
      </c>
      <c r="L310">
        <f>MONTH(SalesData[[#This Row],[Order Date]])</f>
        <v>3</v>
      </c>
      <c r="M310">
        <f>SalesData[[#This Row],[Sales]]/SalesData[[#This Row],[Quantity]]</f>
        <v>205.99199999999999</v>
      </c>
      <c r="N310" t="str">
        <f>IF(SalesData[[#This Row],[Profit]]&gt;0,"Profit","Loss")</f>
        <v>Loss</v>
      </c>
    </row>
    <row r="311" spans="1:14" x14ac:dyDescent="0.3">
      <c r="A311" t="s">
        <v>2926</v>
      </c>
      <c r="B311" s="3">
        <v>42800</v>
      </c>
      <c r="C311" t="s">
        <v>46</v>
      </c>
      <c r="D311" t="s">
        <v>21</v>
      </c>
      <c r="E311" t="s">
        <v>2666</v>
      </c>
      <c r="F311" s="1">
        <v>15.552</v>
      </c>
      <c r="G311">
        <v>3</v>
      </c>
      <c r="H311" s="1">
        <v>5.4432</v>
      </c>
      <c r="I311" s="4">
        <f>SalesData[[#This Row],[Profit]]/SalesData[[#This Row],[Sales]]</f>
        <v>0.35000000000000003</v>
      </c>
      <c r="J311">
        <f>YEAR(SalesData[[#This Row],[Order Date]])</f>
        <v>2017</v>
      </c>
      <c r="K311" t="str">
        <f>TEXT(SalesData[[#This Row],[Order Date]],"mmm")</f>
        <v>Mar</v>
      </c>
      <c r="L311">
        <f>MONTH(SalesData[[#This Row],[Order Date]])</f>
        <v>3</v>
      </c>
      <c r="M311">
        <f>SalesData[[#This Row],[Sales]]/SalesData[[#This Row],[Quantity]]</f>
        <v>5.1840000000000002</v>
      </c>
      <c r="N311" t="str">
        <f>IF(SalesData[[#This Row],[Profit]]&gt;0,"Profit","Loss")</f>
        <v>Profit</v>
      </c>
    </row>
    <row r="312" spans="1:14" x14ac:dyDescent="0.3">
      <c r="A312" t="s">
        <v>2926</v>
      </c>
      <c r="B312" s="3">
        <v>42800</v>
      </c>
      <c r="C312" t="s">
        <v>46</v>
      </c>
      <c r="D312" t="s">
        <v>10</v>
      </c>
      <c r="E312" t="s">
        <v>1553</v>
      </c>
      <c r="F312" s="1">
        <v>503.96</v>
      </c>
      <c r="G312">
        <v>5</v>
      </c>
      <c r="H312" s="1">
        <v>50.396000000000001</v>
      </c>
      <c r="I312" s="4">
        <f>SalesData[[#This Row],[Profit]]/SalesData[[#This Row],[Sales]]</f>
        <v>0.1</v>
      </c>
      <c r="J312">
        <f>YEAR(SalesData[[#This Row],[Order Date]])</f>
        <v>2017</v>
      </c>
      <c r="K312" t="str">
        <f>TEXT(SalesData[[#This Row],[Order Date]],"mmm")</f>
        <v>Mar</v>
      </c>
      <c r="L312">
        <f>MONTH(SalesData[[#This Row],[Order Date]])</f>
        <v>3</v>
      </c>
      <c r="M312">
        <f>SalesData[[#This Row],[Sales]]/SalesData[[#This Row],[Quantity]]</f>
        <v>100.792</v>
      </c>
      <c r="N312" t="str">
        <f>IF(SalesData[[#This Row],[Profit]]&gt;0,"Profit","Loss")</f>
        <v>Profit</v>
      </c>
    </row>
    <row r="313" spans="1:14" x14ac:dyDescent="0.3">
      <c r="A313" t="s">
        <v>2926</v>
      </c>
      <c r="B313" s="3">
        <v>42800</v>
      </c>
      <c r="C313" t="s">
        <v>46</v>
      </c>
      <c r="D313" t="s">
        <v>21</v>
      </c>
      <c r="E313" t="s">
        <v>2741</v>
      </c>
      <c r="F313" s="1">
        <v>24.472000000000001</v>
      </c>
      <c r="G313">
        <v>7</v>
      </c>
      <c r="H313" s="1">
        <v>1.8353999999999999</v>
      </c>
      <c r="I313" s="4">
        <f>SalesData[[#This Row],[Profit]]/SalesData[[#This Row],[Sales]]</f>
        <v>7.4999999999999997E-2</v>
      </c>
      <c r="J313">
        <f>YEAR(SalesData[[#This Row],[Order Date]])</f>
        <v>2017</v>
      </c>
      <c r="K313" t="str">
        <f>TEXT(SalesData[[#This Row],[Order Date]],"mmm")</f>
        <v>Mar</v>
      </c>
      <c r="L313">
        <f>MONTH(SalesData[[#This Row],[Order Date]])</f>
        <v>3</v>
      </c>
      <c r="M313">
        <f>SalesData[[#This Row],[Sales]]/SalesData[[#This Row],[Quantity]]</f>
        <v>3.496</v>
      </c>
      <c r="N313" t="str">
        <f>IF(SalesData[[#This Row],[Profit]]&gt;0,"Profit","Loss")</f>
        <v>Profit</v>
      </c>
    </row>
    <row r="314" spans="1:14" x14ac:dyDescent="0.3">
      <c r="A314" t="s">
        <v>2926</v>
      </c>
      <c r="B314" s="3">
        <v>42800</v>
      </c>
      <c r="C314" t="s">
        <v>46</v>
      </c>
      <c r="D314" t="s">
        <v>14</v>
      </c>
      <c r="E314" t="s">
        <v>1415</v>
      </c>
      <c r="F314" s="1">
        <v>241.56800000000001</v>
      </c>
      <c r="G314">
        <v>2</v>
      </c>
      <c r="H314" s="1">
        <v>0</v>
      </c>
      <c r="I314" s="4">
        <f>SalesData[[#This Row],[Profit]]/SalesData[[#This Row],[Sales]]</f>
        <v>0</v>
      </c>
      <c r="J314">
        <f>YEAR(SalesData[[#This Row],[Order Date]])</f>
        <v>2017</v>
      </c>
      <c r="K314" t="str">
        <f>TEXT(SalesData[[#This Row],[Order Date]],"mmm")</f>
        <v>Mar</v>
      </c>
      <c r="L314">
        <f>MONTH(SalesData[[#This Row],[Order Date]])</f>
        <v>3</v>
      </c>
      <c r="M314">
        <f>SalesData[[#This Row],[Sales]]/SalesData[[#This Row],[Quantity]]</f>
        <v>120.78400000000001</v>
      </c>
      <c r="N314" t="str">
        <f>IF(SalesData[[#This Row],[Profit]]&gt;0,"Profit","Loss")</f>
        <v>Loss</v>
      </c>
    </row>
    <row r="315" spans="1:14" x14ac:dyDescent="0.3">
      <c r="A315" t="s">
        <v>2926</v>
      </c>
      <c r="B315" s="3">
        <v>42800</v>
      </c>
      <c r="C315" t="s">
        <v>46</v>
      </c>
      <c r="D315" t="s">
        <v>10</v>
      </c>
      <c r="E315" t="s">
        <v>937</v>
      </c>
      <c r="F315" s="1">
        <v>110.4</v>
      </c>
      <c r="G315">
        <v>2</v>
      </c>
      <c r="H315" s="1">
        <v>-4.1399999999999997</v>
      </c>
      <c r="I315" s="4">
        <f>SalesData[[#This Row],[Profit]]/SalesData[[#This Row],[Sales]]</f>
        <v>-3.7499999999999999E-2</v>
      </c>
      <c r="J315">
        <f>YEAR(SalesData[[#This Row],[Order Date]])</f>
        <v>2017</v>
      </c>
      <c r="K315" t="str">
        <f>TEXT(SalesData[[#This Row],[Order Date]],"mmm")</f>
        <v>Mar</v>
      </c>
      <c r="L315">
        <f>MONTH(SalesData[[#This Row],[Order Date]])</f>
        <v>3</v>
      </c>
      <c r="M315">
        <f>SalesData[[#This Row],[Sales]]/SalesData[[#This Row],[Quantity]]</f>
        <v>55.2</v>
      </c>
      <c r="N315" t="str">
        <f>IF(SalesData[[#This Row],[Profit]]&gt;0,"Profit","Loss")</f>
        <v>Loss</v>
      </c>
    </row>
    <row r="316" spans="1:14" x14ac:dyDescent="0.3">
      <c r="A316" t="s">
        <v>2927</v>
      </c>
      <c r="B316" s="3">
        <v>42800</v>
      </c>
      <c r="C316" t="s">
        <v>17</v>
      </c>
      <c r="D316" t="s">
        <v>14</v>
      </c>
      <c r="E316" t="s">
        <v>2421</v>
      </c>
      <c r="F316" s="1">
        <v>384.76799999999997</v>
      </c>
      <c r="G316">
        <v>2</v>
      </c>
      <c r="H316" s="1">
        <v>-115.43040000000001</v>
      </c>
      <c r="I316" s="4">
        <f>SalesData[[#This Row],[Profit]]/SalesData[[#This Row],[Sales]]</f>
        <v>-0.30000000000000004</v>
      </c>
      <c r="J316">
        <f>YEAR(SalesData[[#This Row],[Order Date]])</f>
        <v>2017</v>
      </c>
      <c r="K316" t="str">
        <f>TEXT(SalesData[[#This Row],[Order Date]],"mmm")</f>
        <v>Mar</v>
      </c>
      <c r="L316">
        <f>MONTH(SalesData[[#This Row],[Order Date]])</f>
        <v>3</v>
      </c>
      <c r="M316">
        <f>SalesData[[#This Row],[Sales]]/SalesData[[#This Row],[Quantity]]</f>
        <v>192.38399999999999</v>
      </c>
      <c r="N316" t="str">
        <f>IF(SalesData[[#This Row],[Profit]]&gt;0,"Profit","Loss")</f>
        <v>Loss</v>
      </c>
    </row>
    <row r="317" spans="1:14" x14ac:dyDescent="0.3">
      <c r="A317" t="s">
        <v>2927</v>
      </c>
      <c r="B317" s="3">
        <v>42800</v>
      </c>
      <c r="C317" t="s">
        <v>17</v>
      </c>
      <c r="D317" t="s">
        <v>10</v>
      </c>
      <c r="E317" t="s">
        <v>2928</v>
      </c>
      <c r="F317" s="1">
        <v>78.66</v>
      </c>
      <c r="G317">
        <v>6</v>
      </c>
      <c r="H317" s="1">
        <v>36.183599999999998</v>
      </c>
      <c r="I317" s="4">
        <f>SalesData[[#This Row],[Profit]]/SalesData[[#This Row],[Sales]]</f>
        <v>0.46</v>
      </c>
      <c r="J317">
        <f>YEAR(SalesData[[#This Row],[Order Date]])</f>
        <v>2017</v>
      </c>
      <c r="K317" t="str">
        <f>TEXT(SalesData[[#This Row],[Order Date]],"mmm")</f>
        <v>Mar</v>
      </c>
      <c r="L317">
        <f>MONTH(SalesData[[#This Row],[Order Date]])</f>
        <v>3</v>
      </c>
      <c r="M317">
        <f>SalesData[[#This Row],[Sales]]/SalesData[[#This Row],[Quantity]]</f>
        <v>13.11</v>
      </c>
      <c r="N317" t="str">
        <f>IF(SalesData[[#This Row],[Profit]]&gt;0,"Profit","Loss")</f>
        <v>Profit</v>
      </c>
    </row>
    <row r="318" spans="1:14" x14ac:dyDescent="0.3">
      <c r="A318" t="s">
        <v>2927</v>
      </c>
      <c r="B318" s="3">
        <v>42800</v>
      </c>
      <c r="C318" t="s">
        <v>17</v>
      </c>
      <c r="D318" t="s">
        <v>21</v>
      </c>
      <c r="E318" t="s">
        <v>1391</v>
      </c>
      <c r="F318" s="1">
        <v>45.36</v>
      </c>
      <c r="G318">
        <v>4</v>
      </c>
      <c r="H318" s="1">
        <v>22.226400000000002</v>
      </c>
      <c r="I318" s="4">
        <f>SalesData[[#This Row],[Profit]]/SalesData[[#This Row],[Sales]]</f>
        <v>0.49000000000000005</v>
      </c>
      <c r="J318">
        <f>YEAR(SalesData[[#This Row],[Order Date]])</f>
        <v>2017</v>
      </c>
      <c r="K318" t="str">
        <f>TEXT(SalesData[[#This Row],[Order Date]],"mmm")</f>
        <v>Mar</v>
      </c>
      <c r="L318">
        <f>MONTH(SalesData[[#This Row],[Order Date]])</f>
        <v>3</v>
      </c>
      <c r="M318">
        <f>SalesData[[#This Row],[Sales]]/SalesData[[#This Row],[Quantity]]</f>
        <v>11.34</v>
      </c>
      <c r="N318" t="str">
        <f>IF(SalesData[[#This Row],[Profit]]&gt;0,"Profit","Loss")</f>
        <v>Profit</v>
      </c>
    </row>
    <row r="319" spans="1:14" x14ac:dyDescent="0.3">
      <c r="A319" t="s">
        <v>2929</v>
      </c>
      <c r="B319" s="3">
        <v>42800</v>
      </c>
      <c r="C319" t="s">
        <v>13</v>
      </c>
      <c r="D319" t="s">
        <v>21</v>
      </c>
      <c r="E319" t="s">
        <v>1222</v>
      </c>
      <c r="F319" s="1">
        <v>136.26</v>
      </c>
      <c r="G319">
        <v>9</v>
      </c>
      <c r="H319" s="1">
        <v>5.4504000000000001</v>
      </c>
      <c r="I319" s="4">
        <f>SalesData[[#This Row],[Profit]]/SalesData[[#This Row],[Sales]]</f>
        <v>0.04</v>
      </c>
      <c r="J319">
        <f>YEAR(SalesData[[#This Row],[Order Date]])</f>
        <v>2017</v>
      </c>
      <c r="K319" t="str">
        <f>TEXT(SalesData[[#This Row],[Order Date]],"mmm")</f>
        <v>Mar</v>
      </c>
      <c r="L319">
        <f>MONTH(SalesData[[#This Row],[Order Date]])</f>
        <v>3</v>
      </c>
      <c r="M319">
        <f>SalesData[[#This Row],[Sales]]/SalesData[[#This Row],[Quantity]]</f>
        <v>15.139999999999999</v>
      </c>
      <c r="N319" t="str">
        <f>IF(SalesData[[#This Row],[Profit]]&gt;0,"Profit","Loss")</f>
        <v>Profit</v>
      </c>
    </row>
    <row r="320" spans="1:14" x14ac:dyDescent="0.3">
      <c r="A320" t="s">
        <v>2930</v>
      </c>
      <c r="B320" s="3">
        <v>42801</v>
      </c>
      <c r="C320" t="s">
        <v>46</v>
      </c>
      <c r="D320" t="s">
        <v>14</v>
      </c>
      <c r="E320" t="s">
        <v>2931</v>
      </c>
      <c r="F320" s="1">
        <v>23.99</v>
      </c>
      <c r="G320">
        <v>1</v>
      </c>
      <c r="H320" s="1">
        <v>5.5176999999999996</v>
      </c>
      <c r="I320" s="4">
        <f>SalesData[[#This Row],[Profit]]/SalesData[[#This Row],[Sales]]</f>
        <v>0.23</v>
      </c>
      <c r="J320">
        <f>YEAR(SalesData[[#This Row],[Order Date]])</f>
        <v>2017</v>
      </c>
      <c r="K320" t="str">
        <f>TEXT(SalesData[[#This Row],[Order Date]],"mmm")</f>
        <v>Mar</v>
      </c>
      <c r="L320">
        <f>MONTH(SalesData[[#This Row],[Order Date]])</f>
        <v>3</v>
      </c>
      <c r="M320">
        <f>SalesData[[#This Row],[Sales]]/SalesData[[#This Row],[Quantity]]</f>
        <v>23.99</v>
      </c>
      <c r="N320" t="str">
        <f>IF(SalesData[[#This Row],[Profit]]&gt;0,"Profit","Loss")</f>
        <v>Profit</v>
      </c>
    </row>
    <row r="321" spans="1:14" x14ac:dyDescent="0.3">
      <c r="A321" t="s">
        <v>2930</v>
      </c>
      <c r="B321" s="3">
        <v>42801</v>
      </c>
      <c r="C321" t="s">
        <v>46</v>
      </c>
      <c r="D321" t="s">
        <v>10</v>
      </c>
      <c r="E321" t="s">
        <v>178</v>
      </c>
      <c r="F321" s="1">
        <v>287.97000000000003</v>
      </c>
      <c r="G321">
        <v>3</v>
      </c>
      <c r="H321" s="1">
        <v>77.751900000000006</v>
      </c>
      <c r="I321" s="4">
        <f>SalesData[[#This Row],[Profit]]/SalesData[[#This Row],[Sales]]</f>
        <v>0.27</v>
      </c>
      <c r="J321">
        <f>YEAR(SalesData[[#This Row],[Order Date]])</f>
        <v>2017</v>
      </c>
      <c r="K321" t="str">
        <f>TEXT(SalesData[[#This Row],[Order Date]],"mmm")</f>
        <v>Mar</v>
      </c>
      <c r="L321">
        <f>MONTH(SalesData[[#This Row],[Order Date]])</f>
        <v>3</v>
      </c>
      <c r="M321">
        <f>SalesData[[#This Row],[Sales]]/SalesData[[#This Row],[Quantity]]</f>
        <v>95.990000000000009</v>
      </c>
      <c r="N321" t="str">
        <f>IF(SalesData[[#This Row],[Profit]]&gt;0,"Profit","Loss")</f>
        <v>Profit</v>
      </c>
    </row>
    <row r="322" spans="1:14" x14ac:dyDescent="0.3">
      <c r="A322" t="s">
        <v>2932</v>
      </c>
      <c r="B322" s="3">
        <v>42801</v>
      </c>
      <c r="C322" t="s">
        <v>46</v>
      </c>
      <c r="D322" t="s">
        <v>21</v>
      </c>
      <c r="E322" t="s">
        <v>1840</v>
      </c>
      <c r="F322" s="1">
        <v>9.5519999999999996</v>
      </c>
      <c r="G322">
        <v>3</v>
      </c>
      <c r="H322" s="1">
        <v>1.5522</v>
      </c>
      <c r="I322" s="4">
        <f>SalesData[[#This Row],[Profit]]/SalesData[[#This Row],[Sales]]</f>
        <v>0.16250000000000001</v>
      </c>
      <c r="J322">
        <f>YEAR(SalesData[[#This Row],[Order Date]])</f>
        <v>2017</v>
      </c>
      <c r="K322" t="str">
        <f>TEXT(SalesData[[#This Row],[Order Date]],"mmm")</f>
        <v>Mar</v>
      </c>
      <c r="L322">
        <f>MONTH(SalesData[[#This Row],[Order Date]])</f>
        <v>3</v>
      </c>
      <c r="M322">
        <f>SalesData[[#This Row],[Sales]]/SalesData[[#This Row],[Quantity]]</f>
        <v>3.1839999999999997</v>
      </c>
      <c r="N322" t="str">
        <f>IF(SalesData[[#This Row],[Profit]]&gt;0,"Profit","Loss")</f>
        <v>Profit</v>
      </c>
    </row>
    <row r="323" spans="1:14" x14ac:dyDescent="0.3">
      <c r="A323" t="s">
        <v>2933</v>
      </c>
      <c r="B323" s="3">
        <v>42801</v>
      </c>
      <c r="C323" t="s">
        <v>9</v>
      </c>
      <c r="D323" t="s">
        <v>10</v>
      </c>
      <c r="E323" t="s">
        <v>466</v>
      </c>
      <c r="F323" s="1">
        <v>167.96799999999999</v>
      </c>
      <c r="G323">
        <v>4</v>
      </c>
      <c r="H323" s="1">
        <v>62.988</v>
      </c>
      <c r="I323" s="4">
        <f>SalesData[[#This Row],[Profit]]/SalesData[[#This Row],[Sales]]</f>
        <v>0.375</v>
      </c>
      <c r="J323">
        <f>YEAR(SalesData[[#This Row],[Order Date]])</f>
        <v>2017</v>
      </c>
      <c r="K323" t="str">
        <f>TEXT(SalesData[[#This Row],[Order Date]],"mmm")</f>
        <v>Mar</v>
      </c>
      <c r="L323">
        <f>MONTH(SalesData[[#This Row],[Order Date]])</f>
        <v>3</v>
      </c>
      <c r="M323">
        <f>SalesData[[#This Row],[Sales]]/SalesData[[#This Row],[Quantity]]</f>
        <v>41.991999999999997</v>
      </c>
      <c r="N323" t="str">
        <f>IF(SalesData[[#This Row],[Profit]]&gt;0,"Profit","Loss")</f>
        <v>Profit</v>
      </c>
    </row>
    <row r="324" spans="1:14" x14ac:dyDescent="0.3">
      <c r="A324" t="s">
        <v>2934</v>
      </c>
      <c r="B324" s="3">
        <v>42801</v>
      </c>
      <c r="C324" t="s">
        <v>9</v>
      </c>
      <c r="D324" t="s">
        <v>21</v>
      </c>
      <c r="E324" t="s">
        <v>389</v>
      </c>
      <c r="F324" s="1">
        <v>273.89600000000002</v>
      </c>
      <c r="G324">
        <v>7</v>
      </c>
      <c r="H324" s="1">
        <v>92.439899999999994</v>
      </c>
      <c r="I324" s="4">
        <f>SalesData[[#This Row],[Profit]]/SalesData[[#This Row],[Sales]]</f>
        <v>0.33749999999999997</v>
      </c>
      <c r="J324">
        <f>YEAR(SalesData[[#This Row],[Order Date]])</f>
        <v>2017</v>
      </c>
      <c r="K324" t="str">
        <f>TEXT(SalesData[[#This Row],[Order Date]],"mmm")</f>
        <v>Mar</v>
      </c>
      <c r="L324">
        <f>MONTH(SalesData[[#This Row],[Order Date]])</f>
        <v>3</v>
      </c>
      <c r="M324">
        <f>SalesData[[#This Row],[Sales]]/SalesData[[#This Row],[Quantity]]</f>
        <v>39.128</v>
      </c>
      <c r="N324" t="str">
        <f>IF(SalesData[[#This Row],[Profit]]&gt;0,"Profit","Loss")</f>
        <v>Profit</v>
      </c>
    </row>
    <row r="325" spans="1:14" x14ac:dyDescent="0.3">
      <c r="A325" t="s">
        <v>2934</v>
      </c>
      <c r="B325" s="3">
        <v>42801</v>
      </c>
      <c r="C325" t="s">
        <v>9</v>
      </c>
      <c r="D325" t="s">
        <v>10</v>
      </c>
      <c r="E325" t="s">
        <v>2935</v>
      </c>
      <c r="F325" s="1">
        <v>597.13199999999995</v>
      </c>
      <c r="G325">
        <v>3</v>
      </c>
      <c r="H325" s="1">
        <v>49.761000000000003</v>
      </c>
      <c r="I325" s="4">
        <f>SalesData[[#This Row],[Profit]]/SalesData[[#This Row],[Sales]]</f>
        <v>8.3333333333333343E-2</v>
      </c>
      <c r="J325">
        <f>YEAR(SalesData[[#This Row],[Order Date]])</f>
        <v>2017</v>
      </c>
      <c r="K325" t="str">
        <f>TEXT(SalesData[[#This Row],[Order Date]],"mmm")</f>
        <v>Mar</v>
      </c>
      <c r="L325">
        <f>MONTH(SalesData[[#This Row],[Order Date]])</f>
        <v>3</v>
      </c>
      <c r="M325">
        <f>SalesData[[#This Row],[Sales]]/SalesData[[#This Row],[Quantity]]</f>
        <v>199.04399999999998</v>
      </c>
      <c r="N325" t="str">
        <f>IF(SalesData[[#This Row],[Profit]]&gt;0,"Profit","Loss")</f>
        <v>Profit</v>
      </c>
    </row>
    <row r="326" spans="1:14" x14ac:dyDescent="0.3">
      <c r="A326" t="s">
        <v>2936</v>
      </c>
      <c r="B326" s="3">
        <v>42801</v>
      </c>
      <c r="C326" t="s">
        <v>13</v>
      </c>
      <c r="D326" t="s">
        <v>14</v>
      </c>
      <c r="E326" t="s">
        <v>1579</v>
      </c>
      <c r="F326" s="1">
        <v>545.85</v>
      </c>
      <c r="G326">
        <v>9</v>
      </c>
      <c r="H326" s="1">
        <v>114.6285</v>
      </c>
      <c r="I326" s="4">
        <f>SalesData[[#This Row],[Profit]]/SalesData[[#This Row],[Sales]]</f>
        <v>0.21</v>
      </c>
      <c r="J326">
        <f>YEAR(SalesData[[#This Row],[Order Date]])</f>
        <v>2017</v>
      </c>
      <c r="K326" t="str">
        <f>TEXT(SalesData[[#This Row],[Order Date]],"mmm")</f>
        <v>Mar</v>
      </c>
      <c r="L326">
        <f>MONTH(SalesData[[#This Row],[Order Date]])</f>
        <v>3</v>
      </c>
      <c r="M326">
        <f>SalesData[[#This Row],[Sales]]/SalesData[[#This Row],[Quantity]]</f>
        <v>60.650000000000006</v>
      </c>
      <c r="N326" t="str">
        <f>IF(SalesData[[#This Row],[Profit]]&gt;0,"Profit","Loss")</f>
        <v>Profit</v>
      </c>
    </row>
    <row r="327" spans="1:14" x14ac:dyDescent="0.3">
      <c r="A327" t="s">
        <v>2937</v>
      </c>
      <c r="B327" s="3">
        <v>42801</v>
      </c>
      <c r="C327" t="s">
        <v>17</v>
      </c>
      <c r="D327" t="s">
        <v>21</v>
      </c>
      <c r="E327" t="s">
        <v>217</v>
      </c>
      <c r="F327" s="1">
        <v>32.896000000000001</v>
      </c>
      <c r="G327">
        <v>4</v>
      </c>
      <c r="H327" s="1">
        <v>11.102399999999999</v>
      </c>
      <c r="I327" s="4">
        <f>SalesData[[#This Row],[Profit]]/SalesData[[#This Row],[Sales]]</f>
        <v>0.33749999999999997</v>
      </c>
      <c r="J327">
        <f>YEAR(SalesData[[#This Row],[Order Date]])</f>
        <v>2017</v>
      </c>
      <c r="K327" t="str">
        <f>TEXT(SalesData[[#This Row],[Order Date]],"mmm")</f>
        <v>Mar</v>
      </c>
      <c r="L327">
        <f>MONTH(SalesData[[#This Row],[Order Date]])</f>
        <v>3</v>
      </c>
      <c r="M327">
        <f>SalesData[[#This Row],[Sales]]/SalesData[[#This Row],[Quantity]]</f>
        <v>8.2240000000000002</v>
      </c>
      <c r="N327" t="str">
        <f>IF(SalesData[[#This Row],[Profit]]&gt;0,"Profit","Loss")</f>
        <v>Profit</v>
      </c>
    </row>
    <row r="328" spans="1:14" x14ac:dyDescent="0.3">
      <c r="A328" t="s">
        <v>2937</v>
      </c>
      <c r="B328" s="3">
        <v>42801</v>
      </c>
      <c r="C328" t="s">
        <v>17</v>
      </c>
      <c r="D328" t="s">
        <v>14</v>
      </c>
      <c r="E328" t="s">
        <v>374</v>
      </c>
      <c r="F328" s="1">
        <v>215.148</v>
      </c>
      <c r="G328">
        <v>2</v>
      </c>
      <c r="H328" s="1">
        <v>-103.98820000000001</v>
      </c>
      <c r="I328" s="4">
        <f>SalesData[[#This Row],[Profit]]/SalesData[[#This Row],[Sales]]</f>
        <v>-0.48333333333333339</v>
      </c>
      <c r="J328">
        <f>YEAR(SalesData[[#This Row],[Order Date]])</f>
        <v>2017</v>
      </c>
      <c r="K328" t="str">
        <f>TEXT(SalesData[[#This Row],[Order Date]],"mmm")</f>
        <v>Mar</v>
      </c>
      <c r="L328">
        <f>MONTH(SalesData[[#This Row],[Order Date]])</f>
        <v>3</v>
      </c>
      <c r="M328">
        <f>SalesData[[#This Row],[Sales]]/SalesData[[#This Row],[Quantity]]</f>
        <v>107.574</v>
      </c>
      <c r="N328" t="str">
        <f>IF(SalesData[[#This Row],[Profit]]&gt;0,"Profit","Loss")</f>
        <v>Loss</v>
      </c>
    </row>
    <row r="329" spans="1:14" x14ac:dyDescent="0.3">
      <c r="A329" t="s">
        <v>2937</v>
      </c>
      <c r="B329" s="3">
        <v>42801</v>
      </c>
      <c r="C329" t="s">
        <v>17</v>
      </c>
      <c r="D329" t="s">
        <v>21</v>
      </c>
      <c r="E329" t="s">
        <v>2052</v>
      </c>
      <c r="F329" s="1">
        <v>30.96</v>
      </c>
      <c r="G329">
        <v>6</v>
      </c>
      <c r="H329" s="1">
        <v>11.223000000000001</v>
      </c>
      <c r="I329" s="4">
        <f>SalesData[[#This Row],[Profit]]/SalesData[[#This Row],[Sales]]</f>
        <v>0.36249999999999999</v>
      </c>
      <c r="J329">
        <f>YEAR(SalesData[[#This Row],[Order Date]])</f>
        <v>2017</v>
      </c>
      <c r="K329" t="str">
        <f>TEXT(SalesData[[#This Row],[Order Date]],"mmm")</f>
        <v>Mar</v>
      </c>
      <c r="L329">
        <f>MONTH(SalesData[[#This Row],[Order Date]])</f>
        <v>3</v>
      </c>
      <c r="M329">
        <f>SalesData[[#This Row],[Sales]]/SalesData[[#This Row],[Quantity]]</f>
        <v>5.16</v>
      </c>
      <c r="N329" t="str">
        <f>IF(SalesData[[#This Row],[Profit]]&gt;0,"Profit","Loss")</f>
        <v>Profit</v>
      </c>
    </row>
    <row r="330" spans="1:14" x14ac:dyDescent="0.3">
      <c r="A330" t="s">
        <v>2938</v>
      </c>
      <c r="B330" s="3">
        <v>42801</v>
      </c>
      <c r="C330" t="s">
        <v>13</v>
      </c>
      <c r="D330" t="s">
        <v>10</v>
      </c>
      <c r="E330" t="s">
        <v>197</v>
      </c>
      <c r="F330" s="1">
        <v>59.98</v>
      </c>
      <c r="G330">
        <v>2</v>
      </c>
      <c r="H330" s="1">
        <v>26.391200000000001</v>
      </c>
      <c r="I330" s="4">
        <f>SalesData[[#This Row],[Profit]]/SalesData[[#This Row],[Sales]]</f>
        <v>0.44000000000000006</v>
      </c>
      <c r="J330">
        <f>YEAR(SalesData[[#This Row],[Order Date]])</f>
        <v>2017</v>
      </c>
      <c r="K330" t="str">
        <f>TEXT(SalesData[[#This Row],[Order Date]],"mmm")</f>
        <v>Mar</v>
      </c>
      <c r="L330">
        <f>MONTH(SalesData[[#This Row],[Order Date]])</f>
        <v>3</v>
      </c>
      <c r="M330">
        <f>SalesData[[#This Row],[Sales]]/SalesData[[#This Row],[Quantity]]</f>
        <v>29.99</v>
      </c>
      <c r="N330" t="str">
        <f>IF(SalesData[[#This Row],[Profit]]&gt;0,"Profit","Loss")</f>
        <v>Profit</v>
      </c>
    </row>
    <row r="331" spans="1:14" x14ac:dyDescent="0.3">
      <c r="A331" t="s">
        <v>2938</v>
      </c>
      <c r="B331" s="3">
        <v>42801</v>
      </c>
      <c r="C331" t="s">
        <v>13</v>
      </c>
      <c r="D331" t="s">
        <v>10</v>
      </c>
      <c r="E331" t="s">
        <v>2939</v>
      </c>
      <c r="F331" s="1">
        <v>2395.1999999999998</v>
      </c>
      <c r="G331">
        <v>6</v>
      </c>
      <c r="H331" s="1">
        <v>209.58</v>
      </c>
      <c r="I331" s="4">
        <f>SalesData[[#This Row],[Profit]]/SalesData[[#This Row],[Sales]]</f>
        <v>8.7500000000000008E-2</v>
      </c>
      <c r="J331">
        <f>YEAR(SalesData[[#This Row],[Order Date]])</f>
        <v>2017</v>
      </c>
      <c r="K331" t="str">
        <f>TEXT(SalesData[[#This Row],[Order Date]],"mmm")</f>
        <v>Mar</v>
      </c>
      <c r="L331">
        <f>MONTH(SalesData[[#This Row],[Order Date]])</f>
        <v>3</v>
      </c>
      <c r="M331">
        <f>SalesData[[#This Row],[Sales]]/SalesData[[#This Row],[Quantity]]</f>
        <v>399.2</v>
      </c>
      <c r="N331" t="str">
        <f>IF(SalesData[[#This Row],[Profit]]&gt;0,"Profit","Loss")</f>
        <v>Profit</v>
      </c>
    </row>
    <row r="332" spans="1:14" x14ac:dyDescent="0.3">
      <c r="A332" t="s">
        <v>2938</v>
      </c>
      <c r="B332" s="3">
        <v>42801</v>
      </c>
      <c r="C332" t="s">
        <v>13</v>
      </c>
      <c r="D332" t="s">
        <v>10</v>
      </c>
      <c r="E332" t="s">
        <v>1977</v>
      </c>
      <c r="F332" s="1">
        <v>1687.8</v>
      </c>
      <c r="G332">
        <v>4</v>
      </c>
      <c r="H332" s="1">
        <v>742.63199999999995</v>
      </c>
      <c r="I332" s="4">
        <f>SalesData[[#This Row],[Profit]]/SalesData[[#This Row],[Sales]]</f>
        <v>0.44</v>
      </c>
      <c r="J332">
        <f>YEAR(SalesData[[#This Row],[Order Date]])</f>
        <v>2017</v>
      </c>
      <c r="K332" t="str">
        <f>TEXT(SalesData[[#This Row],[Order Date]],"mmm")</f>
        <v>Mar</v>
      </c>
      <c r="L332">
        <f>MONTH(SalesData[[#This Row],[Order Date]])</f>
        <v>3</v>
      </c>
      <c r="M332">
        <f>SalesData[[#This Row],[Sales]]/SalesData[[#This Row],[Quantity]]</f>
        <v>421.95</v>
      </c>
      <c r="N332" t="str">
        <f>IF(SalesData[[#This Row],[Profit]]&gt;0,"Profit","Loss")</f>
        <v>Profit</v>
      </c>
    </row>
    <row r="333" spans="1:14" x14ac:dyDescent="0.3">
      <c r="A333" t="s">
        <v>2938</v>
      </c>
      <c r="B333" s="3">
        <v>42801</v>
      </c>
      <c r="C333" t="s">
        <v>13</v>
      </c>
      <c r="D333" t="s">
        <v>10</v>
      </c>
      <c r="E333" t="s">
        <v>2940</v>
      </c>
      <c r="F333" s="1">
        <v>7.992</v>
      </c>
      <c r="G333">
        <v>1</v>
      </c>
      <c r="H333" s="1">
        <v>2.6972999999999998</v>
      </c>
      <c r="I333" s="4">
        <f>SalesData[[#This Row],[Profit]]/SalesData[[#This Row],[Sales]]</f>
        <v>0.33749999999999997</v>
      </c>
      <c r="J333">
        <f>YEAR(SalesData[[#This Row],[Order Date]])</f>
        <v>2017</v>
      </c>
      <c r="K333" t="str">
        <f>TEXT(SalesData[[#This Row],[Order Date]],"mmm")</f>
        <v>Mar</v>
      </c>
      <c r="L333">
        <f>MONTH(SalesData[[#This Row],[Order Date]])</f>
        <v>3</v>
      </c>
      <c r="M333">
        <f>SalesData[[#This Row],[Sales]]/SalesData[[#This Row],[Quantity]]</f>
        <v>7.992</v>
      </c>
      <c r="N333" t="str">
        <f>IF(SalesData[[#This Row],[Profit]]&gt;0,"Profit","Loss")</f>
        <v>Profit</v>
      </c>
    </row>
    <row r="334" spans="1:14" x14ac:dyDescent="0.3">
      <c r="A334" t="s">
        <v>2941</v>
      </c>
      <c r="B334" s="3">
        <v>42801</v>
      </c>
      <c r="C334" t="s">
        <v>17</v>
      </c>
      <c r="D334" t="s">
        <v>10</v>
      </c>
      <c r="E334" t="s">
        <v>1226</v>
      </c>
      <c r="F334" s="1">
        <v>258.89999999999998</v>
      </c>
      <c r="G334">
        <v>10</v>
      </c>
      <c r="H334" s="1">
        <v>93.203999999999994</v>
      </c>
      <c r="I334" s="4">
        <f>SalesData[[#This Row],[Profit]]/SalesData[[#This Row],[Sales]]</f>
        <v>0.36</v>
      </c>
      <c r="J334">
        <f>YEAR(SalesData[[#This Row],[Order Date]])</f>
        <v>2017</v>
      </c>
      <c r="K334" t="str">
        <f>TEXT(SalesData[[#This Row],[Order Date]],"mmm")</f>
        <v>Mar</v>
      </c>
      <c r="L334">
        <f>MONTH(SalesData[[#This Row],[Order Date]])</f>
        <v>3</v>
      </c>
      <c r="M334">
        <f>SalesData[[#This Row],[Sales]]/SalesData[[#This Row],[Quantity]]</f>
        <v>25.889999999999997</v>
      </c>
      <c r="N334" t="str">
        <f>IF(SalesData[[#This Row],[Profit]]&gt;0,"Profit","Loss")</f>
        <v>Profit</v>
      </c>
    </row>
    <row r="335" spans="1:14" x14ac:dyDescent="0.3">
      <c r="A335" t="s">
        <v>2941</v>
      </c>
      <c r="B335" s="3">
        <v>42801</v>
      </c>
      <c r="C335" t="s">
        <v>17</v>
      </c>
      <c r="D335" t="s">
        <v>21</v>
      </c>
      <c r="E335" t="s">
        <v>920</v>
      </c>
      <c r="F335" s="1">
        <v>24.56</v>
      </c>
      <c r="G335">
        <v>2</v>
      </c>
      <c r="H335" s="1">
        <v>11.543200000000001</v>
      </c>
      <c r="I335" s="4">
        <f>SalesData[[#This Row],[Profit]]/SalesData[[#This Row],[Sales]]</f>
        <v>0.47000000000000003</v>
      </c>
      <c r="J335">
        <f>YEAR(SalesData[[#This Row],[Order Date]])</f>
        <v>2017</v>
      </c>
      <c r="K335" t="str">
        <f>TEXT(SalesData[[#This Row],[Order Date]],"mmm")</f>
        <v>Mar</v>
      </c>
      <c r="L335">
        <f>MONTH(SalesData[[#This Row],[Order Date]])</f>
        <v>3</v>
      </c>
      <c r="M335">
        <f>SalesData[[#This Row],[Sales]]/SalesData[[#This Row],[Quantity]]</f>
        <v>12.28</v>
      </c>
      <c r="N335" t="str">
        <f>IF(SalesData[[#This Row],[Profit]]&gt;0,"Profit","Loss")</f>
        <v>Profit</v>
      </c>
    </row>
    <row r="336" spans="1:14" x14ac:dyDescent="0.3">
      <c r="A336" t="s">
        <v>2942</v>
      </c>
      <c r="B336" s="3">
        <v>42801</v>
      </c>
      <c r="C336" t="s">
        <v>13</v>
      </c>
      <c r="D336" t="s">
        <v>14</v>
      </c>
      <c r="E336" t="s">
        <v>2724</v>
      </c>
      <c r="F336" s="1">
        <v>129.38999999999999</v>
      </c>
      <c r="G336">
        <v>3</v>
      </c>
      <c r="H336" s="1">
        <v>54.343800000000002</v>
      </c>
      <c r="I336" s="4">
        <f>SalesData[[#This Row],[Profit]]/SalesData[[#This Row],[Sales]]</f>
        <v>0.42000000000000004</v>
      </c>
      <c r="J336">
        <f>YEAR(SalesData[[#This Row],[Order Date]])</f>
        <v>2017</v>
      </c>
      <c r="K336" t="str">
        <f>TEXT(SalesData[[#This Row],[Order Date]],"mmm")</f>
        <v>Mar</v>
      </c>
      <c r="L336">
        <f>MONTH(SalesData[[#This Row],[Order Date]])</f>
        <v>3</v>
      </c>
      <c r="M336">
        <f>SalesData[[#This Row],[Sales]]/SalesData[[#This Row],[Quantity]]</f>
        <v>43.129999999999995</v>
      </c>
      <c r="N336" t="str">
        <f>IF(SalesData[[#This Row],[Profit]]&gt;0,"Profit","Loss")</f>
        <v>Profit</v>
      </c>
    </row>
    <row r="337" spans="1:14" x14ac:dyDescent="0.3">
      <c r="A337" t="s">
        <v>2943</v>
      </c>
      <c r="B337" s="3">
        <v>42801</v>
      </c>
      <c r="C337" t="s">
        <v>13</v>
      </c>
      <c r="D337" t="s">
        <v>21</v>
      </c>
      <c r="E337" t="s">
        <v>552</v>
      </c>
      <c r="F337" s="1">
        <v>87.92</v>
      </c>
      <c r="G337">
        <v>4</v>
      </c>
      <c r="H337" s="1">
        <v>0.87919999999999998</v>
      </c>
      <c r="I337" s="4">
        <f>SalesData[[#This Row],[Profit]]/SalesData[[#This Row],[Sales]]</f>
        <v>0.01</v>
      </c>
      <c r="J337">
        <f>YEAR(SalesData[[#This Row],[Order Date]])</f>
        <v>2017</v>
      </c>
      <c r="K337" t="str">
        <f>TEXT(SalesData[[#This Row],[Order Date]],"mmm")</f>
        <v>Mar</v>
      </c>
      <c r="L337">
        <f>MONTH(SalesData[[#This Row],[Order Date]])</f>
        <v>3</v>
      </c>
      <c r="M337">
        <f>SalesData[[#This Row],[Sales]]/SalesData[[#This Row],[Quantity]]</f>
        <v>21.98</v>
      </c>
      <c r="N337" t="str">
        <f>IF(SalesData[[#This Row],[Profit]]&gt;0,"Profit","Loss")</f>
        <v>Profit</v>
      </c>
    </row>
    <row r="338" spans="1:14" x14ac:dyDescent="0.3">
      <c r="A338" t="s">
        <v>2944</v>
      </c>
      <c r="B338" s="3">
        <v>42801</v>
      </c>
      <c r="C338" t="s">
        <v>46</v>
      </c>
      <c r="D338" t="s">
        <v>10</v>
      </c>
      <c r="E338" t="s">
        <v>1239</v>
      </c>
      <c r="F338" s="1">
        <v>24</v>
      </c>
      <c r="G338">
        <v>2</v>
      </c>
      <c r="H338" s="1">
        <v>-2.7</v>
      </c>
      <c r="I338" s="4">
        <f>SalesData[[#This Row],[Profit]]/SalesData[[#This Row],[Sales]]</f>
        <v>-0.1125</v>
      </c>
      <c r="J338">
        <f>YEAR(SalesData[[#This Row],[Order Date]])</f>
        <v>2017</v>
      </c>
      <c r="K338" t="str">
        <f>TEXT(SalesData[[#This Row],[Order Date]],"mmm")</f>
        <v>Mar</v>
      </c>
      <c r="L338">
        <f>MONTH(SalesData[[#This Row],[Order Date]])</f>
        <v>3</v>
      </c>
      <c r="M338">
        <f>SalesData[[#This Row],[Sales]]/SalesData[[#This Row],[Quantity]]</f>
        <v>12</v>
      </c>
      <c r="N338" t="str">
        <f>IF(SalesData[[#This Row],[Profit]]&gt;0,"Profit","Loss")</f>
        <v>Loss</v>
      </c>
    </row>
    <row r="339" spans="1:14" x14ac:dyDescent="0.3">
      <c r="A339" t="s">
        <v>2945</v>
      </c>
      <c r="B339" s="3">
        <v>42801</v>
      </c>
      <c r="C339" t="s">
        <v>17</v>
      </c>
      <c r="D339" t="s">
        <v>14</v>
      </c>
      <c r="E339" t="s">
        <v>2845</v>
      </c>
      <c r="F339" s="1">
        <v>102.3</v>
      </c>
      <c r="G339">
        <v>1</v>
      </c>
      <c r="H339" s="1">
        <v>26.597999999999999</v>
      </c>
      <c r="I339" s="4">
        <f>SalesData[[#This Row],[Profit]]/SalesData[[#This Row],[Sales]]</f>
        <v>0.26</v>
      </c>
      <c r="J339">
        <f>YEAR(SalesData[[#This Row],[Order Date]])</f>
        <v>2017</v>
      </c>
      <c r="K339" t="str">
        <f>TEXT(SalesData[[#This Row],[Order Date]],"mmm")</f>
        <v>Mar</v>
      </c>
      <c r="L339">
        <f>MONTH(SalesData[[#This Row],[Order Date]])</f>
        <v>3</v>
      </c>
      <c r="M339">
        <f>SalesData[[#This Row],[Sales]]/SalesData[[#This Row],[Quantity]]</f>
        <v>102.3</v>
      </c>
      <c r="N339" t="str">
        <f>IF(SalesData[[#This Row],[Profit]]&gt;0,"Profit","Loss")</f>
        <v>Profit</v>
      </c>
    </row>
    <row r="340" spans="1:14" x14ac:dyDescent="0.3">
      <c r="A340" t="s">
        <v>2946</v>
      </c>
      <c r="B340" s="3">
        <v>42802</v>
      </c>
      <c r="C340" t="s">
        <v>9</v>
      </c>
      <c r="D340" t="s">
        <v>14</v>
      </c>
      <c r="E340" t="s">
        <v>2947</v>
      </c>
      <c r="F340" s="1">
        <v>183.37200000000001</v>
      </c>
      <c r="G340">
        <v>2</v>
      </c>
      <c r="H340" s="1">
        <v>-36.674399999999999</v>
      </c>
      <c r="I340" s="4">
        <f>SalesData[[#This Row],[Profit]]/SalesData[[#This Row],[Sales]]</f>
        <v>-0.19999999999999998</v>
      </c>
      <c r="J340">
        <f>YEAR(SalesData[[#This Row],[Order Date]])</f>
        <v>2017</v>
      </c>
      <c r="K340" t="str">
        <f>TEXT(SalesData[[#This Row],[Order Date]],"mmm")</f>
        <v>Mar</v>
      </c>
      <c r="L340">
        <f>MONTH(SalesData[[#This Row],[Order Date]])</f>
        <v>3</v>
      </c>
      <c r="M340">
        <f>SalesData[[#This Row],[Sales]]/SalesData[[#This Row],[Quantity]]</f>
        <v>91.686000000000007</v>
      </c>
      <c r="N340" t="str">
        <f>IF(SalesData[[#This Row],[Profit]]&gt;0,"Profit","Loss")</f>
        <v>Loss</v>
      </c>
    </row>
    <row r="341" spans="1:14" x14ac:dyDescent="0.3">
      <c r="A341" t="s">
        <v>2948</v>
      </c>
      <c r="B341" s="3">
        <v>42802</v>
      </c>
      <c r="C341" t="s">
        <v>13</v>
      </c>
      <c r="D341" t="s">
        <v>21</v>
      </c>
      <c r="E341" t="s">
        <v>1876</v>
      </c>
      <c r="F341" s="1">
        <v>51.75</v>
      </c>
      <c r="G341">
        <v>5</v>
      </c>
      <c r="H341" s="1">
        <v>24.84</v>
      </c>
      <c r="I341" s="4">
        <f>SalesData[[#This Row],[Profit]]/SalesData[[#This Row],[Sales]]</f>
        <v>0.48</v>
      </c>
      <c r="J341">
        <f>YEAR(SalesData[[#This Row],[Order Date]])</f>
        <v>2017</v>
      </c>
      <c r="K341" t="str">
        <f>TEXT(SalesData[[#This Row],[Order Date]],"mmm")</f>
        <v>Mar</v>
      </c>
      <c r="L341">
        <f>MONTH(SalesData[[#This Row],[Order Date]])</f>
        <v>3</v>
      </c>
      <c r="M341">
        <f>SalesData[[#This Row],[Sales]]/SalesData[[#This Row],[Quantity]]</f>
        <v>10.35</v>
      </c>
      <c r="N341" t="str">
        <f>IF(SalesData[[#This Row],[Profit]]&gt;0,"Profit","Loss")</f>
        <v>Profit</v>
      </c>
    </row>
    <row r="342" spans="1:14" x14ac:dyDescent="0.3">
      <c r="A342" t="s">
        <v>2948</v>
      </c>
      <c r="B342" s="3">
        <v>42802</v>
      </c>
      <c r="C342" t="s">
        <v>13</v>
      </c>
      <c r="D342" t="s">
        <v>14</v>
      </c>
      <c r="E342" t="s">
        <v>906</v>
      </c>
      <c r="F342" s="1">
        <v>123.96</v>
      </c>
      <c r="G342">
        <v>3</v>
      </c>
      <c r="H342" s="1">
        <v>11.1564</v>
      </c>
      <c r="I342" s="4">
        <f>SalesData[[#This Row],[Profit]]/SalesData[[#This Row],[Sales]]</f>
        <v>0.09</v>
      </c>
      <c r="J342">
        <f>YEAR(SalesData[[#This Row],[Order Date]])</f>
        <v>2017</v>
      </c>
      <c r="K342" t="str">
        <f>TEXT(SalesData[[#This Row],[Order Date]],"mmm")</f>
        <v>Mar</v>
      </c>
      <c r="L342">
        <f>MONTH(SalesData[[#This Row],[Order Date]])</f>
        <v>3</v>
      </c>
      <c r="M342">
        <f>SalesData[[#This Row],[Sales]]/SalesData[[#This Row],[Quantity]]</f>
        <v>41.32</v>
      </c>
      <c r="N342" t="str">
        <f>IF(SalesData[[#This Row],[Profit]]&gt;0,"Profit","Loss")</f>
        <v>Profit</v>
      </c>
    </row>
    <row r="343" spans="1:14" x14ac:dyDescent="0.3">
      <c r="A343" t="s">
        <v>2949</v>
      </c>
      <c r="B343" s="3">
        <v>42802</v>
      </c>
      <c r="C343" t="s">
        <v>13</v>
      </c>
      <c r="D343" t="s">
        <v>21</v>
      </c>
      <c r="E343" t="s">
        <v>2950</v>
      </c>
      <c r="F343" s="1">
        <v>99.87</v>
      </c>
      <c r="G343">
        <v>3</v>
      </c>
      <c r="H343" s="1">
        <v>23.968800000000002</v>
      </c>
      <c r="I343" s="4">
        <f>SalesData[[#This Row],[Profit]]/SalesData[[#This Row],[Sales]]</f>
        <v>0.24000000000000002</v>
      </c>
      <c r="J343">
        <f>YEAR(SalesData[[#This Row],[Order Date]])</f>
        <v>2017</v>
      </c>
      <c r="K343" t="str">
        <f>TEXT(SalesData[[#This Row],[Order Date]],"mmm")</f>
        <v>Mar</v>
      </c>
      <c r="L343">
        <f>MONTH(SalesData[[#This Row],[Order Date]])</f>
        <v>3</v>
      </c>
      <c r="M343">
        <f>SalesData[[#This Row],[Sales]]/SalesData[[#This Row],[Quantity]]</f>
        <v>33.29</v>
      </c>
      <c r="N343" t="str">
        <f>IF(SalesData[[#This Row],[Profit]]&gt;0,"Profit","Loss")</f>
        <v>Profit</v>
      </c>
    </row>
    <row r="344" spans="1:14" x14ac:dyDescent="0.3">
      <c r="A344" t="s">
        <v>2951</v>
      </c>
      <c r="B344" s="3">
        <v>42802</v>
      </c>
      <c r="C344" t="s">
        <v>9</v>
      </c>
      <c r="D344" t="s">
        <v>10</v>
      </c>
      <c r="E344" t="s">
        <v>2065</v>
      </c>
      <c r="F344" s="1">
        <v>39.816000000000003</v>
      </c>
      <c r="G344">
        <v>3</v>
      </c>
      <c r="H344" s="1">
        <v>7.4654999999999996</v>
      </c>
      <c r="I344" s="4">
        <f>SalesData[[#This Row],[Profit]]/SalesData[[#This Row],[Sales]]</f>
        <v>0.18749999999999997</v>
      </c>
      <c r="J344">
        <f>YEAR(SalesData[[#This Row],[Order Date]])</f>
        <v>2017</v>
      </c>
      <c r="K344" t="str">
        <f>TEXT(SalesData[[#This Row],[Order Date]],"mmm")</f>
        <v>Mar</v>
      </c>
      <c r="L344">
        <f>MONTH(SalesData[[#This Row],[Order Date]])</f>
        <v>3</v>
      </c>
      <c r="M344">
        <f>SalesData[[#This Row],[Sales]]/SalesData[[#This Row],[Quantity]]</f>
        <v>13.272</v>
      </c>
      <c r="N344" t="str">
        <f>IF(SalesData[[#This Row],[Profit]]&gt;0,"Profit","Loss")</f>
        <v>Profit</v>
      </c>
    </row>
    <row r="345" spans="1:14" x14ac:dyDescent="0.3">
      <c r="A345" t="s">
        <v>2952</v>
      </c>
      <c r="B345" s="3">
        <v>42802</v>
      </c>
      <c r="C345" t="s">
        <v>13</v>
      </c>
      <c r="D345" t="s">
        <v>21</v>
      </c>
      <c r="E345" t="s">
        <v>2953</v>
      </c>
      <c r="F345" s="1">
        <v>16.059999999999999</v>
      </c>
      <c r="G345">
        <v>1</v>
      </c>
      <c r="H345" s="1">
        <v>4.1756000000000002</v>
      </c>
      <c r="I345" s="4">
        <f>SalesData[[#This Row],[Profit]]/SalesData[[#This Row],[Sales]]</f>
        <v>0.26</v>
      </c>
      <c r="J345">
        <f>YEAR(SalesData[[#This Row],[Order Date]])</f>
        <v>2017</v>
      </c>
      <c r="K345" t="str">
        <f>TEXT(SalesData[[#This Row],[Order Date]],"mmm")</f>
        <v>Mar</v>
      </c>
      <c r="L345">
        <f>MONTH(SalesData[[#This Row],[Order Date]])</f>
        <v>3</v>
      </c>
      <c r="M345">
        <f>SalesData[[#This Row],[Sales]]/SalesData[[#This Row],[Quantity]]</f>
        <v>16.059999999999999</v>
      </c>
      <c r="N345" t="str">
        <f>IF(SalesData[[#This Row],[Profit]]&gt;0,"Profit","Loss")</f>
        <v>Profit</v>
      </c>
    </row>
    <row r="346" spans="1:14" x14ac:dyDescent="0.3">
      <c r="A346" t="s">
        <v>2954</v>
      </c>
      <c r="B346" s="3">
        <v>42802</v>
      </c>
      <c r="C346" t="s">
        <v>17</v>
      </c>
      <c r="D346" t="s">
        <v>21</v>
      </c>
      <c r="E346" t="s">
        <v>1377</v>
      </c>
      <c r="F346" s="1">
        <v>16.52</v>
      </c>
      <c r="G346">
        <v>5</v>
      </c>
      <c r="H346" s="1">
        <v>5.3689999999999998</v>
      </c>
      <c r="I346" s="4">
        <f>SalesData[[#This Row],[Profit]]/SalesData[[#This Row],[Sales]]</f>
        <v>0.32500000000000001</v>
      </c>
      <c r="J346">
        <f>YEAR(SalesData[[#This Row],[Order Date]])</f>
        <v>2017</v>
      </c>
      <c r="K346" t="str">
        <f>TEXT(SalesData[[#This Row],[Order Date]],"mmm")</f>
        <v>Mar</v>
      </c>
      <c r="L346">
        <f>MONTH(SalesData[[#This Row],[Order Date]])</f>
        <v>3</v>
      </c>
      <c r="M346">
        <f>SalesData[[#This Row],[Sales]]/SalesData[[#This Row],[Quantity]]</f>
        <v>3.3039999999999998</v>
      </c>
      <c r="N346" t="str">
        <f>IF(SalesData[[#This Row],[Profit]]&gt;0,"Profit","Loss")</f>
        <v>Profit</v>
      </c>
    </row>
    <row r="347" spans="1:14" x14ac:dyDescent="0.3">
      <c r="A347" t="s">
        <v>2955</v>
      </c>
      <c r="B347" s="3">
        <v>42803</v>
      </c>
      <c r="C347" t="s">
        <v>9</v>
      </c>
      <c r="D347" t="s">
        <v>21</v>
      </c>
      <c r="E347" t="s">
        <v>854</v>
      </c>
      <c r="F347" s="1">
        <v>42.616</v>
      </c>
      <c r="G347">
        <v>7</v>
      </c>
      <c r="H347" s="1">
        <v>-68.185599999999994</v>
      </c>
      <c r="I347" s="4">
        <f>SalesData[[#This Row],[Profit]]/SalesData[[#This Row],[Sales]]</f>
        <v>-1.5999999999999999</v>
      </c>
      <c r="J347">
        <f>YEAR(SalesData[[#This Row],[Order Date]])</f>
        <v>2017</v>
      </c>
      <c r="K347" t="str">
        <f>TEXT(SalesData[[#This Row],[Order Date]],"mmm")</f>
        <v>Mar</v>
      </c>
      <c r="L347">
        <f>MONTH(SalesData[[#This Row],[Order Date]])</f>
        <v>3</v>
      </c>
      <c r="M347">
        <f>SalesData[[#This Row],[Sales]]/SalesData[[#This Row],[Quantity]]</f>
        <v>6.0880000000000001</v>
      </c>
      <c r="N347" t="str">
        <f>IF(SalesData[[#This Row],[Profit]]&gt;0,"Profit","Loss")</f>
        <v>Loss</v>
      </c>
    </row>
    <row r="348" spans="1:14" x14ac:dyDescent="0.3">
      <c r="A348" t="s">
        <v>2956</v>
      </c>
      <c r="B348" s="3">
        <v>42803</v>
      </c>
      <c r="C348" t="s">
        <v>46</v>
      </c>
      <c r="D348" t="s">
        <v>21</v>
      </c>
      <c r="E348" t="s">
        <v>846</v>
      </c>
      <c r="F348" s="1">
        <v>24.448</v>
      </c>
      <c r="G348">
        <v>4</v>
      </c>
      <c r="H348" s="1">
        <v>8.8623999999999992</v>
      </c>
      <c r="I348" s="4">
        <f>SalesData[[#This Row],[Profit]]/SalesData[[#This Row],[Sales]]</f>
        <v>0.36249999999999993</v>
      </c>
      <c r="J348">
        <f>YEAR(SalesData[[#This Row],[Order Date]])</f>
        <v>2017</v>
      </c>
      <c r="K348" t="str">
        <f>TEXT(SalesData[[#This Row],[Order Date]],"mmm")</f>
        <v>Mar</v>
      </c>
      <c r="L348">
        <f>MONTH(SalesData[[#This Row],[Order Date]])</f>
        <v>3</v>
      </c>
      <c r="M348">
        <f>SalesData[[#This Row],[Sales]]/SalesData[[#This Row],[Quantity]]</f>
        <v>6.1120000000000001</v>
      </c>
      <c r="N348" t="str">
        <f>IF(SalesData[[#This Row],[Profit]]&gt;0,"Profit","Loss")</f>
        <v>Profit</v>
      </c>
    </row>
    <row r="349" spans="1:14" x14ac:dyDescent="0.3">
      <c r="A349" t="s">
        <v>2957</v>
      </c>
      <c r="B349" s="3">
        <v>42803</v>
      </c>
      <c r="C349" t="s">
        <v>13</v>
      </c>
      <c r="D349" t="s">
        <v>21</v>
      </c>
      <c r="E349" t="s">
        <v>1023</v>
      </c>
      <c r="F349" s="1">
        <v>5.96</v>
      </c>
      <c r="G349">
        <v>2</v>
      </c>
      <c r="H349" s="1">
        <v>1.6688000000000001</v>
      </c>
      <c r="I349" s="4">
        <f>SalesData[[#This Row],[Profit]]/SalesData[[#This Row],[Sales]]</f>
        <v>0.28000000000000003</v>
      </c>
      <c r="J349">
        <f>YEAR(SalesData[[#This Row],[Order Date]])</f>
        <v>2017</v>
      </c>
      <c r="K349" t="str">
        <f>TEXT(SalesData[[#This Row],[Order Date]],"mmm")</f>
        <v>Mar</v>
      </c>
      <c r="L349">
        <f>MONTH(SalesData[[#This Row],[Order Date]])</f>
        <v>3</v>
      </c>
      <c r="M349">
        <f>SalesData[[#This Row],[Sales]]/SalesData[[#This Row],[Quantity]]</f>
        <v>2.98</v>
      </c>
      <c r="N349" t="str">
        <f>IF(SalesData[[#This Row],[Profit]]&gt;0,"Profit","Loss")</f>
        <v>Profit</v>
      </c>
    </row>
    <row r="350" spans="1:14" x14ac:dyDescent="0.3">
      <c r="A350" t="s">
        <v>2958</v>
      </c>
      <c r="B350" s="3">
        <v>42803</v>
      </c>
      <c r="C350" t="s">
        <v>13</v>
      </c>
      <c r="D350" t="s">
        <v>21</v>
      </c>
      <c r="E350" t="s">
        <v>2427</v>
      </c>
      <c r="F350" s="1">
        <v>82.56</v>
      </c>
      <c r="G350">
        <v>5</v>
      </c>
      <c r="H350" s="1">
        <v>28.896000000000001</v>
      </c>
      <c r="I350" s="4">
        <f>SalesData[[#This Row],[Profit]]/SalesData[[#This Row],[Sales]]</f>
        <v>0.35</v>
      </c>
      <c r="J350">
        <f>YEAR(SalesData[[#This Row],[Order Date]])</f>
        <v>2017</v>
      </c>
      <c r="K350" t="str">
        <f>TEXT(SalesData[[#This Row],[Order Date]],"mmm")</f>
        <v>Mar</v>
      </c>
      <c r="L350">
        <f>MONTH(SalesData[[#This Row],[Order Date]])</f>
        <v>3</v>
      </c>
      <c r="M350">
        <f>SalesData[[#This Row],[Sales]]/SalesData[[#This Row],[Quantity]]</f>
        <v>16.512</v>
      </c>
      <c r="N350" t="str">
        <f>IF(SalesData[[#This Row],[Profit]]&gt;0,"Profit","Loss")</f>
        <v>Profit</v>
      </c>
    </row>
    <row r="351" spans="1:14" x14ac:dyDescent="0.3">
      <c r="A351" t="s">
        <v>2958</v>
      </c>
      <c r="B351" s="3">
        <v>42803</v>
      </c>
      <c r="C351" t="s">
        <v>13</v>
      </c>
      <c r="D351" t="s">
        <v>10</v>
      </c>
      <c r="E351" t="s">
        <v>2959</v>
      </c>
      <c r="F351" s="1">
        <v>284.97000000000003</v>
      </c>
      <c r="G351">
        <v>3</v>
      </c>
      <c r="H351" s="1">
        <v>85.491</v>
      </c>
      <c r="I351" s="4">
        <f>SalesData[[#This Row],[Profit]]/SalesData[[#This Row],[Sales]]</f>
        <v>0.3</v>
      </c>
      <c r="J351">
        <f>YEAR(SalesData[[#This Row],[Order Date]])</f>
        <v>2017</v>
      </c>
      <c r="K351" t="str">
        <f>TEXT(SalesData[[#This Row],[Order Date]],"mmm")</f>
        <v>Mar</v>
      </c>
      <c r="L351">
        <f>MONTH(SalesData[[#This Row],[Order Date]])</f>
        <v>3</v>
      </c>
      <c r="M351">
        <f>SalesData[[#This Row],[Sales]]/SalesData[[#This Row],[Quantity]]</f>
        <v>94.990000000000009</v>
      </c>
      <c r="N351" t="str">
        <f>IF(SalesData[[#This Row],[Profit]]&gt;0,"Profit","Loss")</f>
        <v>Profit</v>
      </c>
    </row>
    <row r="352" spans="1:14" x14ac:dyDescent="0.3">
      <c r="A352" t="s">
        <v>2960</v>
      </c>
      <c r="B352" s="3">
        <v>42803</v>
      </c>
      <c r="C352" t="s">
        <v>17</v>
      </c>
      <c r="D352" t="s">
        <v>21</v>
      </c>
      <c r="E352" t="s">
        <v>2908</v>
      </c>
      <c r="F352" s="1">
        <v>419.4</v>
      </c>
      <c r="G352">
        <v>4</v>
      </c>
      <c r="H352" s="1">
        <v>201.31200000000001</v>
      </c>
      <c r="I352" s="4">
        <f>SalesData[[#This Row],[Profit]]/SalesData[[#This Row],[Sales]]</f>
        <v>0.48000000000000004</v>
      </c>
      <c r="J352">
        <f>YEAR(SalesData[[#This Row],[Order Date]])</f>
        <v>2017</v>
      </c>
      <c r="K352" t="str">
        <f>TEXT(SalesData[[#This Row],[Order Date]],"mmm")</f>
        <v>Mar</v>
      </c>
      <c r="L352">
        <f>MONTH(SalesData[[#This Row],[Order Date]])</f>
        <v>3</v>
      </c>
      <c r="M352">
        <f>SalesData[[#This Row],[Sales]]/SalesData[[#This Row],[Quantity]]</f>
        <v>104.85</v>
      </c>
      <c r="N352" t="str">
        <f>IF(SalesData[[#This Row],[Profit]]&gt;0,"Profit","Loss")</f>
        <v>Profit</v>
      </c>
    </row>
    <row r="353" spans="1:14" x14ac:dyDescent="0.3">
      <c r="A353" t="s">
        <v>2960</v>
      </c>
      <c r="B353" s="3">
        <v>42803</v>
      </c>
      <c r="C353" t="s">
        <v>17</v>
      </c>
      <c r="D353" t="s">
        <v>14</v>
      </c>
      <c r="E353" t="s">
        <v>2961</v>
      </c>
      <c r="F353" s="1">
        <v>90.801000000000002</v>
      </c>
      <c r="G353">
        <v>1</v>
      </c>
      <c r="H353" s="1">
        <v>14.124599999999999</v>
      </c>
      <c r="I353" s="4">
        <f>SalesData[[#This Row],[Profit]]/SalesData[[#This Row],[Sales]]</f>
        <v>0.15555555555555553</v>
      </c>
      <c r="J353">
        <f>YEAR(SalesData[[#This Row],[Order Date]])</f>
        <v>2017</v>
      </c>
      <c r="K353" t="str">
        <f>TEXT(SalesData[[#This Row],[Order Date]],"mmm")</f>
        <v>Mar</v>
      </c>
      <c r="L353">
        <f>MONTH(SalesData[[#This Row],[Order Date]])</f>
        <v>3</v>
      </c>
      <c r="M353">
        <f>SalesData[[#This Row],[Sales]]/SalesData[[#This Row],[Quantity]]</f>
        <v>90.801000000000002</v>
      </c>
      <c r="N353" t="str">
        <f>IF(SalesData[[#This Row],[Profit]]&gt;0,"Profit","Loss")</f>
        <v>Profit</v>
      </c>
    </row>
    <row r="354" spans="1:14" x14ac:dyDescent="0.3">
      <c r="A354" t="s">
        <v>2960</v>
      </c>
      <c r="B354" s="3">
        <v>42803</v>
      </c>
      <c r="C354" t="s">
        <v>17</v>
      </c>
      <c r="D354" t="s">
        <v>14</v>
      </c>
      <c r="E354" t="s">
        <v>1448</v>
      </c>
      <c r="F354" s="1">
        <v>181.76400000000001</v>
      </c>
      <c r="G354">
        <v>2</v>
      </c>
      <c r="H354" s="1">
        <v>-8.0784000000000002</v>
      </c>
      <c r="I354" s="4">
        <f>SalesData[[#This Row],[Profit]]/SalesData[[#This Row],[Sales]]</f>
        <v>-4.4444444444444446E-2</v>
      </c>
      <c r="J354">
        <f>YEAR(SalesData[[#This Row],[Order Date]])</f>
        <v>2017</v>
      </c>
      <c r="K354" t="str">
        <f>TEXT(SalesData[[#This Row],[Order Date]],"mmm")</f>
        <v>Mar</v>
      </c>
      <c r="L354">
        <f>MONTH(SalesData[[#This Row],[Order Date]])</f>
        <v>3</v>
      </c>
      <c r="M354">
        <f>SalesData[[#This Row],[Sales]]/SalesData[[#This Row],[Quantity]]</f>
        <v>90.882000000000005</v>
      </c>
      <c r="N354" t="str">
        <f>IF(SalesData[[#This Row],[Profit]]&gt;0,"Profit","Loss")</f>
        <v>Loss</v>
      </c>
    </row>
    <row r="355" spans="1:14" x14ac:dyDescent="0.3">
      <c r="A355" t="s">
        <v>2960</v>
      </c>
      <c r="B355" s="3">
        <v>42803</v>
      </c>
      <c r="C355" t="s">
        <v>17</v>
      </c>
      <c r="D355" t="s">
        <v>21</v>
      </c>
      <c r="E355" t="s">
        <v>764</v>
      </c>
      <c r="F355" s="1">
        <v>5.56</v>
      </c>
      <c r="G355">
        <v>2</v>
      </c>
      <c r="H355" s="1">
        <v>2.2240000000000002</v>
      </c>
      <c r="I355" s="4">
        <f>SalesData[[#This Row],[Profit]]/SalesData[[#This Row],[Sales]]</f>
        <v>0.40000000000000008</v>
      </c>
      <c r="J355">
        <f>YEAR(SalesData[[#This Row],[Order Date]])</f>
        <v>2017</v>
      </c>
      <c r="K355" t="str">
        <f>TEXT(SalesData[[#This Row],[Order Date]],"mmm")</f>
        <v>Mar</v>
      </c>
      <c r="L355">
        <f>MONTH(SalesData[[#This Row],[Order Date]])</f>
        <v>3</v>
      </c>
      <c r="M355">
        <f>SalesData[[#This Row],[Sales]]/SalesData[[#This Row],[Quantity]]</f>
        <v>2.78</v>
      </c>
      <c r="N355" t="str">
        <f>IF(SalesData[[#This Row],[Profit]]&gt;0,"Profit","Loss")</f>
        <v>Profit</v>
      </c>
    </row>
    <row r="356" spans="1:14" x14ac:dyDescent="0.3">
      <c r="A356" t="s">
        <v>2962</v>
      </c>
      <c r="B356" s="3">
        <v>42803</v>
      </c>
      <c r="C356" t="s">
        <v>13</v>
      </c>
      <c r="D356" t="s">
        <v>14</v>
      </c>
      <c r="E356" t="s">
        <v>763</v>
      </c>
      <c r="F356" s="1">
        <v>239.666</v>
      </c>
      <c r="G356">
        <v>2</v>
      </c>
      <c r="H356" s="1">
        <v>14.098000000000001</v>
      </c>
      <c r="I356" s="4">
        <f>SalesData[[#This Row],[Profit]]/SalesData[[#This Row],[Sales]]</f>
        <v>5.8823529411764712E-2</v>
      </c>
      <c r="J356">
        <f>YEAR(SalesData[[#This Row],[Order Date]])</f>
        <v>2017</v>
      </c>
      <c r="K356" t="str">
        <f>TEXT(SalesData[[#This Row],[Order Date]],"mmm")</f>
        <v>Mar</v>
      </c>
      <c r="L356">
        <f>MONTH(SalesData[[#This Row],[Order Date]])</f>
        <v>3</v>
      </c>
      <c r="M356">
        <f>SalesData[[#This Row],[Sales]]/SalesData[[#This Row],[Quantity]]</f>
        <v>119.833</v>
      </c>
      <c r="N356" t="str">
        <f>IF(SalesData[[#This Row],[Profit]]&gt;0,"Profit","Loss")</f>
        <v>Profit</v>
      </c>
    </row>
    <row r="357" spans="1:14" x14ac:dyDescent="0.3">
      <c r="A357" t="s">
        <v>2963</v>
      </c>
      <c r="B357" s="3">
        <v>42803</v>
      </c>
      <c r="C357" t="s">
        <v>9</v>
      </c>
      <c r="D357" t="s">
        <v>14</v>
      </c>
      <c r="E357" t="s">
        <v>1269</v>
      </c>
      <c r="F357" s="1">
        <v>108.4</v>
      </c>
      <c r="G357">
        <v>5</v>
      </c>
      <c r="H357" s="1">
        <v>-105.69</v>
      </c>
      <c r="I357" s="4">
        <f>SalesData[[#This Row],[Profit]]/SalesData[[#This Row],[Sales]]</f>
        <v>-0.97499999999999998</v>
      </c>
      <c r="J357">
        <f>YEAR(SalesData[[#This Row],[Order Date]])</f>
        <v>2017</v>
      </c>
      <c r="K357" t="str">
        <f>TEXT(SalesData[[#This Row],[Order Date]],"mmm")</f>
        <v>Mar</v>
      </c>
      <c r="L357">
        <f>MONTH(SalesData[[#This Row],[Order Date]])</f>
        <v>3</v>
      </c>
      <c r="M357">
        <f>SalesData[[#This Row],[Sales]]/SalesData[[#This Row],[Quantity]]</f>
        <v>21.68</v>
      </c>
      <c r="N357" t="str">
        <f>IF(SalesData[[#This Row],[Profit]]&gt;0,"Profit","Loss")</f>
        <v>Loss</v>
      </c>
    </row>
    <row r="358" spans="1:14" x14ac:dyDescent="0.3">
      <c r="A358" t="s">
        <v>2964</v>
      </c>
      <c r="B358" s="3">
        <v>42803</v>
      </c>
      <c r="C358" t="s">
        <v>9</v>
      </c>
      <c r="D358" t="s">
        <v>21</v>
      </c>
      <c r="E358" t="s">
        <v>2965</v>
      </c>
      <c r="F358" s="1">
        <v>8.9039999999999999</v>
      </c>
      <c r="G358">
        <v>3</v>
      </c>
      <c r="H358" s="1">
        <v>3.339</v>
      </c>
      <c r="I358" s="4">
        <f>SalesData[[#This Row],[Profit]]/SalesData[[#This Row],[Sales]]</f>
        <v>0.375</v>
      </c>
      <c r="J358">
        <f>YEAR(SalesData[[#This Row],[Order Date]])</f>
        <v>2017</v>
      </c>
      <c r="K358" t="str">
        <f>TEXT(SalesData[[#This Row],[Order Date]],"mmm")</f>
        <v>Mar</v>
      </c>
      <c r="L358">
        <f>MONTH(SalesData[[#This Row],[Order Date]])</f>
        <v>3</v>
      </c>
      <c r="M358">
        <f>SalesData[[#This Row],[Sales]]/SalesData[[#This Row],[Quantity]]</f>
        <v>2.968</v>
      </c>
      <c r="N358" t="str">
        <f>IF(SalesData[[#This Row],[Profit]]&gt;0,"Profit","Loss")</f>
        <v>Profit</v>
      </c>
    </row>
    <row r="359" spans="1:14" x14ac:dyDescent="0.3">
      <c r="A359" t="s">
        <v>2964</v>
      </c>
      <c r="B359" s="3">
        <v>42803</v>
      </c>
      <c r="C359" t="s">
        <v>9</v>
      </c>
      <c r="D359" t="s">
        <v>10</v>
      </c>
      <c r="E359" t="s">
        <v>131</v>
      </c>
      <c r="F359" s="1">
        <v>100.8</v>
      </c>
      <c r="G359">
        <v>2</v>
      </c>
      <c r="H359" s="1">
        <v>21.42</v>
      </c>
      <c r="I359" s="4">
        <f>SalesData[[#This Row],[Profit]]/SalesData[[#This Row],[Sales]]</f>
        <v>0.21250000000000002</v>
      </c>
      <c r="J359">
        <f>YEAR(SalesData[[#This Row],[Order Date]])</f>
        <v>2017</v>
      </c>
      <c r="K359" t="str">
        <f>TEXT(SalesData[[#This Row],[Order Date]],"mmm")</f>
        <v>Mar</v>
      </c>
      <c r="L359">
        <f>MONTH(SalesData[[#This Row],[Order Date]])</f>
        <v>3</v>
      </c>
      <c r="M359">
        <f>SalesData[[#This Row],[Sales]]/SalesData[[#This Row],[Quantity]]</f>
        <v>50.4</v>
      </c>
      <c r="N359" t="str">
        <f>IF(SalesData[[#This Row],[Profit]]&gt;0,"Profit","Loss")</f>
        <v>Profit</v>
      </c>
    </row>
    <row r="360" spans="1:14" x14ac:dyDescent="0.3">
      <c r="A360" t="s">
        <v>2966</v>
      </c>
      <c r="B360" s="3">
        <v>42804</v>
      </c>
      <c r="C360" t="s">
        <v>9</v>
      </c>
      <c r="D360" t="s">
        <v>21</v>
      </c>
      <c r="E360" t="s">
        <v>170</v>
      </c>
      <c r="F360" s="1">
        <v>1793.98</v>
      </c>
      <c r="G360">
        <v>2</v>
      </c>
      <c r="H360" s="1">
        <v>843.17060000000004</v>
      </c>
      <c r="I360" s="4">
        <f>SalesData[[#This Row],[Profit]]/SalesData[[#This Row],[Sales]]</f>
        <v>0.47000000000000003</v>
      </c>
      <c r="J360">
        <f>YEAR(SalesData[[#This Row],[Order Date]])</f>
        <v>2017</v>
      </c>
      <c r="K360" t="str">
        <f>TEXT(SalesData[[#This Row],[Order Date]],"mmm")</f>
        <v>Mar</v>
      </c>
      <c r="L360">
        <f>MONTH(SalesData[[#This Row],[Order Date]])</f>
        <v>3</v>
      </c>
      <c r="M360">
        <f>SalesData[[#This Row],[Sales]]/SalesData[[#This Row],[Quantity]]</f>
        <v>896.99</v>
      </c>
      <c r="N360" t="str">
        <f>IF(SalesData[[#This Row],[Profit]]&gt;0,"Profit","Loss")</f>
        <v>Profit</v>
      </c>
    </row>
    <row r="361" spans="1:14" x14ac:dyDescent="0.3">
      <c r="A361" t="s">
        <v>2967</v>
      </c>
      <c r="B361" s="3">
        <v>42804</v>
      </c>
      <c r="C361" t="s">
        <v>17</v>
      </c>
      <c r="D361" t="s">
        <v>21</v>
      </c>
      <c r="E361" t="s">
        <v>630</v>
      </c>
      <c r="F361" s="1">
        <v>22.58</v>
      </c>
      <c r="G361">
        <v>2</v>
      </c>
      <c r="H361" s="1">
        <v>5.8708</v>
      </c>
      <c r="I361" s="4">
        <f>SalesData[[#This Row],[Profit]]/SalesData[[#This Row],[Sales]]</f>
        <v>0.26</v>
      </c>
      <c r="J361">
        <f>YEAR(SalesData[[#This Row],[Order Date]])</f>
        <v>2017</v>
      </c>
      <c r="K361" t="str">
        <f>TEXT(SalesData[[#This Row],[Order Date]],"mmm")</f>
        <v>Mar</v>
      </c>
      <c r="L361">
        <f>MONTH(SalesData[[#This Row],[Order Date]])</f>
        <v>3</v>
      </c>
      <c r="M361">
        <f>SalesData[[#This Row],[Sales]]/SalesData[[#This Row],[Quantity]]</f>
        <v>11.29</v>
      </c>
      <c r="N361" t="str">
        <f>IF(SalesData[[#This Row],[Profit]]&gt;0,"Profit","Loss")</f>
        <v>Profit</v>
      </c>
    </row>
    <row r="362" spans="1:14" x14ac:dyDescent="0.3">
      <c r="A362" t="s">
        <v>2968</v>
      </c>
      <c r="B362" s="3">
        <v>42804</v>
      </c>
      <c r="C362" t="s">
        <v>13</v>
      </c>
      <c r="D362" t="s">
        <v>14</v>
      </c>
      <c r="E362" t="s">
        <v>1767</v>
      </c>
      <c r="F362" s="1">
        <v>171.28800000000001</v>
      </c>
      <c r="G362">
        <v>3</v>
      </c>
      <c r="H362" s="1">
        <v>-6.4233000000000002</v>
      </c>
      <c r="I362" s="4">
        <f>SalesData[[#This Row],[Profit]]/SalesData[[#This Row],[Sales]]</f>
        <v>-3.7499999999999999E-2</v>
      </c>
      <c r="J362">
        <f>YEAR(SalesData[[#This Row],[Order Date]])</f>
        <v>2017</v>
      </c>
      <c r="K362" t="str">
        <f>TEXT(SalesData[[#This Row],[Order Date]],"mmm")</f>
        <v>Mar</v>
      </c>
      <c r="L362">
        <f>MONTH(SalesData[[#This Row],[Order Date]])</f>
        <v>3</v>
      </c>
      <c r="M362">
        <f>SalesData[[#This Row],[Sales]]/SalesData[[#This Row],[Quantity]]</f>
        <v>57.096000000000004</v>
      </c>
      <c r="N362" t="str">
        <f>IF(SalesData[[#This Row],[Profit]]&gt;0,"Profit","Loss")</f>
        <v>Loss</v>
      </c>
    </row>
    <row r="363" spans="1:14" x14ac:dyDescent="0.3">
      <c r="A363" t="s">
        <v>2969</v>
      </c>
      <c r="B363" s="3">
        <v>42804</v>
      </c>
      <c r="C363" t="s">
        <v>46</v>
      </c>
      <c r="D363" t="s">
        <v>21</v>
      </c>
      <c r="E363" t="s">
        <v>1784</v>
      </c>
      <c r="F363" s="1">
        <v>15.552</v>
      </c>
      <c r="G363">
        <v>3</v>
      </c>
      <c r="H363" s="1">
        <v>5.4432</v>
      </c>
      <c r="I363" s="4">
        <f>SalesData[[#This Row],[Profit]]/SalesData[[#This Row],[Sales]]</f>
        <v>0.35000000000000003</v>
      </c>
      <c r="J363">
        <f>YEAR(SalesData[[#This Row],[Order Date]])</f>
        <v>2017</v>
      </c>
      <c r="K363" t="str">
        <f>TEXT(SalesData[[#This Row],[Order Date]],"mmm")</f>
        <v>Mar</v>
      </c>
      <c r="L363">
        <f>MONTH(SalesData[[#This Row],[Order Date]])</f>
        <v>3</v>
      </c>
      <c r="M363">
        <f>SalesData[[#This Row],[Sales]]/SalesData[[#This Row],[Quantity]]</f>
        <v>5.1840000000000002</v>
      </c>
      <c r="N363" t="str">
        <f>IF(SalesData[[#This Row],[Profit]]&gt;0,"Profit","Loss")</f>
        <v>Profit</v>
      </c>
    </row>
    <row r="364" spans="1:14" x14ac:dyDescent="0.3">
      <c r="A364" t="s">
        <v>2969</v>
      </c>
      <c r="B364" s="3">
        <v>42804</v>
      </c>
      <c r="C364" t="s">
        <v>46</v>
      </c>
      <c r="D364" t="s">
        <v>21</v>
      </c>
      <c r="E364" t="s">
        <v>2970</v>
      </c>
      <c r="F364" s="1">
        <v>17.920000000000002</v>
      </c>
      <c r="G364">
        <v>5</v>
      </c>
      <c r="H364" s="1">
        <v>1.1200000000000001</v>
      </c>
      <c r="I364" s="4">
        <f>SalesData[[#This Row],[Profit]]/SalesData[[#This Row],[Sales]]</f>
        <v>6.25E-2</v>
      </c>
      <c r="J364">
        <f>YEAR(SalesData[[#This Row],[Order Date]])</f>
        <v>2017</v>
      </c>
      <c r="K364" t="str">
        <f>TEXT(SalesData[[#This Row],[Order Date]],"mmm")</f>
        <v>Mar</v>
      </c>
      <c r="L364">
        <f>MONTH(SalesData[[#This Row],[Order Date]])</f>
        <v>3</v>
      </c>
      <c r="M364">
        <f>SalesData[[#This Row],[Sales]]/SalesData[[#This Row],[Quantity]]</f>
        <v>3.5840000000000005</v>
      </c>
      <c r="N364" t="str">
        <f>IF(SalesData[[#This Row],[Profit]]&gt;0,"Profit","Loss")</f>
        <v>Profit</v>
      </c>
    </row>
    <row r="365" spans="1:14" x14ac:dyDescent="0.3">
      <c r="A365" t="s">
        <v>2971</v>
      </c>
      <c r="B365" s="3">
        <v>42804</v>
      </c>
      <c r="C365" t="s">
        <v>17</v>
      </c>
      <c r="D365" t="s">
        <v>14</v>
      </c>
      <c r="E365" t="s">
        <v>2638</v>
      </c>
      <c r="F365" s="1">
        <v>83.92</v>
      </c>
      <c r="G365">
        <v>4</v>
      </c>
      <c r="H365" s="1">
        <v>21.819199999999999</v>
      </c>
      <c r="I365" s="4">
        <f>SalesData[[#This Row],[Profit]]/SalesData[[#This Row],[Sales]]</f>
        <v>0.25999999999999995</v>
      </c>
      <c r="J365">
        <f>YEAR(SalesData[[#This Row],[Order Date]])</f>
        <v>2017</v>
      </c>
      <c r="K365" t="str">
        <f>TEXT(SalesData[[#This Row],[Order Date]],"mmm")</f>
        <v>Mar</v>
      </c>
      <c r="L365">
        <f>MONTH(SalesData[[#This Row],[Order Date]])</f>
        <v>3</v>
      </c>
      <c r="M365">
        <f>SalesData[[#This Row],[Sales]]/SalesData[[#This Row],[Quantity]]</f>
        <v>20.98</v>
      </c>
      <c r="N365" t="str">
        <f>IF(SalesData[[#This Row],[Profit]]&gt;0,"Profit","Loss")</f>
        <v>Profit</v>
      </c>
    </row>
    <row r="366" spans="1:14" x14ac:dyDescent="0.3">
      <c r="A366" t="s">
        <v>2971</v>
      </c>
      <c r="B366" s="3">
        <v>42804</v>
      </c>
      <c r="C366" t="s">
        <v>17</v>
      </c>
      <c r="D366" t="s">
        <v>21</v>
      </c>
      <c r="E366" t="s">
        <v>2972</v>
      </c>
      <c r="F366" s="1">
        <v>6.63</v>
      </c>
      <c r="G366">
        <v>3</v>
      </c>
      <c r="H366" s="1">
        <v>3.1160999999999999</v>
      </c>
      <c r="I366" s="4">
        <f>SalesData[[#This Row],[Profit]]/SalesData[[#This Row],[Sales]]</f>
        <v>0.47</v>
      </c>
      <c r="J366">
        <f>YEAR(SalesData[[#This Row],[Order Date]])</f>
        <v>2017</v>
      </c>
      <c r="K366" t="str">
        <f>TEXT(SalesData[[#This Row],[Order Date]],"mmm")</f>
        <v>Mar</v>
      </c>
      <c r="L366">
        <f>MONTH(SalesData[[#This Row],[Order Date]])</f>
        <v>3</v>
      </c>
      <c r="M366">
        <f>SalesData[[#This Row],[Sales]]/SalesData[[#This Row],[Quantity]]</f>
        <v>2.21</v>
      </c>
      <c r="N366" t="str">
        <f>IF(SalesData[[#This Row],[Profit]]&gt;0,"Profit","Loss")</f>
        <v>Profit</v>
      </c>
    </row>
    <row r="367" spans="1:14" x14ac:dyDescent="0.3">
      <c r="A367" t="s">
        <v>2971</v>
      </c>
      <c r="B367" s="3">
        <v>42804</v>
      </c>
      <c r="C367" t="s">
        <v>17</v>
      </c>
      <c r="D367" t="s">
        <v>10</v>
      </c>
      <c r="E367" t="s">
        <v>1296</v>
      </c>
      <c r="F367" s="1">
        <v>371.97</v>
      </c>
      <c r="G367">
        <v>3</v>
      </c>
      <c r="H367" s="1">
        <v>66.954599999999999</v>
      </c>
      <c r="I367" s="4">
        <f>SalesData[[#This Row],[Profit]]/SalesData[[#This Row],[Sales]]</f>
        <v>0.18</v>
      </c>
      <c r="J367">
        <f>YEAR(SalesData[[#This Row],[Order Date]])</f>
        <v>2017</v>
      </c>
      <c r="K367" t="str">
        <f>TEXT(SalesData[[#This Row],[Order Date]],"mmm")</f>
        <v>Mar</v>
      </c>
      <c r="L367">
        <f>MONTH(SalesData[[#This Row],[Order Date]])</f>
        <v>3</v>
      </c>
      <c r="M367">
        <f>SalesData[[#This Row],[Sales]]/SalesData[[#This Row],[Quantity]]</f>
        <v>123.99000000000001</v>
      </c>
      <c r="N367" t="str">
        <f>IF(SalesData[[#This Row],[Profit]]&gt;0,"Profit","Loss")</f>
        <v>Profit</v>
      </c>
    </row>
    <row r="368" spans="1:14" x14ac:dyDescent="0.3">
      <c r="A368" t="s">
        <v>2973</v>
      </c>
      <c r="B368" s="3">
        <v>42804</v>
      </c>
      <c r="C368" t="s">
        <v>9</v>
      </c>
      <c r="D368" t="s">
        <v>21</v>
      </c>
      <c r="E368" t="s">
        <v>1291</v>
      </c>
      <c r="F368" s="1">
        <v>20.64</v>
      </c>
      <c r="G368">
        <v>5</v>
      </c>
      <c r="H368" s="1">
        <v>2.3220000000000001</v>
      </c>
      <c r="I368" s="4">
        <f>SalesData[[#This Row],[Profit]]/SalesData[[#This Row],[Sales]]</f>
        <v>0.1125</v>
      </c>
      <c r="J368">
        <f>YEAR(SalesData[[#This Row],[Order Date]])</f>
        <v>2017</v>
      </c>
      <c r="K368" t="str">
        <f>TEXT(SalesData[[#This Row],[Order Date]],"mmm")</f>
        <v>Mar</v>
      </c>
      <c r="L368">
        <f>MONTH(SalesData[[#This Row],[Order Date]])</f>
        <v>3</v>
      </c>
      <c r="M368">
        <f>SalesData[[#This Row],[Sales]]/SalesData[[#This Row],[Quantity]]</f>
        <v>4.1280000000000001</v>
      </c>
      <c r="N368" t="str">
        <f>IF(SalesData[[#This Row],[Profit]]&gt;0,"Profit","Loss")</f>
        <v>Profit</v>
      </c>
    </row>
    <row r="369" spans="1:14" x14ac:dyDescent="0.3">
      <c r="A369" t="s">
        <v>2974</v>
      </c>
      <c r="B369" s="3">
        <v>42805</v>
      </c>
      <c r="C369" t="s">
        <v>46</v>
      </c>
      <c r="D369" t="s">
        <v>14</v>
      </c>
      <c r="E369" t="s">
        <v>449</v>
      </c>
      <c r="F369" s="1">
        <v>15.992000000000001</v>
      </c>
      <c r="G369">
        <v>1</v>
      </c>
      <c r="H369" s="1">
        <v>0.99950000000000006</v>
      </c>
      <c r="I369" s="4">
        <f>SalesData[[#This Row],[Profit]]/SalesData[[#This Row],[Sales]]</f>
        <v>6.25E-2</v>
      </c>
      <c r="J369">
        <f>YEAR(SalesData[[#This Row],[Order Date]])</f>
        <v>2017</v>
      </c>
      <c r="K369" t="str">
        <f>TEXT(SalesData[[#This Row],[Order Date]],"mmm")</f>
        <v>Mar</v>
      </c>
      <c r="L369">
        <f>MONTH(SalesData[[#This Row],[Order Date]])</f>
        <v>3</v>
      </c>
      <c r="M369">
        <f>SalesData[[#This Row],[Sales]]/SalesData[[#This Row],[Quantity]]</f>
        <v>15.992000000000001</v>
      </c>
      <c r="N369" t="str">
        <f>IF(SalesData[[#This Row],[Profit]]&gt;0,"Profit","Loss")</f>
        <v>Profit</v>
      </c>
    </row>
    <row r="370" spans="1:14" x14ac:dyDescent="0.3">
      <c r="A370" t="s">
        <v>2975</v>
      </c>
      <c r="B370" s="3">
        <v>42805</v>
      </c>
      <c r="C370" t="s">
        <v>13</v>
      </c>
      <c r="D370" t="s">
        <v>21</v>
      </c>
      <c r="E370" t="s">
        <v>2280</v>
      </c>
      <c r="F370" s="1">
        <v>139.86000000000001</v>
      </c>
      <c r="G370">
        <v>7</v>
      </c>
      <c r="H370" s="1">
        <v>65.734200000000001</v>
      </c>
      <c r="I370" s="4">
        <f>SalesData[[#This Row],[Profit]]/SalesData[[#This Row],[Sales]]</f>
        <v>0.47</v>
      </c>
      <c r="J370">
        <f>YEAR(SalesData[[#This Row],[Order Date]])</f>
        <v>2017</v>
      </c>
      <c r="K370" t="str">
        <f>TEXT(SalesData[[#This Row],[Order Date]],"mmm")</f>
        <v>Mar</v>
      </c>
      <c r="L370">
        <f>MONTH(SalesData[[#This Row],[Order Date]])</f>
        <v>3</v>
      </c>
      <c r="M370">
        <f>SalesData[[#This Row],[Sales]]/SalesData[[#This Row],[Quantity]]</f>
        <v>19.98</v>
      </c>
      <c r="N370" t="str">
        <f>IF(SalesData[[#This Row],[Profit]]&gt;0,"Profit","Loss")</f>
        <v>Profit</v>
      </c>
    </row>
    <row r="371" spans="1:14" x14ac:dyDescent="0.3">
      <c r="A371" t="s">
        <v>2975</v>
      </c>
      <c r="B371" s="3">
        <v>42805</v>
      </c>
      <c r="C371" t="s">
        <v>13</v>
      </c>
      <c r="D371" t="s">
        <v>14</v>
      </c>
      <c r="E371" t="s">
        <v>2976</v>
      </c>
      <c r="F371" s="1">
        <v>307.13600000000002</v>
      </c>
      <c r="G371">
        <v>4</v>
      </c>
      <c r="H371" s="1">
        <v>26.874400000000001</v>
      </c>
      <c r="I371" s="4">
        <f>SalesData[[#This Row],[Profit]]/SalesData[[#This Row],[Sales]]</f>
        <v>8.7499999999999994E-2</v>
      </c>
      <c r="J371">
        <f>YEAR(SalesData[[#This Row],[Order Date]])</f>
        <v>2017</v>
      </c>
      <c r="K371" t="str">
        <f>TEXT(SalesData[[#This Row],[Order Date]],"mmm")</f>
        <v>Mar</v>
      </c>
      <c r="L371">
        <f>MONTH(SalesData[[#This Row],[Order Date]])</f>
        <v>3</v>
      </c>
      <c r="M371">
        <f>SalesData[[#This Row],[Sales]]/SalesData[[#This Row],[Quantity]]</f>
        <v>76.784000000000006</v>
      </c>
      <c r="N371" t="str">
        <f>IF(SalesData[[#This Row],[Profit]]&gt;0,"Profit","Loss")</f>
        <v>Profit</v>
      </c>
    </row>
    <row r="372" spans="1:14" x14ac:dyDescent="0.3">
      <c r="A372" t="s">
        <v>2977</v>
      </c>
      <c r="B372" s="3">
        <v>42805</v>
      </c>
      <c r="C372" t="s">
        <v>46</v>
      </c>
      <c r="D372" t="s">
        <v>21</v>
      </c>
      <c r="E372" t="s">
        <v>1377</v>
      </c>
      <c r="F372" s="1">
        <v>12.39</v>
      </c>
      <c r="G372">
        <v>3</v>
      </c>
      <c r="H372" s="1">
        <v>5.6993999999999998</v>
      </c>
      <c r="I372" s="4">
        <f>SalesData[[#This Row],[Profit]]/SalesData[[#This Row],[Sales]]</f>
        <v>0.45999999999999996</v>
      </c>
      <c r="J372">
        <f>YEAR(SalesData[[#This Row],[Order Date]])</f>
        <v>2017</v>
      </c>
      <c r="K372" t="str">
        <f>TEXT(SalesData[[#This Row],[Order Date]],"mmm")</f>
        <v>Mar</v>
      </c>
      <c r="L372">
        <f>MONTH(SalesData[[#This Row],[Order Date]])</f>
        <v>3</v>
      </c>
      <c r="M372">
        <f>SalesData[[#This Row],[Sales]]/SalesData[[#This Row],[Quantity]]</f>
        <v>4.13</v>
      </c>
      <c r="N372" t="str">
        <f>IF(SalesData[[#This Row],[Profit]]&gt;0,"Profit","Loss")</f>
        <v>Profit</v>
      </c>
    </row>
    <row r="373" spans="1:14" x14ac:dyDescent="0.3">
      <c r="A373" t="s">
        <v>2978</v>
      </c>
      <c r="B373" s="3">
        <v>42805</v>
      </c>
      <c r="C373" t="s">
        <v>13</v>
      </c>
      <c r="D373" t="s">
        <v>14</v>
      </c>
      <c r="E373" t="s">
        <v>59</v>
      </c>
      <c r="F373" s="1">
        <v>41.37</v>
      </c>
      <c r="G373">
        <v>3</v>
      </c>
      <c r="H373" s="1">
        <v>17.375399999999999</v>
      </c>
      <c r="I373" s="4">
        <f>SalesData[[#This Row],[Profit]]/SalesData[[#This Row],[Sales]]</f>
        <v>0.42</v>
      </c>
      <c r="J373">
        <f>YEAR(SalesData[[#This Row],[Order Date]])</f>
        <v>2017</v>
      </c>
      <c r="K373" t="str">
        <f>TEXT(SalesData[[#This Row],[Order Date]],"mmm")</f>
        <v>Mar</v>
      </c>
      <c r="L373">
        <f>MONTH(SalesData[[#This Row],[Order Date]])</f>
        <v>3</v>
      </c>
      <c r="M373">
        <f>SalesData[[#This Row],[Sales]]/SalesData[[#This Row],[Quantity]]</f>
        <v>13.79</v>
      </c>
      <c r="N373" t="str">
        <f>IF(SalesData[[#This Row],[Profit]]&gt;0,"Profit","Loss")</f>
        <v>Profit</v>
      </c>
    </row>
    <row r="374" spans="1:14" x14ac:dyDescent="0.3">
      <c r="A374" t="s">
        <v>2979</v>
      </c>
      <c r="B374" s="3">
        <v>42805</v>
      </c>
      <c r="C374" t="s">
        <v>9</v>
      </c>
      <c r="D374" t="s">
        <v>21</v>
      </c>
      <c r="E374" t="s">
        <v>130</v>
      </c>
      <c r="F374" s="1">
        <v>8.56</v>
      </c>
      <c r="G374">
        <v>2</v>
      </c>
      <c r="H374" s="1">
        <v>3.8519999999999999</v>
      </c>
      <c r="I374" s="4">
        <f>SalesData[[#This Row],[Profit]]/SalesData[[#This Row],[Sales]]</f>
        <v>0.44999999999999996</v>
      </c>
      <c r="J374">
        <f>YEAR(SalesData[[#This Row],[Order Date]])</f>
        <v>2017</v>
      </c>
      <c r="K374" t="str">
        <f>TEXT(SalesData[[#This Row],[Order Date]],"mmm")</f>
        <v>Mar</v>
      </c>
      <c r="L374">
        <f>MONTH(SalesData[[#This Row],[Order Date]])</f>
        <v>3</v>
      </c>
      <c r="M374">
        <f>SalesData[[#This Row],[Sales]]/SalesData[[#This Row],[Quantity]]</f>
        <v>4.28</v>
      </c>
      <c r="N374" t="str">
        <f>IF(SalesData[[#This Row],[Profit]]&gt;0,"Profit","Loss")</f>
        <v>Profit</v>
      </c>
    </row>
    <row r="375" spans="1:14" x14ac:dyDescent="0.3">
      <c r="A375" t="s">
        <v>2979</v>
      </c>
      <c r="B375" s="3">
        <v>42805</v>
      </c>
      <c r="C375" t="s">
        <v>9</v>
      </c>
      <c r="D375" t="s">
        <v>21</v>
      </c>
      <c r="E375" t="s">
        <v>1225</v>
      </c>
      <c r="F375" s="1">
        <v>52.4</v>
      </c>
      <c r="G375">
        <v>5</v>
      </c>
      <c r="H375" s="1">
        <v>14.148</v>
      </c>
      <c r="I375" s="4">
        <f>SalesData[[#This Row],[Profit]]/SalesData[[#This Row],[Sales]]</f>
        <v>0.27</v>
      </c>
      <c r="J375">
        <f>YEAR(SalesData[[#This Row],[Order Date]])</f>
        <v>2017</v>
      </c>
      <c r="K375" t="str">
        <f>TEXT(SalesData[[#This Row],[Order Date]],"mmm")</f>
        <v>Mar</v>
      </c>
      <c r="L375">
        <f>MONTH(SalesData[[#This Row],[Order Date]])</f>
        <v>3</v>
      </c>
      <c r="M375">
        <f>SalesData[[#This Row],[Sales]]/SalesData[[#This Row],[Quantity]]</f>
        <v>10.48</v>
      </c>
      <c r="N375" t="str">
        <f>IF(SalesData[[#This Row],[Profit]]&gt;0,"Profit","Loss")</f>
        <v>Profit</v>
      </c>
    </row>
    <row r="376" spans="1:14" x14ac:dyDescent="0.3">
      <c r="A376" t="s">
        <v>2979</v>
      </c>
      <c r="B376" s="3">
        <v>42805</v>
      </c>
      <c r="C376" t="s">
        <v>9</v>
      </c>
      <c r="D376" t="s">
        <v>21</v>
      </c>
      <c r="E376" t="s">
        <v>85</v>
      </c>
      <c r="F376" s="1">
        <v>14.94</v>
      </c>
      <c r="G376">
        <v>3</v>
      </c>
      <c r="H376" s="1">
        <v>6.8723999999999998</v>
      </c>
      <c r="I376" s="4">
        <f>SalesData[[#This Row],[Profit]]/SalesData[[#This Row],[Sales]]</f>
        <v>0.46</v>
      </c>
      <c r="J376">
        <f>YEAR(SalesData[[#This Row],[Order Date]])</f>
        <v>2017</v>
      </c>
      <c r="K376" t="str">
        <f>TEXT(SalesData[[#This Row],[Order Date]],"mmm")</f>
        <v>Mar</v>
      </c>
      <c r="L376">
        <f>MONTH(SalesData[[#This Row],[Order Date]])</f>
        <v>3</v>
      </c>
      <c r="M376">
        <f>SalesData[[#This Row],[Sales]]/SalesData[[#This Row],[Quantity]]</f>
        <v>4.9799999999999995</v>
      </c>
      <c r="N376" t="str">
        <f>IF(SalesData[[#This Row],[Profit]]&gt;0,"Profit","Loss")</f>
        <v>Profit</v>
      </c>
    </row>
    <row r="377" spans="1:14" x14ac:dyDescent="0.3">
      <c r="A377" t="s">
        <v>2980</v>
      </c>
      <c r="B377" s="3">
        <v>42805</v>
      </c>
      <c r="C377" t="s">
        <v>17</v>
      </c>
      <c r="D377" t="s">
        <v>21</v>
      </c>
      <c r="E377" t="s">
        <v>2981</v>
      </c>
      <c r="F377" s="1">
        <v>11.673</v>
      </c>
      <c r="G377">
        <v>3</v>
      </c>
      <c r="H377" s="1">
        <v>-7.782</v>
      </c>
      <c r="I377" s="4">
        <f>SalesData[[#This Row],[Profit]]/SalesData[[#This Row],[Sales]]</f>
        <v>-0.66666666666666663</v>
      </c>
      <c r="J377">
        <f>YEAR(SalesData[[#This Row],[Order Date]])</f>
        <v>2017</v>
      </c>
      <c r="K377" t="str">
        <f>TEXT(SalesData[[#This Row],[Order Date]],"mmm")</f>
        <v>Mar</v>
      </c>
      <c r="L377">
        <f>MONTH(SalesData[[#This Row],[Order Date]])</f>
        <v>3</v>
      </c>
      <c r="M377">
        <f>SalesData[[#This Row],[Sales]]/SalesData[[#This Row],[Quantity]]</f>
        <v>3.891</v>
      </c>
      <c r="N377" t="str">
        <f>IF(SalesData[[#This Row],[Profit]]&gt;0,"Profit","Loss")</f>
        <v>Loss</v>
      </c>
    </row>
    <row r="378" spans="1:14" x14ac:dyDescent="0.3">
      <c r="A378" t="s">
        <v>2982</v>
      </c>
      <c r="B378" s="3">
        <v>42805</v>
      </c>
      <c r="C378" t="s">
        <v>13</v>
      </c>
      <c r="D378" t="s">
        <v>10</v>
      </c>
      <c r="E378" t="s">
        <v>1353</v>
      </c>
      <c r="F378" s="1">
        <v>43.5</v>
      </c>
      <c r="G378">
        <v>3</v>
      </c>
      <c r="H378" s="1">
        <v>10.875</v>
      </c>
      <c r="I378" s="4">
        <f>SalesData[[#This Row],[Profit]]/SalesData[[#This Row],[Sales]]</f>
        <v>0.25</v>
      </c>
      <c r="J378">
        <f>YEAR(SalesData[[#This Row],[Order Date]])</f>
        <v>2017</v>
      </c>
      <c r="K378" t="str">
        <f>TEXT(SalesData[[#This Row],[Order Date]],"mmm")</f>
        <v>Mar</v>
      </c>
      <c r="L378">
        <f>MONTH(SalesData[[#This Row],[Order Date]])</f>
        <v>3</v>
      </c>
      <c r="M378">
        <f>SalesData[[#This Row],[Sales]]/SalesData[[#This Row],[Quantity]]</f>
        <v>14.5</v>
      </c>
      <c r="N378" t="str">
        <f>IF(SalesData[[#This Row],[Profit]]&gt;0,"Profit","Loss")</f>
        <v>Profit</v>
      </c>
    </row>
    <row r="379" spans="1:14" x14ac:dyDescent="0.3">
      <c r="A379" t="s">
        <v>2983</v>
      </c>
      <c r="B379" s="3">
        <v>42805</v>
      </c>
      <c r="C379" t="s">
        <v>46</v>
      </c>
      <c r="D379" t="s">
        <v>21</v>
      </c>
      <c r="E379" t="s">
        <v>1564</v>
      </c>
      <c r="F379" s="1">
        <v>26.4</v>
      </c>
      <c r="G379">
        <v>5</v>
      </c>
      <c r="H379" s="1">
        <v>11.88</v>
      </c>
      <c r="I379" s="4">
        <f>SalesData[[#This Row],[Profit]]/SalesData[[#This Row],[Sales]]</f>
        <v>0.45000000000000007</v>
      </c>
      <c r="J379">
        <f>YEAR(SalesData[[#This Row],[Order Date]])</f>
        <v>2017</v>
      </c>
      <c r="K379" t="str">
        <f>TEXT(SalesData[[#This Row],[Order Date]],"mmm")</f>
        <v>Mar</v>
      </c>
      <c r="L379">
        <f>MONTH(SalesData[[#This Row],[Order Date]])</f>
        <v>3</v>
      </c>
      <c r="M379">
        <f>SalesData[[#This Row],[Sales]]/SalesData[[#This Row],[Quantity]]</f>
        <v>5.2799999999999994</v>
      </c>
      <c r="N379" t="str">
        <f>IF(SalesData[[#This Row],[Profit]]&gt;0,"Profit","Loss")</f>
        <v>Profit</v>
      </c>
    </row>
    <row r="380" spans="1:14" x14ac:dyDescent="0.3">
      <c r="A380" t="s">
        <v>2984</v>
      </c>
      <c r="B380" s="3">
        <v>42805</v>
      </c>
      <c r="C380" t="s">
        <v>13</v>
      </c>
      <c r="D380" t="s">
        <v>21</v>
      </c>
      <c r="E380" t="s">
        <v>2985</v>
      </c>
      <c r="F380" s="1">
        <v>35.880000000000003</v>
      </c>
      <c r="G380">
        <v>6</v>
      </c>
      <c r="H380" s="1">
        <v>17.581199999999999</v>
      </c>
      <c r="I380" s="4">
        <f>SalesData[[#This Row],[Profit]]/SalesData[[#This Row],[Sales]]</f>
        <v>0.48999999999999994</v>
      </c>
      <c r="J380">
        <f>YEAR(SalesData[[#This Row],[Order Date]])</f>
        <v>2017</v>
      </c>
      <c r="K380" t="str">
        <f>TEXT(SalesData[[#This Row],[Order Date]],"mmm")</f>
        <v>Mar</v>
      </c>
      <c r="L380">
        <f>MONTH(SalesData[[#This Row],[Order Date]])</f>
        <v>3</v>
      </c>
      <c r="M380">
        <f>SalesData[[#This Row],[Sales]]/SalesData[[#This Row],[Quantity]]</f>
        <v>5.98</v>
      </c>
      <c r="N380" t="str">
        <f>IF(SalesData[[#This Row],[Profit]]&gt;0,"Profit","Loss")</f>
        <v>Profit</v>
      </c>
    </row>
    <row r="381" spans="1:14" x14ac:dyDescent="0.3">
      <c r="A381" t="s">
        <v>2986</v>
      </c>
      <c r="B381" s="3">
        <v>42805</v>
      </c>
      <c r="C381" t="s">
        <v>46</v>
      </c>
      <c r="D381" t="s">
        <v>10</v>
      </c>
      <c r="E381" t="s">
        <v>790</v>
      </c>
      <c r="F381" s="1">
        <v>361.37599999999998</v>
      </c>
      <c r="G381">
        <v>2</v>
      </c>
      <c r="H381" s="1">
        <v>27.103200000000001</v>
      </c>
      <c r="I381" s="4">
        <f>SalesData[[#This Row],[Profit]]/SalesData[[#This Row],[Sales]]</f>
        <v>7.5000000000000011E-2</v>
      </c>
      <c r="J381">
        <f>YEAR(SalesData[[#This Row],[Order Date]])</f>
        <v>2017</v>
      </c>
      <c r="K381" t="str">
        <f>TEXT(SalesData[[#This Row],[Order Date]],"mmm")</f>
        <v>Mar</v>
      </c>
      <c r="L381">
        <f>MONTH(SalesData[[#This Row],[Order Date]])</f>
        <v>3</v>
      </c>
      <c r="M381">
        <f>SalesData[[#This Row],[Sales]]/SalesData[[#This Row],[Quantity]]</f>
        <v>180.68799999999999</v>
      </c>
      <c r="N381" t="str">
        <f>IF(SalesData[[#This Row],[Profit]]&gt;0,"Profit","Loss")</f>
        <v>Profit</v>
      </c>
    </row>
    <row r="382" spans="1:14" x14ac:dyDescent="0.3">
      <c r="A382" t="s">
        <v>2987</v>
      </c>
      <c r="B382" s="3">
        <v>42805</v>
      </c>
      <c r="C382" t="s">
        <v>17</v>
      </c>
      <c r="D382" t="s">
        <v>10</v>
      </c>
      <c r="E382" t="s">
        <v>1732</v>
      </c>
      <c r="F382" s="1">
        <v>40.776000000000003</v>
      </c>
      <c r="G382">
        <v>3</v>
      </c>
      <c r="H382" s="1">
        <v>0.50970000000000004</v>
      </c>
      <c r="I382" s="4">
        <f>SalesData[[#This Row],[Profit]]/SalesData[[#This Row],[Sales]]</f>
        <v>1.2500000000000001E-2</v>
      </c>
      <c r="J382">
        <f>YEAR(SalesData[[#This Row],[Order Date]])</f>
        <v>2017</v>
      </c>
      <c r="K382" t="str">
        <f>TEXT(SalesData[[#This Row],[Order Date]],"mmm")</f>
        <v>Mar</v>
      </c>
      <c r="L382">
        <f>MONTH(SalesData[[#This Row],[Order Date]])</f>
        <v>3</v>
      </c>
      <c r="M382">
        <f>SalesData[[#This Row],[Sales]]/SalesData[[#This Row],[Quantity]]</f>
        <v>13.592000000000001</v>
      </c>
      <c r="N382" t="str">
        <f>IF(SalesData[[#This Row],[Profit]]&gt;0,"Profit","Loss")</f>
        <v>Profit</v>
      </c>
    </row>
    <row r="383" spans="1:14" x14ac:dyDescent="0.3">
      <c r="A383" t="s">
        <v>2988</v>
      </c>
      <c r="B383" s="3">
        <v>42805</v>
      </c>
      <c r="C383" t="s">
        <v>13</v>
      </c>
      <c r="D383" t="s">
        <v>10</v>
      </c>
      <c r="E383" t="s">
        <v>1465</v>
      </c>
      <c r="F383" s="1">
        <v>199.75</v>
      </c>
      <c r="G383">
        <v>5</v>
      </c>
      <c r="H383" s="1">
        <v>87.89</v>
      </c>
      <c r="I383" s="4">
        <f>SalesData[[#This Row],[Profit]]/SalesData[[#This Row],[Sales]]</f>
        <v>0.44</v>
      </c>
      <c r="J383">
        <f>YEAR(SalesData[[#This Row],[Order Date]])</f>
        <v>2017</v>
      </c>
      <c r="K383" t="str">
        <f>TEXT(SalesData[[#This Row],[Order Date]],"mmm")</f>
        <v>Mar</v>
      </c>
      <c r="L383">
        <f>MONTH(SalesData[[#This Row],[Order Date]])</f>
        <v>3</v>
      </c>
      <c r="M383">
        <f>SalesData[[#This Row],[Sales]]/SalesData[[#This Row],[Quantity]]</f>
        <v>39.950000000000003</v>
      </c>
      <c r="N383" t="str">
        <f>IF(SalesData[[#This Row],[Profit]]&gt;0,"Profit","Loss")</f>
        <v>Profit</v>
      </c>
    </row>
    <row r="384" spans="1:14" x14ac:dyDescent="0.3">
      <c r="A384" t="s">
        <v>2988</v>
      </c>
      <c r="B384" s="3">
        <v>42805</v>
      </c>
      <c r="C384" t="s">
        <v>13</v>
      </c>
      <c r="D384" t="s">
        <v>14</v>
      </c>
      <c r="E384" t="s">
        <v>1475</v>
      </c>
      <c r="F384" s="1">
        <v>1673.184</v>
      </c>
      <c r="G384">
        <v>12</v>
      </c>
      <c r="H384" s="1">
        <v>20.9148</v>
      </c>
      <c r="I384" s="4">
        <f>SalesData[[#This Row],[Profit]]/SalesData[[#This Row],[Sales]]</f>
        <v>1.2500000000000001E-2</v>
      </c>
      <c r="J384">
        <f>YEAR(SalesData[[#This Row],[Order Date]])</f>
        <v>2017</v>
      </c>
      <c r="K384" t="str">
        <f>TEXT(SalesData[[#This Row],[Order Date]],"mmm")</f>
        <v>Mar</v>
      </c>
      <c r="L384">
        <f>MONTH(SalesData[[#This Row],[Order Date]])</f>
        <v>3</v>
      </c>
      <c r="M384">
        <f>SalesData[[#This Row],[Sales]]/SalesData[[#This Row],[Quantity]]</f>
        <v>139.43199999999999</v>
      </c>
      <c r="N384" t="str">
        <f>IF(SalesData[[#This Row],[Profit]]&gt;0,"Profit","Loss")</f>
        <v>Profit</v>
      </c>
    </row>
    <row r="385" spans="1:14" x14ac:dyDescent="0.3">
      <c r="A385" t="s">
        <v>2989</v>
      </c>
      <c r="B385" s="3">
        <v>42805</v>
      </c>
      <c r="C385" t="s">
        <v>46</v>
      </c>
      <c r="D385" t="s">
        <v>21</v>
      </c>
      <c r="E385" t="s">
        <v>2990</v>
      </c>
      <c r="F385" s="1">
        <v>16.271999999999998</v>
      </c>
      <c r="G385">
        <v>3</v>
      </c>
      <c r="H385" s="1">
        <v>5.2884000000000002</v>
      </c>
      <c r="I385" s="4">
        <f>SalesData[[#This Row],[Profit]]/SalesData[[#This Row],[Sales]]</f>
        <v>0.32500000000000007</v>
      </c>
      <c r="J385">
        <f>YEAR(SalesData[[#This Row],[Order Date]])</f>
        <v>2017</v>
      </c>
      <c r="K385" t="str">
        <f>TEXT(SalesData[[#This Row],[Order Date]],"mmm")</f>
        <v>Mar</v>
      </c>
      <c r="L385">
        <f>MONTH(SalesData[[#This Row],[Order Date]])</f>
        <v>3</v>
      </c>
      <c r="M385">
        <f>SalesData[[#This Row],[Sales]]/SalesData[[#This Row],[Quantity]]</f>
        <v>5.4239999999999995</v>
      </c>
      <c r="N385" t="str">
        <f>IF(SalesData[[#This Row],[Profit]]&gt;0,"Profit","Loss")</f>
        <v>Profit</v>
      </c>
    </row>
    <row r="386" spans="1:14" x14ac:dyDescent="0.3">
      <c r="A386" t="s">
        <v>2991</v>
      </c>
      <c r="B386" s="3">
        <v>42805</v>
      </c>
      <c r="C386" t="s">
        <v>13</v>
      </c>
      <c r="D386" t="s">
        <v>21</v>
      </c>
      <c r="E386" t="s">
        <v>1671</v>
      </c>
      <c r="F386" s="1">
        <v>18.367999999999999</v>
      </c>
      <c r="G386">
        <v>4</v>
      </c>
      <c r="H386" s="1">
        <v>5.9695999999999998</v>
      </c>
      <c r="I386" s="4">
        <f>SalesData[[#This Row],[Profit]]/SalesData[[#This Row],[Sales]]</f>
        <v>0.32500000000000001</v>
      </c>
      <c r="J386">
        <f>YEAR(SalesData[[#This Row],[Order Date]])</f>
        <v>2017</v>
      </c>
      <c r="K386" t="str">
        <f>TEXT(SalesData[[#This Row],[Order Date]],"mmm")</f>
        <v>Mar</v>
      </c>
      <c r="L386">
        <f>MONTH(SalesData[[#This Row],[Order Date]])</f>
        <v>3</v>
      </c>
      <c r="M386">
        <f>SalesData[[#This Row],[Sales]]/SalesData[[#This Row],[Quantity]]</f>
        <v>4.5919999999999996</v>
      </c>
      <c r="N386" t="str">
        <f>IF(SalesData[[#This Row],[Profit]]&gt;0,"Profit","Loss")</f>
        <v>Profit</v>
      </c>
    </row>
    <row r="387" spans="1:14" x14ac:dyDescent="0.3">
      <c r="A387" t="s">
        <v>2992</v>
      </c>
      <c r="B387" s="3">
        <v>42805</v>
      </c>
      <c r="C387" t="s">
        <v>13</v>
      </c>
      <c r="D387" t="s">
        <v>14</v>
      </c>
      <c r="E387" t="s">
        <v>648</v>
      </c>
      <c r="F387" s="1">
        <v>486.36799999999999</v>
      </c>
      <c r="G387">
        <v>4</v>
      </c>
      <c r="H387" s="1">
        <v>36.477600000000002</v>
      </c>
      <c r="I387" s="4">
        <f>SalesData[[#This Row],[Profit]]/SalesData[[#This Row],[Sales]]</f>
        <v>7.5000000000000011E-2</v>
      </c>
      <c r="J387">
        <f>YEAR(SalesData[[#This Row],[Order Date]])</f>
        <v>2017</v>
      </c>
      <c r="K387" t="str">
        <f>TEXT(SalesData[[#This Row],[Order Date]],"mmm")</f>
        <v>Mar</v>
      </c>
      <c r="L387">
        <f>MONTH(SalesData[[#This Row],[Order Date]])</f>
        <v>3</v>
      </c>
      <c r="M387">
        <f>SalesData[[#This Row],[Sales]]/SalesData[[#This Row],[Quantity]]</f>
        <v>121.592</v>
      </c>
      <c r="N387" t="str">
        <f>IF(SalesData[[#This Row],[Profit]]&gt;0,"Profit","Loss")</f>
        <v>Profit</v>
      </c>
    </row>
    <row r="388" spans="1:14" x14ac:dyDescent="0.3">
      <c r="A388" t="s">
        <v>2993</v>
      </c>
      <c r="B388" s="3">
        <v>42805</v>
      </c>
      <c r="C388" t="s">
        <v>46</v>
      </c>
      <c r="D388" t="s">
        <v>10</v>
      </c>
      <c r="E388" t="s">
        <v>2994</v>
      </c>
      <c r="F388" s="1">
        <v>959.98400000000004</v>
      </c>
      <c r="G388">
        <v>2</v>
      </c>
      <c r="H388" s="1">
        <v>311.9948</v>
      </c>
      <c r="I388" s="4">
        <f>SalesData[[#This Row],[Profit]]/SalesData[[#This Row],[Sales]]</f>
        <v>0.32500000000000001</v>
      </c>
      <c r="J388">
        <f>YEAR(SalesData[[#This Row],[Order Date]])</f>
        <v>2017</v>
      </c>
      <c r="K388" t="str">
        <f>TEXT(SalesData[[#This Row],[Order Date]],"mmm")</f>
        <v>Mar</v>
      </c>
      <c r="L388">
        <f>MONTH(SalesData[[#This Row],[Order Date]])</f>
        <v>3</v>
      </c>
      <c r="M388">
        <f>SalesData[[#This Row],[Sales]]/SalesData[[#This Row],[Quantity]]</f>
        <v>479.99200000000002</v>
      </c>
      <c r="N388" t="str">
        <f>IF(SalesData[[#This Row],[Profit]]&gt;0,"Profit","Loss")</f>
        <v>Profit</v>
      </c>
    </row>
    <row r="389" spans="1:14" x14ac:dyDescent="0.3">
      <c r="A389" t="s">
        <v>2993</v>
      </c>
      <c r="B389" s="3">
        <v>42805</v>
      </c>
      <c r="C389" t="s">
        <v>46</v>
      </c>
      <c r="D389" t="s">
        <v>21</v>
      </c>
      <c r="E389" t="s">
        <v>290</v>
      </c>
      <c r="F389" s="1">
        <v>4.0860000000000003</v>
      </c>
      <c r="G389">
        <v>2</v>
      </c>
      <c r="H389" s="1">
        <v>-2.9964</v>
      </c>
      <c r="I389" s="4">
        <f>SalesData[[#This Row],[Profit]]/SalesData[[#This Row],[Sales]]</f>
        <v>-0.73333333333333328</v>
      </c>
      <c r="J389">
        <f>YEAR(SalesData[[#This Row],[Order Date]])</f>
        <v>2017</v>
      </c>
      <c r="K389" t="str">
        <f>TEXT(SalesData[[#This Row],[Order Date]],"mmm")</f>
        <v>Mar</v>
      </c>
      <c r="L389">
        <f>MONTH(SalesData[[#This Row],[Order Date]])</f>
        <v>3</v>
      </c>
      <c r="M389">
        <f>SalesData[[#This Row],[Sales]]/SalesData[[#This Row],[Quantity]]</f>
        <v>2.0430000000000001</v>
      </c>
      <c r="N389" t="str">
        <f>IF(SalesData[[#This Row],[Profit]]&gt;0,"Profit","Loss")</f>
        <v>Loss</v>
      </c>
    </row>
    <row r="390" spans="1:14" x14ac:dyDescent="0.3">
      <c r="A390" t="s">
        <v>2993</v>
      </c>
      <c r="B390" s="3">
        <v>42805</v>
      </c>
      <c r="C390" t="s">
        <v>46</v>
      </c>
      <c r="D390" t="s">
        <v>21</v>
      </c>
      <c r="E390" t="s">
        <v>270</v>
      </c>
      <c r="F390" s="1">
        <v>55.984000000000002</v>
      </c>
      <c r="G390">
        <v>2</v>
      </c>
      <c r="H390" s="1">
        <v>4.1988000000000003</v>
      </c>
      <c r="I390" s="4">
        <f>SalesData[[#This Row],[Profit]]/SalesData[[#This Row],[Sales]]</f>
        <v>7.4999999999999997E-2</v>
      </c>
      <c r="J390">
        <f>YEAR(SalesData[[#This Row],[Order Date]])</f>
        <v>2017</v>
      </c>
      <c r="K390" t="str">
        <f>TEXT(SalesData[[#This Row],[Order Date]],"mmm")</f>
        <v>Mar</v>
      </c>
      <c r="L390">
        <f>MONTH(SalesData[[#This Row],[Order Date]])</f>
        <v>3</v>
      </c>
      <c r="M390">
        <f>SalesData[[#This Row],[Sales]]/SalesData[[#This Row],[Quantity]]</f>
        <v>27.992000000000001</v>
      </c>
      <c r="N390" t="str">
        <f>IF(SalesData[[#This Row],[Profit]]&gt;0,"Profit","Loss")</f>
        <v>Profit</v>
      </c>
    </row>
    <row r="391" spans="1:14" x14ac:dyDescent="0.3">
      <c r="A391" t="s">
        <v>2993</v>
      </c>
      <c r="B391" s="3">
        <v>42805</v>
      </c>
      <c r="C391" t="s">
        <v>46</v>
      </c>
      <c r="D391" t="s">
        <v>21</v>
      </c>
      <c r="E391" t="s">
        <v>2392</v>
      </c>
      <c r="F391" s="1">
        <v>10.688000000000001</v>
      </c>
      <c r="G391">
        <v>2</v>
      </c>
      <c r="H391" s="1">
        <v>3.7408000000000001</v>
      </c>
      <c r="I391" s="4">
        <f>SalesData[[#This Row],[Profit]]/SalesData[[#This Row],[Sales]]</f>
        <v>0.35</v>
      </c>
      <c r="J391">
        <f>YEAR(SalesData[[#This Row],[Order Date]])</f>
        <v>2017</v>
      </c>
      <c r="K391" t="str">
        <f>TEXT(SalesData[[#This Row],[Order Date]],"mmm")</f>
        <v>Mar</v>
      </c>
      <c r="L391">
        <f>MONTH(SalesData[[#This Row],[Order Date]])</f>
        <v>3</v>
      </c>
      <c r="M391">
        <f>SalesData[[#This Row],[Sales]]/SalesData[[#This Row],[Quantity]]</f>
        <v>5.3440000000000003</v>
      </c>
      <c r="N391" t="str">
        <f>IF(SalesData[[#This Row],[Profit]]&gt;0,"Profit","Loss")</f>
        <v>Profit</v>
      </c>
    </row>
    <row r="392" spans="1:14" x14ac:dyDescent="0.3">
      <c r="A392" t="s">
        <v>2995</v>
      </c>
      <c r="B392" s="3">
        <v>42806</v>
      </c>
      <c r="C392" t="s">
        <v>17</v>
      </c>
      <c r="D392" t="s">
        <v>21</v>
      </c>
      <c r="E392" t="s">
        <v>1181</v>
      </c>
      <c r="F392" s="1">
        <v>83.92</v>
      </c>
      <c r="G392">
        <v>5</v>
      </c>
      <c r="H392" s="1">
        <v>29.372</v>
      </c>
      <c r="I392" s="4">
        <f>SalesData[[#This Row],[Profit]]/SalesData[[#This Row],[Sales]]</f>
        <v>0.35</v>
      </c>
      <c r="J392">
        <f>YEAR(SalesData[[#This Row],[Order Date]])</f>
        <v>2017</v>
      </c>
      <c r="K392" t="str">
        <f>TEXT(SalesData[[#This Row],[Order Date]],"mmm")</f>
        <v>Mar</v>
      </c>
      <c r="L392">
        <f>MONTH(SalesData[[#This Row],[Order Date]])</f>
        <v>3</v>
      </c>
      <c r="M392">
        <f>SalesData[[#This Row],[Sales]]/SalesData[[#This Row],[Quantity]]</f>
        <v>16.783999999999999</v>
      </c>
      <c r="N392" t="str">
        <f>IF(SalesData[[#This Row],[Profit]]&gt;0,"Profit","Loss")</f>
        <v>Profit</v>
      </c>
    </row>
    <row r="393" spans="1:14" x14ac:dyDescent="0.3">
      <c r="A393" t="s">
        <v>2995</v>
      </c>
      <c r="B393" s="3">
        <v>42806</v>
      </c>
      <c r="C393" t="s">
        <v>17</v>
      </c>
      <c r="D393" t="s">
        <v>21</v>
      </c>
      <c r="E393" t="s">
        <v>1308</v>
      </c>
      <c r="F393" s="1">
        <v>14.624000000000001</v>
      </c>
      <c r="G393">
        <v>2</v>
      </c>
      <c r="H393" s="1">
        <v>5.1184000000000003</v>
      </c>
      <c r="I393" s="4">
        <f>SalesData[[#This Row],[Profit]]/SalesData[[#This Row],[Sales]]</f>
        <v>0.35000000000000003</v>
      </c>
      <c r="J393">
        <f>YEAR(SalesData[[#This Row],[Order Date]])</f>
        <v>2017</v>
      </c>
      <c r="K393" t="str">
        <f>TEXT(SalesData[[#This Row],[Order Date]],"mmm")</f>
        <v>Mar</v>
      </c>
      <c r="L393">
        <f>MONTH(SalesData[[#This Row],[Order Date]])</f>
        <v>3</v>
      </c>
      <c r="M393">
        <f>SalesData[[#This Row],[Sales]]/SalesData[[#This Row],[Quantity]]</f>
        <v>7.3120000000000003</v>
      </c>
      <c r="N393" t="str">
        <f>IF(SalesData[[#This Row],[Profit]]&gt;0,"Profit","Loss")</f>
        <v>Profit</v>
      </c>
    </row>
    <row r="394" spans="1:14" x14ac:dyDescent="0.3">
      <c r="A394" t="s">
        <v>2995</v>
      </c>
      <c r="B394" s="3">
        <v>42806</v>
      </c>
      <c r="C394" t="s">
        <v>17</v>
      </c>
      <c r="D394" t="s">
        <v>10</v>
      </c>
      <c r="E394" t="s">
        <v>975</v>
      </c>
      <c r="F394" s="1">
        <v>136.99</v>
      </c>
      <c r="G394">
        <v>1</v>
      </c>
      <c r="H394" s="1">
        <v>36.987299999999998</v>
      </c>
      <c r="I394" s="4">
        <f>SalesData[[#This Row],[Profit]]/SalesData[[#This Row],[Sales]]</f>
        <v>0.26999999999999996</v>
      </c>
      <c r="J394">
        <f>YEAR(SalesData[[#This Row],[Order Date]])</f>
        <v>2017</v>
      </c>
      <c r="K394" t="str">
        <f>TEXT(SalesData[[#This Row],[Order Date]],"mmm")</f>
        <v>Mar</v>
      </c>
      <c r="L394">
        <f>MONTH(SalesData[[#This Row],[Order Date]])</f>
        <v>3</v>
      </c>
      <c r="M394">
        <f>SalesData[[#This Row],[Sales]]/SalesData[[#This Row],[Quantity]]</f>
        <v>136.99</v>
      </c>
      <c r="N394" t="str">
        <f>IF(SalesData[[#This Row],[Profit]]&gt;0,"Profit","Loss")</f>
        <v>Profit</v>
      </c>
    </row>
    <row r="395" spans="1:14" x14ac:dyDescent="0.3">
      <c r="A395" t="s">
        <v>2995</v>
      </c>
      <c r="B395" s="3">
        <v>42806</v>
      </c>
      <c r="C395" t="s">
        <v>17</v>
      </c>
      <c r="D395" t="s">
        <v>21</v>
      </c>
      <c r="E395" t="s">
        <v>1833</v>
      </c>
      <c r="F395" s="1">
        <v>3.15</v>
      </c>
      <c r="G395">
        <v>1</v>
      </c>
      <c r="H395" s="1">
        <v>1.512</v>
      </c>
      <c r="I395" s="4">
        <f>SalesData[[#This Row],[Profit]]/SalesData[[#This Row],[Sales]]</f>
        <v>0.48000000000000004</v>
      </c>
      <c r="J395">
        <f>YEAR(SalesData[[#This Row],[Order Date]])</f>
        <v>2017</v>
      </c>
      <c r="K395" t="str">
        <f>TEXT(SalesData[[#This Row],[Order Date]],"mmm")</f>
        <v>Mar</v>
      </c>
      <c r="L395">
        <f>MONTH(SalesData[[#This Row],[Order Date]])</f>
        <v>3</v>
      </c>
      <c r="M395">
        <f>SalesData[[#This Row],[Sales]]/SalesData[[#This Row],[Quantity]]</f>
        <v>3.15</v>
      </c>
      <c r="N395" t="str">
        <f>IF(SalesData[[#This Row],[Profit]]&gt;0,"Profit","Loss")</f>
        <v>Profit</v>
      </c>
    </row>
    <row r="396" spans="1:14" x14ac:dyDescent="0.3">
      <c r="A396" t="s">
        <v>2996</v>
      </c>
      <c r="B396" s="3">
        <v>42806</v>
      </c>
      <c r="C396" t="s">
        <v>13</v>
      </c>
      <c r="D396" t="s">
        <v>21</v>
      </c>
      <c r="E396" t="s">
        <v>2997</v>
      </c>
      <c r="F396" s="1">
        <v>166.44</v>
      </c>
      <c r="G396">
        <v>3</v>
      </c>
      <c r="H396" s="1">
        <v>79.891199999999998</v>
      </c>
      <c r="I396" s="4">
        <f>SalesData[[#This Row],[Profit]]/SalesData[[#This Row],[Sales]]</f>
        <v>0.48</v>
      </c>
      <c r="J396">
        <f>YEAR(SalesData[[#This Row],[Order Date]])</f>
        <v>2017</v>
      </c>
      <c r="K396" t="str">
        <f>TEXT(SalesData[[#This Row],[Order Date]],"mmm")</f>
        <v>Mar</v>
      </c>
      <c r="L396">
        <f>MONTH(SalesData[[#This Row],[Order Date]])</f>
        <v>3</v>
      </c>
      <c r="M396">
        <f>SalesData[[#This Row],[Sales]]/SalesData[[#This Row],[Quantity]]</f>
        <v>55.48</v>
      </c>
      <c r="N396" t="str">
        <f>IF(SalesData[[#This Row],[Profit]]&gt;0,"Profit","Loss")</f>
        <v>Profit</v>
      </c>
    </row>
    <row r="397" spans="1:14" x14ac:dyDescent="0.3">
      <c r="A397" t="s">
        <v>2998</v>
      </c>
      <c r="B397" s="3">
        <v>42806</v>
      </c>
      <c r="C397" t="s">
        <v>46</v>
      </c>
      <c r="D397" t="s">
        <v>10</v>
      </c>
      <c r="E397" t="s">
        <v>2394</v>
      </c>
      <c r="F397" s="1">
        <v>47.991999999999997</v>
      </c>
      <c r="G397">
        <v>1</v>
      </c>
      <c r="H397" s="1">
        <v>7.1988000000000003</v>
      </c>
      <c r="I397" s="4">
        <f>SalesData[[#This Row],[Profit]]/SalesData[[#This Row],[Sales]]</f>
        <v>0.15000000000000002</v>
      </c>
      <c r="J397">
        <f>YEAR(SalesData[[#This Row],[Order Date]])</f>
        <v>2017</v>
      </c>
      <c r="K397" t="str">
        <f>TEXT(SalesData[[#This Row],[Order Date]],"mmm")</f>
        <v>Mar</v>
      </c>
      <c r="L397">
        <f>MONTH(SalesData[[#This Row],[Order Date]])</f>
        <v>3</v>
      </c>
      <c r="M397">
        <f>SalesData[[#This Row],[Sales]]/SalesData[[#This Row],[Quantity]]</f>
        <v>47.991999999999997</v>
      </c>
      <c r="N397" t="str">
        <f>IF(SalesData[[#This Row],[Profit]]&gt;0,"Profit","Loss")</f>
        <v>Profit</v>
      </c>
    </row>
    <row r="398" spans="1:14" x14ac:dyDescent="0.3">
      <c r="A398" t="s">
        <v>2999</v>
      </c>
      <c r="B398" s="3">
        <v>42806</v>
      </c>
      <c r="C398" t="s">
        <v>46</v>
      </c>
      <c r="D398" t="s">
        <v>21</v>
      </c>
      <c r="E398" t="s">
        <v>1872</v>
      </c>
      <c r="F398" s="1">
        <v>45.216000000000001</v>
      </c>
      <c r="G398">
        <v>3</v>
      </c>
      <c r="H398" s="1">
        <v>4.5216000000000003</v>
      </c>
      <c r="I398" s="4">
        <f>SalesData[[#This Row],[Profit]]/SalesData[[#This Row],[Sales]]</f>
        <v>0.1</v>
      </c>
      <c r="J398">
        <f>YEAR(SalesData[[#This Row],[Order Date]])</f>
        <v>2017</v>
      </c>
      <c r="K398" t="str">
        <f>TEXT(SalesData[[#This Row],[Order Date]],"mmm")</f>
        <v>Mar</v>
      </c>
      <c r="L398">
        <f>MONTH(SalesData[[#This Row],[Order Date]])</f>
        <v>3</v>
      </c>
      <c r="M398">
        <f>SalesData[[#This Row],[Sales]]/SalesData[[#This Row],[Quantity]]</f>
        <v>15.072000000000001</v>
      </c>
      <c r="N398" t="str">
        <f>IF(SalesData[[#This Row],[Profit]]&gt;0,"Profit","Loss")</f>
        <v>Profit</v>
      </c>
    </row>
    <row r="399" spans="1:14" x14ac:dyDescent="0.3">
      <c r="A399" t="s">
        <v>2999</v>
      </c>
      <c r="B399" s="3">
        <v>42806</v>
      </c>
      <c r="C399" t="s">
        <v>46</v>
      </c>
      <c r="D399" t="s">
        <v>21</v>
      </c>
      <c r="E399" t="s">
        <v>1110</v>
      </c>
      <c r="F399" s="1">
        <v>28.782</v>
      </c>
      <c r="G399">
        <v>6</v>
      </c>
      <c r="H399" s="1">
        <v>-21.1068</v>
      </c>
      <c r="I399" s="4">
        <f>SalesData[[#This Row],[Profit]]/SalesData[[#This Row],[Sales]]</f>
        <v>-0.73333333333333328</v>
      </c>
      <c r="J399">
        <f>YEAR(SalesData[[#This Row],[Order Date]])</f>
        <v>2017</v>
      </c>
      <c r="K399" t="str">
        <f>TEXT(SalesData[[#This Row],[Order Date]],"mmm")</f>
        <v>Mar</v>
      </c>
      <c r="L399">
        <f>MONTH(SalesData[[#This Row],[Order Date]])</f>
        <v>3</v>
      </c>
      <c r="M399">
        <f>SalesData[[#This Row],[Sales]]/SalesData[[#This Row],[Quantity]]</f>
        <v>4.7969999999999997</v>
      </c>
      <c r="N399" t="str">
        <f>IF(SalesData[[#This Row],[Profit]]&gt;0,"Profit","Loss")</f>
        <v>Loss</v>
      </c>
    </row>
    <row r="400" spans="1:14" x14ac:dyDescent="0.3">
      <c r="A400" t="s">
        <v>2999</v>
      </c>
      <c r="B400" s="3">
        <v>42806</v>
      </c>
      <c r="C400" t="s">
        <v>46</v>
      </c>
      <c r="D400" t="s">
        <v>21</v>
      </c>
      <c r="E400" t="s">
        <v>2012</v>
      </c>
      <c r="F400" s="1">
        <v>24.448</v>
      </c>
      <c r="G400">
        <v>4</v>
      </c>
      <c r="H400" s="1">
        <v>8.8623999999999992</v>
      </c>
      <c r="I400" s="4">
        <f>SalesData[[#This Row],[Profit]]/SalesData[[#This Row],[Sales]]</f>
        <v>0.36249999999999993</v>
      </c>
      <c r="J400">
        <f>YEAR(SalesData[[#This Row],[Order Date]])</f>
        <v>2017</v>
      </c>
      <c r="K400" t="str">
        <f>TEXT(SalesData[[#This Row],[Order Date]],"mmm")</f>
        <v>Mar</v>
      </c>
      <c r="L400">
        <f>MONTH(SalesData[[#This Row],[Order Date]])</f>
        <v>3</v>
      </c>
      <c r="M400">
        <f>SalesData[[#This Row],[Sales]]/SalesData[[#This Row],[Quantity]]</f>
        <v>6.1120000000000001</v>
      </c>
      <c r="N400" t="str">
        <f>IF(SalesData[[#This Row],[Profit]]&gt;0,"Profit","Loss")</f>
        <v>Profit</v>
      </c>
    </row>
    <row r="401" spans="1:14" x14ac:dyDescent="0.3">
      <c r="A401" t="s">
        <v>3000</v>
      </c>
      <c r="B401" s="3">
        <v>42806</v>
      </c>
      <c r="C401" t="s">
        <v>13</v>
      </c>
      <c r="D401" t="s">
        <v>14</v>
      </c>
      <c r="E401" t="s">
        <v>233</v>
      </c>
      <c r="F401" s="1">
        <v>521.96</v>
      </c>
      <c r="G401">
        <v>2</v>
      </c>
      <c r="H401" s="1">
        <v>88.733199999999997</v>
      </c>
      <c r="I401" s="4">
        <f>SalesData[[#This Row],[Profit]]/SalesData[[#This Row],[Sales]]</f>
        <v>0.16999999999999998</v>
      </c>
      <c r="J401">
        <f>YEAR(SalesData[[#This Row],[Order Date]])</f>
        <v>2017</v>
      </c>
      <c r="K401" t="str">
        <f>TEXT(SalesData[[#This Row],[Order Date]],"mmm")</f>
        <v>Mar</v>
      </c>
      <c r="L401">
        <f>MONTH(SalesData[[#This Row],[Order Date]])</f>
        <v>3</v>
      </c>
      <c r="M401">
        <f>SalesData[[#This Row],[Sales]]/SalesData[[#This Row],[Quantity]]</f>
        <v>260.98</v>
      </c>
      <c r="N401" t="str">
        <f>IF(SalesData[[#This Row],[Profit]]&gt;0,"Profit","Loss")</f>
        <v>Profit</v>
      </c>
    </row>
    <row r="402" spans="1:14" x14ac:dyDescent="0.3">
      <c r="A402" t="s">
        <v>3001</v>
      </c>
      <c r="B402" s="3">
        <v>42806</v>
      </c>
      <c r="C402" t="s">
        <v>9</v>
      </c>
      <c r="D402" t="s">
        <v>14</v>
      </c>
      <c r="E402" t="s">
        <v>1364</v>
      </c>
      <c r="F402" s="1">
        <v>13.592000000000001</v>
      </c>
      <c r="G402">
        <v>2</v>
      </c>
      <c r="H402" s="1">
        <v>-14.271599999999999</v>
      </c>
      <c r="I402" s="4">
        <f>SalesData[[#This Row],[Profit]]/SalesData[[#This Row],[Sales]]</f>
        <v>-1.0499999999999998</v>
      </c>
      <c r="J402">
        <f>YEAR(SalesData[[#This Row],[Order Date]])</f>
        <v>2017</v>
      </c>
      <c r="K402" t="str">
        <f>TEXT(SalesData[[#This Row],[Order Date]],"mmm")</f>
        <v>Mar</v>
      </c>
      <c r="L402">
        <f>MONTH(SalesData[[#This Row],[Order Date]])</f>
        <v>3</v>
      </c>
      <c r="M402">
        <f>SalesData[[#This Row],[Sales]]/SalesData[[#This Row],[Quantity]]</f>
        <v>6.7960000000000003</v>
      </c>
      <c r="N402" t="str">
        <f>IF(SalesData[[#This Row],[Profit]]&gt;0,"Profit","Loss")</f>
        <v>Loss</v>
      </c>
    </row>
    <row r="403" spans="1:14" x14ac:dyDescent="0.3">
      <c r="A403" t="s">
        <v>3002</v>
      </c>
      <c r="B403" s="3">
        <v>42806</v>
      </c>
      <c r="C403" t="s">
        <v>9</v>
      </c>
      <c r="D403" t="s">
        <v>21</v>
      </c>
      <c r="E403" t="s">
        <v>2751</v>
      </c>
      <c r="F403" s="1">
        <v>10.368</v>
      </c>
      <c r="G403">
        <v>2</v>
      </c>
      <c r="H403" s="1">
        <v>3.6288</v>
      </c>
      <c r="I403" s="4">
        <f>SalesData[[#This Row],[Profit]]/SalesData[[#This Row],[Sales]]</f>
        <v>0.35</v>
      </c>
      <c r="J403">
        <f>YEAR(SalesData[[#This Row],[Order Date]])</f>
        <v>2017</v>
      </c>
      <c r="K403" t="str">
        <f>TEXT(SalesData[[#This Row],[Order Date]],"mmm")</f>
        <v>Mar</v>
      </c>
      <c r="L403">
        <f>MONTH(SalesData[[#This Row],[Order Date]])</f>
        <v>3</v>
      </c>
      <c r="M403">
        <f>SalesData[[#This Row],[Sales]]/SalesData[[#This Row],[Quantity]]</f>
        <v>5.1840000000000002</v>
      </c>
      <c r="N403" t="str">
        <f>IF(SalesData[[#This Row],[Profit]]&gt;0,"Profit","Loss")</f>
        <v>Profit</v>
      </c>
    </row>
    <row r="404" spans="1:14" x14ac:dyDescent="0.3">
      <c r="A404" t="s">
        <v>3003</v>
      </c>
      <c r="B404" s="3">
        <v>42806</v>
      </c>
      <c r="C404" t="s">
        <v>13</v>
      </c>
      <c r="D404" t="s">
        <v>21</v>
      </c>
      <c r="E404" t="s">
        <v>1563</v>
      </c>
      <c r="F404" s="1">
        <v>13.343999999999999</v>
      </c>
      <c r="G404">
        <v>6</v>
      </c>
      <c r="H404" s="1">
        <v>1.0007999999999999</v>
      </c>
      <c r="I404" s="4">
        <f>SalesData[[#This Row],[Profit]]/SalesData[[#This Row],[Sales]]</f>
        <v>7.4999999999999997E-2</v>
      </c>
      <c r="J404">
        <f>YEAR(SalesData[[#This Row],[Order Date]])</f>
        <v>2017</v>
      </c>
      <c r="K404" t="str">
        <f>TEXT(SalesData[[#This Row],[Order Date]],"mmm")</f>
        <v>Mar</v>
      </c>
      <c r="L404">
        <f>MONTH(SalesData[[#This Row],[Order Date]])</f>
        <v>3</v>
      </c>
      <c r="M404">
        <f>SalesData[[#This Row],[Sales]]/SalesData[[#This Row],[Quantity]]</f>
        <v>2.2239999999999998</v>
      </c>
      <c r="N404" t="str">
        <f>IF(SalesData[[#This Row],[Profit]]&gt;0,"Profit","Loss")</f>
        <v>Profit</v>
      </c>
    </row>
    <row r="405" spans="1:14" x14ac:dyDescent="0.3">
      <c r="A405" t="s">
        <v>3003</v>
      </c>
      <c r="B405" s="3">
        <v>42806</v>
      </c>
      <c r="C405" t="s">
        <v>13</v>
      </c>
      <c r="D405" t="s">
        <v>10</v>
      </c>
      <c r="E405" t="s">
        <v>3004</v>
      </c>
      <c r="F405" s="1">
        <v>76.751999999999995</v>
      </c>
      <c r="G405">
        <v>6</v>
      </c>
      <c r="H405" s="1">
        <v>10.5534</v>
      </c>
      <c r="I405" s="4">
        <f>SalesData[[#This Row],[Profit]]/SalesData[[#This Row],[Sales]]</f>
        <v>0.13750000000000001</v>
      </c>
      <c r="J405">
        <f>YEAR(SalesData[[#This Row],[Order Date]])</f>
        <v>2017</v>
      </c>
      <c r="K405" t="str">
        <f>TEXT(SalesData[[#This Row],[Order Date]],"mmm")</f>
        <v>Mar</v>
      </c>
      <c r="L405">
        <f>MONTH(SalesData[[#This Row],[Order Date]])</f>
        <v>3</v>
      </c>
      <c r="M405">
        <f>SalesData[[#This Row],[Sales]]/SalesData[[#This Row],[Quantity]]</f>
        <v>12.792</v>
      </c>
      <c r="N405" t="str">
        <f>IF(SalesData[[#This Row],[Profit]]&gt;0,"Profit","Loss")</f>
        <v>Profit</v>
      </c>
    </row>
    <row r="406" spans="1:14" x14ac:dyDescent="0.3">
      <c r="A406" t="s">
        <v>3003</v>
      </c>
      <c r="B406" s="3">
        <v>42806</v>
      </c>
      <c r="C406" t="s">
        <v>13</v>
      </c>
      <c r="D406" t="s">
        <v>10</v>
      </c>
      <c r="E406" t="s">
        <v>3004</v>
      </c>
      <c r="F406" s="1">
        <v>102.336</v>
      </c>
      <c r="G406">
        <v>8</v>
      </c>
      <c r="H406" s="1">
        <v>14.071199999999999</v>
      </c>
      <c r="I406" s="4">
        <f>SalesData[[#This Row],[Profit]]/SalesData[[#This Row],[Sales]]</f>
        <v>0.13749999999999998</v>
      </c>
      <c r="J406">
        <f>YEAR(SalesData[[#This Row],[Order Date]])</f>
        <v>2017</v>
      </c>
      <c r="K406" t="str">
        <f>TEXT(SalesData[[#This Row],[Order Date]],"mmm")</f>
        <v>Mar</v>
      </c>
      <c r="L406">
        <f>MONTH(SalesData[[#This Row],[Order Date]])</f>
        <v>3</v>
      </c>
      <c r="M406">
        <f>SalesData[[#This Row],[Sales]]/SalesData[[#This Row],[Quantity]]</f>
        <v>12.792</v>
      </c>
      <c r="N406" t="str">
        <f>IF(SalesData[[#This Row],[Profit]]&gt;0,"Profit","Loss")</f>
        <v>Profit</v>
      </c>
    </row>
    <row r="407" spans="1:14" x14ac:dyDescent="0.3">
      <c r="A407" t="s">
        <v>3003</v>
      </c>
      <c r="B407" s="3">
        <v>42806</v>
      </c>
      <c r="C407" t="s">
        <v>13</v>
      </c>
      <c r="D407" t="s">
        <v>21</v>
      </c>
      <c r="E407" t="s">
        <v>2052</v>
      </c>
      <c r="F407" s="1">
        <v>10.32</v>
      </c>
      <c r="G407">
        <v>2</v>
      </c>
      <c r="H407" s="1">
        <v>3.7410000000000001</v>
      </c>
      <c r="I407" s="4">
        <f>SalesData[[#This Row],[Profit]]/SalesData[[#This Row],[Sales]]</f>
        <v>0.36249999999999999</v>
      </c>
      <c r="J407">
        <f>YEAR(SalesData[[#This Row],[Order Date]])</f>
        <v>2017</v>
      </c>
      <c r="K407" t="str">
        <f>TEXT(SalesData[[#This Row],[Order Date]],"mmm")</f>
        <v>Mar</v>
      </c>
      <c r="L407">
        <f>MONTH(SalesData[[#This Row],[Order Date]])</f>
        <v>3</v>
      </c>
      <c r="M407">
        <f>SalesData[[#This Row],[Sales]]/SalesData[[#This Row],[Quantity]]</f>
        <v>5.16</v>
      </c>
      <c r="N407" t="str">
        <f>IF(SalesData[[#This Row],[Profit]]&gt;0,"Profit","Loss")</f>
        <v>Profit</v>
      </c>
    </row>
    <row r="408" spans="1:14" x14ac:dyDescent="0.3">
      <c r="A408" t="s">
        <v>3003</v>
      </c>
      <c r="B408" s="3">
        <v>42806</v>
      </c>
      <c r="C408" t="s">
        <v>13</v>
      </c>
      <c r="D408" t="s">
        <v>21</v>
      </c>
      <c r="E408" t="s">
        <v>2018</v>
      </c>
      <c r="F408" s="1">
        <v>47.32</v>
      </c>
      <c r="G408">
        <v>7</v>
      </c>
      <c r="H408" s="1">
        <v>5.915</v>
      </c>
      <c r="I408" s="4">
        <f>SalesData[[#This Row],[Profit]]/SalesData[[#This Row],[Sales]]</f>
        <v>0.125</v>
      </c>
      <c r="J408">
        <f>YEAR(SalesData[[#This Row],[Order Date]])</f>
        <v>2017</v>
      </c>
      <c r="K408" t="str">
        <f>TEXT(SalesData[[#This Row],[Order Date]],"mmm")</f>
        <v>Mar</v>
      </c>
      <c r="L408">
        <f>MONTH(SalesData[[#This Row],[Order Date]])</f>
        <v>3</v>
      </c>
      <c r="M408">
        <f>SalesData[[#This Row],[Sales]]/SalesData[[#This Row],[Quantity]]</f>
        <v>6.76</v>
      </c>
      <c r="N408" t="str">
        <f>IF(SalesData[[#This Row],[Profit]]&gt;0,"Profit","Loss")</f>
        <v>Profit</v>
      </c>
    </row>
    <row r="409" spans="1:14" x14ac:dyDescent="0.3">
      <c r="A409" t="s">
        <v>3003</v>
      </c>
      <c r="B409" s="3">
        <v>42806</v>
      </c>
      <c r="C409" t="s">
        <v>13</v>
      </c>
      <c r="D409" t="s">
        <v>14</v>
      </c>
      <c r="E409" t="s">
        <v>1278</v>
      </c>
      <c r="F409" s="1">
        <v>23.376000000000001</v>
      </c>
      <c r="G409">
        <v>3</v>
      </c>
      <c r="H409" s="1">
        <v>7.0128000000000004</v>
      </c>
      <c r="I409" s="4">
        <f>SalesData[[#This Row],[Profit]]/SalesData[[#This Row],[Sales]]</f>
        <v>0.3</v>
      </c>
      <c r="J409">
        <f>YEAR(SalesData[[#This Row],[Order Date]])</f>
        <v>2017</v>
      </c>
      <c r="K409" t="str">
        <f>TEXT(SalesData[[#This Row],[Order Date]],"mmm")</f>
        <v>Mar</v>
      </c>
      <c r="L409">
        <f>MONTH(SalesData[[#This Row],[Order Date]])</f>
        <v>3</v>
      </c>
      <c r="M409">
        <f>SalesData[[#This Row],[Sales]]/SalesData[[#This Row],[Quantity]]</f>
        <v>7.7920000000000007</v>
      </c>
      <c r="N409" t="str">
        <f>IF(SalesData[[#This Row],[Profit]]&gt;0,"Profit","Loss")</f>
        <v>Profit</v>
      </c>
    </row>
    <row r="410" spans="1:14" x14ac:dyDescent="0.3">
      <c r="A410" t="s">
        <v>3003</v>
      </c>
      <c r="B410" s="3">
        <v>42806</v>
      </c>
      <c r="C410" t="s">
        <v>13</v>
      </c>
      <c r="D410" t="s">
        <v>14</v>
      </c>
      <c r="E410" t="s">
        <v>1047</v>
      </c>
      <c r="F410" s="1">
        <v>16.72</v>
      </c>
      <c r="G410">
        <v>5</v>
      </c>
      <c r="H410" s="1">
        <v>3.3439999999999999</v>
      </c>
      <c r="I410" s="4">
        <f>SalesData[[#This Row],[Profit]]/SalesData[[#This Row],[Sales]]</f>
        <v>0.2</v>
      </c>
      <c r="J410">
        <f>YEAR(SalesData[[#This Row],[Order Date]])</f>
        <v>2017</v>
      </c>
      <c r="K410" t="str">
        <f>TEXT(SalesData[[#This Row],[Order Date]],"mmm")</f>
        <v>Mar</v>
      </c>
      <c r="L410">
        <f>MONTH(SalesData[[#This Row],[Order Date]])</f>
        <v>3</v>
      </c>
      <c r="M410">
        <f>SalesData[[#This Row],[Sales]]/SalesData[[#This Row],[Quantity]]</f>
        <v>3.3439999999999999</v>
      </c>
      <c r="N410" t="str">
        <f>IF(SalesData[[#This Row],[Profit]]&gt;0,"Profit","Loss")</f>
        <v>Profit</v>
      </c>
    </row>
    <row r="411" spans="1:14" x14ac:dyDescent="0.3">
      <c r="A411" t="s">
        <v>3003</v>
      </c>
      <c r="B411" s="3">
        <v>42806</v>
      </c>
      <c r="C411" t="s">
        <v>13</v>
      </c>
      <c r="D411" t="s">
        <v>14</v>
      </c>
      <c r="E411" t="s">
        <v>3005</v>
      </c>
      <c r="F411" s="1">
        <v>16.192</v>
      </c>
      <c r="G411">
        <v>1</v>
      </c>
      <c r="H411" s="1">
        <v>4.6551999999999998</v>
      </c>
      <c r="I411" s="4">
        <f>SalesData[[#This Row],[Profit]]/SalesData[[#This Row],[Sales]]</f>
        <v>0.28749999999999998</v>
      </c>
      <c r="J411">
        <f>YEAR(SalesData[[#This Row],[Order Date]])</f>
        <v>2017</v>
      </c>
      <c r="K411" t="str">
        <f>TEXT(SalesData[[#This Row],[Order Date]],"mmm")</f>
        <v>Mar</v>
      </c>
      <c r="L411">
        <f>MONTH(SalesData[[#This Row],[Order Date]])</f>
        <v>3</v>
      </c>
      <c r="M411">
        <f>SalesData[[#This Row],[Sales]]/SalesData[[#This Row],[Quantity]]</f>
        <v>16.192</v>
      </c>
      <c r="N411" t="str">
        <f>IF(SalesData[[#This Row],[Profit]]&gt;0,"Profit","Loss")</f>
        <v>Profit</v>
      </c>
    </row>
    <row r="412" spans="1:14" x14ac:dyDescent="0.3">
      <c r="A412" t="s">
        <v>3006</v>
      </c>
      <c r="B412" s="3">
        <v>42827</v>
      </c>
      <c r="C412" t="s">
        <v>17</v>
      </c>
      <c r="D412" t="s">
        <v>21</v>
      </c>
      <c r="E412" t="s">
        <v>142</v>
      </c>
      <c r="F412" s="1">
        <v>32.67</v>
      </c>
      <c r="G412">
        <v>3</v>
      </c>
      <c r="H412" s="1">
        <v>8.4941999999999993</v>
      </c>
      <c r="I412" s="4">
        <f>SalesData[[#This Row],[Profit]]/SalesData[[#This Row],[Sales]]</f>
        <v>0.25999999999999995</v>
      </c>
      <c r="J412">
        <f>YEAR(SalesData[[#This Row],[Order Date]])</f>
        <v>2017</v>
      </c>
      <c r="K412" t="str">
        <f>TEXT(SalesData[[#This Row],[Order Date]],"mmm")</f>
        <v>Apr</v>
      </c>
      <c r="L412">
        <f>MONTH(SalesData[[#This Row],[Order Date]])</f>
        <v>4</v>
      </c>
      <c r="M412">
        <f>SalesData[[#This Row],[Sales]]/SalesData[[#This Row],[Quantity]]</f>
        <v>10.89</v>
      </c>
      <c r="N412" t="str">
        <f>IF(SalesData[[#This Row],[Profit]]&gt;0,"Profit","Loss")</f>
        <v>Profit</v>
      </c>
    </row>
    <row r="413" spans="1:14" x14ac:dyDescent="0.3">
      <c r="A413" t="s">
        <v>3007</v>
      </c>
      <c r="B413" s="3">
        <v>42828</v>
      </c>
      <c r="C413" t="s">
        <v>13</v>
      </c>
      <c r="D413" t="s">
        <v>21</v>
      </c>
      <c r="E413" t="s">
        <v>1581</v>
      </c>
      <c r="F413" s="1">
        <v>9.32</v>
      </c>
      <c r="G413">
        <v>4</v>
      </c>
      <c r="H413" s="1">
        <v>2.7027999999999999</v>
      </c>
      <c r="I413" s="4">
        <f>SalesData[[#This Row],[Profit]]/SalesData[[#This Row],[Sales]]</f>
        <v>0.28999999999999998</v>
      </c>
      <c r="J413">
        <f>YEAR(SalesData[[#This Row],[Order Date]])</f>
        <v>2017</v>
      </c>
      <c r="K413" t="str">
        <f>TEXT(SalesData[[#This Row],[Order Date]],"mmm")</f>
        <v>Apr</v>
      </c>
      <c r="L413">
        <f>MONTH(SalesData[[#This Row],[Order Date]])</f>
        <v>4</v>
      </c>
      <c r="M413">
        <f>SalesData[[#This Row],[Sales]]/SalesData[[#This Row],[Quantity]]</f>
        <v>2.33</v>
      </c>
      <c r="N413" t="str">
        <f>IF(SalesData[[#This Row],[Profit]]&gt;0,"Profit","Loss")</f>
        <v>Profit</v>
      </c>
    </row>
    <row r="414" spans="1:14" x14ac:dyDescent="0.3">
      <c r="A414" t="s">
        <v>3007</v>
      </c>
      <c r="B414" s="3">
        <v>42828</v>
      </c>
      <c r="C414" t="s">
        <v>13</v>
      </c>
      <c r="D414" t="s">
        <v>21</v>
      </c>
      <c r="E414" t="s">
        <v>1515</v>
      </c>
      <c r="F414" s="1">
        <v>15.25</v>
      </c>
      <c r="G414">
        <v>1</v>
      </c>
      <c r="H414" s="1">
        <v>7.0149999999999997</v>
      </c>
      <c r="I414" s="4">
        <f>SalesData[[#This Row],[Profit]]/SalesData[[#This Row],[Sales]]</f>
        <v>0.45999999999999996</v>
      </c>
      <c r="J414">
        <f>YEAR(SalesData[[#This Row],[Order Date]])</f>
        <v>2017</v>
      </c>
      <c r="K414" t="str">
        <f>TEXT(SalesData[[#This Row],[Order Date]],"mmm")</f>
        <v>Apr</v>
      </c>
      <c r="L414">
        <f>MONTH(SalesData[[#This Row],[Order Date]])</f>
        <v>4</v>
      </c>
      <c r="M414">
        <f>SalesData[[#This Row],[Sales]]/SalesData[[#This Row],[Quantity]]</f>
        <v>15.25</v>
      </c>
      <c r="N414" t="str">
        <f>IF(SalesData[[#This Row],[Profit]]&gt;0,"Profit","Loss")</f>
        <v>Profit</v>
      </c>
    </row>
    <row r="415" spans="1:14" x14ac:dyDescent="0.3">
      <c r="A415" t="s">
        <v>3008</v>
      </c>
      <c r="B415" s="3">
        <v>42828</v>
      </c>
      <c r="C415" t="s">
        <v>9</v>
      </c>
      <c r="D415" t="s">
        <v>21</v>
      </c>
      <c r="E415" t="s">
        <v>97</v>
      </c>
      <c r="F415" s="1">
        <v>89.567999999999998</v>
      </c>
      <c r="G415">
        <v>2</v>
      </c>
      <c r="H415" s="1">
        <v>32.468400000000003</v>
      </c>
      <c r="I415" s="4">
        <f>SalesData[[#This Row],[Profit]]/SalesData[[#This Row],[Sales]]</f>
        <v>0.36250000000000004</v>
      </c>
      <c r="J415">
        <f>YEAR(SalesData[[#This Row],[Order Date]])</f>
        <v>2017</v>
      </c>
      <c r="K415" t="str">
        <f>TEXT(SalesData[[#This Row],[Order Date]],"mmm")</f>
        <v>Apr</v>
      </c>
      <c r="L415">
        <f>MONTH(SalesData[[#This Row],[Order Date]])</f>
        <v>4</v>
      </c>
      <c r="M415">
        <f>SalesData[[#This Row],[Sales]]/SalesData[[#This Row],[Quantity]]</f>
        <v>44.783999999999999</v>
      </c>
      <c r="N415" t="str">
        <f>IF(SalesData[[#This Row],[Profit]]&gt;0,"Profit","Loss")</f>
        <v>Profit</v>
      </c>
    </row>
    <row r="416" spans="1:14" x14ac:dyDescent="0.3">
      <c r="A416" t="s">
        <v>3009</v>
      </c>
      <c r="B416" s="3">
        <v>42828</v>
      </c>
      <c r="C416" t="s">
        <v>9</v>
      </c>
      <c r="D416" t="s">
        <v>14</v>
      </c>
      <c r="E416" t="s">
        <v>1761</v>
      </c>
      <c r="F416" s="1">
        <v>103.5</v>
      </c>
      <c r="G416">
        <v>5</v>
      </c>
      <c r="H416" s="1">
        <v>-77.625</v>
      </c>
      <c r="I416" s="4">
        <f>SalesData[[#This Row],[Profit]]/SalesData[[#This Row],[Sales]]</f>
        <v>-0.75</v>
      </c>
      <c r="J416">
        <f>YEAR(SalesData[[#This Row],[Order Date]])</f>
        <v>2017</v>
      </c>
      <c r="K416" t="str">
        <f>TEXT(SalesData[[#This Row],[Order Date]],"mmm")</f>
        <v>Apr</v>
      </c>
      <c r="L416">
        <f>MONTH(SalesData[[#This Row],[Order Date]])</f>
        <v>4</v>
      </c>
      <c r="M416">
        <f>SalesData[[#This Row],[Sales]]/SalesData[[#This Row],[Quantity]]</f>
        <v>20.7</v>
      </c>
      <c r="N416" t="str">
        <f>IF(SalesData[[#This Row],[Profit]]&gt;0,"Profit","Loss")</f>
        <v>Loss</v>
      </c>
    </row>
    <row r="417" spans="1:14" x14ac:dyDescent="0.3">
      <c r="A417" t="s">
        <v>3009</v>
      </c>
      <c r="B417" s="3">
        <v>42828</v>
      </c>
      <c r="C417" t="s">
        <v>9</v>
      </c>
      <c r="D417" t="s">
        <v>21</v>
      </c>
      <c r="E417" t="s">
        <v>3010</v>
      </c>
      <c r="F417" s="1">
        <v>2.464</v>
      </c>
      <c r="G417">
        <v>1</v>
      </c>
      <c r="H417" s="1">
        <v>0.86240000000000006</v>
      </c>
      <c r="I417" s="4">
        <f>SalesData[[#This Row],[Profit]]/SalesData[[#This Row],[Sales]]</f>
        <v>0.35000000000000003</v>
      </c>
      <c r="J417">
        <f>YEAR(SalesData[[#This Row],[Order Date]])</f>
        <v>2017</v>
      </c>
      <c r="K417" t="str">
        <f>TEXT(SalesData[[#This Row],[Order Date]],"mmm")</f>
        <v>Apr</v>
      </c>
      <c r="L417">
        <f>MONTH(SalesData[[#This Row],[Order Date]])</f>
        <v>4</v>
      </c>
      <c r="M417">
        <f>SalesData[[#This Row],[Sales]]/SalesData[[#This Row],[Quantity]]</f>
        <v>2.464</v>
      </c>
      <c r="N417" t="str">
        <f>IF(SalesData[[#This Row],[Profit]]&gt;0,"Profit","Loss")</f>
        <v>Profit</v>
      </c>
    </row>
    <row r="418" spans="1:14" x14ac:dyDescent="0.3">
      <c r="A418" t="s">
        <v>3009</v>
      </c>
      <c r="B418" s="3">
        <v>42828</v>
      </c>
      <c r="C418" t="s">
        <v>9</v>
      </c>
      <c r="D418" t="s">
        <v>21</v>
      </c>
      <c r="E418" t="s">
        <v>2046</v>
      </c>
      <c r="F418" s="1">
        <v>8.7200000000000006</v>
      </c>
      <c r="G418">
        <v>1</v>
      </c>
      <c r="H418" s="1">
        <v>0.65400000000000003</v>
      </c>
      <c r="I418" s="4">
        <f>SalesData[[#This Row],[Profit]]/SalesData[[#This Row],[Sales]]</f>
        <v>7.4999999999999997E-2</v>
      </c>
      <c r="J418">
        <f>YEAR(SalesData[[#This Row],[Order Date]])</f>
        <v>2017</v>
      </c>
      <c r="K418" t="str">
        <f>TEXT(SalesData[[#This Row],[Order Date]],"mmm")</f>
        <v>Apr</v>
      </c>
      <c r="L418">
        <f>MONTH(SalesData[[#This Row],[Order Date]])</f>
        <v>4</v>
      </c>
      <c r="M418">
        <f>SalesData[[#This Row],[Sales]]/SalesData[[#This Row],[Quantity]]</f>
        <v>8.7200000000000006</v>
      </c>
      <c r="N418" t="str">
        <f>IF(SalesData[[#This Row],[Profit]]&gt;0,"Profit","Loss")</f>
        <v>Profit</v>
      </c>
    </row>
    <row r="419" spans="1:14" x14ac:dyDescent="0.3">
      <c r="A419" t="s">
        <v>3011</v>
      </c>
      <c r="B419" s="3">
        <v>42829</v>
      </c>
      <c r="C419" t="s">
        <v>9</v>
      </c>
      <c r="D419" t="s">
        <v>10</v>
      </c>
      <c r="E419" t="s">
        <v>2409</v>
      </c>
      <c r="F419" s="1">
        <v>383.84</v>
      </c>
      <c r="G419">
        <v>4</v>
      </c>
      <c r="H419" s="1">
        <v>47.98</v>
      </c>
      <c r="I419" s="4">
        <f>SalesData[[#This Row],[Profit]]/SalesData[[#This Row],[Sales]]</f>
        <v>0.125</v>
      </c>
      <c r="J419">
        <f>YEAR(SalesData[[#This Row],[Order Date]])</f>
        <v>2017</v>
      </c>
      <c r="K419" t="str">
        <f>TEXT(SalesData[[#This Row],[Order Date]],"mmm")</f>
        <v>Apr</v>
      </c>
      <c r="L419">
        <f>MONTH(SalesData[[#This Row],[Order Date]])</f>
        <v>4</v>
      </c>
      <c r="M419">
        <f>SalesData[[#This Row],[Sales]]/SalesData[[#This Row],[Quantity]]</f>
        <v>95.96</v>
      </c>
      <c r="N419" t="str">
        <f>IF(SalesData[[#This Row],[Profit]]&gt;0,"Profit","Loss")</f>
        <v>Profit</v>
      </c>
    </row>
    <row r="420" spans="1:14" x14ac:dyDescent="0.3">
      <c r="A420" t="s">
        <v>3012</v>
      </c>
      <c r="B420" s="3">
        <v>42829</v>
      </c>
      <c r="C420" t="s">
        <v>17</v>
      </c>
      <c r="D420" t="s">
        <v>10</v>
      </c>
      <c r="E420" t="s">
        <v>3013</v>
      </c>
      <c r="F420" s="1">
        <v>41.22</v>
      </c>
      <c r="G420">
        <v>1</v>
      </c>
      <c r="H420" s="1">
        <v>11.1294</v>
      </c>
      <c r="I420" s="4">
        <f>SalesData[[#This Row],[Profit]]/SalesData[[#This Row],[Sales]]</f>
        <v>0.27</v>
      </c>
      <c r="J420">
        <f>YEAR(SalesData[[#This Row],[Order Date]])</f>
        <v>2017</v>
      </c>
      <c r="K420" t="str">
        <f>TEXT(SalesData[[#This Row],[Order Date]],"mmm")</f>
        <v>Apr</v>
      </c>
      <c r="L420">
        <f>MONTH(SalesData[[#This Row],[Order Date]])</f>
        <v>4</v>
      </c>
      <c r="M420">
        <f>SalesData[[#This Row],[Sales]]/SalesData[[#This Row],[Quantity]]</f>
        <v>41.22</v>
      </c>
      <c r="N420" t="str">
        <f>IF(SalesData[[#This Row],[Profit]]&gt;0,"Profit","Loss")</f>
        <v>Profit</v>
      </c>
    </row>
    <row r="421" spans="1:14" x14ac:dyDescent="0.3">
      <c r="A421" t="s">
        <v>3012</v>
      </c>
      <c r="B421" s="3">
        <v>42829</v>
      </c>
      <c r="C421" t="s">
        <v>17</v>
      </c>
      <c r="D421" t="s">
        <v>21</v>
      </c>
      <c r="E421" t="s">
        <v>2181</v>
      </c>
      <c r="F421" s="1">
        <v>240.37</v>
      </c>
      <c r="G421">
        <v>1</v>
      </c>
      <c r="H421" s="1">
        <v>7.2111000000000001</v>
      </c>
      <c r="I421" s="4">
        <f>SalesData[[#This Row],[Profit]]/SalesData[[#This Row],[Sales]]</f>
        <v>0.03</v>
      </c>
      <c r="J421">
        <f>YEAR(SalesData[[#This Row],[Order Date]])</f>
        <v>2017</v>
      </c>
      <c r="K421" t="str">
        <f>TEXT(SalesData[[#This Row],[Order Date]],"mmm")</f>
        <v>Apr</v>
      </c>
      <c r="L421">
        <f>MONTH(SalesData[[#This Row],[Order Date]])</f>
        <v>4</v>
      </c>
      <c r="M421">
        <f>SalesData[[#This Row],[Sales]]/SalesData[[#This Row],[Quantity]]</f>
        <v>240.37</v>
      </c>
      <c r="N421" t="str">
        <f>IF(SalesData[[#This Row],[Profit]]&gt;0,"Profit","Loss")</f>
        <v>Profit</v>
      </c>
    </row>
    <row r="422" spans="1:14" x14ac:dyDescent="0.3">
      <c r="A422" t="s">
        <v>3012</v>
      </c>
      <c r="B422" s="3">
        <v>42829</v>
      </c>
      <c r="C422" t="s">
        <v>17</v>
      </c>
      <c r="D422" t="s">
        <v>10</v>
      </c>
      <c r="E422" t="s">
        <v>1810</v>
      </c>
      <c r="F422" s="1">
        <v>119.02</v>
      </c>
      <c r="G422">
        <v>2</v>
      </c>
      <c r="H422" s="1">
        <v>33.325600000000001</v>
      </c>
      <c r="I422" s="4">
        <f>SalesData[[#This Row],[Profit]]/SalesData[[#This Row],[Sales]]</f>
        <v>0.28000000000000003</v>
      </c>
      <c r="J422">
        <f>YEAR(SalesData[[#This Row],[Order Date]])</f>
        <v>2017</v>
      </c>
      <c r="K422" t="str">
        <f>TEXT(SalesData[[#This Row],[Order Date]],"mmm")</f>
        <v>Apr</v>
      </c>
      <c r="L422">
        <f>MONTH(SalesData[[#This Row],[Order Date]])</f>
        <v>4</v>
      </c>
      <c r="M422">
        <f>SalesData[[#This Row],[Sales]]/SalesData[[#This Row],[Quantity]]</f>
        <v>59.51</v>
      </c>
      <c r="N422" t="str">
        <f>IF(SalesData[[#This Row],[Profit]]&gt;0,"Profit","Loss")</f>
        <v>Profit</v>
      </c>
    </row>
    <row r="423" spans="1:14" x14ac:dyDescent="0.3">
      <c r="A423" t="s">
        <v>3014</v>
      </c>
      <c r="B423" s="3">
        <v>42829</v>
      </c>
      <c r="C423" t="s">
        <v>17</v>
      </c>
      <c r="D423" t="s">
        <v>21</v>
      </c>
      <c r="E423" t="s">
        <v>1131</v>
      </c>
      <c r="F423" s="1">
        <v>16.98</v>
      </c>
      <c r="G423">
        <v>1</v>
      </c>
      <c r="H423" s="1">
        <v>8.49</v>
      </c>
      <c r="I423" s="4">
        <f>SalesData[[#This Row],[Profit]]/SalesData[[#This Row],[Sales]]</f>
        <v>0.5</v>
      </c>
      <c r="J423">
        <f>YEAR(SalesData[[#This Row],[Order Date]])</f>
        <v>2017</v>
      </c>
      <c r="K423" t="str">
        <f>TEXT(SalesData[[#This Row],[Order Date]],"mmm")</f>
        <v>Apr</v>
      </c>
      <c r="L423">
        <f>MONTH(SalesData[[#This Row],[Order Date]])</f>
        <v>4</v>
      </c>
      <c r="M423">
        <f>SalesData[[#This Row],[Sales]]/SalesData[[#This Row],[Quantity]]</f>
        <v>16.98</v>
      </c>
      <c r="N423" t="str">
        <f>IF(SalesData[[#This Row],[Profit]]&gt;0,"Profit","Loss")</f>
        <v>Profit</v>
      </c>
    </row>
    <row r="424" spans="1:14" x14ac:dyDescent="0.3">
      <c r="A424" t="s">
        <v>3015</v>
      </c>
      <c r="B424" s="3">
        <v>42829</v>
      </c>
      <c r="C424" t="s">
        <v>17</v>
      </c>
      <c r="D424" t="s">
        <v>21</v>
      </c>
      <c r="E424" t="s">
        <v>1797</v>
      </c>
      <c r="F424" s="1">
        <v>7.04</v>
      </c>
      <c r="G424">
        <v>4</v>
      </c>
      <c r="H424" s="1">
        <v>2.0415999999999999</v>
      </c>
      <c r="I424" s="4">
        <f>SalesData[[#This Row],[Profit]]/SalesData[[#This Row],[Sales]]</f>
        <v>0.28999999999999998</v>
      </c>
      <c r="J424">
        <f>YEAR(SalesData[[#This Row],[Order Date]])</f>
        <v>2017</v>
      </c>
      <c r="K424" t="str">
        <f>TEXT(SalesData[[#This Row],[Order Date]],"mmm")</f>
        <v>Apr</v>
      </c>
      <c r="L424">
        <f>MONTH(SalesData[[#This Row],[Order Date]])</f>
        <v>4</v>
      </c>
      <c r="M424">
        <f>SalesData[[#This Row],[Sales]]/SalesData[[#This Row],[Quantity]]</f>
        <v>1.76</v>
      </c>
      <c r="N424" t="str">
        <f>IF(SalesData[[#This Row],[Profit]]&gt;0,"Profit","Loss")</f>
        <v>Profit</v>
      </c>
    </row>
    <row r="425" spans="1:14" x14ac:dyDescent="0.3">
      <c r="A425" t="s">
        <v>3016</v>
      </c>
      <c r="B425" s="3">
        <v>42830</v>
      </c>
      <c r="C425" t="s">
        <v>13</v>
      </c>
      <c r="D425" t="s">
        <v>10</v>
      </c>
      <c r="E425" t="s">
        <v>3017</v>
      </c>
      <c r="F425" s="1">
        <v>183.96</v>
      </c>
      <c r="G425">
        <v>5</v>
      </c>
      <c r="H425" s="1">
        <v>20.695499999999999</v>
      </c>
      <c r="I425" s="4">
        <f>SalesData[[#This Row],[Profit]]/SalesData[[#This Row],[Sales]]</f>
        <v>0.11249999999999999</v>
      </c>
      <c r="J425">
        <f>YEAR(SalesData[[#This Row],[Order Date]])</f>
        <v>2017</v>
      </c>
      <c r="K425" t="str">
        <f>TEXT(SalesData[[#This Row],[Order Date]],"mmm")</f>
        <v>Apr</v>
      </c>
      <c r="L425">
        <f>MONTH(SalesData[[#This Row],[Order Date]])</f>
        <v>4</v>
      </c>
      <c r="M425">
        <f>SalesData[[#This Row],[Sales]]/SalesData[[#This Row],[Quantity]]</f>
        <v>36.792000000000002</v>
      </c>
      <c r="N425" t="str">
        <f>IF(SalesData[[#This Row],[Profit]]&gt;0,"Profit","Loss")</f>
        <v>Profit</v>
      </c>
    </row>
    <row r="426" spans="1:14" x14ac:dyDescent="0.3">
      <c r="A426" t="s">
        <v>3016</v>
      </c>
      <c r="B426" s="3">
        <v>42830</v>
      </c>
      <c r="C426" t="s">
        <v>13</v>
      </c>
      <c r="D426" t="s">
        <v>21</v>
      </c>
      <c r="E426" t="s">
        <v>1150</v>
      </c>
      <c r="F426" s="1">
        <v>17.61</v>
      </c>
      <c r="G426">
        <v>3</v>
      </c>
      <c r="H426" s="1">
        <v>8.4527999999999999</v>
      </c>
      <c r="I426" s="4">
        <f>SalesData[[#This Row],[Profit]]/SalesData[[#This Row],[Sales]]</f>
        <v>0.48</v>
      </c>
      <c r="J426">
        <f>YEAR(SalesData[[#This Row],[Order Date]])</f>
        <v>2017</v>
      </c>
      <c r="K426" t="str">
        <f>TEXT(SalesData[[#This Row],[Order Date]],"mmm")</f>
        <v>Apr</v>
      </c>
      <c r="L426">
        <f>MONTH(SalesData[[#This Row],[Order Date]])</f>
        <v>4</v>
      </c>
      <c r="M426">
        <f>SalesData[[#This Row],[Sales]]/SalesData[[#This Row],[Quantity]]</f>
        <v>5.87</v>
      </c>
      <c r="N426" t="str">
        <f>IF(SalesData[[#This Row],[Profit]]&gt;0,"Profit","Loss")</f>
        <v>Profit</v>
      </c>
    </row>
    <row r="427" spans="1:14" x14ac:dyDescent="0.3">
      <c r="A427" t="s">
        <v>3016</v>
      </c>
      <c r="B427" s="3">
        <v>42830</v>
      </c>
      <c r="C427" t="s">
        <v>13</v>
      </c>
      <c r="D427" t="s">
        <v>14</v>
      </c>
      <c r="E427" t="s">
        <v>1041</v>
      </c>
      <c r="F427" s="1">
        <v>300.904</v>
      </c>
      <c r="G427">
        <v>1</v>
      </c>
      <c r="H427" s="1">
        <v>11.283899999999999</v>
      </c>
      <c r="I427" s="4">
        <f>SalesData[[#This Row],[Profit]]/SalesData[[#This Row],[Sales]]</f>
        <v>3.7499999999999999E-2</v>
      </c>
      <c r="J427">
        <f>YEAR(SalesData[[#This Row],[Order Date]])</f>
        <v>2017</v>
      </c>
      <c r="K427" t="str">
        <f>TEXT(SalesData[[#This Row],[Order Date]],"mmm")</f>
        <v>Apr</v>
      </c>
      <c r="L427">
        <f>MONTH(SalesData[[#This Row],[Order Date]])</f>
        <v>4</v>
      </c>
      <c r="M427">
        <f>SalesData[[#This Row],[Sales]]/SalesData[[#This Row],[Quantity]]</f>
        <v>300.904</v>
      </c>
      <c r="N427" t="str">
        <f>IF(SalesData[[#This Row],[Profit]]&gt;0,"Profit","Loss")</f>
        <v>Profit</v>
      </c>
    </row>
    <row r="428" spans="1:14" x14ac:dyDescent="0.3">
      <c r="A428" t="s">
        <v>3018</v>
      </c>
      <c r="B428" s="3">
        <v>42830</v>
      </c>
      <c r="C428" t="s">
        <v>46</v>
      </c>
      <c r="D428" t="s">
        <v>21</v>
      </c>
      <c r="E428" t="s">
        <v>1856</v>
      </c>
      <c r="F428" s="1">
        <v>9.11</v>
      </c>
      <c r="G428">
        <v>1</v>
      </c>
      <c r="H428" s="1">
        <v>4.0994999999999999</v>
      </c>
      <c r="I428" s="4">
        <f>SalesData[[#This Row],[Profit]]/SalesData[[#This Row],[Sales]]</f>
        <v>0.45</v>
      </c>
      <c r="J428">
        <f>YEAR(SalesData[[#This Row],[Order Date]])</f>
        <v>2017</v>
      </c>
      <c r="K428" t="str">
        <f>TEXT(SalesData[[#This Row],[Order Date]],"mmm")</f>
        <v>Apr</v>
      </c>
      <c r="L428">
        <f>MONTH(SalesData[[#This Row],[Order Date]])</f>
        <v>4</v>
      </c>
      <c r="M428">
        <f>SalesData[[#This Row],[Sales]]/SalesData[[#This Row],[Quantity]]</f>
        <v>9.11</v>
      </c>
      <c r="N428" t="str">
        <f>IF(SalesData[[#This Row],[Profit]]&gt;0,"Profit","Loss")</f>
        <v>Profit</v>
      </c>
    </row>
    <row r="429" spans="1:14" x14ac:dyDescent="0.3">
      <c r="A429" t="s">
        <v>3018</v>
      </c>
      <c r="B429" s="3">
        <v>42830</v>
      </c>
      <c r="C429" t="s">
        <v>46</v>
      </c>
      <c r="D429" t="s">
        <v>21</v>
      </c>
      <c r="E429" t="s">
        <v>1724</v>
      </c>
      <c r="F429" s="1">
        <v>571.44000000000005</v>
      </c>
      <c r="G429">
        <v>4</v>
      </c>
      <c r="H429" s="1">
        <v>165.7176</v>
      </c>
      <c r="I429" s="4">
        <f>SalesData[[#This Row],[Profit]]/SalesData[[#This Row],[Sales]]</f>
        <v>0.28999999999999998</v>
      </c>
      <c r="J429">
        <f>YEAR(SalesData[[#This Row],[Order Date]])</f>
        <v>2017</v>
      </c>
      <c r="K429" t="str">
        <f>TEXT(SalesData[[#This Row],[Order Date]],"mmm")</f>
        <v>Apr</v>
      </c>
      <c r="L429">
        <f>MONTH(SalesData[[#This Row],[Order Date]])</f>
        <v>4</v>
      </c>
      <c r="M429">
        <f>SalesData[[#This Row],[Sales]]/SalesData[[#This Row],[Quantity]]</f>
        <v>142.86000000000001</v>
      </c>
      <c r="N429" t="str">
        <f>IF(SalesData[[#This Row],[Profit]]&gt;0,"Profit","Loss")</f>
        <v>Profit</v>
      </c>
    </row>
    <row r="430" spans="1:14" x14ac:dyDescent="0.3">
      <c r="A430" t="s">
        <v>3018</v>
      </c>
      <c r="B430" s="3">
        <v>42830</v>
      </c>
      <c r="C430" t="s">
        <v>46</v>
      </c>
      <c r="D430" t="s">
        <v>21</v>
      </c>
      <c r="E430" t="s">
        <v>2367</v>
      </c>
      <c r="F430" s="1">
        <v>32.4</v>
      </c>
      <c r="G430">
        <v>5</v>
      </c>
      <c r="H430" s="1">
        <v>15.552</v>
      </c>
      <c r="I430" s="4">
        <f>SalesData[[#This Row],[Profit]]/SalesData[[#This Row],[Sales]]</f>
        <v>0.48</v>
      </c>
      <c r="J430">
        <f>YEAR(SalesData[[#This Row],[Order Date]])</f>
        <v>2017</v>
      </c>
      <c r="K430" t="str">
        <f>TEXT(SalesData[[#This Row],[Order Date]],"mmm")</f>
        <v>Apr</v>
      </c>
      <c r="L430">
        <f>MONTH(SalesData[[#This Row],[Order Date]])</f>
        <v>4</v>
      </c>
      <c r="M430">
        <f>SalesData[[#This Row],[Sales]]/SalesData[[#This Row],[Quantity]]</f>
        <v>6.4799999999999995</v>
      </c>
      <c r="N430" t="str">
        <f>IF(SalesData[[#This Row],[Profit]]&gt;0,"Profit","Loss")</f>
        <v>Profit</v>
      </c>
    </row>
    <row r="431" spans="1:14" x14ac:dyDescent="0.3">
      <c r="A431" t="s">
        <v>3018</v>
      </c>
      <c r="B431" s="3">
        <v>42830</v>
      </c>
      <c r="C431" t="s">
        <v>46</v>
      </c>
      <c r="D431" t="s">
        <v>21</v>
      </c>
      <c r="E431" t="s">
        <v>3019</v>
      </c>
      <c r="F431" s="1">
        <v>16.91</v>
      </c>
      <c r="G431">
        <v>1</v>
      </c>
      <c r="H431" s="1">
        <v>4.5656999999999996</v>
      </c>
      <c r="I431" s="4">
        <f>SalesData[[#This Row],[Profit]]/SalesData[[#This Row],[Sales]]</f>
        <v>0.26999999999999996</v>
      </c>
      <c r="J431">
        <f>YEAR(SalesData[[#This Row],[Order Date]])</f>
        <v>2017</v>
      </c>
      <c r="K431" t="str">
        <f>TEXT(SalesData[[#This Row],[Order Date]],"mmm")</f>
        <v>Apr</v>
      </c>
      <c r="L431">
        <f>MONTH(SalesData[[#This Row],[Order Date]])</f>
        <v>4</v>
      </c>
      <c r="M431">
        <f>SalesData[[#This Row],[Sales]]/SalesData[[#This Row],[Quantity]]</f>
        <v>16.91</v>
      </c>
      <c r="N431" t="str">
        <f>IF(SalesData[[#This Row],[Profit]]&gt;0,"Profit","Loss")</f>
        <v>Profit</v>
      </c>
    </row>
    <row r="432" spans="1:14" x14ac:dyDescent="0.3">
      <c r="A432" t="s">
        <v>3020</v>
      </c>
      <c r="B432" s="3">
        <v>42830</v>
      </c>
      <c r="C432" t="s">
        <v>17</v>
      </c>
      <c r="D432" t="s">
        <v>21</v>
      </c>
      <c r="E432" t="s">
        <v>741</v>
      </c>
      <c r="F432" s="1">
        <v>2.3130000000000002</v>
      </c>
      <c r="G432">
        <v>1</v>
      </c>
      <c r="H432" s="1">
        <v>-1.9275</v>
      </c>
      <c r="I432" s="4">
        <f>SalesData[[#This Row],[Profit]]/SalesData[[#This Row],[Sales]]</f>
        <v>-0.83333333333333326</v>
      </c>
      <c r="J432">
        <f>YEAR(SalesData[[#This Row],[Order Date]])</f>
        <v>2017</v>
      </c>
      <c r="K432" t="str">
        <f>TEXT(SalesData[[#This Row],[Order Date]],"mmm")</f>
        <v>Apr</v>
      </c>
      <c r="L432">
        <f>MONTH(SalesData[[#This Row],[Order Date]])</f>
        <v>4</v>
      </c>
      <c r="M432">
        <f>SalesData[[#This Row],[Sales]]/SalesData[[#This Row],[Quantity]]</f>
        <v>2.3130000000000002</v>
      </c>
      <c r="N432" t="str">
        <f>IF(SalesData[[#This Row],[Profit]]&gt;0,"Profit","Loss")</f>
        <v>Loss</v>
      </c>
    </row>
    <row r="433" spans="1:14" x14ac:dyDescent="0.3">
      <c r="A433" t="s">
        <v>3021</v>
      </c>
      <c r="B433" s="3">
        <v>42830</v>
      </c>
      <c r="C433" t="s">
        <v>17</v>
      </c>
      <c r="D433" t="s">
        <v>21</v>
      </c>
      <c r="E433" t="s">
        <v>2654</v>
      </c>
      <c r="F433" s="1">
        <v>2.202</v>
      </c>
      <c r="G433">
        <v>2</v>
      </c>
      <c r="H433" s="1">
        <v>-1.5414000000000001</v>
      </c>
      <c r="I433" s="4">
        <f>SalesData[[#This Row],[Profit]]/SalesData[[#This Row],[Sales]]</f>
        <v>-0.70000000000000007</v>
      </c>
      <c r="J433">
        <f>YEAR(SalesData[[#This Row],[Order Date]])</f>
        <v>2017</v>
      </c>
      <c r="K433" t="str">
        <f>TEXT(SalesData[[#This Row],[Order Date]],"mmm")</f>
        <v>Apr</v>
      </c>
      <c r="L433">
        <f>MONTH(SalesData[[#This Row],[Order Date]])</f>
        <v>4</v>
      </c>
      <c r="M433">
        <f>SalesData[[#This Row],[Sales]]/SalesData[[#This Row],[Quantity]]</f>
        <v>1.101</v>
      </c>
      <c r="N433" t="str">
        <f>IF(SalesData[[#This Row],[Profit]]&gt;0,"Profit","Loss")</f>
        <v>Loss</v>
      </c>
    </row>
    <row r="434" spans="1:14" x14ac:dyDescent="0.3">
      <c r="A434" t="s">
        <v>3021</v>
      </c>
      <c r="B434" s="3">
        <v>42830</v>
      </c>
      <c r="C434" t="s">
        <v>17</v>
      </c>
      <c r="D434" t="s">
        <v>21</v>
      </c>
      <c r="E434" t="s">
        <v>2795</v>
      </c>
      <c r="F434" s="1">
        <v>9.3960000000000008</v>
      </c>
      <c r="G434">
        <v>3</v>
      </c>
      <c r="H434" s="1">
        <v>-7.5167999999999999</v>
      </c>
      <c r="I434" s="4">
        <f>SalesData[[#This Row],[Profit]]/SalesData[[#This Row],[Sales]]</f>
        <v>-0.79999999999999993</v>
      </c>
      <c r="J434">
        <f>YEAR(SalesData[[#This Row],[Order Date]])</f>
        <v>2017</v>
      </c>
      <c r="K434" t="str">
        <f>TEXT(SalesData[[#This Row],[Order Date]],"mmm")</f>
        <v>Apr</v>
      </c>
      <c r="L434">
        <f>MONTH(SalesData[[#This Row],[Order Date]])</f>
        <v>4</v>
      </c>
      <c r="M434">
        <f>SalesData[[#This Row],[Sales]]/SalesData[[#This Row],[Quantity]]</f>
        <v>3.1320000000000001</v>
      </c>
      <c r="N434" t="str">
        <f>IF(SalesData[[#This Row],[Profit]]&gt;0,"Profit","Loss")</f>
        <v>Loss</v>
      </c>
    </row>
    <row r="435" spans="1:14" x14ac:dyDescent="0.3">
      <c r="A435" t="s">
        <v>3022</v>
      </c>
      <c r="B435" s="3">
        <v>42830</v>
      </c>
      <c r="C435" t="s">
        <v>13</v>
      </c>
      <c r="D435" t="s">
        <v>21</v>
      </c>
      <c r="E435" t="s">
        <v>1645</v>
      </c>
      <c r="F435" s="1">
        <v>243.16</v>
      </c>
      <c r="G435">
        <v>2</v>
      </c>
      <c r="H435" s="1">
        <v>72.947999999999993</v>
      </c>
      <c r="I435" s="4">
        <f>SalesData[[#This Row],[Profit]]/SalesData[[#This Row],[Sales]]</f>
        <v>0.3</v>
      </c>
      <c r="J435">
        <f>YEAR(SalesData[[#This Row],[Order Date]])</f>
        <v>2017</v>
      </c>
      <c r="K435" t="str">
        <f>TEXT(SalesData[[#This Row],[Order Date]],"mmm")</f>
        <v>Apr</v>
      </c>
      <c r="L435">
        <f>MONTH(SalesData[[#This Row],[Order Date]])</f>
        <v>4</v>
      </c>
      <c r="M435">
        <f>SalesData[[#This Row],[Sales]]/SalesData[[#This Row],[Quantity]]</f>
        <v>121.58</v>
      </c>
      <c r="N435" t="str">
        <f>IF(SalesData[[#This Row],[Profit]]&gt;0,"Profit","Loss")</f>
        <v>Profit</v>
      </c>
    </row>
    <row r="436" spans="1:14" x14ac:dyDescent="0.3">
      <c r="A436" t="s">
        <v>3023</v>
      </c>
      <c r="B436" s="3">
        <v>42831</v>
      </c>
      <c r="C436" t="s">
        <v>46</v>
      </c>
      <c r="D436" t="s">
        <v>14</v>
      </c>
      <c r="E436" t="s">
        <v>449</v>
      </c>
      <c r="F436" s="1">
        <v>31.984000000000002</v>
      </c>
      <c r="G436">
        <v>2</v>
      </c>
      <c r="H436" s="1">
        <v>1.9990000000000001</v>
      </c>
      <c r="I436" s="4">
        <f>SalesData[[#This Row],[Profit]]/SalesData[[#This Row],[Sales]]</f>
        <v>6.25E-2</v>
      </c>
      <c r="J436">
        <f>YEAR(SalesData[[#This Row],[Order Date]])</f>
        <v>2017</v>
      </c>
      <c r="K436" t="str">
        <f>TEXT(SalesData[[#This Row],[Order Date]],"mmm")</f>
        <v>Apr</v>
      </c>
      <c r="L436">
        <f>MONTH(SalesData[[#This Row],[Order Date]])</f>
        <v>4</v>
      </c>
      <c r="M436">
        <f>SalesData[[#This Row],[Sales]]/SalesData[[#This Row],[Quantity]]</f>
        <v>15.992000000000001</v>
      </c>
      <c r="N436" t="str">
        <f>IF(SalesData[[#This Row],[Profit]]&gt;0,"Profit","Loss")</f>
        <v>Profit</v>
      </c>
    </row>
    <row r="437" spans="1:14" x14ac:dyDescent="0.3">
      <c r="A437" t="s">
        <v>3023</v>
      </c>
      <c r="B437" s="3">
        <v>42831</v>
      </c>
      <c r="C437" t="s">
        <v>46</v>
      </c>
      <c r="D437" t="s">
        <v>10</v>
      </c>
      <c r="E437" t="s">
        <v>3024</v>
      </c>
      <c r="F437" s="1">
        <v>71.983999999999995</v>
      </c>
      <c r="G437">
        <v>2</v>
      </c>
      <c r="H437" s="1">
        <v>25.194400000000002</v>
      </c>
      <c r="I437" s="4">
        <f>SalesData[[#This Row],[Profit]]/SalesData[[#This Row],[Sales]]</f>
        <v>0.35000000000000003</v>
      </c>
      <c r="J437">
        <f>YEAR(SalesData[[#This Row],[Order Date]])</f>
        <v>2017</v>
      </c>
      <c r="K437" t="str">
        <f>TEXT(SalesData[[#This Row],[Order Date]],"mmm")</f>
        <v>Apr</v>
      </c>
      <c r="L437">
        <f>MONTH(SalesData[[#This Row],[Order Date]])</f>
        <v>4</v>
      </c>
      <c r="M437">
        <f>SalesData[[#This Row],[Sales]]/SalesData[[#This Row],[Quantity]]</f>
        <v>35.991999999999997</v>
      </c>
      <c r="N437" t="str">
        <f>IF(SalesData[[#This Row],[Profit]]&gt;0,"Profit","Loss")</f>
        <v>Profit</v>
      </c>
    </row>
    <row r="438" spans="1:14" x14ac:dyDescent="0.3">
      <c r="A438" t="s">
        <v>3025</v>
      </c>
      <c r="B438" s="3">
        <v>42831</v>
      </c>
      <c r="C438" t="s">
        <v>46</v>
      </c>
      <c r="D438" t="s">
        <v>21</v>
      </c>
      <c r="E438" t="s">
        <v>3026</v>
      </c>
      <c r="F438" s="1">
        <v>12.48</v>
      </c>
      <c r="G438">
        <v>2</v>
      </c>
      <c r="H438" s="1">
        <v>5.6159999999999997</v>
      </c>
      <c r="I438" s="4">
        <f>SalesData[[#This Row],[Profit]]/SalesData[[#This Row],[Sales]]</f>
        <v>0.44999999999999996</v>
      </c>
      <c r="J438">
        <f>YEAR(SalesData[[#This Row],[Order Date]])</f>
        <v>2017</v>
      </c>
      <c r="K438" t="str">
        <f>TEXT(SalesData[[#This Row],[Order Date]],"mmm")</f>
        <v>Apr</v>
      </c>
      <c r="L438">
        <f>MONTH(SalesData[[#This Row],[Order Date]])</f>
        <v>4</v>
      </c>
      <c r="M438">
        <f>SalesData[[#This Row],[Sales]]/SalesData[[#This Row],[Quantity]]</f>
        <v>6.24</v>
      </c>
      <c r="N438" t="str">
        <f>IF(SalesData[[#This Row],[Profit]]&gt;0,"Profit","Loss")</f>
        <v>Profit</v>
      </c>
    </row>
    <row r="439" spans="1:14" x14ac:dyDescent="0.3">
      <c r="A439" t="s">
        <v>3027</v>
      </c>
      <c r="B439" s="3">
        <v>42831</v>
      </c>
      <c r="C439" t="s">
        <v>9</v>
      </c>
      <c r="D439" t="s">
        <v>21</v>
      </c>
      <c r="E439" t="s">
        <v>3028</v>
      </c>
      <c r="F439" s="1">
        <v>8.64</v>
      </c>
      <c r="G439">
        <v>3</v>
      </c>
      <c r="H439" s="1">
        <v>2.5055999999999998</v>
      </c>
      <c r="I439" s="4">
        <f>SalesData[[#This Row],[Profit]]/SalesData[[#This Row],[Sales]]</f>
        <v>0.28999999999999998</v>
      </c>
      <c r="J439">
        <f>YEAR(SalesData[[#This Row],[Order Date]])</f>
        <v>2017</v>
      </c>
      <c r="K439" t="str">
        <f>TEXT(SalesData[[#This Row],[Order Date]],"mmm")</f>
        <v>Apr</v>
      </c>
      <c r="L439">
        <f>MONTH(SalesData[[#This Row],[Order Date]])</f>
        <v>4</v>
      </c>
      <c r="M439">
        <f>SalesData[[#This Row],[Sales]]/SalesData[[#This Row],[Quantity]]</f>
        <v>2.8800000000000003</v>
      </c>
      <c r="N439" t="str">
        <f>IF(SalesData[[#This Row],[Profit]]&gt;0,"Profit","Loss")</f>
        <v>Profit</v>
      </c>
    </row>
    <row r="440" spans="1:14" x14ac:dyDescent="0.3">
      <c r="A440" t="s">
        <v>3029</v>
      </c>
      <c r="B440" s="3">
        <v>42831</v>
      </c>
      <c r="C440" t="s">
        <v>9</v>
      </c>
      <c r="D440" t="s">
        <v>21</v>
      </c>
      <c r="E440" t="s">
        <v>525</v>
      </c>
      <c r="F440" s="1">
        <v>6.37</v>
      </c>
      <c r="G440">
        <v>7</v>
      </c>
      <c r="H440" s="1">
        <v>-9.5549999999999997</v>
      </c>
      <c r="I440" s="4">
        <f>SalesData[[#This Row],[Profit]]/SalesData[[#This Row],[Sales]]</f>
        <v>-1.5</v>
      </c>
      <c r="J440">
        <f>YEAR(SalesData[[#This Row],[Order Date]])</f>
        <v>2017</v>
      </c>
      <c r="K440" t="str">
        <f>TEXT(SalesData[[#This Row],[Order Date]],"mmm")</f>
        <v>Apr</v>
      </c>
      <c r="L440">
        <f>MONTH(SalesData[[#This Row],[Order Date]])</f>
        <v>4</v>
      </c>
      <c r="M440">
        <f>SalesData[[#This Row],[Sales]]/SalesData[[#This Row],[Quantity]]</f>
        <v>0.91</v>
      </c>
      <c r="N440" t="str">
        <f>IF(SalesData[[#This Row],[Profit]]&gt;0,"Profit","Loss")</f>
        <v>Loss</v>
      </c>
    </row>
    <row r="441" spans="1:14" x14ac:dyDescent="0.3">
      <c r="A441" t="s">
        <v>3030</v>
      </c>
      <c r="B441" s="3">
        <v>42831</v>
      </c>
      <c r="C441" t="s">
        <v>46</v>
      </c>
      <c r="D441" t="s">
        <v>21</v>
      </c>
      <c r="E441" t="s">
        <v>1994</v>
      </c>
      <c r="F441" s="1">
        <v>108.08</v>
      </c>
      <c r="G441">
        <v>7</v>
      </c>
      <c r="H441" s="1">
        <v>54.04</v>
      </c>
      <c r="I441" s="4">
        <f>SalesData[[#This Row],[Profit]]/SalesData[[#This Row],[Sales]]</f>
        <v>0.5</v>
      </c>
      <c r="J441">
        <f>YEAR(SalesData[[#This Row],[Order Date]])</f>
        <v>2017</v>
      </c>
      <c r="K441" t="str">
        <f>TEXT(SalesData[[#This Row],[Order Date]],"mmm")</f>
        <v>Apr</v>
      </c>
      <c r="L441">
        <f>MONTH(SalesData[[#This Row],[Order Date]])</f>
        <v>4</v>
      </c>
      <c r="M441">
        <f>SalesData[[#This Row],[Sales]]/SalesData[[#This Row],[Quantity]]</f>
        <v>15.44</v>
      </c>
      <c r="N441" t="str">
        <f>IF(SalesData[[#This Row],[Profit]]&gt;0,"Profit","Loss")</f>
        <v>Profit</v>
      </c>
    </row>
    <row r="442" spans="1:14" x14ac:dyDescent="0.3">
      <c r="A442" t="s">
        <v>3030</v>
      </c>
      <c r="B442" s="3">
        <v>42831</v>
      </c>
      <c r="C442" t="s">
        <v>46</v>
      </c>
      <c r="D442" t="s">
        <v>21</v>
      </c>
      <c r="E442" t="s">
        <v>2621</v>
      </c>
      <c r="F442" s="1">
        <v>9.5399999999999991</v>
      </c>
      <c r="G442">
        <v>3</v>
      </c>
      <c r="H442" s="1">
        <v>4.3883999999999999</v>
      </c>
      <c r="I442" s="4">
        <f>SalesData[[#This Row],[Profit]]/SalesData[[#This Row],[Sales]]</f>
        <v>0.46</v>
      </c>
      <c r="J442">
        <f>YEAR(SalesData[[#This Row],[Order Date]])</f>
        <v>2017</v>
      </c>
      <c r="K442" t="str">
        <f>TEXT(SalesData[[#This Row],[Order Date]],"mmm")</f>
        <v>Apr</v>
      </c>
      <c r="L442">
        <f>MONTH(SalesData[[#This Row],[Order Date]])</f>
        <v>4</v>
      </c>
      <c r="M442">
        <f>SalesData[[#This Row],[Sales]]/SalesData[[#This Row],[Quantity]]</f>
        <v>3.1799999999999997</v>
      </c>
      <c r="N442" t="str">
        <f>IF(SalesData[[#This Row],[Profit]]&gt;0,"Profit","Loss")</f>
        <v>Profit</v>
      </c>
    </row>
    <row r="443" spans="1:14" x14ac:dyDescent="0.3">
      <c r="A443" t="s">
        <v>3031</v>
      </c>
      <c r="B443" s="3">
        <v>42831</v>
      </c>
      <c r="C443" t="s">
        <v>9</v>
      </c>
      <c r="D443" t="s">
        <v>14</v>
      </c>
      <c r="E443" t="s">
        <v>794</v>
      </c>
      <c r="F443" s="1">
        <v>30.335999999999999</v>
      </c>
      <c r="G443">
        <v>6</v>
      </c>
      <c r="H443" s="1">
        <v>-17.443200000000001</v>
      </c>
      <c r="I443" s="4">
        <f>SalesData[[#This Row],[Profit]]/SalesData[[#This Row],[Sales]]</f>
        <v>-0.57500000000000007</v>
      </c>
      <c r="J443">
        <f>YEAR(SalesData[[#This Row],[Order Date]])</f>
        <v>2017</v>
      </c>
      <c r="K443" t="str">
        <f>TEXT(SalesData[[#This Row],[Order Date]],"mmm")</f>
        <v>Apr</v>
      </c>
      <c r="L443">
        <f>MONTH(SalesData[[#This Row],[Order Date]])</f>
        <v>4</v>
      </c>
      <c r="M443">
        <f>SalesData[[#This Row],[Sales]]/SalesData[[#This Row],[Quantity]]</f>
        <v>5.056</v>
      </c>
      <c r="N443" t="str">
        <f>IF(SalesData[[#This Row],[Profit]]&gt;0,"Profit","Loss")</f>
        <v>Loss</v>
      </c>
    </row>
    <row r="444" spans="1:14" x14ac:dyDescent="0.3">
      <c r="A444" t="s">
        <v>3032</v>
      </c>
      <c r="B444" s="3">
        <v>42833</v>
      </c>
      <c r="C444" t="s">
        <v>13</v>
      </c>
      <c r="D444" t="s">
        <v>21</v>
      </c>
      <c r="E444" t="s">
        <v>3033</v>
      </c>
      <c r="F444" s="1">
        <v>7.968</v>
      </c>
      <c r="G444">
        <v>2</v>
      </c>
      <c r="H444" s="1">
        <v>2.8883999999999999</v>
      </c>
      <c r="I444" s="4">
        <f>SalesData[[#This Row],[Profit]]/SalesData[[#This Row],[Sales]]</f>
        <v>0.36249999999999999</v>
      </c>
      <c r="J444">
        <f>YEAR(SalesData[[#This Row],[Order Date]])</f>
        <v>2017</v>
      </c>
      <c r="K444" t="str">
        <f>TEXT(SalesData[[#This Row],[Order Date]],"mmm")</f>
        <v>Apr</v>
      </c>
      <c r="L444">
        <f>MONTH(SalesData[[#This Row],[Order Date]])</f>
        <v>4</v>
      </c>
      <c r="M444">
        <f>SalesData[[#This Row],[Sales]]/SalesData[[#This Row],[Quantity]]</f>
        <v>3.984</v>
      </c>
      <c r="N444" t="str">
        <f>IF(SalesData[[#This Row],[Profit]]&gt;0,"Profit","Loss")</f>
        <v>Profit</v>
      </c>
    </row>
    <row r="445" spans="1:14" x14ac:dyDescent="0.3">
      <c r="A445" t="s">
        <v>3032</v>
      </c>
      <c r="B445" s="3">
        <v>42833</v>
      </c>
      <c r="C445" t="s">
        <v>13</v>
      </c>
      <c r="D445" t="s">
        <v>21</v>
      </c>
      <c r="E445" t="s">
        <v>2672</v>
      </c>
      <c r="F445" s="1">
        <v>8.7840000000000007</v>
      </c>
      <c r="G445">
        <v>1</v>
      </c>
      <c r="H445" s="1">
        <v>3.1842000000000001</v>
      </c>
      <c r="I445" s="4">
        <f>SalesData[[#This Row],[Profit]]/SalesData[[#This Row],[Sales]]</f>
        <v>0.36249999999999999</v>
      </c>
      <c r="J445">
        <f>YEAR(SalesData[[#This Row],[Order Date]])</f>
        <v>2017</v>
      </c>
      <c r="K445" t="str">
        <f>TEXT(SalesData[[#This Row],[Order Date]],"mmm")</f>
        <v>Apr</v>
      </c>
      <c r="L445">
        <f>MONTH(SalesData[[#This Row],[Order Date]])</f>
        <v>4</v>
      </c>
      <c r="M445">
        <f>SalesData[[#This Row],[Sales]]/SalesData[[#This Row],[Quantity]]</f>
        <v>8.7840000000000007</v>
      </c>
      <c r="N445" t="str">
        <f>IF(SalesData[[#This Row],[Profit]]&gt;0,"Profit","Loss")</f>
        <v>Profit</v>
      </c>
    </row>
    <row r="446" spans="1:14" x14ac:dyDescent="0.3">
      <c r="A446" t="s">
        <v>3034</v>
      </c>
      <c r="B446" s="3">
        <v>42833</v>
      </c>
      <c r="C446" t="s">
        <v>9</v>
      </c>
      <c r="D446" t="s">
        <v>21</v>
      </c>
      <c r="E446" t="s">
        <v>220</v>
      </c>
      <c r="F446" s="1">
        <v>3.3180000000000001</v>
      </c>
      <c r="G446">
        <v>3</v>
      </c>
      <c r="H446" s="1">
        <v>-5.6406000000000001</v>
      </c>
      <c r="I446" s="4">
        <f>SalesData[[#This Row],[Profit]]/SalesData[[#This Row],[Sales]]</f>
        <v>-1.7</v>
      </c>
      <c r="J446">
        <f>YEAR(SalesData[[#This Row],[Order Date]])</f>
        <v>2017</v>
      </c>
      <c r="K446" t="str">
        <f>TEXT(SalesData[[#This Row],[Order Date]],"mmm")</f>
        <v>Apr</v>
      </c>
      <c r="L446">
        <f>MONTH(SalesData[[#This Row],[Order Date]])</f>
        <v>4</v>
      </c>
      <c r="M446">
        <f>SalesData[[#This Row],[Sales]]/SalesData[[#This Row],[Quantity]]</f>
        <v>1.1060000000000001</v>
      </c>
      <c r="N446" t="str">
        <f>IF(SalesData[[#This Row],[Profit]]&gt;0,"Profit","Loss")</f>
        <v>Loss</v>
      </c>
    </row>
    <row r="447" spans="1:14" x14ac:dyDescent="0.3">
      <c r="A447" t="s">
        <v>3035</v>
      </c>
      <c r="B447" s="3">
        <v>42834</v>
      </c>
      <c r="C447" t="s">
        <v>9</v>
      </c>
      <c r="D447" t="s">
        <v>21</v>
      </c>
      <c r="E447" t="s">
        <v>2623</v>
      </c>
      <c r="F447" s="1">
        <v>10.192</v>
      </c>
      <c r="G447">
        <v>7</v>
      </c>
      <c r="H447" s="1">
        <v>3.1850000000000001</v>
      </c>
      <c r="I447" s="4">
        <f>SalesData[[#This Row],[Profit]]/SalesData[[#This Row],[Sales]]</f>
        <v>0.3125</v>
      </c>
      <c r="J447">
        <f>YEAR(SalesData[[#This Row],[Order Date]])</f>
        <v>2017</v>
      </c>
      <c r="K447" t="str">
        <f>TEXT(SalesData[[#This Row],[Order Date]],"mmm")</f>
        <v>Apr</v>
      </c>
      <c r="L447">
        <f>MONTH(SalesData[[#This Row],[Order Date]])</f>
        <v>4</v>
      </c>
      <c r="M447">
        <f>SalesData[[#This Row],[Sales]]/SalesData[[#This Row],[Quantity]]</f>
        <v>1.456</v>
      </c>
      <c r="N447" t="str">
        <f>IF(SalesData[[#This Row],[Profit]]&gt;0,"Profit","Loss")</f>
        <v>Profit</v>
      </c>
    </row>
    <row r="448" spans="1:14" x14ac:dyDescent="0.3">
      <c r="A448" t="s">
        <v>3035</v>
      </c>
      <c r="B448" s="3">
        <v>42834</v>
      </c>
      <c r="C448" t="s">
        <v>9</v>
      </c>
      <c r="D448" t="s">
        <v>21</v>
      </c>
      <c r="E448" t="s">
        <v>811</v>
      </c>
      <c r="F448" s="1">
        <v>16.783999999999999</v>
      </c>
      <c r="G448">
        <v>1</v>
      </c>
      <c r="H448" s="1">
        <v>-0.20979999999999999</v>
      </c>
      <c r="I448" s="4">
        <f>SalesData[[#This Row],[Profit]]/SalesData[[#This Row],[Sales]]</f>
        <v>-1.2500000000000001E-2</v>
      </c>
      <c r="J448">
        <f>YEAR(SalesData[[#This Row],[Order Date]])</f>
        <v>2017</v>
      </c>
      <c r="K448" t="str">
        <f>TEXT(SalesData[[#This Row],[Order Date]],"mmm")</f>
        <v>Apr</v>
      </c>
      <c r="L448">
        <f>MONTH(SalesData[[#This Row],[Order Date]])</f>
        <v>4</v>
      </c>
      <c r="M448">
        <f>SalesData[[#This Row],[Sales]]/SalesData[[#This Row],[Quantity]]</f>
        <v>16.783999999999999</v>
      </c>
      <c r="N448" t="str">
        <f>IF(SalesData[[#This Row],[Profit]]&gt;0,"Profit","Loss")</f>
        <v>Loss</v>
      </c>
    </row>
    <row r="449" spans="1:14" x14ac:dyDescent="0.3">
      <c r="A449" t="s">
        <v>3035</v>
      </c>
      <c r="B449" s="3">
        <v>42834</v>
      </c>
      <c r="C449" t="s">
        <v>9</v>
      </c>
      <c r="D449" t="s">
        <v>21</v>
      </c>
      <c r="E449" t="s">
        <v>3036</v>
      </c>
      <c r="F449" s="1">
        <v>13.12</v>
      </c>
      <c r="G449">
        <v>5</v>
      </c>
      <c r="H449" s="1">
        <v>3.7719999999999998</v>
      </c>
      <c r="I449" s="4">
        <f>SalesData[[#This Row],[Profit]]/SalesData[[#This Row],[Sales]]</f>
        <v>0.28749999999999998</v>
      </c>
      <c r="J449">
        <f>YEAR(SalesData[[#This Row],[Order Date]])</f>
        <v>2017</v>
      </c>
      <c r="K449" t="str">
        <f>TEXT(SalesData[[#This Row],[Order Date]],"mmm")</f>
        <v>Apr</v>
      </c>
      <c r="L449">
        <f>MONTH(SalesData[[#This Row],[Order Date]])</f>
        <v>4</v>
      </c>
      <c r="M449">
        <f>SalesData[[#This Row],[Sales]]/SalesData[[#This Row],[Quantity]]</f>
        <v>2.6239999999999997</v>
      </c>
      <c r="N449" t="str">
        <f>IF(SalesData[[#This Row],[Profit]]&gt;0,"Profit","Loss")</f>
        <v>Profit</v>
      </c>
    </row>
    <row r="450" spans="1:14" x14ac:dyDescent="0.3">
      <c r="A450" t="s">
        <v>3037</v>
      </c>
      <c r="B450" s="3">
        <v>42834</v>
      </c>
      <c r="C450" t="s">
        <v>17</v>
      </c>
      <c r="D450" t="s">
        <v>10</v>
      </c>
      <c r="E450" t="s">
        <v>1256</v>
      </c>
      <c r="F450" s="1">
        <v>91.96</v>
      </c>
      <c r="G450">
        <v>4</v>
      </c>
      <c r="H450" s="1">
        <v>39.5428</v>
      </c>
      <c r="I450" s="4">
        <f>SalesData[[#This Row],[Profit]]/SalesData[[#This Row],[Sales]]</f>
        <v>0.43000000000000005</v>
      </c>
      <c r="J450">
        <f>YEAR(SalesData[[#This Row],[Order Date]])</f>
        <v>2017</v>
      </c>
      <c r="K450" t="str">
        <f>TEXT(SalesData[[#This Row],[Order Date]],"mmm")</f>
        <v>Apr</v>
      </c>
      <c r="L450">
        <f>MONTH(SalesData[[#This Row],[Order Date]])</f>
        <v>4</v>
      </c>
      <c r="M450">
        <f>SalesData[[#This Row],[Sales]]/SalesData[[#This Row],[Quantity]]</f>
        <v>22.99</v>
      </c>
      <c r="N450" t="str">
        <f>IF(SalesData[[#This Row],[Profit]]&gt;0,"Profit","Loss")</f>
        <v>Profit</v>
      </c>
    </row>
    <row r="451" spans="1:14" x14ac:dyDescent="0.3">
      <c r="A451" t="s">
        <v>3038</v>
      </c>
      <c r="B451" s="3">
        <v>42834</v>
      </c>
      <c r="C451" t="s">
        <v>13</v>
      </c>
      <c r="D451" t="s">
        <v>14</v>
      </c>
      <c r="E451" t="s">
        <v>2855</v>
      </c>
      <c r="F451" s="1">
        <v>1322.3520000000001</v>
      </c>
      <c r="G451">
        <v>3</v>
      </c>
      <c r="H451" s="1">
        <v>-99.176400000000001</v>
      </c>
      <c r="I451" s="4">
        <f>SalesData[[#This Row],[Profit]]/SalesData[[#This Row],[Sales]]</f>
        <v>-7.4999999999999997E-2</v>
      </c>
      <c r="J451">
        <f>YEAR(SalesData[[#This Row],[Order Date]])</f>
        <v>2017</v>
      </c>
      <c r="K451" t="str">
        <f>TEXT(SalesData[[#This Row],[Order Date]],"mmm")</f>
        <v>Apr</v>
      </c>
      <c r="L451">
        <f>MONTH(SalesData[[#This Row],[Order Date]])</f>
        <v>4</v>
      </c>
      <c r="M451">
        <f>SalesData[[#This Row],[Sales]]/SalesData[[#This Row],[Quantity]]</f>
        <v>440.78400000000005</v>
      </c>
      <c r="N451" t="str">
        <f>IF(SalesData[[#This Row],[Profit]]&gt;0,"Profit","Loss")</f>
        <v>Loss</v>
      </c>
    </row>
    <row r="452" spans="1:14" x14ac:dyDescent="0.3">
      <c r="A452" t="s">
        <v>3039</v>
      </c>
      <c r="B452" s="3">
        <v>42834</v>
      </c>
      <c r="C452" t="s">
        <v>13</v>
      </c>
      <c r="D452" t="s">
        <v>21</v>
      </c>
      <c r="E452" t="s">
        <v>1011</v>
      </c>
      <c r="F452" s="1">
        <v>12.96</v>
      </c>
      <c r="G452">
        <v>2</v>
      </c>
      <c r="H452" s="1">
        <v>6.2207999999999997</v>
      </c>
      <c r="I452" s="4">
        <f>SalesData[[#This Row],[Profit]]/SalesData[[#This Row],[Sales]]</f>
        <v>0.47999999999999993</v>
      </c>
      <c r="J452">
        <f>YEAR(SalesData[[#This Row],[Order Date]])</f>
        <v>2017</v>
      </c>
      <c r="K452" t="str">
        <f>TEXT(SalesData[[#This Row],[Order Date]],"mmm")</f>
        <v>Apr</v>
      </c>
      <c r="L452">
        <f>MONTH(SalesData[[#This Row],[Order Date]])</f>
        <v>4</v>
      </c>
      <c r="M452">
        <f>SalesData[[#This Row],[Sales]]/SalesData[[#This Row],[Quantity]]</f>
        <v>6.48</v>
      </c>
      <c r="N452" t="str">
        <f>IF(SalesData[[#This Row],[Profit]]&gt;0,"Profit","Loss")</f>
        <v>Profit</v>
      </c>
    </row>
    <row r="453" spans="1:14" x14ac:dyDescent="0.3">
      <c r="A453" t="s">
        <v>3039</v>
      </c>
      <c r="B453" s="3">
        <v>42834</v>
      </c>
      <c r="C453" t="s">
        <v>13</v>
      </c>
      <c r="D453" t="s">
        <v>10</v>
      </c>
      <c r="E453" t="s">
        <v>592</v>
      </c>
      <c r="F453" s="1">
        <v>43.176000000000002</v>
      </c>
      <c r="G453">
        <v>3</v>
      </c>
      <c r="H453" s="1">
        <v>15.111599999999999</v>
      </c>
      <c r="I453" s="4">
        <f>SalesData[[#This Row],[Profit]]/SalesData[[#This Row],[Sales]]</f>
        <v>0.35</v>
      </c>
      <c r="J453">
        <f>YEAR(SalesData[[#This Row],[Order Date]])</f>
        <v>2017</v>
      </c>
      <c r="K453" t="str">
        <f>TEXT(SalesData[[#This Row],[Order Date]],"mmm")</f>
        <v>Apr</v>
      </c>
      <c r="L453">
        <f>MONTH(SalesData[[#This Row],[Order Date]])</f>
        <v>4</v>
      </c>
      <c r="M453">
        <f>SalesData[[#This Row],[Sales]]/SalesData[[#This Row],[Quantity]]</f>
        <v>14.392000000000001</v>
      </c>
      <c r="N453" t="str">
        <f>IF(SalesData[[#This Row],[Profit]]&gt;0,"Profit","Loss")</f>
        <v>Profit</v>
      </c>
    </row>
    <row r="454" spans="1:14" x14ac:dyDescent="0.3">
      <c r="A454" t="s">
        <v>3040</v>
      </c>
      <c r="B454" s="3">
        <v>42834</v>
      </c>
      <c r="C454" t="s">
        <v>9</v>
      </c>
      <c r="D454" t="s">
        <v>14</v>
      </c>
      <c r="E454" t="s">
        <v>3041</v>
      </c>
      <c r="F454" s="1">
        <v>825.17399999999998</v>
      </c>
      <c r="G454">
        <v>9</v>
      </c>
      <c r="H454" s="1">
        <v>-117.88200000000001</v>
      </c>
      <c r="I454" s="4">
        <f>SalesData[[#This Row],[Profit]]/SalesData[[#This Row],[Sales]]</f>
        <v>-0.14285714285714288</v>
      </c>
      <c r="J454">
        <f>YEAR(SalesData[[#This Row],[Order Date]])</f>
        <v>2017</v>
      </c>
      <c r="K454" t="str">
        <f>TEXT(SalesData[[#This Row],[Order Date]],"mmm")</f>
        <v>Apr</v>
      </c>
      <c r="L454">
        <f>MONTH(SalesData[[#This Row],[Order Date]])</f>
        <v>4</v>
      </c>
      <c r="M454">
        <f>SalesData[[#This Row],[Sales]]/SalesData[[#This Row],[Quantity]]</f>
        <v>91.685999999999993</v>
      </c>
      <c r="N454" t="str">
        <f>IF(SalesData[[#This Row],[Profit]]&gt;0,"Profit","Loss")</f>
        <v>Loss</v>
      </c>
    </row>
    <row r="455" spans="1:14" x14ac:dyDescent="0.3">
      <c r="A455" t="s">
        <v>3040</v>
      </c>
      <c r="B455" s="3">
        <v>42834</v>
      </c>
      <c r="C455" t="s">
        <v>9</v>
      </c>
      <c r="D455" t="s">
        <v>21</v>
      </c>
      <c r="E455" t="s">
        <v>1397</v>
      </c>
      <c r="F455" s="1">
        <v>17.760000000000002</v>
      </c>
      <c r="G455">
        <v>3</v>
      </c>
      <c r="H455" s="1">
        <v>5.55</v>
      </c>
      <c r="I455" s="4">
        <f>SalesData[[#This Row],[Profit]]/SalesData[[#This Row],[Sales]]</f>
        <v>0.31249999999999994</v>
      </c>
      <c r="J455">
        <f>YEAR(SalesData[[#This Row],[Order Date]])</f>
        <v>2017</v>
      </c>
      <c r="K455" t="str">
        <f>TEXT(SalesData[[#This Row],[Order Date]],"mmm")</f>
        <v>Apr</v>
      </c>
      <c r="L455">
        <f>MONTH(SalesData[[#This Row],[Order Date]])</f>
        <v>4</v>
      </c>
      <c r="M455">
        <f>SalesData[[#This Row],[Sales]]/SalesData[[#This Row],[Quantity]]</f>
        <v>5.9200000000000008</v>
      </c>
      <c r="N455" t="str">
        <f>IF(SalesData[[#This Row],[Profit]]&gt;0,"Profit","Loss")</f>
        <v>Profit</v>
      </c>
    </row>
    <row r="456" spans="1:14" x14ac:dyDescent="0.3">
      <c r="A456" t="s">
        <v>3040</v>
      </c>
      <c r="B456" s="3">
        <v>42834</v>
      </c>
      <c r="C456" t="s">
        <v>9</v>
      </c>
      <c r="D456" t="s">
        <v>21</v>
      </c>
      <c r="E456" t="s">
        <v>1540</v>
      </c>
      <c r="F456" s="1">
        <v>6.9119999999999999</v>
      </c>
      <c r="G456">
        <v>3</v>
      </c>
      <c r="H456" s="1">
        <v>0.86399999999999999</v>
      </c>
      <c r="I456" s="4">
        <f>SalesData[[#This Row],[Profit]]/SalesData[[#This Row],[Sales]]</f>
        <v>0.125</v>
      </c>
      <c r="J456">
        <f>YEAR(SalesData[[#This Row],[Order Date]])</f>
        <v>2017</v>
      </c>
      <c r="K456" t="str">
        <f>TEXT(SalesData[[#This Row],[Order Date]],"mmm")</f>
        <v>Apr</v>
      </c>
      <c r="L456">
        <f>MONTH(SalesData[[#This Row],[Order Date]])</f>
        <v>4</v>
      </c>
      <c r="M456">
        <f>SalesData[[#This Row],[Sales]]/SalesData[[#This Row],[Quantity]]</f>
        <v>2.3039999999999998</v>
      </c>
      <c r="N456" t="str">
        <f>IF(SalesData[[#This Row],[Profit]]&gt;0,"Profit","Loss")</f>
        <v>Profit</v>
      </c>
    </row>
    <row r="457" spans="1:14" x14ac:dyDescent="0.3">
      <c r="A457" t="s">
        <v>3042</v>
      </c>
      <c r="B457" s="3">
        <v>42834</v>
      </c>
      <c r="C457" t="s">
        <v>17</v>
      </c>
      <c r="D457" t="s">
        <v>21</v>
      </c>
      <c r="E457" t="s">
        <v>268</v>
      </c>
      <c r="F457" s="1">
        <v>8.2560000000000002</v>
      </c>
      <c r="G457">
        <v>4</v>
      </c>
      <c r="H457" s="1">
        <v>0.61919999999999997</v>
      </c>
      <c r="I457" s="4">
        <f>SalesData[[#This Row],[Profit]]/SalesData[[#This Row],[Sales]]</f>
        <v>7.4999999999999997E-2</v>
      </c>
      <c r="J457">
        <f>YEAR(SalesData[[#This Row],[Order Date]])</f>
        <v>2017</v>
      </c>
      <c r="K457" t="str">
        <f>TEXT(SalesData[[#This Row],[Order Date]],"mmm")</f>
        <v>Apr</v>
      </c>
      <c r="L457">
        <f>MONTH(SalesData[[#This Row],[Order Date]])</f>
        <v>4</v>
      </c>
      <c r="M457">
        <f>SalesData[[#This Row],[Sales]]/SalesData[[#This Row],[Quantity]]</f>
        <v>2.0640000000000001</v>
      </c>
      <c r="N457" t="str">
        <f>IF(SalesData[[#This Row],[Profit]]&gt;0,"Profit","Loss")</f>
        <v>Profit</v>
      </c>
    </row>
    <row r="458" spans="1:14" x14ac:dyDescent="0.3">
      <c r="A458" t="s">
        <v>3042</v>
      </c>
      <c r="B458" s="3">
        <v>42834</v>
      </c>
      <c r="C458" t="s">
        <v>17</v>
      </c>
      <c r="D458" t="s">
        <v>21</v>
      </c>
      <c r="E458" t="s">
        <v>1639</v>
      </c>
      <c r="F458" s="1">
        <v>25.56</v>
      </c>
      <c r="G458">
        <v>5</v>
      </c>
      <c r="H458" s="1">
        <v>-20.448</v>
      </c>
      <c r="I458" s="4">
        <f>SalesData[[#This Row],[Profit]]/SalesData[[#This Row],[Sales]]</f>
        <v>-0.8</v>
      </c>
      <c r="J458">
        <f>YEAR(SalesData[[#This Row],[Order Date]])</f>
        <v>2017</v>
      </c>
      <c r="K458" t="str">
        <f>TEXT(SalesData[[#This Row],[Order Date]],"mmm")</f>
        <v>Apr</v>
      </c>
      <c r="L458">
        <f>MONTH(SalesData[[#This Row],[Order Date]])</f>
        <v>4</v>
      </c>
      <c r="M458">
        <f>SalesData[[#This Row],[Sales]]/SalesData[[#This Row],[Quantity]]</f>
        <v>5.1120000000000001</v>
      </c>
      <c r="N458" t="str">
        <f>IF(SalesData[[#This Row],[Profit]]&gt;0,"Profit","Loss")</f>
        <v>Loss</v>
      </c>
    </row>
    <row r="459" spans="1:14" x14ac:dyDescent="0.3">
      <c r="A459" t="s">
        <v>3042</v>
      </c>
      <c r="B459" s="3">
        <v>42834</v>
      </c>
      <c r="C459" t="s">
        <v>17</v>
      </c>
      <c r="D459" t="s">
        <v>21</v>
      </c>
      <c r="E459" t="s">
        <v>1640</v>
      </c>
      <c r="F459" s="1">
        <v>4.3680000000000003</v>
      </c>
      <c r="G459">
        <v>2</v>
      </c>
      <c r="H459" s="1">
        <v>-3.0575999999999999</v>
      </c>
      <c r="I459" s="4">
        <f>SalesData[[#This Row],[Profit]]/SalesData[[#This Row],[Sales]]</f>
        <v>-0.7</v>
      </c>
      <c r="J459">
        <f>YEAR(SalesData[[#This Row],[Order Date]])</f>
        <v>2017</v>
      </c>
      <c r="K459" t="str">
        <f>TEXT(SalesData[[#This Row],[Order Date]],"mmm")</f>
        <v>Apr</v>
      </c>
      <c r="L459">
        <f>MONTH(SalesData[[#This Row],[Order Date]])</f>
        <v>4</v>
      </c>
      <c r="M459">
        <f>SalesData[[#This Row],[Sales]]/SalesData[[#This Row],[Quantity]]</f>
        <v>2.1840000000000002</v>
      </c>
      <c r="N459" t="str">
        <f>IF(SalesData[[#This Row],[Profit]]&gt;0,"Profit","Loss")</f>
        <v>Loss</v>
      </c>
    </row>
    <row r="460" spans="1:14" x14ac:dyDescent="0.3">
      <c r="A460" t="s">
        <v>3042</v>
      </c>
      <c r="B460" s="3">
        <v>42834</v>
      </c>
      <c r="C460" t="s">
        <v>17</v>
      </c>
      <c r="D460" t="s">
        <v>21</v>
      </c>
      <c r="E460" t="s">
        <v>3043</v>
      </c>
      <c r="F460" s="1">
        <v>11.52</v>
      </c>
      <c r="G460">
        <v>4</v>
      </c>
      <c r="H460" s="1">
        <v>3.7440000000000002</v>
      </c>
      <c r="I460" s="4">
        <f>SalesData[[#This Row],[Profit]]/SalesData[[#This Row],[Sales]]</f>
        <v>0.32500000000000001</v>
      </c>
      <c r="J460">
        <f>YEAR(SalesData[[#This Row],[Order Date]])</f>
        <v>2017</v>
      </c>
      <c r="K460" t="str">
        <f>TEXT(SalesData[[#This Row],[Order Date]],"mmm")</f>
        <v>Apr</v>
      </c>
      <c r="L460">
        <f>MONTH(SalesData[[#This Row],[Order Date]])</f>
        <v>4</v>
      </c>
      <c r="M460">
        <f>SalesData[[#This Row],[Sales]]/SalesData[[#This Row],[Quantity]]</f>
        <v>2.88</v>
      </c>
      <c r="N460" t="str">
        <f>IF(SalesData[[#This Row],[Profit]]&gt;0,"Profit","Loss")</f>
        <v>Profit</v>
      </c>
    </row>
    <row r="461" spans="1:14" x14ac:dyDescent="0.3">
      <c r="A461" t="s">
        <v>3044</v>
      </c>
      <c r="B461" s="3">
        <v>42834</v>
      </c>
      <c r="C461" t="s">
        <v>13</v>
      </c>
      <c r="D461" t="s">
        <v>21</v>
      </c>
      <c r="E461" t="s">
        <v>488</v>
      </c>
      <c r="F461" s="1">
        <v>487.98399999999998</v>
      </c>
      <c r="G461">
        <v>2</v>
      </c>
      <c r="H461" s="1">
        <v>152.495</v>
      </c>
      <c r="I461" s="4">
        <f>SalesData[[#This Row],[Profit]]/SalesData[[#This Row],[Sales]]</f>
        <v>0.3125</v>
      </c>
      <c r="J461">
        <f>YEAR(SalesData[[#This Row],[Order Date]])</f>
        <v>2017</v>
      </c>
      <c r="K461" t="str">
        <f>TEXT(SalesData[[#This Row],[Order Date]],"mmm")</f>
        <v>Apr</v>
      </c>
      <c r="L461">
        <f>MONTH(SalesData[[#This Row],[Order Date]])</f>
        <v>4</v>
      </c>
      <c r="M461">
        <f>SalesData[[#This Row],[Sales]]/SalesData[[#This Row],[Quantity]]</f>
        <v>243.99199999999999</v>
      </c>
      <c r="N461" t="str">
        <f>IF(SalesData[[#This Row],[Profit]]&gt;0,"Profit","Loss")</f>
        <v>Profit</v>
      </c>
    </row>
    <row r="462" spans="1:14" x14ac:dyDescent="0.3">
      <c r="A462" t="s">
        <v>3044</v>
      </c>
      <c r="B462" s="3">
        <v>42834</v>
      </c>
      <c r="C462" t="s">
        <v>13</v>
      </c>
      <c r="D462" t="s">
        <v>10</v>
      </c>
      <c r="E462" t="s">
        <v>3045</v>
      </c>
      <c r="F462" s="1">
        <v>5.56</v>
      </c>
      <c r="G462">
        <v>1</v>
      </c>
      <c r="H462" s="1">
        <v>1.7375</v>
      </c>
      <c r="I462" s="4">
        <f>SalesData[[#This Row],[Profit]]/SalesData[[#This Row],[Sales]]</f>
        <v>0.31250000000000006</v>
      </c>
      <c r="J462">
        <f>YEAR(SalesData[[#This Row],[Order Date]])</f>
        <v>2017</v>
      </c>
      <c r="K462" t="str">
        <f>TEXT(SalesData[[#This Row],[Order Date]],"mmm")</f>
        <v>Apr</v>
      </c>
      <c r="L462">
        <f>MONTH(SalesData[[#This Row],[Order Date]])</f>
        <v>4</v>
      </c>
      <c r="M462">
        <f>SalesData[[#This Row],[Sales]]/SalesData[[#This Row],[Quantity]]</f>
        <v>5.56</v>
      </c>
      <c r="N462" t="str">
        <f>IF(SalesData[[#This Row],[Profit]]&gt;0,"Profit","Loss")</f>
        <v>Profit</v>
      </c>
    </row>
    <row r="463" spans="1:14" x14ac:dyDescent="0.3">
      <c r="A463" t="s">
        <v>3044</v>
      </c>
      <c r="B463" s="3">
        <v>42834</v>
      </c>
      <c r="C463" t="s">
        <v>13</v>
      </c>
      <c r="D463" t="s">
        <v>21</v>
      </c>
      <c r="E463" t="s">
        <v>367</v>
      </c>
      <c r="F463" s="1">
        <v>217.85</v>
      </c>
      <c r="G463">
        <v>5</v>
      </c>
      <c r="H463" s="1">
        <v>65.355000000000004</v>
      </c>
      <c r="I463" s="4">
        <f>SalesData[[#This Row],[Profit]]/SalesData[[#This Row],[Sales]]</f>
        <v>0.30000000000000004</v>
      </c>
      <c r="J463">
        <f>YEAR(SalesData[[#This Row],[Order Date]])</f>
        <v>2017</v>
      </c>
      <c r="K463" t="str">
        <f>TEXT(SalesData[[#This Row],[Order Date]],"mmm")</f>
        <v>Apr</v>
      </c>
      <c r="L463">
        <f>MONTH(SalesData[[#This Row],[Order Date]])</f>
        <v>4</v>
      </c>
      <c r="M463">
        <f>SalesData[[#This Row],[Sales]]/SalesData[[#This Row],[Quantity]]</f>
        <v>43.57</v>
      </c>
      <c r="N463" t="str">
        <f>IF(SalesData[[#This Row],[Profit]]&gt;0,"Profit","Loss")</f>
        <v>Profit</v>
      </c>
    </row>
    <row r="464" spans="1:14" x14ac:dyDescent="0.3">
      <c r="A464" t="s">
        <v>3046</v>
      </c>
      <c r="B464" s="3">
        <v>42834</v>
      </c>
      <c r="C464" t="s">
        <v>17</v>
      </c>
      <c r="D464" t="s">
        <v>10</v>
      </c>
      <c r="E464" t="s">
        <v>214</v>
      </c>
      <c r="F464" s="1">
        <v>19.04</v>
      </c>
      <c r="G464">
        <v>4</v>
      </c>
      <c r="H464" s="1">
        <v>-1.4279999999999999</v>
      </c>
      <c r="I464" s="4">
        <f>SalesData[[#This Row],[Profit]]/SalesData[[#This Row],[Sales]]</f>
        <v>-7.4999999999999997E-2</v>
      </c>
      <c r="J464">
        <f>YEAR(SalesData[[#This Row],[Order Date]])</f>
        <v>2017</v>
      </c>
      <c r="K464" t="str">
        <f>TEXT(SalesData[[#This Row],[Order Date]],"mmm")</f>
        <v>Apr</v>
      </c>
      <c r="L464">
        <f>MONTH(SalesData[[#This Row],[Order Date]])</f>
        <v>4</v>
      </c>
      <c r="M464">
        <f>SalesData[[#This Row],[Sales]]/SalesData[[#This Row],[Quantity]]</f>
        <v>4.76</v>
      </c>
      <c r="N464" t="str">
        <f>IF(SalesData[[#This Row],[Profit]]&gt;0,"Profit","Loss")</f>
        <v>Loss</v>
      </c>
    </row>
    <row r="465" spans="1:14" x14ac:dyDescent="0.3">
      <c r="A465" t="s">
        <v>3047</v>
      </c>
      <c r="B465" s="3">
        <v>42834</v>
      </c>
      <c r="C465" t="s">
        <v>13</v>
      </c>
      <c r="D465" t="s">
        <v>21</v>
      </c>
      <c r="E465" t="s">
        <v>1815</v>
      </c>
      <c r="F465" s="1">
        <v>54.32</v>
      </c>
      <c r="G465">
        <v>4</v>
      </c>
      <c r="H465" s="1">
        <v>0.54320000000000002</v>
      </c>
      <c r="I465" s="4">
        <f>SalesData[[#This Row],[Profit]]/SalesData[[#This Row],[Sales]]</f>
        <v>0.01</v>
      </c>
      <c r="J465">
        <f>YEAR(SalesData[[#This Row],[Order Date]])</f>
        <v>2017</v>
      </c>
      <c r="K465" t="str">
        <f>TEXT(SalesData[[#This Row],[Order Date]],"mmm")</f>
        <v>Apr</v>
      </c>
      <c r="L465">
        <f>MONTH(SalesData[[#This Row],[Order Date]])</f>
        <v>4</v>
      </c>
      <c r="M465">
        <f>SalesData[[#This Row],[Sales]]/SalesData[[#This Row],[Quantity]]</f>
        <v>13.58</v>
      </c>
      <c r="N465" t="str">
        <f>IF(SalesData[[#This Row],[Profit]]&gt;0,"Profit","Loss")</f>
        <v>Profit</v>
      </c>
    </row>
    <row r="466" spans="1:14" x14ac:dyDescent="0.3">
      <c r="A466" t="s">
        <v>3048</v>
      </c>
      <c r="B466" s="3">
        <v>42834</v>
      </c>
      <c r="C466" t="s">
        <v>13</v>
      </c>
      <c r="D466" t="s">
        <v>21</v>
      </c>
      <c r="E466" t="s">
        <v>1686</v>
      </c>
      <c r="F466" s="1">
        <v>13.343999999999999</v>
      </c>
      <c r="G466">
        <v>6</v>
      </c>
      <c r="H466" s="1">
        <v>4.3368000000000002</v>
      </c>
      <c r="I466" s="4">
        <f>SalesData[[#This Row],[Profit]]/SalesData[[#This Row],[Sales]]</f>
        <v>0.32500000000000001</v>
      </c>
      <c r="J466">
        <f>YEAR(SalesData[[#This Row],[Order Date]])</f>
        <v>2017</v>
      </c>
      <c r="K466" t="str">
        <f>TEXT(SalesData[[#This Row],[Order Date]],"mmm")</f>
        <v>Apr</v>
      </c>
      <c r="L466">
        <f>MONTH(SalesData[[#This Row],[Order Date]])</f>
        <v>4</v>
      </c>
      <c r="M466">
        <f>SalesData[[#This Row],[Sales]]/SalesData[[#This Row],[Quantity]]</f>
        <v>2.2239999999999998</v>
      </c>
      <c r="N466" t="str">
        <f>IF(SalesData[[#This Row],[Profit]]&gt;0,"Profit","Loss")</f>
        <v>Profit</v>
      </c>
    </row>
    <row r="467" spans="1:14" x14ac:dyDescent="0.3">
      <c r="A467" t="s">
        <v>3048</v>
      </c>
      <c r="B467" s="3">
        <v>42834</v>
      </c>
      <c r="C467" t="s">
        <v>13</v>
      </c>
      <c r="D467" t="s">
        <v>14</v>
      </c>
      <c r="E467" t="s">
        <v>2491</v>
      </c>
      <c r="F467" s="1">
        <v>1478.2719999999999</v>
      </c>
      <c r="G467">
        <v>8</v>
      </c>
      <c r="H467" s="1">
        <v>92.391999999999996</v>
      </c>
      <c r="I467" s="4">
        <f>SalesData[[#This Row],[Profit]]/SalesData[[#This Row],[Sales]]</f>
        <v>6.25E-2</v>
      </c>
      <c r="J467">
        <f>YEAR(SalesData[[#This Row],[Order Date]])</f>
        <v>2017</v>
      </c>
      <c r="K467" t="str">
        <f>TEXT(SalesData[[#This Row],[Order Date]],"mmm")</f>
        <v>Apr</v>
      </c>
      <c r="L467">
        <f>MONTH(SalesData[[#This Row],[Order Date]])</f>
        <v>4</v>
      </c>
      <c r="M467">
        <f>SalesData[[#This Row],[Sales]]/SalesData[[#This Row],[Quantity]]</f>
        <v>184.78399999999999</v>
      </c>
      <c r="N467" t="str">
        <f>IF(SalesData[[#This Row],[Profit]]&gt;0,"Profit","Loss")</f>
        <v>Profit</v>
      </c>
    </row>
    <row r="468" spans="1:14" x14ac:dyDescent="0.3">
      <c r="A468" t="s">
        <v>3049</v>
      </c>
      <c r="B468" s="3">
        <v>42834</v>
      </c>
      <c r="C468" t="s">
        <v>17</v>
      </c>
      <c r="D468" t="s">
        <v>21</v>
      </c>
      <c r="E468" t="s">
        <v>83</v>
      </c>
      <c r="F468" s="1">
        <v>14.82</v>
      </c>
      <c r="G468">
        <v>6</v>
      </c>
      <c r="H468" s="1">
        <v>6.9653999999999998</v>
      </c>
      <c r="I468" s="4">
        <f>SalesData[[#This Row],[Profit]]/SalesData[[#This Row],[Sales]]</f>
        <v>0.47</v>
      </c>
      <c r="J468">
        <f>YEAR(SalesData[[#This Row],[Order Date]])</f>
        <v>2017</v>
      </c>
      <c r="K468" t="str">
        <f>TEXT(SalesData[[#This Row],[Order Date]],"mmm")</f>
        <v>Apr</v>
      </c>
      <c r="L468">
        <f>MONTH(SalesData[[#This Row],[Order Date]])</f>
        <v>4</v>
      </c>
      <c r="M468">
        <f>SalesData[[#This Row],[Sales]]/SalesData[[#This Row],[Quantity]]</f>
        <v>2.4700000000000002</v>
      </c>
      <c r="N468" t="str">
        <f>IF(SalesData[[#This Row],[Profit]]&gt;0,"Profit","Loss")</f>
        <v>Profit</v>
      </c>
    </row>
    <row r="469" spans="1:14" x14ac:dyDescent="0.3">
      <c r="A469" t="s">
        <v>3050</v>
      </c>
      <c r="B469" s="3">
        <v>42834</v>
      </c>
      <c r="C469" t="s">
        <v>13</v>
      </c>
      <c r="D469" t="s">
        <v>21</v>
      </c>
      <c r="E469" t="s">
        <v>3051</v>
      </c>
      <c r="F469" s="1">
        <v>421.1</v>
      </c>
      <c r="G469">
        <v>2</v>
      </c>
      <c r="H469" s="1">
        <v>105.27500000000001</v>
      </c>
      <c r="I469" s="4">
        <f>SalesData[[#This Row],[Profit]]/SalesData[[#This Row],[Sales]]</f>
        <v>0.25</v>
      </c>
      <c r="J469">
        <f>YEAR(SalesData[[#This Row],[Order Date]])</f>
        <v>2017</v>
      </c>
      <c r="K469" t="str">
        <f>TEXT(SalesData[[#This Row],[Order Date]],"mmm")</f>
        <v>Apr</v>
      </c>
      <c r="L469">
        <f>MONTH(SalesData[[#This Row],[Order Date]])</f>
        <v>4</v>
      </c>
      <c r="M469">
        <f>SalesData[[#This Row],[Sales]]/SalesData[[#This Row],[Quantity]]</f>
        <v>210.55</v>
      </c>
      <c r="N469" t="str">
        <f>IF(SalesData[[#This Row],[Profit]]&gt;0,"Profit","Loss")</f>
        <v>Profit</v>
      </c>
    </row>
    <row r="470" spans="1:14" x14ac:dyDescent="0.3">
      <c r="A470" t="s">
        <v>3052</v>
      </c>
      <c r="B470" s="3">
        <v>42834</v>
      </c>
      <c r="C470" t="s">
        <v>46</v>
      </c>
      <c r="D470" t="s">
        <v>14</v>
      </c>
      <c r="E470" t="s">
        <v>433</v>
      </c>
      <c r="F470" s="1">
        <v>97.183999999999997</v>
      </c>
      <c r="G470">
        <v>2</v>
      </c>
      <c r="H470" s="1">
        <v>6.0739999999999998</v>
      </c>
      <c r="I470" s="4">
        <f>SalesData[[#This Row],[Profit]]/SalesData[[#This Row],[Sales]]</f>
        <v>6.25E-2</v>
      </c>
      <c r="J470">
        <f>YEAR(SalesData[[#This Row],[Order Date]])</f>
        <v>2017</v>
      </c>
      <c r="K470" t="str">
        <f>TEXT(SalesData[[#This Row],[Order Date]],"mmm")</f>
        <v>Apr</v>
      </c>
      <c r="L470">
        <f>MONTH(SalesData[[#This Row],[Order Date]])</f>
        <v>4</v>
      </c>
      <c r="M470">
        <f>SalesData[[#This Row],[Sales]]/SalesData[[#This Row],[Quantity]]</f>
        <v>48.591999999999999</v>
      </c>
      <c r="N470" t="str">
        <f>IF(SalesData[[#This Row],[Profit]]&gt;0,"Profit","Loss")</f>
        <v>Profit</v>
      </c>
    </row>
    <row r="471" spans="1:14" x14ac:dyDescent="0.3">
      <c r="A471" t="s">
        <v>3052</v>
      </c>
      <c r="B471" s="3">
        <v>42834</v>
      </c>
      <c r="C471" t="s">
        <v>46</v>
      </c>
      <c r="D471" t="s">
        <v>21</v>
      </c>
      <c r="E471" t="s">
        <v>979</v>
      </c>
      <c r="F471" s="1">
        <v>10.368</v>
      </c>
      <c r="G471">
        <v>2</v>
      </c>
      <c r="H471" s="1">
        <v>3.6288</v>
      </c>
      <c r="I471" s="4">
        <f>SalesData[[#This Row],[Profit]]/SalesData[[#This Row],[Sales]]</f>
        <v>0.35</v>
      </c>
      <c r="J471">
        <f>YEAR(SalesData[[#This Row],[Order Date]])</f>
        <v>2017</v>
      </c>
      <c r="K471" t="str">
        <f>TEXT(SalesData[[#This Row],[Order Date]],"mmm")</f>
        <v>Apr</v>
      </c>
      <c r="L471">
        <f>MONTH(SalesData[[#This Row],[Order Date]])</f>
        <v>4</v>
      </c>
      <c r="M471">
        <f>SalesData[[#This Row],[Sales]]/SalesData[[#This Row],[Quantity]]</f>
        <v>5.1840000000000002</v>
      </c>
      <c r="N471" t="str">
        <f>IF(SalesData[[#This Row],[Profit]]&gt;0,"Profit","Loss")</f>
        <v>Profit</v>
      </c>
    </row>
    <row r="472" spans="1:14" x14ac:dyDescent="0.3">
      <c r="A472" t="s">
        <v>3053</v>
      </c>
      <c r="B472" s="3">
        <v>42834</v>
      </c>
      <c r="C472" t="s">
        <v>9</v>
      </c>
      <c r="D472" t="s">
        <v>21</v>
      </c>
      <c r="E472" t="s">
        <v>701</v>
      </c>
      <c r="F472" s="1">
        <v>30.384</v>
      </c>
      <c r="G472">
        <v>1</v>
      </c>
      <c r="H472" s="1">
        <v>3.798</v>
      </c>
      <c r="I472" s="4">
        <f>SalesData[[#This Row],[Profit]]/SalesData[[#This Row],[Sales]]</f>
        <v>0.125</v>
      </c>
      <c r="J472">
        <f>YEAR(SalesData[[#This Row],[Order Date]])</f>
        <v>2017</v>
      </c>
      <c r="K472" t="str">
        <f>TEXT(SalesData[[#This Row],[Order Date]],"mmm")</f>
        <v>Apr</v>
      </c>
      <c r="L472">
        <f>MONTH(SalesData[[#This Row],[Order Date]])</f>
        <v>4</v>
      </c>
      <c r="M472">
        <f>SalesData[[#This Row],[Sales]]/SalesData[[#This Row],[Quantity]]</f>
        <v>30.384</v>
      </c>
      <c r="N472" t="str">
        <f>IF(SalesData[[#This Row],[Profit]]&gt;0,"Profit","Loss")</f>
        <v>Profit</v>
      </c>
    </row>
    <row r="473" spans="1:14" x14ac:dyDescent="0.3">
      <c r="A473" t="s">
        <v>3054</v>
      </c>
      <c r="B473" s="3">
        <v>42834</v>
      </c>
      <c r="C473" t="s">
        <v>13</v>
      </c>
      <c r="D473" t="s">
        <v>21</v>
      </c>
      <c r="E473" t="s">
        <v>1164</v>
      </c>
      <c r="F473" s="1">
        <v>11.808</v>
      </c>
      <c r="G473">
        <v>3</v>
      </c>
      <c r="H473" s="1">
        <v>4.1327999999999996</v>
      </c>
      <c r="I473" s="4">
        <f>SalesData[[#This Row],[Profit]]/SalesData[[#This Row],[Sales]]</f>
        <v>0.35</v>
      </c>
      <c r="J473">
        <f>YEAR(SalesData[[#This Row],[Order Date]])</f>
        <v>2017</v>
      </c>
      <c r="K473" t="str">
        <f>TEXT(SalesData[[#This Row],[Order Date]],"mmm")</f>
        <v>Apr</v>
      </c>
      <c r="L473">
        <f>MONTH(SalesData[[#This Row],[Order Date]])</f>
        <v>4</v>
      </c>
      <c r="M473">
        <f>SalesData[[#This Row],[Sales]]/SalesData[[#This Row],[Quantity]]</f>
        <v>3.9359999999999999</v>
      </c>
      <c r="N473" t="str">
        <f>IF(SalesData[[#This Row],[Profit]]&gt;0,"Profit","Loss")</f>
        <v>Profit</v>
      </c>
    </row>
    <row r="474" spans="1:14" x14ac:dyDescent="0.3">
      <c r="A474" t="s">
        <v>3055</v>
      </c>
      <c r="B474" s="3">
        <v>42834</v>
      </c>
      <c r="C474" t="s">
        <v>13</v>
      </c>
      <c r="D474" t="s">
        <v>21</v>
      </c>
      <c r="E474" t="s">
        <v>3056</v>
      </c>
      <c r="F474" s="1">
        <v>88.073999999999998</v>
      </c>
      <c r="G474">
        <v>7</v>
      </c>
      <c r="H474" s="1">
        <v>-58.716000000000001</v>
      </c>
      <c r="I474" s="4">
        <f>SalesData[[#This Row],[Profit]]/SalesData[[#This Row],[Sales]]</f>
        <v>-0.66666666666666674</v>
      </c>
      <c r="J474">
        <f>YEAR(SalesData[[#This Row],[Order Date]])</f>
        <v>2017</v>
      </c>
      <c r="K474" t="str">
        <f>TEXT(SalesData[[#This Row],[Order Date]],"mmm")</f>
        <v>Apr</v>
      </c>
      <c r="L474">
        <f>MONTH(SalesData[[#This Row],[Order Date]])</f>
        <v>4</v>
      </c>
      <c r="M474">
        <f>SalesData[[#This Row],[Sales]]/SalesData[[#This Row],[Quantity]]</f>
        <v>12.581999999999999</v>
      </c>
      <c r="N474" t="str">
        <f>IF(SalesData[[#This Row],[Profit]]&gt;0,"Profit","Loss")</f>
        <v>Loss</v>
      </c>
    </row>
    <row r="475" spans="1:14" x14ac:dyDescent="0.3">
      <c r="A475" t="s">
        <v>3057</v>
      </c>
      <c r="B475" s="3">
        <v>42835</v>
      </c>
      <c r="C475" t="s">
        <v>17</v>
      </c>
      <c r="D475" t="s">
        <v>14</v>
      </c>
      <c r="E475" t="s">
        <v>1149</v>
      </c>
      <c r="F475" s="1">
        <v>19.98</v>
      </c>
      <c r="G475">
        <v>1</v>
      </c>
      <c r="H475" s="1">
        <v>8.5914000000000001</v>
      </c>
      <c r="I475" s="4">
        <f>SalesData[[#This Row],[Profit]]/SalesData[[#This Row],[Sales]]</f>
        <v>0.43</v>
      </c>
      <c r="J475">
        <f>YEAR(SalesData[[#This Row],[Order Date]])</f>
        <v>2017</v>
      </c>
      <c r="K475" t="str">
        <f>TEXT(SalesData[[#This Row],[Order Date]],"mmm")</f>
        <v>Apr</v>
      </c>
      <c r="L475">
        <f>MONTH(SalesData[[#This Row],[Order Date]])</f>
        <v>4</v>
      </c>
      <c r="M475">
        <f>SalesData[[#This Row],[Sales]]/SalesData[[#This Row],[Quantity]]</f>
        <v>19.98</v>
      </c>
      <c r="N475" t="str">
        <f>IF(SalesData[[#This Row],[Profit]]&gt;0,"Profit","Loss")</f>
        <v>Profit</v>
      </c>
    </row>
    <row r="476" spans="1:14" x14ac:dyDescent="0.3">
      <c r="A476" t="s">
        <v>3058</v>
      </c>
      <c r="B476" s="3">
        <v>42836</v>
      </c>
      <c r="C476" t="s">
        <v>46</v>
      </c>
      <c r="D476" t="s">
        <v>10</v>
      </c>
      <c r="E476" t="s">
        <v>3059</v>
      </c>
      <c r="F476" s="1">
        <v>7999.98</v>
      </c>
      <c r="G476">
        <v>4</v>
      </c>
      <c r="H476" s="1">
        <v>-3839.9904000000001</v>
      </c>
      <c r="I476" s="4">
        <f>SalesData[[#This Row],[Profit]]/SalesData[[#This Row],[Sales]]</f>
        <v>-0.48000000000000004</v>
      </c>
      <c r="J476">
        <f>YEAR(SalesData[[#This Row],[Order Date]])</f>
        <v>2017</v>
      </c>
      <c r="K476" t="str">
        <f>TEXT(SalesData[[#This Row],[Order Date]],"mmm")</f>
        <v>Apr</v>
      </c>
      <c r="L476">
        <f>MONTH(SalesData[[#This Row],[Order Date]])</f>
        <v>4</v>
      </c>
      <c r="M476">
        <f>SalesData[[#This Row],[Sales]]/SalesData[[#This Row],[Quantity]]</f>
        <v>1999.9949999999999</v>
      </c>
      <c r="N476" t="str">
        <f>IF(SalesData[[#This Row],[Profit]]&gt;0,"Profit","Loss")</f>
        <v>Loss</v>
      </c>
    </row>
    <row r="477" spans="1:14" x14ac:dyDescent="0.3">
      <c r="A477" t="s">
        <v>3058</v>
      </c>
      <c r="B477" s="3">
        <v>42836</v>
      </c>
      <c r="C477" t="s">
        <v>46</v>
      </c>
      <c r="D477" t="s">
        <v>21</v>
      </c>
      <c r="E477" t="s">
        <v>1908</v>
      </c>
      <c r="F477" s="1">
        <v>167.44</v>
      </c>
      <c r="G477">
        <v>2</v>
      </c>
      <c r="H477" s="1">
        <v>14.651</v>
      </c>
      <c r="I477" s="4">
        <f>SalesData[[#This Row],[Profit]]/SalesData[[#This Row],[Sales]]</f>
        <v>8.7499999999999994E-2</v>
      </c>
      <c r="J477">
        <f>YEAR(SalesData[[#This Row],[Order Date]])</f>
        <v>2017</v>
      </c>
      <c r="K477" t="str">
        <f>TEXT(SalesData[[#This Row],[Order Date]],"mmm")</f>
        <v>Apr</v>
      </c>
      <c r="L477">
        <f>MONTH(SalesData[[#This Row],[Order Date]])</f>
        <v>4</v>
      </c>
      <c r="M477">
        <f>SalesData[[#This Row],[Sales]]/SalesData[[#This Row],[Quantity]]</f>
        <v>83.72</v>
      </c>
      <c r="N477" t="str">
        <f>IF(SalesData[[#This Row],[Profit]]&gt;0,"Profit","Loss")</f>
        <v>Profit</v>
      </c>
    </row>
    <row r="478" spans="1:14" x14ac:dyDescent="0.3">
      <c r="A478" t="s">
        <v>3060</v>
      </c>
      <c r="B478" s="3">
        <v>42836</v>
      </c>
      <c r="C478" t="s">
        <v>46</v>
      </c>
      <c r="D478" t="s">
        <v>21</v>
      </c>
      <c r="E478" t="s">
        <v>3061</v>
      </c>
      <c r="F478" s="1">
        <v>9.6639999999999997</v>
      </c>
      <c r="G478">
        <v>2</v>
      </c>
      <c r="H478" s="1">
        <v>3.2616000000000001</v>
      </c>
      <c r="I478" s="4">
        <f>SalesData[[#This Row],[Profit]]/SalesData[[#This Row],[Sales]]</f>
        <v>0.33750000000000002</v>
      </c>
      <c r="J478">
        <f>YEAR(SalesData[[#This Row],[Order Date]])</f>
        <v>2017</v>
      </c>
      <c r="K478" t="str">
        <f>TEXT(SalesData[[#This Row],[Order Date]],"mmm")</f>
        <v>Apr</v>
      </c>
      <c r="L478">
        <f>MONTH(SalesData[[#This Row],[Order Date]])</f>
        <v>4</v>
      </c>
      <c r="M478">
        <f>SalesData[[#This Row],[Sales]]/SalesData[[#This Row],[Quantity]]</f>
        <v>4.8319999999999999</v>
      </c>
      <c r="N478" t="str">
        <f>IF(SalesData[[#This Row],[Profit]]&gt;0,"Profit","Loss")</f>
        <v>Profit</v>
      </c>
    </row>
    <row r="479" spans="1:14" x14ac:dyDescent="0.3">
      <c r="A479" t="s">
        <v>3062</v>
      </c>
      <c r="B479" s="3">
        <v>42836</v>
      </c>
      <c r="C479" t="s">
        <v>9</v>
      </c>
      <c r="D479" t="s">
        <v>21</v>
      </c>
      <c r="E479" t="s">
        <v>781</v>
      </c>
      <c r="F479" s="1">
        <v>23.68</v>
      </c>
      <c r="G479">
        <v>2</v>
      </c>
      <c r="H479" s="1">
        <v>8.8800000000000008</v>
      </c>
      <c r="I479" s="4">
        <f>SalesData[[#This Row],[Profit]]/SalesData[[#This Row],[Sales]]</f>
        <v>0.37500000000000006</v>
      </c>
      <c r="J479">
        <f>YEAR(SalesData[[#This Row],[Order Date]])</f>
        <v>2017</v>
      </c>
      <c r="K479" t="str">
        <f>TEXT(SalesData[[#This Row],[Order Date]],"mmm")</f>
        <v>Apr</v>
      </c>
      <c r="L479">
        <f>MONTH(SalesData[[#This Row],[Order Date]])</f>
        <v>4</v>
      </c>
      <c r="M479">
        <f>SalesData[[#This Row],[Sales]]/SalesData[[#This Row],[Quantity]]</f>
        <v>11.84</v>
      </c>
      <c r="N479" t="str">
        <f>IF(SalesData[[#This Row],[Profit]]&gt;0,"Profit","Loss")</f>
        <v>Profit</v>
      </c>
    </row>
    <row r="480" spans="1:14" x14ac:dyDescent="0.3">
      <c r="A480" t="s">
        <v>3063</v>
      </c>
      <c r="B480" s="3">
        <v>42836</v>
      </c>
      <c r="C480" t="s">
        <v>46</v>
      </c>
      <c r="D480" t="s">
        <v>14</v>
      </c>
      <c r="E480" t="s">
        <v>986</v>
      </c>
      <c r="F480" s="1">
        <v>523.76400000000001</v>
      </c>
      <c r="G480">
        <v>3</v>
      </c>
      <c r="H480" s="1">
        <v>-192.04679999999999</v>
      </c>
      <c r="I480" s="4">
        <f>SalesData[[#This Row],[Profit]]/SalesData[[#This Row],[Sales]]</f>
        <v>-0.36666666666666664</v>
      </c>
      <c r="J480">
        <f>YEAR(SalesData[[#This Row],[Order Date]])</f>
        <v>2017</v>
      </c>
      <c r="K480" t="str">
        <f>TEXT(SalesData[[#This Row],[Order Date]],"mmm")</f>
        <v>Apr</v>
      </c>
      <c r="L480">
        <f>MONTH(SalesData[[#This Row],[Order Date]])</f>
        <v>4</v>
      </c>
      <c r="M480">
        <f>SalesData[[#This Row],[Sales]]/SalesData[[#This Row],[Quantity]]</f>
        <v>174.58799999999999</v>
      </c>
      <c r="N480" t="str">
        <f>IF(SalesData[[#This Row],[Profit]]&gt;0,"Profit","Loss")</f>
        <v>Loss</v>
      </c>
    </row>
    <row r="481" spans="1:14" x14ac:dyDescent="0.3">
      <c r="A481" t="s">
        <v>3063</v>
      </c>
      <c r="B481" s="3">
        <v>42836</v>
      </c>
      <c r="C481" t="s">
        <v>46</v>
      </c>
      <c r="D481" t="s">
        <v>10</v>
      </c>
      <c r="E481" t="s">
        <v>3064</v>
      </c>
      <c r="F481" s="1">
        <v>1359.96</v>
      </c>
      <c r="G481">
        <v>5</v>
      </c>
      <c r="H481" s="1">
        <v>118.9965</v>
      </c>
      <c r="I481" s="4">
        <f>SalesData[[#This Row],[Profit]]/SalesData[[#This Row],[Sales]]</f>
        <v>8.7499999999999994E-2</v>
      </c>
      <c r="J481">
        <f>YEAR(SalesData[[#This Row],[Order Date]])</f>
        <v>2017</v>
      </c>
      <c r="K481" t="str">
        <f>TEXT(SalesData[[#This Row],[Order Date]],"mmm")</f>
        <v>Apr</v>
      </c>
      <c r="L481">
        <f>MONTH(SalesData[[#This Row],[Order Date]])</f>
        <v>4</v>
      </c>
      <c r="M481">
        <f>SalesData[[#This Row],[Sales]]/SalesData[[#This Row],[Quantity]]</f>
        <v>271.99200000000002</v>
      </c>
      <c r="N481" t="str">
        <f>IF(SalesData[[#This Row],[Profit]]&gt;0,"Profit","Loss")</f>
        <v>Profit</v>
      </c>
    </row>
    <row r="482" spans="1:14" x14ac:dyDescent="0.3">
      <c r="A482" t="s">
        <v>3065</v>
      </c>
      <c r="B482" s="3">
        <v>42836</v>
      </c>
      <c r="C482" t="s">
        <v>46</v>
      </c>
      <c r="D482" t="s">
        <v>10</v>
      </c>
      <c r="E482" t="s">
        <v>746</v>
      </c>
      <c r="F482" s="1">
        <v>95.975999999999999</v>
      </c>
      <c r="G482">
        <v>3</v>
      </c>
      <c r="H482" s="1">
        <v>15.5961</v>
      </c>
      <c r="I482" s="4">
        <f>SalesData[[#This Row],[Profit]]/SalesData[[#This Row],[Sales]]</f>
        <v>0.16250000000000001</v>
      </c>
      <c r="J482">
        <f>YEAR(SalesData[[#This Row],[Order Date]])</f>
        <v>2017</v>
      </c>
      <c r="K482" t="str">
        <f>TEXT(SalesData[[#This Row],[Order Date]],"mmm")</f>
        <v>Apr</v>
      </c>
      <c r="L482">
        <f>MONTH(SalesData[[#This Row],[Order Date]])</f>
        <v>4</v>
      </c>
      <c r="M482">
        <f>SalesData[[#This Row],[Sales]]/SalesData[[#This Row],[Quantity]]</f>
        <v>31.992000000000001</v>
      </c>
      <c r="N482" t="str">
        <f>IF(SalesData[[#This Row],[Profit]]&gt;0,"Profit","Loss")</f>
        <v>Profit</v>
      </c>
    </row>
    <row r="483" spans="1:14" x14ac:dyDescent="0.3">
      <c r="A483" t="s">
        <v>3065</v>
      </c>
      <c r="B483" s="3">
        <v>42836</v>
      </c>
      <c r="C483" t="s">
        <v>46</v>
      </c>
      <c r="D483" t="s">
        <v>10</v>
      </c>
      <c r="E483" t="s">
        <v>3066</v>
      </c>
      <c r="F483" s="1">
        <v>143.928</v>
      </c>
      <c r="G483">
        <v>9</v>
      </c>
      <c r="H483" s="1">
        <v>-32.383800000000001</v>
      </c>
      <c r="I483" s="4">
        <f>SalesData[[#This Row],[Profit]]/SalesData[[#This Row],[Sales]]</f>
        <v>-0.22500000000000001</v>
      </c>
      <c r="J483">
        <f>YEAR(SalesData[[#This Row],[Order Date]])</f>
        <v>2017</v>
      </c>
      <c r="K483" t="str">
        <f>TEXT(SalesData[[#This Row],[Order Date]],"mmm")</f>
        <v>Apr</v>
      </c>
      <c r="L483">
        <f>MONTH(SalesData[[#This Row],[Order Date]])</f>
        <v>4</v>
      </c>
      <c r="M483">
        <f>SalesData[[#This Row],[Sales]]/SalesData[[#This Row],[Quantity]]</f>
        <v>15.991999999999999</v>
      </c>
      <c r="N483" t="str">
        <f>IF(SalesData[[#This Row],[Profit]]&gt;0,"Profit","Loss")</f>
        <v>Loss</v>
      </c>
    </row>
    <row r="484" spans="1:14" x14ac:dyDescent="0.3">
      <c r="A484" t="s">
        <v>3065</v>
      </c>
      <c r="B484" s="3">
        <v>42836</v>
      </c>
      <c r="C484" t="s">
        <v>46</v>
      </c>
      <c r="D484" t="s">
        <v>21</v>
      </c>
      <c r="E484" t="s">
        <v>415</v>
      </c>
      <c r="F484" s="1">
        <v>3.5640000000000001</v>
      </c>
      <c r="G484">
        <v>2</v>
      </c>
      <c r="H484" s="1">
        <v>-2.97</v>
      </c>
      <c r="I484" s="4">
        <f>SalesData[[#This Row],[Profit]]/SalesData[[#This Row],[Sales]]</f>
        <v>-0.83333333333333337</v>
      </c>
      <c r="J484">
        <f>YEAR(SalesData[[#This Row],[Order Date]])</f>
        <v>2017</v>
      </c>
      <c r="K484" t="str">
        <f>TEXT(SalesData[[#This Row],[Order Date]],"mmm")</f>
        <v>Apr</v>
      </c>
      <c r="L484">
        <f>MONTH(SalesData[[#This Row],[Order Date]])</f>
        <v>4</v>
      </c>
      <c r="M484">
        <f>SalesData[[#This Row],[Sales]]/SalesData[[#This Row],[Quantity]]</f>
        <v>1.782</v>
      </c>
      <c r="N484" t="str">
        <f>IF(SalesData[[#This Row],[Profit]]&gt;0,"Profit","Loss")</f>
        <v>Loss</v>
      </c>
    </row>
    <row r="485" spans="1:14" x14ac:dyDescent="0.3">
      <c r="A485" t="s">
        <v>3065</v>
      </c>
      <c r="B485" s="3">
        <v>42836</v>
      </c>
      <c r="C485" t="s">
        <v>46</v>
      </c>
      <c r="D485" t="s">
        <v>21</v>
      </c>
      <c r="E485" t="s">
        <v>238</v>
      </c>
      <c r="F485" s="1">
        <v>4.9279999999999999</v>
      </c>
      <c r="G485">
        <v>2</v>
      </c>
      <c r="H485" s="1">
        <v>1.7248000000000001</v>
      </c>
      <c r="I485" s="4">
        <f>SalesData[[#This Row],[Profit]]/SalesData[[#This Row],[Sales]]</f>
        <v>0.35000000000000003</v>
      </c>
      <c r="J485">
        <f>YEAR(SalesData[[#This Row],[Order Date]])</f>
        <v>2017</v>
      </c>
      <c r="K485" t="str">
        <f>TEXT(SalesData[[#This Row],[Order Date]],"mmm")</f>
        <v>Apr</v>
      </c>
      <c r="L485">
        <f>MONTH(SalesData[[#This Row],[Order Date]])</f>
        <v>4</v>
      </c>
      <c r="M485">
        <f>SalesData[[#This Row],[Sales]]/SalesData[[#This Row],[Quantity]]</f>
        <v>2.464</v>
      </c>
      <c r="N485" t="str">
        <f>IF(SalesData[[#This Row],[Profit]]&gt;0,"Profit","Loss")</f>
        <v>Profit</v>
      </c>
    </row>
    <row r="486" spans="1:14" x14ac:dyDescent="0.3">
      <c r="A486" t="s">
        <v>3067</v>
      </c>
      <c r="B486" s="3">
        <v>42836</v>
      </c>
      <c r="C486" t="s">
        <v>9</v>
      </c>
      <c r="D486" t="s">
        <v>21</v>
      </c>
      <c r="E486" t="s">
        <v>1758</v>
      </c>
      <c r="F486" s="1">
        <v>7.5359999999999996</v>
      </c>
      <c r="G486">
        <v>6</v>
      </c>
      <c r="H486" s="1">
        <v>-13.188000000000001</v>
      </c>
      <c r="I486" s="4">
        <f>SalesData[[#This Row],[Profit]]/SalesData[[#This Row],[Sales]]</f>
        <v>-1.7500000000000002</v>
      </c>
      <c r="J486">
        <f>YEAR(SalesData[[#This Row],[Order Date]])</f>
        <v>2017</v>
      </c>
      <c r="K486" t="str">
        <f>TEXT(SalesData[[#This Row],[Order Date]],"mmm")</f>
        <v>Apr</v>
      </c>
      <c r="L486">
        <f>MONTH(SalesData[[#This Row],[Order Date]])</f>
        <v>4</v>
      </c>
      <c r="M486">
        <f>SalesData[[#This Row],[Sales]]/SalesData[[#This Row],[Quantity]]</f>
        <v>1.256</v>
      </c>
      <c r="N486" t="str">
        <f>IF(SalesData[[#This Row],[Profit]]&gt;0,"Profit","Loss")</f>
        <v>Loss</v>
      </c>
    </row>
    <row r="487" spans="1:14" x14ac:dyDescent="0.3">
      <c r="A487" t="s">
        <v>3067</v>
      </c>
      <c r="B487" s="3">
        <v>42836</v>
      </c>
      <c r="C487" t="s">
        <v>9</v>
      </c>
      <c r="D487" t="s">
        <v>21</v>
      </c>
      <c r="E487" t="s">
        <v>991</v>
      </c>
      <c r="F487" s="1">
        <v>1.4079999999999999</v>
      </c>
      <c r="G487">
        <v>2</v>
      </c>
      <c r="H487" s="1">
        <v>-2.3231999999999999</v>
      </c>
      <c r="I487" s="4">
        <f>SalesData[[#This Row],[Profit]]/SalesData[[#This Row],[Sales]]</f>
        <v>-1.6500000000000001</v>
      </c>
      <c r="J487">
        <f>YEAR(SalesData[[#This Row],[Order Date]])</f>
        <v>2017</v>
      </c>
      <c r="K487" t="str">
        <f>TEXT(SalesData[[#This Row],[Order Date]],"mmm")</f>
        <v>Apr</v>
      </c>
      <c r="L487">
        <f>MONTH(SalesData[[#This Row],[Order Date]])</f>
        <v>4</v>
      </c>
      <c r="M487">
        <f>SalesData[[#This Row],[Sales]]/SalesData[[#This Row],[Quantity]]</f>
        <v>0.70399999999999996</v>
      </c>
      <c r="N487" t="str">
        <f>IF(SalesData[[#This Row],[Profit]]&gt;0,"Profit","Loss")</f>
        <v>Loss</v>
      </c>
    </row>
    <row r="488" spans="1:14" x14ac:dyDescent="0.3">
      <c r="A488" t="s">
        <v>3067</v>
      </c>
      <c r="B488" s="3">
        <v>42836</v>
      </c>
      <c r="C488" t="s">
        <v>9</v>
      </c>
      <c r="D488" t="s">
        <v>21</v>
      </c>
      <c r="E488" t="s">
        <v>1014</v>
      </c>
      <c r="F488" s="1">
        <v>4.1440000000000001</v>
      </c>
      <c r="G488">
        <v>4</v>
      </c>
      <c r="H488" s="1">
        <v>-6.4231999999999996</v>
      </c>
      <c r="I488" s="4">
        <f>SalesData[[#This Row],[Profit]]/SalesData[[#This Row],[Sales]]</f>
        <v>-1.5499999999999998</v>
      </c>
      <c r="J488">
        <f>YEAR(SalesData[[#This Row],[Order Date]])</f>
        <v>2017</v>
      </c>
      <c r="K488" t="str">
        <f>TEXT(SalesData[[#This Row],[Order Date]],"mmm")</f>
        <v>Apr</v>
      </c>
      <c r="L488">
        <f>MONTH(SalesData[[#This Row],[Order Date]])</f>
        <v>4</v>
      </c>
      <c r="M488">
        <f>SalesData[[#This Row],[Sales]]/SalesData[[#This Row],[Quantity]]</f>
        <v>1.036</v>
      </c>
      <c r="N488" t="str">
        <f>IF(SalesData[[#This Row],[Profit]]&gt;0,"Profit","Loss")</f>
        <v>Loss</v>
      </c>
    </row>
    <row r="489" spans="1:14" x14ac:dyDescent="0.3">
      <c r="A489" t="s">
        <v>3067</v>
      </c>
      <c r="B489" s="3">
        <v>42836</v>
      </c>
      <c r="C489" t="s">
        <v>9</v>
      </c>
      <c r="D489" t="s">
        <v>21</v>
      </c>
      <c r="E489" t="s">
        <v>552</v>
      </c>
      <c r="F489" s="1">
        <v>52.752000000000002</v>
      </c>
      <c r="G489">
        <v>3</v>
      </c>
      <c r="H489" s="1">
        <v>-12.528600000000001</v>
      </c>
      <c r="I489" s="4">
        <f>SalesData[[#This Row],[Profit]]/SalesData[[#This Row],[Sales]]</f>
        <v>-0.23750000000000002</v>
      </c>
      <c r="J489">
        <f>YEAR(SalesData[[#This Row],[Order Date]])</f>
        <v>2017</v>
      </c>
      <c r="K489" t="str">
        <f>TEXT(SalesData[[#This Row],[Order Date]],"mmm")</f>
        <v>Apr</v>
      </c>
      <c r="L489">
        <f>MONTH(SalesData[[#This Row],[Order Date]])</f>
        <v>4</v>
      </c>
      <c r="M489">
        <f>SalesData[[#This Row],[Sales]]/SalesData[[#This Row],[Quantity]]</f>
        <v>17.584</v>
      </c>
      <c r="N489" t="str">
        <f>IF(SalesData[[#This Row],[Profit]]&gt;0,"Profit","Loss")</f>
        <v>Loss</v>
      </c>
    </row>
    <row r="490" spans="1:14" x14ac:dyDescent="0.3">
      <c r="A490" t="s">
        <v>3068</v>
      </c>
      <c r="B490" s="3">
        <v>42836</v>
      </c>
      <c r="C490" t="s">
        <v>17</v>
      </c>
      <c r="D490" t="s">
        <v>10</v>
      </c>
      <c r="E490" t="s">
        <v>1090</v>
      </c>
      <c r="F490" s="1">
        <v>70.72</v>
      </c>
      <c r="G490">
        <v>4</v>
      </c>
      <c r="H490" s="1">
        <v>-6.1879999999999997</v>
      </c>
      <c r="I490" s="4">
        <f>SalesData[[#This Row],[Profit]]/SalesData[[#This Row],[Sales]]</f>
        <v>-8.7499999999999994E-2</v>
      </c>
      <c r="J490">
        <f>YEAR(SalesData[[#This Row],[Order Date]])</f>
        <v>2017</v>
      </c>
      <c r="K490" t="str">
        <f>TEXT(SalesData[[#This Row],[Order Date]],"mmm")</f>
        <v>Apr</v>
      </c>
      <c r="L490">
        <f>MONTH(SalesData[[#This Row],[Order Date]])</f>
        <v>4</v>
      </c>
      <c r="M490">
        <f>SalesData[[#This Row],[Sales]]/SalesData[[#This Row],[Quantity]]</f>
        <v>17.68</v>
      </c>
      <c r="N490" t="str">
        <f>IF(SalesData[[#This Row],[Profit]]&gt;0,"Profit","Loss")</f>
        <v>Loss</v>
      </c>
    </row>
    <row r="491" spans="1:14" x14ac:dyDescent="0.3">
      <c r="A491" t="s">
        <v>3068</v>
      </c>
      <c r="B491" s="3">
        <v>42836</v>
      </c>
      <c r="C491" t="s">
        <v>17</v>
      </c>
      <c r="D491" t="s">
        <v>21</v>
      </c>
      <c r="E491" t="s">
        <v>566</v>
      </c>
      <c r="F491" s="1">
        <v>194.352</v>
      </c>
      <c r="G491">
        <v>3</v>
      </c>
      <c r="H491" s="1">
        <v>-43.729199999999999</v>
      </c>
      <c r="I491" s="4">
        <f>SalesData[[#This Row],[Profit]]/SalesData[[#This Row],[Sales]]</f>
        <v>-0.22499999999999998</v>
      </c>
      <c r="J491">
        <f>YEAR(SalesData[[#This Row],[Order Date]])</f>
        <v>2017</v>
      </c>
      <c r="K491" t="str">
        <f>TEXT(SalesData[[#This Row],[Order Date]],"mmm")</f>
        <v>Apr</v>
      </c>
      <c r="L491">
        <f>MONTH(SalesData[[#This Row],[Order Date]])</f>
        <v>4</v>
      </c>
      <c r="M491">
        <f>SalesData[[#This Row],[Sales]]/SalesData[[#This Row],[Quantity]]</f>
        <v>64.784000000000006</v>
      </c>
      <c r="N491" t="str">
        <f>IF(SalesData[[#This Row],[Profit]]&gt;0,"Profit","Loss")</f>
        <v>Loss</v>
      </c>
    </row>
    <row r="492" spans="1:14" x14ac:dyDescent="0.3">
      <c r="A492" t="s">
        <v>3069</v>
      </c>
      <c r="B492" s="3">
        <v>42836</v>
      </c>
      <c r="C492" t="s">
        <v>46</v>
      </c>
      <c r="D492" t="s">
        <v>21</v>
      </c>
      <c r="E492" t="s">
        <v>1577</v>
      </c>
      <c r="F492" s="1">
        <v>4.3</v>
      </c>
      <c r="G492">
        <v>2</v>
      </c>
      <c r="H492" s="1">
        <v>1.419</v>
      </c>
      <c r="I492" s="4">
        <f>SalesData[[#This Row],[Profit]]/SalesData[[#This Row],[Sales]]</f>
        <v>0.33</v>
      </c>
      <c r="J492">
        <f>YEAR(SalesData[[#This Row],[Order Date]])</f>
        <v>2017</v>
      </c>
      <c r="K492" t="str">
        <f>TEXT(SalesData[[#This Row],[Order Date]],"mmm")</f>
        <v>Apr</v>
      </c>
      <c r="L492">
        <f>MONTH(SalesData[[#This Row],[Order Date]])</f>
        <v>4</v>
      </c>
      <c r="M492">
        <f>SalesData[[#This Row],[Sales]]/SalesData[[#This Row],[Quantity]]</f>
        <v>2.15</v>
      </c>
      <c r="N492" t="str">
        <f>IF(SalesData[[#This Row],[Profit]]&gt;0,"Profit","Loss")</f>
        <v>Profit</v>
      </c>
    </row>
    <row r="493" spans="1:14" x14ac:dyDescent="0.3">
      <c r="A493" t="s">
        <v>3070</v>
      </c>
      <c r="B493" s="3">
        <v>42837</v>
      </c>
      <c r="C493" t="s">
        <v>17</v>
      </c>
      <c r="D493" t="s">
        <v>21</v>
      </c>
      <c r="E493" t="s">
        <v>415</v>
      </c>
      <c r="F493" s="1">
        <v>5.3460000000000001</v>
      </c>
      <c r="G493">
        <v>3</v>
      </c>
      <c r="H493" s="1">
        <v>-4.4550000000000001</v>
      </c>
      <c r="I493" s="4">
        <f>SalesData[[#This Row],[Profit]]/SalesData[[#This Row],[Sales]]</f>
        <v>-0.83333333333333337</v>
      </c>
      <c r="J493">
        <f>YEAR(SalesData[[#This Row],[Order Date]])</f>
        <v>2017</v>
      </c>
      <c r="K493" t="str">
        <f>TEXT(SalesData[[#This Row],[Order Date]],"mmm")</f>
        <v>Apr</v>
      </c>
      <c r="L493">
        <f>MONTH(SalesData[[#This Row],[Order Date]])</f>
        <v>4</v>
      </c>
      <c r="M493">
        <f>SalesData[[#This Row],[Sales]]/SalesData[[#This Row],[Quantity]]</f>
        <v>1.782</v>
      </c>
      <c r="N493" t="str">
        <f>IF(SalesData[[#This Row],[Profit]]&gt;0,"Profit","Loss")</f>
        <v>Loss</v>
      </c>
    </row>
    <row r="494" spans="1:14" x14ac:dyDescent="0.3">
      <c r="A494" t="s">
        <v>3071</v>
      </c>
      <c r="B494" s="3">
        <v>42837</v>
      </c>
      <c r="C494" t="s">
        <v>17</v>
      </c>
      <c r="D494" t="s">
        <v>14</v>
      </c>
      <c r="E494" t="s">
        <v>990</v>
      </c>
      <c r="F494" s="1">
        <v>188.55199999999999</v>
      </c>
      <c r="G494">
        <v>7</v>
      </c>
      <c r="H494" s="1">
        <v>-2.6936</v>
      </c>
      <c r="I494" s="4">
        <f>SalesData[[#This Row],[Profit]]/SalesData[[#This Row],[Sales]]</f>
        <v>-1.4285714285714287E-2</v>
      </c>
      <c r="J494">
        <f>YEAR(SalesData[[#This Row],[Order Date]])</f>
        <v>2017</v>
      </c>
      <c r="K494" t="str">
        <f>TEXT(SalesData[[#This Row],[Order Date]],"mmm")</f>
        <v>Apr</v>
      </c>
      <c r="L494">
        <f>MONTH(SalesData[[#This Row],[Order Date]])</f>
        <v>4</v>
      </c>
      <c r="M494">
        <f>SalesData[[#This Row],[Sales]]/SalesData[[#This Row],[Quantity]]</f>
        <v>26.936</v>
      </c>
      <c r="N494" t="str">
        <f>IF(SalesData[[#This Row],[Profit]]&gt;0,"Profit","Loss")</f>
        <v>Loss</v>
      </c>
    </row>
    <row r="495" spans="1:14" x14ac:dyDescent="0.3">
      <c r="A495" t="s">
        <v>3072</v>
      </c>
      <c r="B495" s="3">
        <v>42837</v>
      </c>
      <c r="C495" t="s">
        <v>17</v>
      </c>
      <c r="D495" t="s">
        <v>14</v>
      </c>
      <c r="E495" t="s">
        <v>1752</v>
      </c>
      <c r="F495" s="1">
        <v>239.96</v>
      </c>
      <c r="G495">
        <v>10</v>
      </c>
      <c r="H495" s="1">
        <v>-10.284000000000001</v>
      </c>
      <c r="I495" s="4">
        <f>SalesData[[#This Row],[Profit]]/SalesData[[#This Row],[Sales]]</f>
        <v>-4.2857142857142858E-2</v>
      </c>
      <c r="J495">
        <f>YEAR(SalesData[[#This Row],[Order Date]])</f>
        <v>2017</v>
      </c>
      <c r="K495" t="str">
        <f>TEXT(SalesData[[#This Row],[Order Date]],"mmm")</f>
        <v>Apr</v>
      </c>
      <c r="L495">
        <f>MONTH(SalesData[[#This Row],[Order Date]])</f>
        <v>4</v>
      </c>
      <c r="M495">
        <f>SalesData[[#This Row],[Sales]]/SalesData[[#This Row],[Quantity]]</f>
        <v>23.996000000000002</v>
      </c>
      <c r="N495" t="str">
        <f>IF(SalesData[[#This Row],[Profit]]&gt;0,"Profit","Loss")</f>
        <v>Loss</v>
      </c>
    </row>
    <row r="496" spans="1:14" x14ac:dyDescent="0.3">
      <c r="A496" t="s">
        <v>3072</v>
      </c>
      <c r="B496" s="3">
        <v>42837</v>
      </c>
      <c r="C496" t="s">
        <v>17</v>
      </c>
      <c r="D496" t="s">
        <v>14</v>
      </c>
      <c r="E496" t="s">
        <v>1197</v>
      </c>
      <c r="F496" s="1">
        <v>54.768000000000001</v>
      </c>
      <c r="G496">
        <v>2</v>
      </c>
      <c r="H496" s="1">
        <v>6.8460000000000001</v>
      </c>
      <c r="I496" s="4">
        <f>SalesData[[#This Row],[Profit]]/SalesData[[#This Row],[Sales]]</f>
        <v>0.125</v>
      </c>
      <c r="J496">
        <f>YEAR(SalesData[[#This Row],[Order Date]])</f>
        <v>2017</v>
      </c>
      <c r="K496" t="str">
        <f>TEXT(SalesData[[#This Row],[Order Date]],"mmm")</f>
        <v>Apr</v>
      </c>
      <c r="L496">
        <f>MONTH(SalesData[[#This Row],[Order Date]])</f>
        <v>4</v>
      </c>
      <c r="M496">
        <f>SalesData[[#This Row],[Sales]]/SalesData[[#This Row],[Quantity]]</f>
        <v>27.384</v>
      </c>
      <c r="N496" t="str">
        <f>IF(SalesData[[#This Row],[Profit]]&gt;0,"Profit","Loss")</f>
        <v>Profit</v>
      </c>
    </row>
    <row r="497" spans="1:14" x14ac:dyDescent="0.3">
      <c r="A497" t="s">
        <v>3072</v>
      </c>
      <c r="B497" s="3">
        <v>42837</v>
      </c>
      <c r="C497" t="s">
        <v>17</v>
      </c>
      <c r="D497" t="s">
        <v>21</v>
      </c>
      <c r="E497" t="s">
        <v>153</v>
      </c>
      <c r="F497" s="1">
        <v>13.391999999999999</v>
      </c>
      <c r="G497">
        <v>3</v>
      </c>
      <c r="H497" s="1">
        <v>3.1806000000000001</v>
      </c>
      <c r="I497" s="4">
        <f>SalesData[[#This Row],[Profit]]/SalesData[[#This Row],[Sales]]</f>
        <v>0.23750000000000002</v>
      </c>
      <c r="J497">
        <f>YEAR(SalesData[[#This Row],[Order Date]])</f>
        <v>2017</v>
      </c>
      <c r="K497" t="str">
        <f>TEXT(SalesData[[#This Row],[Order Date]],"mmm")</f>
        <v>Apr</v>
      </c>
      <c r="L497">
        <f>MONTH(SalesData[[#This Row],[Order Date]])</f>
        <v>4</v>
      </c>
      <c r="M497">
        <f>SalesData[[#This Row],[Sales]]/SalesData[[#This Row],[Quantity]]</f>
        <v>4.4639999999999995</v>
      </c>
      <c r="N497" t="str">
        <f>IF(SalesData[[#This Row],[Profit]]&gt;0,"Profit","Loss")</f>
        <v>Profit</v>
      </c>
    </row>
    <row r="498" spans="1:14" x14ac:dyDescent="0.3">
      <c r="A498" t="s">
        <v>3072</v>
      </c>
      <c r="B498" s="3">
        <v>42837</v>
      </c>
      <c r="C498" t="s">
        <v>17</v>
      </c>
      <c r="D498" t="s">
        <v>21</v>
      </c>
      <c r="E498" t="s">
        <v>3073</v>
      </c>
      <c r="F498" s="1">
        <v>23.92</v>
      </c>
      <c r="G498">
        <v>5</v>
      </c>
      <c r="H498" s="1">
        <v>8.6709999999999994</v>
      </c>
      <c r="I498" s="4">
        <f>SalesData[[#This Row],[Profit]]/SalesData[[#This Row],[Sales]]</f>
        <v>0.36249999999999993</v>
      </c>
      <c r="J498">
        <f>YEAR(SalesData[[#This Row],[Order Date]])</f>
        <v>2017</v>
      </c>
      <c r="K498" t="str">
        <f>TEXT(SalesData[[#This Row],[Order Date]],"mmm")</f>
        <v>Apr</v>
      </c>
      <c r="L498">
        <f>MONTH(SalesData[[#This Row],[Order Date]])</f>
        <v>4</v>
      </c>
      <c r="M498">
        <f>SalesData[[#This Row],[Sales]]/SalesData[[#This Row],[Quantity]]</f>
        <v>4.7840000000000007</v>
      </c>
      <c r="N498" t="str">
        <f>IF(SalesData[[#This Row],[Profit]]&gt;0,"Profit","Loss")</f>
        <v>Profit</v>
      </c>
    </row>
    <row r="499" spans="1:14" x14ac:dyDescent="0.3">
      <c r="A499" t="s">
        <v>3072</v>
      </c>
      <c r="B499" s="3">
        <v>42837</v>
      </c>
      <c r="C499" t="s">
        <v>17</v>
      </c>
      <c r="D499" t="s">
        <v>10</v>
      </c>
      <c r="E499" t="s">
        <v>2806</v>
      </c>
      <c r="F499" s="1">
        <v>255.96799999999999</v>
      </c>
      <c r="G499">
        <v>4</v>
      </c>
      <c r="H499" s="1">
        <v>-28.796399999999998</v>
      </c>
      <c r="I499" s="4">
        <f>SalesData[[#This Row],[Profit]]/SalesData[[#This Row],[Sales]]</f>
        <v>-0.1125</v>
      </c>
      <c r="J499">
        <f>YEAR(SalesData[[#This Row],[Order Date]])</f>
        <v>2017</v>
      </c>
      <c r="K499" t="str">
        <f>TEXT(SalesData[[#This Row],[Order Date]],"mmm")</f>
        <v>Apr</v>
      </c>
      <c r="L499">
        <f>MONTH(SalesData[[#This Row],[Order Date]])</f>
        <v>4</v>
      </c>
      <c r="M499">
        <f>SalesData[[#This Row],[Sales]]/SalesData[[#This Row],[Quantity]]</f>
        <v>63.991999999999997</v>
      </c>
      <c r="N499" t="str">
        <f>IF(SalesData[[#This Row],[Profit]]&gt;0,"Profit","Loss")</f>
        <v>Loss</v>
      </c>
    </row>
    <row r="500" spans="1:14" x14ac:dyDescent="0.3">
      <c r="A500" t="s">
        <v>3074</v>
      </c>
      <c r="B500" s="3">
        <v>42837</v>
      </c>
      <c r="C500" t="s">
        <v>9</v>
      </c>
      <c r="D500" t="s">
        <v>21</v>
      </c>
      <c r="E500" t="s">
        <v>267</v>
      </c>
      <c r="F500" s="1">
        <v>61.567999999999998</v>
      </c>
      <c r="G500">
        <v>2</v>
      </c>
      <c r="H500" s="1">
        <v>4.6176000000000004</v>
      </c>
      <c r="I500" s="4">
        <f>SalesData[[#This Row],[Profit]]/SalesData[[#This Row],[Sales]]</f>
        <v>7.5000000000000011E-2</v>
      </c>
      <c r="J500">
        <f>YEAR(SalesData[[#This Row],[Order Date]])</f>
        <v>2017</v>
      </c>
      <c r="K500" t="str">
        <f>TEXT(SalesData[[#This Row],[Order Date]],"mmm")</f>
        <v>Apr</v>
      </c>
      <c r="L500">
        <f>MONTH(SalesData[[#This Row],[Order Date]])</f>
        <v>4</v>
      </c>
      <c r="M500">
        <f>SalesData[[#This Row],[Sales]]/SalesData[[#This Row],[Quantity]]</f>
        <v>30.783999999999999</v>
      </c>
      <c r="N500" t="str">
        <f>IF(SalesData[[#This Row],[Profit]]&gt;0,"Profit","Loss")</f>
        <v>Profit</v>
      </c>
    </row>
    <row r="501" spans="1:14" x14ac:dyDescent="0.3">
      <c r="A501" t="s">
        <v>3075</v>
      </c>
      <c r="B501" s="3">
        <v>42837</v>
      </c>
      <c r="C501" t="s">
        <v>9</v>
      </c>
      <c r="D501" t="s">
        <v>21</v>
      </c>
      <c r="E501" t="s">
        <v>1399</v>
      </c>
      <c r="F501" s="1">
        <v>8.8000000000000007</v>
      </c>
      <c r="G501">
        <v>5</v>
      </c>
      <c r="H501" s="1">
        <v>2.552</v>
      </c>
      <c r="I501" s="4">
        <f>SalesData[[#This Row],[Profit]]/SalesData[[#This Row],[Sales]]</f>
        <v>0.28999999999999998</v>
      </c>
      <c r="J501">
        <f>YEAR(SalesData[[#This Row],[Order Date]])</f>
        <v>2017</v>
      </c>
      <c r="K501" t="str">
        <f>TEXT(SalesData[[#This Row],[Order Date]],"mmm")</f>
        <v>Apr</v>
      </c>
      <c r="L501">
        <f>MONTH(SalesData[[#This Row],[Order Date]])</f>
        <v>4</v>
      </c>
      <c r="M501">
        <f>SalesData[[#This Row],[Sales]]/SalesData[[#This Row],[Quantity]]</f>
        <v>1.7600000000000002</v>
      </c>
      <c r="N501" t="str">
        <f>IF(SalesData[[#This Row],[Profit]]&gt;0,"Profit","Loss")</f>
        <v>Profit</v>
      </c>
    </row>
    <row r="502" spans="1:14" x14ac:dyDescent="0.3">
      <c r="A502" t="s">
        <v>3075</v>
      </c>
      <c r="B502" s="3">
        <v>42837</v>
      </c>
      <c r="C502" t="s">
        <v>9</v>
      </c>
      <c r="D502" t="s">
        <v>10</v>
      </c>
      <c r="E502" t="s">
        <v>3076</v>
      </c>
      <c r="F502" s="1">
        <v>142.80000000000001</v>
      </c>
      <c r="G502">
        <v>1</v>
      </c>
      <c r="H502" s="1">
        <v>29.988</v>
      </c>
      <c r="I502" s="4">
        <f>SalesData[[#This Row],[Profit]]/SalesData[[#This Row],[Sales]]</f>
        <v>0.21</v>
      </c>
      <c r="J502">
        <f>YEAR(SalesData[[#This Row],[Order Date]])</f>
        <v>2017</v>
      </c>
      <c r="K502" t="str">
        <f>TEXT(SalesData[[#This Row],[Order Date]],"mmm")</f>
        <v>Apr</v>
      </c>
      <c r="L502">
        <f>MONTH(SalesData[[#This Row],[Order Date]])</f>
        <v>4</v>
      </c>
      <c r="M502">
        <f>SalesData[[#This Row],[Sales]]/SalesData[[#This Row],[Quantity]]</f>
        <v>142.80000000000001</v>
      </c>
      <c r="N502" t="str">
        <f>IF(SalesData[[#This Row],[Profit]]&gt;0,"Profit","Loss")</f>
        <v>Profit</v>
      </c>
    </row>
    <row r="503" spans="1:14" x14ac:dyDescent="0.3">
      <c r="A503" t="s">
        <v>3075</v>
      </c>
      <c r="B503" s="3">
        <v>42837</v>
      </c>
      <c r="C503" t="s">
        <v>9</v>
      </c>
      <c r="D503" t="s">
        <v>10</v>
      </c>
      <c r="E503" t="s">
        <v>3077</v>
      </c>
      <c r="F503" s="1">
        <v>399.95</v>
      </c>
      <c r="G503">
        <v>5</v>
      </c>
      <c r="H503" s="1">
        <v>143.982</v>
      </c>
      <c r="I503" s="4">
        <f>SalesData[[#This Row],[Profit]]/SalesData[[#This Row],[Sales]]</f>
        <v>0.36</v>
      </c>
      <c r="J503">
        <f>YEAR(SalesData[[#This Row],[Order Date]])</f>
        <v>2017</v>
      </c>
      <c r="K503" t="str">
        <f>TEXT(SalesData[[#This Row],[Order Date]],"mmm")</f>
        <v>Apr</v>
      </c>
      <c r="L503">
        <f>MONTH(SalesData[[#This Row],[Order Date]])</f>
        <v>4</v>
      </c>
      <c r="M503">
        <f>SalesData[[#This Row],[Sales]]/SalesData[[#This Row],[Quantity]]</f>
        <v>79.989999999999995</v>
      </c>
      <c r="N503" t="str">
        <f>IF(SalesData[[#This Row],[Profit]]&gt;0,"Profit","Loss")</f>
        <v>Profit</v>
      </c>
    </row>
    <row r="504" spans="1:14" x14ac:dyDescent="0.3">
      <c r="A504" t="s">
        <v>3078</v>
      </c>
      <c r="B504" s="3">
        <v>42837</v>
      </c>
      <c r="C504" t="s">
        <v>46</v>
      </c>
      <c r="D504" t="s">
        <v>10</v>
      </c>
      <c r="E504" t="s">
        <v>1972</v>
      </c>
      <c r="F504" s="1">
        <v>649</v>
      </c>
      <c r="G504">
        <v>2</v>
      </c>
      <c r="H504" s="1">
        <v>-272.58</v>
      </c>
      <c r="I504" s="4">
        <f>SalesData[[#This Row],[Profit]]/SalesData[[#This Row],[Sales]]</f>
        <v>-0.42</v>
      </c>
      <c r="J504">
        <f>YEAR(SalesData[[#This Row],[Order Date]])</f>
        <v>2017</v>
      </c>
      <c r="K504" t="str">
        <f>TEXT(SalesData[[#This Row],[Order Date]],"mmm")</f>
        <v>Apr</v>
      </c>
      <c r="L504">
        <f>MONTH(SalesData[[#This Row],[Order Date]])</f>
        <v>4</v>
      </c>
      <c r="M504">
        <f>SalesData[[#This Row],[Sales]]/SalesData[[#This Row],[Quantity]]</f>
        <v>324.5</v>
      </c>
      <c r="N504" t="str">
        <f>IF(SalesData[[#This Row],[Profit]]&gt;0,"Profit","Loss")</f>
        <v>Loss</v>
      </c>
    </row>
    <row r="505" spans="1:14" x14ac:dyDescent="0.3">
      <c r="A505" t="s">
        <v>3079</v>
      </c>
      <c r="B505" s="3">
        <v>42837</v>
      </c>
      <c r="C505" t="s">
        <v>17</v>
      </c>
      <c r="D505" t="s">
        <v>21</v>
      </c>
      <c r="E505" t="s">
        <v>2653</v>
      </c>
      <c r="F505" s="1">
        <v>74.352000000000004</v>
      </c>
      <c r="G505">
        <v>3</v>
      </c>
      <c r="H505" s="1">
        <v>23.234999999999999</v>
      </c>
      <c r="I505" s="4">
        <f>SalesData[[#This Row],[Profit]]/SalesData[[#This Row],[Sales]]</f>
        <v>0.3125</v>
      </c>
      <c r="J505">
        <f>YEAR(SalesData[[#This Row],[Order Date]])</f>
        <v>2017</v>
      </c>
      <c r="K505" t="str">
        <f>TEXT(SalesData[[#This Row],[Order Date]],"mmm")</f>
        <v>Apr</v>
      </c>
      <c r="L505">
        <f>MONTH(SalesData[[#This Row],[Order Date]])</f>
        <v>4</v>
      </c>
      <c r="M505">
        <f>SalesData[[#This Row],[Sales]]/SalesData[[#This Row],[Quantity]]</f>
        <v>24.784000000000002</v>
      </c>
      <c r="N505" t="str">
        <f>IF(SalesData[[#This Row],[Profit]]&gt;0,"Profit","Loss")</f>
        <v>Profit</v>
      </c>
    </row>
    <row r="506" spans="1:14" x14ac:dyDescent="0.3">
      <c r="A506" t="s">
        <v>3080</v>
      </c>
      <c r="B506" s="3">
        <v>42837</v>
      </c>
      <c r="C506" t="s">
        <v>13</v>
      </c>
      <c r="D506" t="s">
        <v>21</v>
      </c>
      <c r="E506" t="s">
        <v>174</v>
      </c>
      <c r="F506" s="1">
        <v>11.76</v>
      </c>
      <c r="G506">
        <v>2</v>
      </c>
      <c r="H506" s="1">
        <v>5.7624000000000004</v>
      </c>
      <c r="I506" s="4">
        <f>SalesData[[#This Row],[Profit]]/SalesData[[#This Row],[Sales]]</f>
        <v>0.49000000000000005</v>
      </c>
      <c r="J506">
        <f>YEAR(SalesData[[#This Row],[Order Date]])</f>
        <v>2017</v>
      </c>
      <c r="K506" t="str">
        <f>TEXT(SalesData[[#This Row],[Order Date]],"mmm")</f>
        <v>Apr</v>
      </c>
      <c r="L506">
        <f>MONTH(SalesData[[#This Row],[Order Date]])</f>
        <v>4</v>
      </c>
      <c r="M506">
        <f>SalesData[[#This Row],[Sales]]/SalesData[[#This Row],[Quantity]]</f>
        <v>5.88</v>
      </c>
      <c r="N506" t="str">
        <f>IF(SalesData[[#This Row],[Profit]]&gt;0,"Profit","Loss")</f>
        <v>Profit</v>
      </c>
    </row>
    <row r="507" spans="1:14" x14ac:dyDescent="0.3">
      <c r="A507" t="s">
        <v>3081</v>
      </c>
      <c r="B507" s="3">
        <v>42837</v>
      </c>
      <c r="C507" t="s">
        <v>17</v>
      </c>
      <c r="D507" t="s">
        <v>14</v>
      </c>
      <c r="E507" t="s">
        <v>3082</v>
      </c>
      <c r="F507" s="1">
        <v>12.99</v>
      </c>
      <c r="G507">
        <v>1</v>
      </c>
      <c r="H507" s="1">
        <v>1.5588</v>
      </c>
      <c r="I507" s="4">
        <f>SalesData[[#This Row],[Profit]]/SalesData[[#This Row],[Sales]]</f>
        <v>0.12</v>
      </c>
      <c r="J507">
        <f>YEAR(SalesData[[#This Row],[Order Date]])</f>
        <v>2017</v>
      </c>
      <c r="K507" t="str">
        <f>TEXT(SalesData[[#This Row],[Order Date]],"mmm")</f>
        <v>Apr</v>
      </c>
      <c r="L507">
        <f>MONTH(SalesData[[#This Row],[Order Date]])</f>
        <v>4</v>
      </c>
      <c r="M507">
        <f>SalesData[[#This Row],[Sales]]/SalesData[[#This Row],[Quantity]]</f>
        <v>12.99</v>
      </c>
      <c r="N507" t="str">
        <f>IF(SalesData[[#This Row],[Profit]]&gt;0,"Profit","Loss")</f>
        <v>Profit</v>
      </c>
    </row>
    <row r="508" spans="1:14" x14ac:dyDescent="0.3">
      <c r="A508" t="s">
        <v>3081</v>
      </c>
      <c r="B508" s="3">
        <v>42837</v>
      </c>
      <c r="C508" t="s">
        <v>17</v>
      </c>
      <c r="D508" t="s">
        <v>14</v>
      </c>
      <c r="E508" t="s">
        <v>433</v>
      </c>
      <c r="F508" s="1">
        <v>182.22</v>
      </c>
      <c r="G508">
        <v>3</v>
      </c>
      <c r="H508" s="1">
        <v>45.555</v>
      </c>
      <c r="I508" s="4">
        <f>SalesData[[#This Row],[Profit]]/SalesData[[#This Row],[Sales]]</f>
        <v>0.25</v>
      </c>
      <c r="J508">
        <f>YEAR(SalesData[[#This Row],[Order Date]])</f>
        <v>2017</v>
      </c>
      <c r="K508" t="str">
        <f>TEXT(SalesData[[#This Row],[Order Date]],"mmm")</f>
        <v>Apr</v>
      </c>
      <c r="L508">
        <f>MONTH(SalesData[[#This Row],[Order Date]])</f>
        <v>4</v>
      </c>
      <c r="M508">
        <f>SalesData[[#This Row],[Sales]]/SalesData[[#This Row],[Quantity]]</f>
        <v>60.74</v>
      </c>
      <c r="N508" t="str">
        <f>IF(SalesData[[#This Row],[Profit]]&gt;0,"Profit","Loss")</f>
        <v>Profit</v>
      </c>
    </row>
    <row r="509" spans="1:14" x14ac:dyDescent="0.3">
      <c r="A509" t="s">
        <v>3081</v>
      </c>
      <c r="B509" s="3">
        <v>42837</v>
      </c>
      <c r="C509" t="s">
        <v>17</v>
      </c>
      <c r="D509" t="s">
        <v>14</v>
      </c>
      <c r="E509" t="s">
        <v>1448</v>
      </c>
      <c r="F509" s="1">
        <v>302.94</v>
      </c>
      <c r="G509">
        <v>3</v>
      </c>
      <c r="H509" s="1">
        <v>18.176400000000001</v>
      </c>
      <c r="I509" s="4">
        <f>SalesData[[#This Row],[Profit]]/SalesData[[#This Row],[Sales]]</f>
        <v>6.0000000000000005E-2</v>
      </c>
      <c r="J509">
        <f>YEAR(SalesData[[#This Row],[Order Date]])</f>
        <v>2017</v>
      </c>
      <c r="K509" t="str">
        <f>TEXT(SalesData[[#This Row],[Order Date]],"mmm")</f>
        <v>Apr</v>
      </c>
      <c r="L509">
        <f>MONTH(SalesData[[#This Row],[Order Date]])</f>
        <v>4</v>
      </c>
      <c r="M509">
        <f>SalesData[[#This Row],[Sales]]/SalesData[[#This Row],[Quantity]]</f>
        <v>100.98</v>
      </c>
      <c r="N509" t="str">
        <f>IF(SalesData[[#This Row],[Profit]]&gt;0,"Profit","Loss")</f>
        <v>Profit</v>
      </c>
    </row>
    <row r="510" spans="1:14" x14ac:dyDescent="0.3">
      <c r="A510" t="s">
        <v>3083</v>
      </c>
      <c r="B510" s="3">
        <v>42837</v>
      </c>
      <c r="C510" t="s">
        <v>17</v>
      </c>
      <c r="D510" t="s">
        <v>14</v>
      </c>
      <c r="E510" t="s">
        <v>507</v>
      </c>
      <c r="F510" s="1">
        <v>11.352</v>
      </c>
      <c r="G510">
        <v>3</v>
      </c>
      <c r="H510" s="1">
        <v>2.6960999999999999</v>
      </c>
      <c r="I510" s="4">
        <f>SalesData[[#This Row],[Profit]]/SalesData[[#This Row],[Sales]]</f>
        <v>0.23749999999999999</v>
      </c>
      <c r="J510">
        <f>YEAR(SalesData[[#This Row],[Order Date]])</f>
        <v>2017</v>
      </c>
      <c r="K510" t="str">
        <f>TEXT(SalesData[[#This Row],[Order Date]],"mmm")</f>
        <v>Apr</v>
      </c>
      <c r="L510">
        <f>MONTH(SalesData[[#This Row],[Order Date]])</f>
        <v>4</v>
      </c>
      <c r="M510">
        <f>SalesData[[#This Row],[Sales]]/SalesData[[#This Row],[Quantity]]</f>
        <v>3.7840000000000003</v>
      </c>
      <c r="N510" t="str">
        <f>IF(SalesData[[#This Row],[Profit]]&gt;0,"Profit","Loss")</f>
        <v>Profit</v>
      </c>
    </row>
    <row r="511" spans="1:14" x14ac:dyDescent="0.3">
      <c r="A511" t="s">
        <v>3084</v>
      </c>
      <c r="B511" s="3">
        <v>42857</v>
      </c>
      <c r="C511" t="s">
        <v>9</v>
      </c>
      <c r="D511" t="s">
        <v>21</v>
      </c>
      <c r="E511" t="s">
        <v>488</v>
      </c>
      <c r="F511" s="1">
        <v>243.99199999999999</v>
      </c>
      <c r="G511">
        <v>4</v>
      </c>
      <c r="H511" s="1">
        <v>-426.98599999999999</v>
      </c>
      <c r="I511" s="4">
        <f>SalesData[[#This Row],[Profit]]/SalesData[[#This Row],[Sales]]</f>
        <v>-1.75</v>
      </c>
      <c r="J511">
        <f>YEAR(SalesData[[#This Row],[Order Date]])</f>
        <v>2017</v>
      </c>
      <c r="K511" t="str">
        <f>TEXT(SalesData[[#This Row],[Order Date]],"mmm")</f>
        <v>May</v>
      </c>
      <c r="L511">
        <f>MONTH(SalesData[[#This Row],[Order Date]])</f>
        <v>5</v>
      </c>
      <c r="M511">
        <f>SalesData[[#This Row],[Sales]]/SalesData[[#This Row],[Quantity]]</f>
        <v>60.997999999999998</v>
      </c>
      <c r="N511" t="str">
        <f>IF(SalesData[[#This Row],[Profit]]&gt;0,"Profit","Loss")</f>
        <v>Loss</v>
      </c>
    </row>
    <row r="512" spans="1:14" x14ac:dyDescent="0.3">
      <c r="A512" t="s">
        <v>3084</v>
      </c>
      <c r="B512" s="3">
        <v>42857</v>
      </c>
      <c r="C512" t="s">
        <v>9</v>
      </c>
      <c r="D512" t="s">
        <v>21</v>
      </c>
      <c r="E512" t="s">
        <v>1730</v>
      </c>
      <c r="F512" s="1">
        <v>7.12</v>
      </c>
      <c r="G512">
        <v>5</v>
      </c>
      <c r="H512" s="1">
        <v>0.71199999999999997</v>
      </c>
      <c r="I512" s="4">
        <f>SalesData[[#This Row],[Profit]]/SalesData[[#This Row],[Sales]]</f>
        <v>9.9999999999999992E-2</v>
      </c>
      <c r="J512">
        <f>YEAR(SalesData[[#This Row],[Order Date]])</f>
        <v>2017</v>
      </c>
      <c r="K512" t="str">
        <f>TEXT(SalesData[[#This Row],[Order Date]],"mmm")</f>
        <v>May</v>
      </c>
      <c r="L512">
        <f>MONTH(SalesData[[#This Row],[Order Date]])</f>
        <v>5</v>
      </c>
      <c r="M512">
        <f>SalesData[[#This Row],[Sales]]/SalesData[[#This Row],[Quantity]]</f>
        <v>1.4239999999999999</v>
      </c>
      <c r="N512" t="str">
        <f>IF(SalesData[[#This Row],[Profit]]&gt;0,"Profit","Loss")</f>
        <v>Profit</v>
      </c>
    </row>
    <row r="513" spans="1:14" x14ac:dyDescent="0.3">
      <c r="A513" t="s">
        <v>3085</v>
      </c>
      <c r="B513" s="3">
        <v>42857</v>
      </c>
      <c r="C513" t="s">
        <v>13</v>
      </c>
      <c r="D513" t="s">
        <v>21</v>
      </c>
      <c r="E513" t="s">
        <v>3086</v>
      </c>
      <c r="F513" s="1">
        <v>1640.7</v>
      </c>
      <c r="G513">
        <v>5</v>
      </c>
      <c r="H513" s="1">
        <v>459.39600000000002</v>
      </c>
      <c r="I513" s="4">
        <f>SalesData[[#This Row],[Profit]]/SalesData[[#This Row],[Sales]]</f>
        <v>0.28000000000000003</v>
      </c>
      <c r="J513">
        <f>YEAR(SalesData[[#This Row],[Order Date]])</f>
        <v>2017</v>
      </c>
      <c r="K513" t="str">
        <f>TEXT(SalesData[[#This Row],[Order Date]],"mmm")</f>
        <v>May</v>
      </c>
      <c r="L513">
        <f>MONTH(SalesData[[#This Row],[Order Date]])</f>
        <v>5</v>
      </c>
      <c r="M513">
        <f>SalesData[[#This Row],[Sales]]/SalesData[[#This Row],[Quantity]]</f>
        <v>328.14</v>
      </c>
      <c r="N513" t="str">
        <f>IF(SalesData[[#This Row],[Profit]]&gt;0,"Profit","Loss")</f>
        <v>Profit</v>
      </c>
    </row>
    <row r="514" spans="1:14" x14ac:dyDescent="0.3">
      <c r="A514" t="s">
        <v>3085</v>
      </c>
      <c r="B514" s="3">
        <v>42857</v>
      </c>
      <c r="C514" t="s">
        <v>13</v>
      </c>
      <c r="D514" t="s">
        <v>10</v>
      </c>
      <c r="E514" t="s">
        <v>954</v>
      </c>
      <c r="F514" s="1">
        <v>371.2</v>
      </c>
      <c r="G514">
        <v>5</v>
      </c>
      <c r="H514" s="1">
        <v>41.76</v>
      </c>
      <c r="I514" s="4">
        <f>SalesData[[#This Row],[Profit]]/SalesData[[#This Row],[Sales]]</f>
        <v>0.1125</v>
      </c>
      <c r="J514">
        <f>YEAR(SalesData[[#This Row],[Order Date]])</f>
        <v>2017</v>
      </c>
      <c r="K514" t="str">
        <f>TEXT(SalesData[[#This Row],[Order Date]],"mmm")</f>
        <v>May</v>
      </c>
      <c r="L514">
        <f>MONTH(SalesData[[#This Row],[Order Date]])</f>
        <v>5</v>
      </c>
      <c r="M514">
        <f>SalesData[[#This Row],[Sales]]/SalesData[[#This Row],[Quantity]]</f>
        <v>74.239999999999995</v>
      </c>
      <c r="N514" t="str">
        <f>IF(SalesData[[#This Row],[Profit]]&gt;0,"Profit","Loss")</f>
        <v>Profit</v>
      </c>
    </row>
    <row r="515" spans="1:14" x14ac:dyDescent="0.3">
      <c r="A515" t="s">
        <v>3087</v>
      </c>
      <c r="B515" s="3">
        <v>42858</v>
      </c>
      <c r="C515" t="s">
        <v>9</v>
      </c>
      <c r="D515" t="s">
        <v>21</v>
      </c>
      <c r="E515" t="s">
        <v>3088</v>
      </c>
      <c r="F515" s="1">
        <v>25.06</v>
      </c>
      <c r="G515">
        <v>2</v>
      </c>
      <c r="H515" s="1">
        <v>11.7782</v>
      </c>
      <c r="I515" s="4">
        <f>SalesData[[#This Row],[Profit]]/SalesData[[#This Row],[Sales]]</f>
        <v>0.47000000000000003</v>
      </c>
      <c r="J515">
        <f>YEAR(SalesData[[#This Row],[Order Date]])</f>
        <v>2017</v>
      </c>
      <c r="K515" t="str">
        <f>TEXT(SalesData[[#This Row],[Order Date]],"mmm")</f>
        <v>May</v>
      </c>
      <c r="L515">
        <f>MONTH(SalesData[[#This Row],[Order Date]])</f>
        <v>5</v>
      </c>
      <c r="M515">
        <f>SalesData[[#This Row],[Sales]]/SalesData[[#This Row],[Quantity]]</f>
        <v>12.53</v>
      </c>
      <c r="N515" t="str">
        <f>IF(SalesData[[#This Row],[Profit]]&gt;0,"Profit","Loss")</f>
        <v>Profit</v>
      </c>
    </row>
    <row r="516" spans="1:14" x14ac:dyDescent="0.3">
      <c r="A516" t="s">
        <v>3089</v>
      </c>
      <c r="B516" s="3">
        <v>42858</v>
      </c>
      <c r="C516" t="s">
        <v>9</v>
      </c>
      <c r="D516" t="s">
        <v>21</v>
      </c>
      <c r="E516" t="s">
        <v>1635</v>
      </c>
      <c r="F516" s="1">
        <v>7.9</v>
      </c>
      <c r="G516">
        <v>2</v>
      </c>
      <c r="H516" s="1">
        <v>2.528</v>
      </c>
      <c r="I516" s="4">
        <f>SalesData[[#This Row],[Profit]]/SalesData[[#This Row],[Sales]]</f>
        <v>0.32</v>
      </c>
      <c r="J516">
        <f>YEAR(SalesData[[#This Row],[Order Date]])</f>
        <v>2017</v>
      </c>
      <c r="K516" t="str">
        <f>TEXT(SalesData[[#This Row],[Order Date]],"mmm")</f>
        <v>May</v>
      </c>
      <c r="L516">
        <f>MONTH(SalesData[[#This Row],[Order Date]])</f>
        <v>5</v>
      </c>
      <c r="M516">
        <f>SalesData[[#This Row],[Sales]]/SalesData[[#This Row],[Quantity]]</f>
        <v>3.95</v>
      </c>
      <c r="N516" t="str">
        <f>IF(SalesData[[#This Row],[Profit]]&gt;0,"Profit","Loss")</f>
        <v>Profit</v>
      </c>
    </row>
    <row r="517" spans="1:14" x14ac:dyDescent="0.3">
      <c r="A517" t="s">
        <v>3089</v>
      </c>
      <c r="B517" s="3">
        <v>42858</v>
      </c>
      <c r="C517" t="s">
        <v>9</v>
      </c>
      <c r="D517" t="s">
        <v>21</v>
      </c>
      <c r="E517" t="s">
        <v>248</v>
      </c>
      <c r="F517" s="1">
        <v>221.16</v>
      </c>
      <c r="G517">
        <v>4</v>
      </c>
      <c r="H517" s="1">
        <v>57.501600000000003</v>
      </c>
      <c r="I517" s="4">
        <f>SalesData[[#This Row],[Profit]]/SalesData[[#This Row],[Sales]]</f>
        <v>0.26</v>
      </c>
      <c r="J517">
        <f>YEAR(SalesData[[#This Row],[Order Date]])</f>
        <v>2017</v>
      </c>
      <c r="K517" t="str">
        <f>TEXT(SalesData[[#This Row],[Order Date]],"mmm")</f>
        <v>May</v>
      </c>
      <c r="L517">
        <f>MONTH(SalesData[[#This Row],[Order Date]])</f>
        <v>5</v>
      </c>
      <c r="M517">
        <f>SalesData[[#This Row],[Sales]]/SalesData[[#This Row],[Quantity]]</f>
        <v>55.29</v>
      </c>
      <c r="N517" t="str">
        <f>IF(SalesData[[#This Row],[Profit]]&gt;0,"Profit","Loss")</f>
        <v>Profit</v>
      </c>
    </row>
    <row r="518" spans="1:14" x14ac:dyDescent="0.3">
      <c r="A518" t="s">
        <v>3089</v>
      </c>
      <c r="B518" s="3">
        <v>42858</v>
      </c>
      <c r="C518" t="s">
        <v>9</v>
      </c>
      <c r="D518" t="s">
        <v>21</v>
      </c>
      <c r="E518" t="s">
        <v>688</v>
      </c>
      <c r="F518" s="1">
        <v>127.96</v>
      </c>
      <c r="G518">
        <v>2</v>
      </c>
      <c r="H518" s="1">
        <v>62.700400000000002</v>
      </c>
      <c r="I518" s="4">
        <f>SalesData[[#This Row],[Profit]]/SalesData[[#This Row],[Sales]]</f>
        <v>0.49000000000000005</v>
      </c>
      <c r="J518">
        <f>YEAR(SalesData[[#This Row],[Order Date]])</f>
        <v>2017</v>
      </c>
      <c r="K518" t="str">
        <f>TEXT(SalesData[[#This Row],[Order Date]],"mmm")</f>
        <v>May</v>
      </c>
      <c r="L518">
        <f>MONTH(SalesData[[#This Row],[Order Date]])</f>
        <v>5</v>
      </c>
      <c r="M518">
        <f>SalesData[[#This Row],[Sales]]/SalesData[[#This Row],[Quantity]]</f>
        <v>63.98</v>
      </c>
      <c r="N518" t="str">
        <f>IF(SalesData[[#This Row],[Profit]]&gt;0,"Profit","Loss")</f>
        <v>Profit</v>
      </c>
    </row>
    <row r="519" spans="1:14" x14ac:dyDescent="0.3">
      <c r="A519" t="s">
        <v>3089</v>
      </c>
      <c r="B519" s="3">
        <v>42858</v>
      </c>
      <c r="C519" t="s">
        <v>9</v>
      </c>
      <c r="D519" t="s">
        <v>21</v>
      </c>
      <c r="E519" t="s">
        <v>779</v>
      </c>
      <c r="F519" s="1">
        <v>18.690000000000001</v>
      </c>
      <c r="G519">
        <v>3</v>
      </c>
      <c r="H519" s="1">
        <v>9.1580999999999992</v>
      </c>
      <c r="I519" s="4">
        <f>SalesData[[#This Row],[Profit]]/SalesData[[#This Row],[Sales]]</f>
        <v>0.48999999999999994</v>
      </c>
      <c r="J519">
        <f>YEAR(SalesData[[#This Row],[Order Date]])</f>
        <v>2017</v>
      </c>
      <c r="K519" t="str">
        <f>TEXT(SalesData[[#This Row],[Order Date]],"mmm")</f>
        <v>May</v>
      </c>
      <c r="L519">
        <f>MONTH(SalesData[[#This Row],[Order Date]])</f>
        <v>5</v>
      </c>
      <c r="M519">
        <f>SalesData[[#This Row],[Sales]]/SalesData[[#This Row],[Quantity]]</f>
        <v>6.23</v>
      </c>
      <c r="N519" t="str">
        <f>IF(SalesData[[#This Row],[Profit]]&gt;0,"Profit","Loss")</f>
        <v>Profit</v>
      </c>
    </row>
    <row r="520" spans="1:14" x14ac:dyDescent="0.3">
      <c r="A520" t="s">
        <v>3090</v>
      </c>
      <c r="B520" s="3">
        <v>42858</v>
      </c>
      <c r="C520" t="s">
        <v>46</v>
      </c>
      <c r="D520" t="s">
        <v>21</v>
      </c>
      <c r="E520" t="s">
        <v>2134</v>
      </c>
      <c r="F520" s="1">
        <v>42.68</v>
      </c>
      <c r="G520">
        <v>4</v>
      </c>
      <c r="H520" s="1">
        <v>19.6328</v>
      </c>
      <c r="I520" s="4">
        <f>SalesData[[#This Row],[Profit]]/SalesData[[#This Row],[Sales]]</f>
        <v>0.46</v>
      </c>
      <c r="J520">
        <f>YEAR(SalesData[[#This Row],[Order Date]])</f>
        <v>2017</v>
      </c>
      <c r="K520" t="str">
        <f>TEXT(SalesData[[#This Row],[Order Date]],"mmm")</f>
        <v>May</v>
      </c>
      <c r="L520">
        <f>MONTH(SalesData[[#This Row],[Order Date]])</f>
        <v>5</v>
      </c>
      <c r="M520">
        <f>SalesData[[#This Row],[Sales]]/SalesData[[#This Row],[Quantity]]</f>
        <v>10.67</v>
      </c>
      <c r="N520" t="str">
        <f>IF(SalesData[[#This Row],[Profit]]&gt;0,"Profit","Loss")</f>
        <v>Profit</v>
      </c>
    </row>
    <row r="521" spans="1:14" x14ac:dyDescent="0.3">
      <c r="A521" t="s">
        <v>3090</v>
      </c>
      <c r="B521" s="3">
        <v>42858</v>
      </c>
      <c r="C521" t="s">
        <v>46</v>
      </c>
      <c r="D521" t="s">
        <v>10</v>
      </c>
      <c r="E521" t="s">
        <v>533</v>
      </c>
      <c r="F521" s="1">
        <v>299.97000000000003</v>
      </c>
      <c r="G521">
        <v>3</v>
      </c>
      <c r="H521" s="1">
        <v>125.98739999999999</v>
      </c>
      <c r="I521" s="4">
        <f>SalesData[[#This Row],[Profit]]/SalesData[[#This Row],[Sales]]</f>
        <v>0.41999999999999993</v>
      </c>
      <c r="J521">
        <f>YEAR(SalesData[[#This Row],[Order Date]])</f>
        <v>2017</v>
      </c>
      <c r="K521" t="str">
        <f>TEXT(SalesData[[#This Row],[Order Date]],"mmm")</f>
        <v>May</v>
      </c>
      <c r="L521">
        <f>MONTH(SalesData[[#This Row],[Order Date]])</f>
        <v>5</v>
      </c>
      <c r="M521">
        <f>SalesData[[#This Row],[Sales]]/SalesData[[#This Row],[Quantity]]</f>
        <v>99.990000000000009</v>
      </c>
      <c r="N521" t="str">
        <f>IF(SalesData[[#This Row],[Profit]]&gt;0,"Profit","Loss")</f>
        <v>Profit</v>
      </c>
    </row>
    <row r="522" spans="1:14" x14ac:dyDescent="0.3">
      <c r="A522" t="s">
        <v>3090</v>
      </c>
      <c r="B522" s="3">
        <v>42858</v>
      </c>
      <c r="C522" t="s">
        <v>46</v>
      </c>
      <c r="D522" t="s">
        <v>21</v>
      </c>
      <c r="E522" t="s">
        <v>3091</v>
      </c>
      <c r="F522" s="1">
        <v>262.24</v>
      </c>
      <c r="G522">
        <v>2</v>
      </c>
      <c r="H522" s="1">
        <v>78.671999999999997</v>
      </c>
      <c r="I522" s="4">
        <f>SalesData[[#This Row],[Profit]]/SalesData[[#This Row],[Sales]]</f>
        <v>0.3</v>
      </c>
      <c r="J522">
        <f>YEAR(SalesData[[#This Row],[Order Date]])</f>
        <v>2017</v>
      </c>
      <c r="K522" t="str">
        <f>TEXT(SalesData[[#This Row],[Order Date]],"mmm")</f>
        <v>May</v>
      </c>
      <c r="L522">
        <f>MONTH(SalesData[[#This Row],[Order Date]])</f>
        <v>5</v>
      </c>
      <c r="M522">
        <f>SalesData[[#This Row],[Sales]]/SalesData[[#This Row],[Quantity]]</f>
        <v>131.12</v>
      </c>
      <c r="N522" t="str">
        <f>IF(SalesData[[#This Row],[Profit]]&gt;0,"Profit","Loss")</f>
        <v>Profit</v>
      </c>
    </row>
    <row r="523" spans="1:14" x14ac:dyDescent="0.3">
      <c r="A523" t="s">
        <v>3090</v>
      </c>
      <c r="B523" s="3">
        <v>42858</v>
      </c>
      <c r="C523" t="s">
        <v>46</v>
      </c>
      <c r="D523" t="s">
        <v>21</v>
      </c>
      <c r="E523" t="s">
        <v>1210</v>
      </c>
      <c r="F523" s="1">
        <v>234.36</v>
      </c>
      <c r="G523">
        <v>6</v>
      </c>
      <c r="H523" s="1">
        <v>112.4928</v>
      </c>
      <c r="I523" s="4">
        <f>SalesData[[#This Row],[Profit]]/SalesData[[#This Row],[Sales]]</f>
        <v>0.48</v>
      </c>
      <c r="J523">
        <f>YEAR(SalesData[[#This Row],[Order Date]])</f>
        <v>2017</v>
      </c>
      <c r="K523" t="str">
        <f>TEXT(SalesData[[#This Row],[Order Date]],"mmm")</f>
        <v>May</v>
      </c>
      <c r="L523">
        <f>MONTH(SalesData[[#This Row],[Order Date]])</f>
        <v>5</v>
      </c>
      <c r="M523">
        <f>SalesData[[#This Row],[Sales]]/SalesData[[#This Row],[Quantity]]</f>
        <v>39.06</v>
      </c>
      <c r="N523" t="str">
        <f>IF(SalesData[[#This Row],[Profit]]&gt;0,"Profit","Loss")</f>
        <v>Profit</v>
      </c>
    </row>
    <row r="524" spans="1:14" x14ac:dyDescent="0.3">
      <c r="A524" t="s">
        <v>3092</v>
      </c>
      <c r="B524" s="3">
        <v>42860</v>
      </c>
      <c r="C524" t="s">
        <v>13</v>
      </c>
      <c r="D524" t="s">
        <v>21</v>
      </c>
      <c r="E524" t="s">
        <v>3093</v>
      </c>
      <c r="F524" s="1">
        <v>23.16</v>
      </c>
      <c r="G524">
        <v>2</v>
      </c>
      <c r="H524" s="1">
        <v>11.58</v>
      </c>
      <c r="I524" s="4">
        <f>SalesData[[#This Row],[Profit]]/SalesData[[#This Row],[Sales]]</f>
        <v>0.5</v>
      </c>
      <c r="J524">
        <f>YEAR(SalesData[[#This Row],[Order Date]])</f>
        <v>2017</v>
      </c>
      <c r="K524" t="str">
        <f>TEXT(SalesData[[#This Row],[Order Date]],"mmm")</f>
        <v>May</v>
      </c>
      <c r="L524">
        <f>MONTH(SalesData[[#This Row],[Order Date]])</f>
        <v>5</v>
      </c>
      <c r="M524">
        <f>SalesData[[#This Row],[Sales]]/SalesData[[#This Row],[Quantity]]</f>
        <v>11.58</v>
      </c>
      <c r="N524" t="str">
        <f>IF(SalesData[[#This Row],[Profit]]&gt;0,"Profit","Loss")</f>
        <v>Profit</v>
      </c>
    </row>
    <row r="525" spans="1:14" x14ac:dyDescent="0.3">
      <c r="A525" t="s">
        <v>3094</v>
      </c>
      <c r="B525" s="3">
        <v>42860</v>
      </c>
      <c r="C525" t="s">
        <v>13</v>
      </c>
      <c r="D525" t="s">
        <v>21</v>
      </c>
      <c r="E525" t="s">
        <v>1438</v>
      </c>
      <c r="F525" s="1">
        <v>21.24</v>
      </c>
      <c r="G525">
        <v>9</v>
      </c>
      <c r="H525" s="1">
        <v>7.4340000000000002</v>
      </c>
      <c r="I525" s="4">
        <f>SalesData[[#This Row],[Profit]]/SalesData[[#This Row],[Sales]]</f>
        <v>0.35000000000000003</v>
      </c>
      <c r="J525">
        <f>YEAR(SalesData[[#This Row],[Order Date]])</f>
        <v>2017</v>
      </c>
      <c r="K525" t="str">
        <f>TEXT(SalesData[[#This Row],[Order Date]],"mmm")</f>
        <v>May</v>
      </c>
      <c r="L525">
        <f>MONTH(SalesData[[#This Row],[Order Date]])</f>
        <v>5</v>
      </c>
      <c r="M525">
        <f>SalesData[[#This Row],[Sales]]/SalesData[[#This Row],[Quantity]]</f>
        <v>2.36</v>
      </c>
      <c r="N525" t="str">
        <f>IF(SalesData[[#This Row],[Profit]]&gt;0,"Profit","Loss")</f>
        <v>Profit</v>
      </c>
    </row>
    <row r="526" spans="1:14" x14ac:dyDescent="0.3">
      <c r="A526" t="s">
        <v>3094</v>
      </c>
      <c r="B526" s="3">
        <v>42860</v>
      </c>
      <c r="C526" t="s">
        <v>13</v>
      </c>
      <c r="D526" t="s">
        <v>21</v>
      </c>
      <c r="E526" t="s">
        <v>1233</v>
      </c>
      <c r="F526" s="1">
        <v>9.5519999999999996</v>
      </c>
      <c r="G526">
        <v>8</v>
      </c>
      <c r="H526" s="1">
        <v>-7.3231999999999999</v>
      </c>
      <c r="I526" s="4">
        <f>SalesData[[#This Row],[Profit]]/SalesData[[#This Row],[Sales]]</f>
        <v>-0.76666666666666672</v>
      </c>
      <c r="J526">
        <f>YEAR(SalesData[[#This Row],[Order Date]])</f>
        <v>2017</v>
      </c>
      <c r="K526" t="str">
        <f>TEXT(SalesData[[#This Row],[Order Date]],"mmm")</f>
        <v>May</v>
      </c>
      <c r="L526">
        <f>MONTH(SalesData[[#This Row],[Order Date]])</f>
        <v>5</v>
      </c>
      <c r="M526">
        <f>SalesData[[#This Row],[Sales]]/SalesData[[#This Row],[Quantity]]</f>
        <v>1.194</v>
      </c>
      <c r="N526" t="str">
        <f>IF(SalesData[[#This Row],[Profit]]&gt;0,"Profit","Loss")</f>
        <v>Loss</v>
      </c>
    </row>
    <row r="527" spans="1:14" x14ac:dyDescent="0.3">
      <c r="A527" t="s">
        <v>3094</v>
      </c>
      <c r="B527" s="3">
        <v>42860</v>
      </c>
      <c r="C527" t="s">
        <v>13</v>
      </c>
      <c r="D527" t="s">
        <v>14</v>
      </c>
      <c r="E527" t="s">
        <v>830</v>
      </c>
      <c r="F527" s="1">
        <v>89.991</v>
      </c>
      <c r="G527">
        <v>3</v>
      </c>
      <c r="H527" s="1">
        <v>-152.9847</v>
      </c>
      <c r="I527" s="4">
        <f>SalesData[[#This Row],[Profit]]/SalesData[[#This Row],[Sales]]</f>
        <v>-1.7</v>
      </c>
      <c r="J527">
        <f>YEAR(SalesData[[#This Row],[Order Date]])</f>
        <v>2017</v>
      </c>
      <c r="K527" t="str">
        <f>TEXT(SalesData[[#This Row],[Order Date]],"mmm")</f>
        <v>May</v>
      </c>
      <c r="L527">
        <f>MONTH(SalesData[[#This Row],[Order Date]])</f>
        <v>5</v>
      </c>
      <c r="M527">
        <f>SalesData[[#This Row],[Sales]]/SalesData[[#This Row],[Quantity]]</f>
        <v>29.997</v>
      </c>
      <c r="N527" t="str">
        <f>IF(SalesData[[#This Row],[Profit]]&gt;0,"Profit","Loss")</f>
        <v>Loss</v>
      </c>
    </row>
    <row r="528" spans="1:14" x14ac:dyDescent="0.3">
      <c r="A528" t="s">
        <v>3095</v>
      </c>
      <c r="B528" s="3">
        <v>42860</v>
      </c>
      <c r="C528" t="s">
        <v>46</v>
      </c>
      <c r="D528" t="s">
        <v>21</v>
      </c>
      <c r="E528" t="s">
        <v>551</v>
      </c>
      <c r="F528" s="1">
        <v>34.5</v>
      </c>
      <c r="G528">
        <v>3</v>
      </c>
      <c r="H528" s="1">
        <v>15.525</v>
      </c>
      <c r="I528" s="4">
        <f>SalesData[[#This Row],[Profit]]/SalesData[[#This Row],[Sales]]</f>
        <v>0.45</v>
      </c>
      <c r="J528">
        <f>YEAR(SalesData[[#This Row],[Order Date]])</f>
        <v>2017</v>
      </c>
      <c r="K528" t="str">
        <f>TEXT(SalesData[[#This Row],[Order Date]],"mmm")</f>
        <v>May</v>
      </c>
      <c r="L528">
        <f>MONTH(SalesData[[#This Row],[Order Date]])</f>
        <v>5</v>
      </c>
      <c r="M528">
        <f>SalesData[[#This Row],[Sales]]/SalesData[[#This Row],[Quantity]]</f>
        <v>11.5</v>
      </c>
      <c r="N528" t="str">
        <f>IF(SalesData[[#This Row],[Profit]]&gt;0,"Profit","Loss")</f>
        <v>Profit</v>
      </c>
    </row>
    <row r="529" spans="1:14" x14ac:dyDescent="0.3">
      <c r="A529" t="s">
        <v>3096</v>
      </c>
      <c r="B529" s="3">
        <v>42860</v>
      </c>
      <c r="C529" t="s">
        <v>17</v>
      </c>
      <c r="D529" t="s">
        <v>21</v>
      </c>
      <c r="E529" t="s">
        <v>2392</v>
      </c>
      <c r="F529" s="1">
        <v>6.68</v>
      </c>
      <c r="G529">
        <v>1</v>
      </c>
      <c r="H529" s="1">
        <v>3.2063999999999999</v>
      </c>
      <c r="I529" s="4">
        <f>SalesData[[#This Row],[Profit]]/SalesData[[#This Row],[Sales]]</f>
        <v>0.48</v>
      </c>
      <c r="J529">
        <f>YEAR(SalesData[[#This Row],[Order Date]])</f>
        <v>2017</v>
      </c>
      <c r="K529" t="str">
        <f>TEXT(SalesData[[#This Row],[Order Date]],"mmm")</f>
        <v>May</v>
      </c>
      <c r="L529">
        <f>MONTH(SalesData[[#This Row],[Order Date]])</f>
        <v>5</v>
      </c>
      <c r="M529">
        <f>SalesData[[#This Row],[Sales]]/SalesData[[#This Row],[Quantity]]</f>
        <v>6.68</v>
      </c>
      <c r="N529" t="str">
        <f>IF(SalesData[[#This Row],[Profit]]&gt;0,"Profit","Loss")</f>
        <v>Profit</v>
      </c>
    </row>
    <row r="530" spans="1:14" x14ac:dyDescent="0.3">
      <c r="A530" t="s">
        <v>3097</v>
      </c>
      <c r="B530" s="3">
        <v>42861</v>
      </c>
      <c r="C530" t="s">
        <v>9</v>
      </c>
      <c r="D530" t="s">
        <v>10</v>
      </c>
      <c r="E530" t="s">
        <v>1466</v>
      </c>
      <c r="F530" s="1">
        <v>470.37599999999998</v>
      </c>
      <c r="G530">
        <v>3</v>
      </c>
      <c r="H530" s="1">
        <v>52.917299999999997</v>
      </c>
      <c r="I530" s="4">
        <f>SalesData[[#This Row],[Profit]]/SalesData[[#This Row],[Sales]]</f>
        <v>0.1125</v>
      </c>
      <c r="J530">
        <f>YEAR(SalesData[[#This Row],[Order Date]])</f>
        <v>2017</v>
      </c>
      <c r="K530" t="str">
        <f>TEXT(SalesData[[#This Row],[Order Date]],"mmm")</f>
        <v>May</v>
      </c>
      <c r="L530">
        <f>MONTH(SalesData[[#This Row],[Order Date]])</f>
        <v>5</v>
      </c>
      <c r="M530">
        <f>SalesData[[#This Row],[Sales]]/SalesData[[#This Row],[Quantity]]</f>
        <v>156.792</v>
      </c>
      <c r="N530" t="str">
        <f>IF(SalesData[[#This Row],[Profit]]&gt;0,"Profit","Loss")</f>
        <v>Profit</v>
      </c>
    </row>
    <row r="531" spans="1:14" x14ac:dyDescent="0.3">
      <c r="A531" t="s">
        <v>3098</v>
      </c>
      <c r="B531" s="3">
        <v>42861</v>
      </c>
      <c r="C531" t="s">
        <v>46</v>
      </c>
      <c r="D531" t="s">
        <v>21</v>
      </c>
      <c r="E531" t="s">
        <v>2531</v>
      </c>
      <c r="F531" s="1">
        <v>20.736000000000001</v>
      </c>
      <c r="G531">
        <v>4</v>
      </c>
      <c r="H531" s="1">
        <v>7.2576000000000001</v>
      </c>
      <c r="I531" s="4">
        <f>SalesData[[#This Row],[Profit]]/SalesData[[#This Row],[Sales]]</f>
        <v>0.35</v>
      </c>
      <c r="J531">
        <f>YEAR(SalesData[[#This Row],[Order Date]])</f>
        <v>2017</v>
      </c>
      <c r="K531" t="str">
        <f>TEXT(SalesData[[#This Row],[Order Date]],"mmm")</f>
        <v>May</v>
      </c>
      <c r="L531">
        <f>MONTH(SalesData[[#This Row],[Order Date]])</f>
        <v>5</v>
      </c>
      <c r="M531">
        <f>SalesData[[#This Row],[Sales]]/SalesData[[#This Row],[Quantity]]</f>
        <v>5.1840000000000002</v>
      </c>
      <c r="N531" t="str">
        <f>IF(SalesData[[#This Row],[Profit]]&gt;0,"Profit","Loss")</f>
        <v>Profit</v>
      </c>
    </row>
    <row r="532" spans="1:14" x14ac:dyDescent="0.3">
      <c r="A532" t="s">
        <v>3099</v>
      </c>
      <c r="B532" s="3">
        <v>42862</v>
      </c>
      <c r="C532" t="s">
        <v>9</v>
      </c>
      <c r="D532" t="s">
        <v>14</v>
      </c>
      <c r="E532" t="s">
        <v>1944</v>
      </c>
      <c r="F532" s="1">
        <v>332.02800000000002</v>
      </c>
      <c r="G532">
        <v>9</v>
      </c>
      <c r="H532" s="1">
        <v>-348.62939999999998</v>
      </c>
      <c r="I532" s="4">
        <f>SalesData[[#This Row],[Profit]]/SalesData[[#This Row],[Sales]]</f>
        <v>-1.0499999999999998</v>
      </c>
      <c r="J532">
        <f>YEAR(SalesData[[#This Row],[Order Date]])</f>
        <v>2017</v>
      </c>
      <c r="K532" t="str">
        <f>TEXT(SalesData[[#This Row],[Order Date]],"mmm")</f>
        <v>May</v>
      </c>
      <c r="L532">
        <f>MONTH(SalesData[[#This Row],[Order Date]])</f>
        <v>5</v>
      </c>
      <c r="M532">
        <f>SalesData[[#This Row],[Sales]]/SalesData[[#This Row],[Quantity]]</f>
        <v>36.892000000000003</v>
      </c>
      <c r="N532" t="str">
        <f>IF(SalesData[[#This Row],[Profit]]&gt;0,"Profit","Loss")</f>
        <v>Loss</v>
      </c>
    </row>
    <row r="533" spans="1:14" x14ac:dyDescent="0.3">
      <c r="A533" t="s">
        <v>3099</v>
      </c>
      <c r="B533" s="3">
        <v>42862</v>
      </c>
      <c r="C533" t="s">
        <v>9</v>
      </c>
      <c r="D533" t="s">
        <v>21</v>
      </c>
      <c r="E533" t="s">
        <v>225</v>
      </c>
      <c r="F533" s="1">
        <v>11.394</v>
      </c>
      <c r="G533">
        <v>9</v>
      </c>
      <c r="H533" s="1">
        <v>-17.660699999999999</v>
      </c>
      <c r="I533" s="4">
        <f>SalesData[[#This Row],[Profit]]/SalesData[[#This Row],[Sales]]</f>
        <v>-1.5499999999999998</v>
      </c>
      <c r="J533">
        <f>YEAR(SalesData[[#This Row],[Order Date]])</f>
        <v>2017</v>
      </c>
      <c r="K533" t="str">
        <f>TEXT(SalesData[[#This Row],[Order Date]],"mmm")</f>
        <v>May</v>
      </c>
      <c r="L533">
        <f>MONTH(SalesData[[#This Row],[Order Date]])</f>
        <v>5</v>
      </c>
      <c r="M533">
        <f>SalesData[[#This Row],[Sales]]/SalesData[[#This Row],[Quantity]]</f>
        <v>1.266</v>
      </c>
      <c r="N533" t="str">
        <f>IF(SalesData[[#This Row],[Profit]]&gt;0,"Profit","Loss")</f>
        <v>Loss</v>
      </c>
    </row>
    <row r="534" spans="1:14" x14ac:dyDescent="0.3">
      <c r="A534" t="s">
        <v>3099</v>
      </c>
      <c r="B534" s="3">
        <v>42862</v>
      </c>
      <c r="C534" t="s">
        <v>9</v>
      </c>
      <c r="D534" t="s">
        <v>21</v>
      </c>
      <c r="E534" t="s">
        <v>2689</v>
      </c>
      <c r="F534" s="1">
        <v>15.552</v>
      </c>
      <c r="G534">
        <v>3</v>
      </c>
      <c r="H534" s="1">
        <v>5.6375999999999999</v>
      </c>
      <c r="I534" s="4">
        <f>SalesData[[#This Row],[Profit]]/SalesData[[#This Row],[Sales]]</f>
        <v>0.36249999999999999</v>
      </c>
      <c r="J534">
        <f>YEAR(SalesData[[#This Row],[Order Date]])</f>
        <v>2017</v>
      </c>
      <c r="K534" t="str">
        <f>TEXT(SalesData[[#This Row],[Order Date]],"mmm")</f>
        <v>May</v>
      </c>
      <c r="L534">
        <f>MONTH(SalesData[[#This Row],[Order Date]])</f>
        <v>5</v>
      </c>
      <c r="M534">
        <f>SalesData[[#This Row],[Sales]]/SalesData[[#This Row],[Quantity]]</f>
        <v>5.1840000000000002</v>
      </c>
      <c r="N534" t="str">
        <f>IF(SalesData[[#This Row],[Profit]]&gt;0,"Profit","Loss")</f>
        <v>Profit</v>
      </c>
    </row>
    <row r="535" spans="1:14" x14ac:dyDescent="0.3">
      <c r="A535" t="s">
        <v>3099</v>
      </c>
      <c r="B535" s="3">
        <v>42862</v>
      </c>
      <c r="C535" t="s">
        <v>9</v>
      </c>
      <c r="D535" t="s">
        <v>21</v>
      </c>
      <c r="E535" t="s">
        <v>324</v>
      </c>
      <c r="F535" s="1">
        <v>31.103999999999999</v>
      </c>
      <c r="G535">
        <v>6</v>
      </c>
      <c r="H535" s="1">
        <v>11.2752</v>
      </c>
      <c r="I535" s="4">
        <f>SalesData[[#This Row],[Profit]]/SalesData[[#This Row],[Sales]]</f>
        <v>0.36249999999999999</v>
      </c>
      <c r="J535">
        <f>YEAR(SalesData[[#This Row],[Order Date]])</f>
        <v>2017</v>
      </c>
      <c r="K535" t="str">
        <f>TEXT(SalesData[[#This Row],[Order Date]],"mmm")</f>
        <v>May</v>
      </c>
      <c r="L535">
        <f>MONTH(SalesData[[#This Row],[Order Date]])</f>
        <v>5</v>
      </c>
      <c r="M535">
        <f>SalesData[[#This Row],[Sales]]/SalesData[[#This Row],[Quantity]]</f>
        <v>5.1840000000000002</v>
      </c>
      <c r="N535" t="str">
        <f>IF(SalesData[[#This Row],[Profit]]&gt;0,"Profit","Loss")</f>
        <v>Profit</v>
      </c>
    </row>
    <row r="536" spans="1:14" x14ac:dyDescent="0.3">
      <c r="A536" t="s">
        <v>3099</v>
      </c>
      <c r="B536" s="3">
        <v>42862</v>
      </c>
      <c r="C536" t="s">
        <v>9</v>
      </c>
      <c r="D536" t="s">
        <v>21</v>
      </c>
      <c r="E536" t="s">
        <v>1768</v>
      </c>
      <c r="F536" s="1">
        <v>6.3159999999999998</v>
      </c>
      <c r="G536">
        <v>1</v>
      </c>
      <c r="H536" s="1">
        <v>-10.4214</v>
      </c>
      <c r="I536" s="4">
        <f>SalesData[[#This Row],[Profit]]/SalesData[[#This Row],[Sales]]</f>
        <v>-1.6500000000000001</v>
      </c>
      <c r="J536">
        <f>YEAR(SalesData[[#This Row],[Order Date]])</f>
        <v>2017</v>
      </c>
      <c r="K536" t="str">
        <f>TEXT(SalesData[[#This Row],[Order Date]],"mmm")</f>
        <v>May</v>
      </c>
      <c r="L536">
        <f>MONTH(SalesData[[#This Row],[Order Date]])</f>
        <v>5</v>
      </c>
      <c r="M536">
        <f>SalesData[[#This Row],[Sales]]/SalesData[[#This Row],[Quantity]]</f>
        <v>6.3159999999999998</v>
      </c>
      <c r="N536" t="str">
        <f>IF(SalesData[[#This Row],[Profit]]&gt;0,"Profit","Loss")</f>
        <v>Loss</v>
      </c>
    </row>
    <row r="537" spans="1:14" x14ac:dyDescent="0.3">
      <c r="A537" t="s">
        <v>3100</v>
      </c>
      <c r="B537" s="3">
        <v>42862</v>
      </c>
      <c r="C537" t="s">
        <v>9</v>
      </c>
      <c r="D537" t="s">
        <v>10</v>
      </c>
      <c r="E537" t="s">
        <v>1905</v>
      </c>
      <c r="F537" s="1">
        <v>79.959999999999994</v>
      </c>
      <c r="G537">
        <v>4</v>
      </c>
      <c r="H537" s="1">
        <v>22.3888</v>
      </c>
      <c r="I537" s="4">
        <f>SalesData[[#This Row],[Profit]]/SalesData[[#This Row],[Sales]]</f>
        <v>0.28000000000000003</v>
      </c>
      <c r="J537">
        <f>YEAR(SalesData[[#This Row],[Order Date]])</f>
        <v>2017</v>
      </c>
      <c r="K537" t="str">
        <f>TEXT(SalesData[[#This Row],[Order Date]],"mmm")</f>
        <v>May</v>
      </c>
      <c r="L537">
        <f>MONTH(SalesData[[#This Row],[Order Date]])</f>
        <v>5</v>
      </c>
      <c r="M537">
        <f>SalesData[[#This Row],[Sales]]/SalesData[[#This Row],[Quantity]]</f>
        <v>19.989999999999998</v>
      </c>
      <c r="N537" t="str">
        <f>IF(SalesData[[#This Row],[Profit]]&gt;0,"Profit","Loss")</f>
        <v>Profit</v>
      </c>
    </row>
    <row r="538" spans="1:14" x14ac:dyDescent="0.3">
      <c r="A538" t="s">
        <v>3101</v>
      </c>
      <c r="B538" s="3">
        <v>42863</v>
      </c>
      <c r="C538" t="s">
        <v>46</v>
      </c>
      <c r="D538" t="s">
        <v>21</v>
      </c>
      <c r="E538" t="s">
        <v>1735</v>
      </c>
      <c r="F538" s="1">
        <v>13.76</v>
      </c>
      <c r="G538">
        <v>2</v>
      </c>
      <c r="H538" s="1">
        <v>6.3296000000000001</v>
      </c>
      <c r="I538" s="4">
        <f>SalesData[[#This Row],[Profit]]/SalesData[[#This Row],[Sales]]</f>
        <v>0.46</v>
      </c>
      <c r="J538">
        <f>YEAR(SalesData[[#This Row],[Order Date]])</f>
        <v>2017</v>
      </c>
      <c r="K538" t="str">
        <f>TEXT(SalesData[[#This Row],[Order Date]],"mmm")</f>
        <v>May</v>
      </c>
      <c r="L538">
        <f>MONTH(SalesData[[#This Row],[Order Date]])</f>
        <v>5</v>
      </c>
      <c r="M538">
        <f>SalesData[[#This Row],[Sales]]/SalesData[[#This Row],[Quantity]]</f>
        <v>6.88</v>
      </c>
      <c r="N538" t="str">
        <f>IF(SalesData[[#This Row],[Profit]]&gt;0,"Profit","Loss")</f>
        <v>Profit</v>
      </c>
    </row>
    <row r="539" spans="1:14" x14ac:dyDescent="0.3">
      <c r="A539" t="s">
        <v>3102</v>
      </c>
      <c r="B539" s="3">
        <v>42863</v>
      </c>
      <c r="C539" t="s">
        <v>9</v>
      </c>
      <c r="D539" t="s">
        <v>21</v>
      </c>
      <c r="E539" t="s">
        <v>3103</v>
      </c>
      <c r="F539" s="1">
        <v>151.05600000000001</v>
      </c>
      <c r="G539">
        <v>9</v>
      </c>
      <c r="H539" s="1">
        <v>7.5528000000000004</v>
      </c>
      <c r="I539" s="4">
        <f>SalesData[[#This Row],[Profit]]/SalesData[[#This Row],[Sales]]</f>
        <v>4.9999999999999996E-2</v>
      </c>
      <c r="J539">
        <f>YEAR(SalesData[[#This Row],[Order Date]])</f>
        <v>2017</v>
      </c>
      <c r="K539" t="str">
        <f>TEXT(SalesData[[#This Row],[Order Date]],"mmm")</f>
        <v>May</v>
      </c>
      <c r="L539">
        <f>MONTH(SalesData[[#This Row],[Order Date]])</f>
        <v>5</v>
      </c>
      <c r="M539">
        <f>SalesData[[#This Row],[Sales]]/SalesData[[#This Row],[Quantity]]</f>
        <v>16.784000000000002</v>
      </c>
      <c r="N539" t="str">
        <f>IF(SalesData[[#This Row],[Profit]]&gt;0,"Profit","Loss")</f>
        <v>Profit</v>
      </c>
    </row>
    <row r="540" spans="1:14" x14ac:dyDescent="0.3">
      <c r="A540" t="s">
        <v>3104</v>
      </c>
      <c r="B540" s="3">
        <v>42863</v>
      </c>
      <c r="C540" t="s">
        <v>9</v>
      </c>
      <c r="D540" t="s">
        <v>21</v>
      </c>
      <c r="E540" t="s">
        <v>2236</v>
      </c>
      <c r="F540" s="1">
        <v>125.88</v>
      </c>
      <c r="G540">
        <v>6</v>
      </c>
      <c r="H540" s="1">
        <v>60.422400000000003</v>
      </c>
      <c r="I540" s="4">
        <f>SalesData[[#This Row],[Profit]]/SalesData[[#This Row],[Sales]]</f>
        <v>0.48000000000000004</v>
      </c>
      <c r="J540">
        <f>YEAR(SalesData[[#This Row],[Order Date]])</f>
        <v>2017</v>
      </c>
      <c r="K540" t="str">
        <f>TEXT(SalesData[[#This Row],[Order Date]],"mmm")</f>
        <v>May</v>
      </c>
      <c r="L540">
        <f>MONTH(SalesData[[#This Row],[Order Date]])</f>
        <v>5</v>
      </c>
      <c r="M540">
        <f>SalesData[[#This Row],[Sales]]/SalesData[[#This Row],[Quantity]]</f>
        <v>20.98</v>
      </c>
      <c r="N540" t="str">
        <f>IF(SalesData[[#This Row],[Profit]]&gt;0,"Profit","Loss")</f>
        <v>Profit</v>
      </c>
    </row>
    <row r="541" spans="1:14" x14ac:dyDescent="0.3">
      <c r="A541" t="s">
        <v>3104</v>
      </c>
      <c r="B541" s="3">
        <v>42863</v>
      </c>
      <c r="C541" t="s">
        <v>9</v>
      </c>
      <c r="D541" t="s">
        <v>10</v>
      </c>
      <c r="E541" t="s">
        <v>1980</v>
      </c>
      <c r="F541" s="1">
        <v>79.78</v>
      </c>
      <c r="G541">
        <v>2</v>
      </c>
      <c r="H541" s="1">
        <v>29.518599999999999</v>
      </c>
      <c r="I541" s="4">
        <f>SalesData[[#This Row],[Profit]]/SalesData[[#This Row],[Sales]]</f>
        <v>0.37</v>
      </c>
      <c r="J541">
        <f>YEAR(SalesData[[#This Row],[Order Date]])</f>
        <v>2017</v>
      </c>
      <c r="K541" t="str">
        <f>TEXT(SalesData[[#This Row],[Order Date]],"mmm")</f>
        <v>May</v>
      </c>
      <c r="L541">
        <f>MONTH(SalesData[[#This Row],[Order Date]])</f>
        <v>5</v>
      </c>
      <c r="M541">
        <f>SalesData[[#This Row],[Sales]]/SalesData[[#This Row],[Quantity]]</f>
        <v>39.89</v>
      </c>
      <c r="N541" t="str">
        <f>IF(SalesData[[#This Row],[Profit]]&gt;0,"Profit","Loss")</f>
        <v>Profit</v>
      </c>
    </row>
    <row r="542" spans="1:14" x14ac:dyDescent="0.3">
      <c r="A542" t="s">
        <v>3104</v>
      </c>
      <c r="B542" s="3">
        <v>42863</v>
      </c>
      <c r="C542" t="s">
        <v>9</v>
      </c>
      <c r="D542" t="s">
        <v>21</v>
      </c>
      <c r="E542" t="s">
        <v>93</v>
      </c>
      <c r="F542" s="1">
        <v>133.19999999999999</v>
      </c>
      <c r="G542">
        <v>9</v>
      </c>
      <c r="H542" s="1">
        <v>66.599999999999994</v>
      </c>
      <c r="I542" s="4">
        <f>SalesData[[#This Row],[Profit]]/SalesData[[#This Row],[Sales]]</f>
        <v>0.5</v>
      </c>
      <c r="J542">
        <f>YEAR(SalesData[[#This Row],[Order Date]])</f>
        <v>2017</v>
      </c>
      <c r="K542" t="str">
        <f>TEXT(SalesData[[#This Row],[Order Date]],"mmm")</f>
        <v>May</v>
      </c>
      <c r="L542">
        <f>MONTH(SalesData[[#This Row],[Order Date]])</f>
        <v>5</v>
      </c>
      <c r="M542">
        <f>SalesData[[#This Row],[Sales]]/SalesData[[#This Row],[Quantity]]</f>
        <v>14.799999999999999</v>
      </c>
      <c r="N542" t="str">
        <f>IF(SalesData[[#This Row],[Profit]]&gt;0,"Profit","Loss")</f>
        <v>Profit</v>
      </c>
    </row>
    <row r="543" spans="1:14" x14ac:dyDescent="0.3">
      <c r="A543" t="s">
        <v>3105</v>
      </c>
      <c r="B543" s="3">
        <v>42864</v>
      </c>
      <c r="C543" t="s">
        <v>13</v>
      </c>
      <c r="D543" t="s">
        <v>21</v>
      </c>
      <c r="E543" t="s">
        <v>1419</v>
      </c>
      <c r="F543" s="1">
        <v>2.78</v>
      </c>
      <c r="G543">
        <v>1</v>
      </c>
      <c r="H543" s="1">
        <v>0.7228</v>
      </c>
      <c r="I543" s="4">
        <f>SalesData[[#This Row],[Profit]]/SalesData[[#This Row],[Sales]]</f>
        <v>0.26</v>
      </c>
      <c r="J543">
        <f>YEAR(SalesData[[#This Row],[Order Date]])</f>
        <v>2017</v>
      </c>
      <c r="K543" t="str">
        <f>TEXT(SalesData[[#This Row],[Order Date]],"mmm")</f>
        <v>May</v>
      </c>
      <c r="L543">
        <f>MONTH(SalesData[[#This Row],[Order Date]])</f>
        <v>5</v>
      </c>
      <c r="M543">
        <f>SalesData[[#This Row],[Sales]]/SalesData[[#This Row],[Quantity]]</f>
        <v>2.78</v>
      </c>
      <c r="N543" t="str">
        <f>IF(SalesData[[#This Row],[Profit]]&gt;0,"Profit","Loss")</f>
        <v>Profit</v>
      </c>
    </row>
    <row r="544" spans="1:14" x14ac:dyDescent="0.3">
      <c r="A544" t="s">
        <v>3106</v>
      </c>
      <c r="B544" s="3">
        <v>42864</v>
      </c>
      <c r="C544" t="s">
        <v>46</v>
      </c>
      <c r="D544" t="s">
        <v>21</v>
      </c>
      <c r="E544" t="s">
        <v>421</v>
      </c>
      <c r="F544" s="1">
        <v>147.184</v>
      </c>
      <c r="G544">
        <v>2</v>
      </c>
      <c r="H544" s="1">
        <v>-29.436800000000002</v>
      </c>
      <c r="I544" s="4">
        <f>SalesData[[#This Row],[Profit]]/SalesData[[#This Row],[Sales]]</f>
        <v>-0.2</v>
      </c>
      <c r="J544">
        <f>YEAR(SalesData[[#This Row],[Order Date]])</f>
        <v>2017</v>
      </c>
      <c r="K544" t="str">
        <f>TEXT(SalesData[[#This Row],[Order Date]],"mmm")</f>
        <v>May</v>
      </c>
      <c r="L544">
        <f>MONTH(SalesData[[#This Row],[Order Date]])</f>
        <v>5</v>
      </c>
      <c r="M544">
        <f>SalesData[[#This Row],[Sales]]/SalesData[[#This Row],[Quantity]]</f>
        <v>73.591999999999999</v>
      </c>
      <c r="N544" t="str">
        <f>IF(SalesData[[#This Row],[Profit]]&gt;0,"Profit","Loss")</f>
        <v>Loss</v>
      </c>
    </row>
    <row r="545" spans="1:14" x14ac:dyDescent="0.3">
      <c r="A545" t="s">
        <v>3107</v>
      </c>
      <c r="B545" s="3">
        <v>42864</v>
      </c>
      <c r="C545" t="s">
        <v>46</v>
      </c>
      <c r="D545" t="s">
        <v>10</v>
      </c>
      <c r="E545" t="s">
        <v>2746</v>
      </c>
      <c r="F545" s="1">
        <v>89.567999999999998</v>
      </c>
      <c r="G545">
        <v>4</v>
      </c>
      <c r="H545" s="1">
        <v>-1.1195999999999999</v>
      </c>
      <c r="I545" s="4">
        <f>SalesData[[#This Row],[Profit]]/SalesData[[#This Row],[Sales]]</f>
        <v>-1.2499999999999999E-2</v>
      </c>
      <c r="J545">
        <f>YEAR(SalesData[[#This Row],[Order Date]])</f>
        <v>2017</v>
      </c>
      <c r="K545" t="str">
        <f>TEXT(SalesData[[#This Row],[Order Date]],"mmm")</f>
        <v>May</v>
      </c>
      <c r="L545">
        <f>MONTH(SalesData[[#This Row],[Order Date]])</f>
        <v>5</v>
      </c>
      <c r="M545">
        <f>SalesData[[#This Row],[Sales]]/SalesData[[#This Row],[Quantity]]</f>
        <v>22.391999999999999</v>
      </c>
      <c r="N545" t="str">
        <f>IF(SalesData[[#This Row],[Profit]]&gt;0,"Profit","Loss")</f>
        <v>Loss</v>
      </c>
    </row>
    <row r="546" spans="1:14" x14ac:dyDescent="0.3">
      <c r="A546" t="s">
        <v>3107</v>
      </c>
      <c r="B546" s="3">
        <v>42864</v>
      </c>
      <c r="C546" t="s">
        <v>46</v>
      </c>
      <c r="D546" t="s">
        <v>21</v>
      </c>
      <c r="E546" t="s">
        <v>77</v>
      </c>
      <c r="F546" s="1">
        <v>71.959999999999994</v>
      </c>
      <c r="G546">
        <v>5</v>
      </c>
      <c r="H546" s="1">
        <v>7.1959999999999997</v>
      </c>
      <c r="I546" s="4">
        <f>SalesData[[#This Row],[Profit]]/SalesData[[#This Row],[Sales]]</f>
        <v>0.1</v>
      </c>
      <c r="J546">
        <f>YEAR(SalesData[[#This Row],[Order Date]])</f>
        <v>2017</v>
      </c>
      <c r="K546" t="str">
        <f>TEXT(SalesData[[#This Row],[Order Date]],"mmm")</f>
        <v>May</v>
      </c>
      <c r="L546">
        <f>MONTH(SalesData[[#This Row],[Order Date]])</f>
        <v>5</v>
      </c>
      <c r="M546">
        <f>SalesData[[#This Row],[Sales]]/SalesData[[#This Row],[Quantity]]</f>
        <v>14.391999999999999</v>
      </c>
      <c r="N546" t="str">
        <f>IF(SalesData[[#This Row],[Profit]]&gt;0,"Profit","Loss")</f>
        <v>Profit</v>
      </c>
    </row>
    <row r="547" spans="1:14" x14ac:dyDescent="0.3">
      <c r="A547" t="s">
        <v>3107</v>
      </c>
      <c r="B547" s="3">
        <v>42864</v>
      </c>
      <c r="C547" t="s">
        <v>46</v>
      </c>
      <c r="D547" t="s">
        <v>21</v>
      </c>
      <c r="E547" t="s">
        <v>1011</v>
      </c>
      <c r="F547" s="1">
        <v>15.552</v>
      </c>
      <c r="G547">
        <v>3</v>
      </c>
      <c r="H547" s="1">
        <v>5.4432</v>
      </c>
      <c r="I547" s="4">
        <f>SalesData[[#This Row],[Profit]]/SalesData[[#This Row],[Sales]]</f>
        <v>0.35000000000000003</v>
      </c>
      <c r="J547">
        <f>YEAR(SalesData[[#This Row],[Order Date]])</f>
        <v>2017</v>
      </c>
      <c r="K547" t="str">
        <f>TEXT(SalesData[[#This Row],[Order Date]],"mmm")</f>
        <v>May</v>
      </c>
      <c r="L547">
        <f>MONTH(SalesData[[#This Row],[Order Date]])</f>
        <v>5</v>
      </c>
      <c r="M547">
        <f>SalesData[[#This Row],[Sales]]/SalesData[[#This Row],[Quantity]]</f>
        <v>5.1840000000000002</v>
      </c>
      <c r="N547" t="str">
        <f>IF(SalesData[[#This Row],[Profit]]&gt;0,"Profit","Loss")</f>
        <v>Profit</v>
      </c>
    </row>
    <row r="548" spans="1:14" x14ac:dyDescent="0.3">
      <c r="A548" t="s">
        <v>3108</v>
      </c>
      <c r="B548" s="3">
        <v>42865</v>
      </c>
      <c r="C548" t="s">
        <v>17</v>
      </c>
      <c r="D548" t="s">
        <v>10</v>
      </c>
      <c r="E548" t="s">
        <v>2452</v>
      </c>
      <c r="F548" s="1">
        <v>160.93</v>
      </c>
      <c r="G548">
        <v>7</v>
      </c>
      <c r="H548" s="1">
        <v>3.2185999999999999</v>
      </c>
      <c r="I548" s="4">
        <f>SalesData[[#This Row],[Profit]]/SalesData[[#This Row],[Sales]]</f>
        <v>1.9999999999999997E-2</v>
      </c>
      <c r="J548">
        <f>YEAR(SalesData[[#This Row],[Order Date]])</f>
        <v>2017</v>
      </c>
      <c r="K548" t="str">
        <f>TEXT(SalesData[[#This Row],[Order Date]],"mmm")</f>
        <v>May</v>
      </c>
      <c r="L548">
        <f>MONTH(SalesData[[#This Row],[Order Date]])</f>
        <v>5</v>
      </c>
      <c r="M548">
        <f>SalesData[[#This Row],[Sales]]/SalesData[[#This Row],[Quantity]]</f>
        <v>22.990000000000002</v>
      </c>
      <c r="N548" t="str">
        <f>IF(SalesData[[#This Row],[Profit]]&gt;0,"Profit","Loss")</f>
        <v>Profit</v>
      </c>
    </row>
    <row r="549" spans="1:14" x14ac:dyDescent="0.3">
      <c r="A549" t="s">
        <v>3108</v>
      </c>
      <c r="B549" s="3">
        <v>42865</v>
      </c>
      <c r="C549" t="s">
        <v>17</v>
      </c>
      <c r="D549" t="s">
        <v>21</v>
      </c>
      <c r="E549" t="s">
        <v>1768</v>
      </c>
      <c r="F549" s="1">
        <v>75.792000000000002</v>
      </c>
      <c r="G549">
        <v>3</v>
      </c>
      <c r="H549" s="1">
        <v>25.579799999999999</v>
      </c>
      <c r="I549" s="4">
        <f>SalesData[[#This Row],[Profit]]/SalesData[[#This Row],[Sales]]</f>
        <v>0.33749999999999997</v>
      </c>
      <c r="J549">
        <f>YEAR(SalesData[[#This Row],[Order Date]])</f>
        <v>2017</v>
      </c>
      <c r="K549" t="str">
        <f>TEXT(SalesData[[#This Row],[Order Date]],"mmm")</f>
        <v>May</v>
      </c>
      <c r="L549">
        <f>MONTH(SalesData[[#This Row],[Order Date]])</f>
        <v>5</v>
      </c>
      <c r="M549">
        <f>SalesData[[#This Row],[Sales]]/SalesData[[#This Row],[Quantity]]</f>
        <v>25.263999999999999</v>
      </c>
      <c r="N549" t="str">
        <f>IF(SalesData[[#This Row],[Profit]]&gt;0,"Profit","Loss")</f>
        <v>Profit</v>
      </c>
    </row>
    <row r="550" spans="1:14" x14ac:dyDescent="0.3">
      <c r="A550" t="s">
        <v>3109</v>
      </c>
      <c r="B550" s="3">
        <v>42865</v>
      </c>
      <c r="C550" t="s">
        <v>13</v>
      </c>
      <c r="D550" t="s">
        <v>21</v>
      </c>
      <c r="E550" t="s">
        <v>2304</v>
      </c>
      <c r="F550" s="1">
        <v>39.92</v>
      </c>
      <c r="G550">
        <v>5</v>
      </c>
      <c r="H550" s="1">
        <v>13.473000000000001</v>
      </c>
      <c r="I550" s="4">
        <f>SalesData[[#This Row],[Profit]]/SalesData[[#This Row],[Sales]]</f>
        <v>0.33750000000000002</v>
      </c>
      <c r="J550">
        <f>YEAR(SalesData[[#This Row],[Order Date]])</f>
        <v>2017</v>
      </c>
      <c r="K550" t="str">
        <f>TEXT(SalesData[[#This Row],[Order Date]],"mmm")</f>
        <v>May</v>
      </c>
      <c r="L550">
        <f>MONTH(SalesData[[#This Row],[Order Date]])</f>
        <v>5</v>
      </c>
      <c r="M550">
        <f>SalesData[[#This Row],[Sales]]/SalesData[[#This Row],[Quantity]]</f>
        <v>7.984</v>
      </c>
      <c r="N550" t="str">
        <f>IF(SalesData[[#This Row],[Profit]]&gt;0,"Profit","Loss")</f>
        <v>Profit</v>
      </c>
    </row>
    <row r="551" spans="1:14" x14ac:dyDescent="0.3">
      <c r="A551" t="s">
        <v>3109</v>
      </c>
      <c r="B551" s="3">
        <v>42865</v>
      </c>
      <c r="C551" t="s">
        <v>13</v>
      </c>
      <c r="D551" t="s">
        <v>21</v>
      </c>
      <c r="E551" t="s">
        <v>1560</v>
      </c>
      <c r="F551" s="1">
        <v>61.96</v>
      </c>
      <c r="G551">
        <v>2</v>
      </c>
      <c r="H551" s="1">
        <v>27.882000000000001</v>
      </c>
      <c r="I551" s="4">
        <f>SalesData[[#This Row],[Profit]]/SalesData[[#This Row],[Sales]]</f>
        <v>0.45</v>
      </c>
      <c r="J551">
        <f>YEAR(SalesData[[#This Row],[Order Date]])</f>
        <v>2017</v>
      </c>
      <c r="K551" t="str">
        <f>TEXT(SalesData[[#This Row],[Order Date]],"mmm")</f>
        <v>May</v>
      </c>
      <c r="L551">
        <f>MONTH(SalesData[[#This Row],[Order Date]])</f>
        <v>5</v>
      </c>
      <c r="M551">
        <f>SalesData[[#This Row],[Sales]]/SalesData[[#This Row],[Quantity]]</f>
        <v>30.98</v>
      </c>
      <c r="N551" t="str">
        <f>IF(SalesData[[#This Row],[Profit]]&gt;0,"Profit","Loss")</f>
        <v>Profit</v>
      </c>
    </row>
    <row r="552" spans="1:14" x14ac:dyDescent="0.3">
      <c r="A552" t="s">
        <v>3109</v>
      </c>
      <c r="B552" s="3">
        <v>42865</v>
      </c>
      <c r="C552" t="s">
        <v>13</v>
      </c>
      <c r="D552" t="s">
        <v>21</v>
      </c>
      <c r="E552" t="s">
        <v>779</v>
      </c>
      <c r="F552" s="1">
        <v>19.936</v>
      </c>
      <c r="G552">
        <v>4</v>
      </c>
      <c r="H552" s="1">
        <v>7.2267999999999999</v>
      </c>
      <c r="I552" s="4">
        <f>SalesData[[#This Row],[Profit]]/SalesData[[#This Row],[Sales]]</f>
        <v>0.36249999999999999</v>
      </c>
      <c r="J552">
        <f>YEAR(SalesData[[#This Row],[Order Date]])</f>
        <v>2017</v>
      </c>
      <c r="K552" t="str">
        <f>TEXT(SalesData[[#This Row],[Order Date]],"mmm")</f>
        <v>May</v>
      </c>
      <c r="L552">
        <f>MONTH(SalesData[[#This Row],[Order Date]])</f>
        <v>5</v>
      </c>
      <c r="M552">
        <f>SalesData[[#This Row],[Sales]]/SalesData[[#This Row],[Quantity]]</f>
        <v>4.984</v>
      </c>
      <c r="N552" t="str">
        <f>IF(SalesData[[#This Row],[Profit]]&gt;0,"Profit","Loss")</f>
        <v>Profit</v>
      </c>
    </row>
    <row r="553" spans="1:14" x14ac:dyDescent="0.3">
      <c r="A553" t="s">
        <v>3110</v>
      </c>
      <c r="B553" s="3">
        <v>42865</v>
      </c>
      <c r="C553" t="s">
        <v>17</v>
      </c>
      <c r="D553" t="s">
        <v>10</v>
      </c>
      <c r="E553" t="s">
        <v>721</v>
      </c>
      <c r="F553" s="1">
        <v>87.8</v>
      </c>
      <c r="G553">
        <v>4</v>
      </c>
      <c r="H553" s="1">
        <v>43.9</v>
      </c>
      <c r="I553" s="4">
        <f>SalesData[[#This Row],[Profit]]/SalesData[[#This Row],[Sales]]</f>
        <v>0.5</v>
      </c>
      <c r="J553">
        <f>YEAR(SalesData[[#This Row],[Order Date]])</f>
        <v>2017</v>
      </c>
      <c r="K553" t="str">
        <f>TEXT(SalesData[[#This Row],[Order Date]],"mmm")</f>
        <v>May</v>
      </c>
      <c r="L553">
        <f>MONTH(SalesData[[#This Row],[Order Date]])</f>
        <v>5</v>
      </c>
      <c r="M553">
        <f>SalesData[[#This Row],[Sales]]/SalesData[[#This Row],[Quantity]]</f>
        <v>21.95</v>
      </c>
      <c r="N553" t="str">
        <f>IF(SalesData[[#This Row],[Profit]]&gt;0,"Profit","Loss")</f>
        <v>Profit</v>
      </c>
    </row>
    <row r="554" spans="1:14" x14ac:dyDescent="0.3">
      <c r="A554" t="s">
        <v>3110</v>
      </c>
      <c r="B554" s="3">
        <v>42865</v>
      </c>
      <c r="C554" t="s">
        <v>17</v>
      </c>
      <c r="D554" t="s">
        <v>14</v>
      </c>
      <c r="E554" t="s">
        <v>263</v>
      </c>
      <c r="F554" s="1">
        <v>221.38200000000001</v>
      </c>
      <c r="G554">
        <v>2</v>
      </c>
      <c r="H554" s="1">
        <v>2.4598</v>
      </c>
      <c r="I554" s="4">
        <f>SalesData[[#This Row],[Profit]]/SalesData[[#This Row],[Sales]]</f>
        <v>1.1111111111111112E-2</v>
      </c>
      <c r="J554">
        <f>YEAR(SalesData[[#This Row],[Order Date]])</f>
        <v>2017</v>
      </c>
      <c r="K554" t="str">
        <f>TEXT(SalesData[[#This Row],[Order Date]],"mmm")</f>
        <v>May</v>
      </c>
      <c r="L554">
        <f>MONTH(SalesData[[#This Row],[Order Date]])</f>
        <v>5</v>
      </c>
      <c r="M554">
        <f>SalesData[[#This Row],[Sales]]/SalesData[[#This Row],[Quantity]]</f>
        <v>110.691</v>
      </c>
      <c r="N554" t="str">
        <f>IF(SalesData[[#This Row],[Profit]]&gt;0,"Profit","Loss")</f>
        <v>Profit</v>
      </c>
    </row>
    <row r="555" spans="1:14" x14ac:dyDescent="0.3">
      <c r="A555" t="s">
        <v>3110</v>
      </c>
      <c r="B555" s="3">
        <v>42865</v>
      </c>
      <c r="C555" t="s">
        <v>17</v>
      </c>
      <c r="D555" t="s">
        <v>10</v>
      </c>
      <c r="E555" t="s">
        <v>3111</v>
      </c>
      <c r="F555" s="1">
        <v>5199.96</v>
      </c>
      <c r="G555">
        <v>4</v>
      </c>
      <c r="H555" s="1">
        <v>1351.9896000000001</v>
      </c>
      <c r="I555" s="4">
        <f>SalesData[[#This Row],[Profit]]/SalesData[[#This Row],[Sales]]</f>
        <v>0.26</v>
      </c>
      <c r="J555">
        <f>YEAR(SalesData[[#This Row],[Order Date]])</f>
        <v>2017</v>
      </c>
      <c r="K555" t="str">
        <f>TEXT(SalesData[[#This Row],[Order Date]],"mmm")</f>
        <v>May</v>
      </c>
      <c r="L555">
        <f>MONTH(SalesData[[#This Row],[Order Date]])</f>
        <v>5</v>
      </c>
      <c r="M555">
        <f>SalesData[[#This Row],[Sales]]/SalesData[[#This Row],[Quantity]]</f>
        <v>1299.99</v>
      </c>
      <c r="N555" t="str">
        <f>IF(SalesData[[#This Row],[Profit]]&gt;0,"Profit","Loss")</f>
        <v>Profit</v>
      </c>
    </row>
    <row r="556" spans="1:14" x14ac:dyDescent="0.3">
      <c r="A556" t="s">
        <v>3112</v>
      </c>
      <c r="B556" s="3">
        <v>42865</v>
      </c>
      <c r="C556" t="s">
        <v>13</v>
      </c>
      <c r="D556" t="s">
        <v>10</v>
      </c>
      <c r="E556" t="s">
        <v>1980</v>
      </c>
      <c r="F556" s="1">
        <v>63.823999999999998</v>
      </c>
      <c r="G556">
        <v>2</v>
      </c>
      <c r="H556" s="1">
        <v>13.5626</v>
      </c>
      <c r="I556" s="4">
        <f>SalesData[[#This Row],[Profit]]/SalesData[[#This Row],[Sales]]</f>
        <v>0.21249999999999999</v>
      </c>
      <c r="J556">
        <f>YEAR(SalesData[[#This Row],[Order Date]])</f>
        <v>2017</v>
      </c>
      <c r="K556" t="str">
        <f>TEXT(SalesData[[#This Row],[Order Date]],"mmm")</f>
        <v>May</v>
      </c>
      <c r="L556">
        <f>MONTH(SalesData[[#This Row],[Order Date]])</f>
        <v>5</v>
      </c>
      <c r="M556">
        <f>SalesData[[#This Row],[Sales]]/SalesData[[#This Row],[Quantity]]</f>
        <v>31.911999999999999</v>
      </c>
      <c r="N556" t="str">
        <f>IF(SalesData[[#This Row],[Profit]]&gt;0,"Profit","Loss")</f>
        <v>Profit</v>
      </c>
    </row>
    <row r="557" spans="1:14" x14ac:dyDescent="0.3">
      <c r="A557" t="s">
        <v>3113</v>
      </c>
      <c r="B557" s="3">
        <v>42865</v>
      </c>
      <c r="C557" t="s">
        <v>13</v>
      </c>
      <c r="D557" t="s">
        <v>14</v>
      </c>
      <c r="E557" t="s">
        <v>2064</v>
      </c>
      <c r="F557" s="1">
        <v>435.16800000000001</v>
      </c>
      <c r="G557">
        <v>4</v>
      </c>
      <c r="H557" s="1">
        <v>-59.835599999999999</v>
      </c>
      <c r="I557" s="4">
        <f>SalesData[[#This Row],[Profit]]/SalesData[[#This Row],[Sales]]</f>
        <v>-0.13749999999999998</v>
      </c>
      <c r="J557">
        <f>YEAR(SalesData[[#This Row],[Order Date]])</f>
        <v>2017</v>
      </c>
      <c r="K557" t="str">
        <f>TEXT(SalesData[[#This Row],[Order Date]],"mmm")</f>
        <v>May</v>
      </c>
      <c r="L557">
        <f>MONTH(SalesData[[#This Row],[Order Date]])</f>
        <v>5</v>
      </c>
      <c r="M557">
        <f>SalesData[[#This Row],[Sales]]/SalesData[[#This Row],[Quantity]]</f>
        <v>108.792</v>
      </c>
      <c r="N557" t="str">
        <f>IF(SalesData[[#This Row],[Profit]]&gt;0,"Profit","Loss")</f>
        <v>Loss</v>
      </c>
    </row>
    <row r="558" spans="1:14" x14ac:dyDescent="0.3">
      <c r="A558" t="s">
        <v>3113</v>
      </c>
      <c r="B558" s="3">
        <v>42865</v>
      </c>
      <c r="C558" t="s">
        <v>13</v>
      </c>
      <c r="D558" t="s">
        <v>21</v>
      </c>
      <c r="E558" t="s">
        <v>83</v>
      </c>
      <c r="F558" s="1">
        <v>14.9</v>
      </c>
      <c r="G558">
        <v>5</v>
      </c>
      <c r="H558" s="1">
        <v>6.8540000000000001</v>
      </c>
      <c r="I558" s="4">
        <f>SalesData[[#This Row],[Profit]]/SalesData[[#This Row],[Sales]]</f>
        <v>0.46</v>
      </c>
      <c r="J558">
        <f>YEAR(SalesData[[#This Row],[Order Date]])</f>
        <v>2017</v>
      </c>
      <c r="K558" t="str">
        <f>TEXT(SalesData[[#This Row],[Order Date]],"mmm")</f>
        <v>May</v>
      </c>
      <c r="L558">
        <f>MONTH(SalesData[[#This Row],[Order Date]])</f>
        <v>5</v>
      </c>
      <c r="M558">
        <f>SalesData[[#This Row],[Sales]]/SalesData[[#This Row],[Quantity]]</f>
        <v>2.98</v>
      </c>
      <c r="N558" t="str">
        <f>IF(SalesData[[#This Row],[Profit]]&gt;0,"Profit","Loss")</f>
        <v>Profit</v>
      </c>
    </row>
    <row r="559" spans="1:14" x14ac:dyDescent="0.3">
      <c r="A559" t="s">
        <v>3113</v>
      </c>
      <c r="B559" s="3">
        <v>42865</v>
      </c>
      <c r="C559" t="s">
        <v>13</v>
      </c>
      <c r="D559" t="s">
        <v>21</v>
      </c>
      <c r="E559" t="s">
        <v>3114</v>
      </c>
      <c r="F559" s="1">
        <v>15.8</v>
      </c>
      <c r="G559">
        <v>4</v>
      </c>
      <c r="H559" s="1">
        <v>4.1079999999999997</v>
      </c>
      <c r="I559" s="4">
        <f>SalesData[[#This Row],[Profit]]/SalesData[[#This Row],[Sales]]</f>
        <v>0.25999999999999995</v>
      </c>
      <c r="J559">
        <f>YEAR(SalesData[[#This Row],[Order Date]])</f>
        <v>2017</v>
      </c>
      <c r="K559" t="str">
        <f>TEXT(SalesData[[#This Row],[Order Date]],"mmm")</f>
        <v>May</v>
      </c>
      <c r="L559">
        <f>MONTH(SalesData[[#This Row],[Order Date]])</f>
        <v>5</v>
      </c>
      <c r="M559">
        <f>SalesData[[#This Row],[Sales]]/SalesData[[#This Row],[Quantity]]</f>
        <v>3.95</v>
      </c>
      <c r="N559" t="str">
        <f>IF(SalesData[[#This Row],[Profit]]&gt;0,"Profit","Loss")</f>
        <v>Profit</v>
      </c>
    </row>
    <row r="560" spans="1:14" x14ac:dyDescent="0.3">
      <c r="A560" t="s">
        <v>3113</v>
      </c>
      <c r="B560" s="3">
        <v>42865</v>
      </c>
      <c r="C560" t="s">
        <v>13</v>
      </c>
      <c r="D560" t="s">
        <v>14</v>
      </c>
      <c r="E560" t="s">
        <v>1755</v>
      </c>
      <c r="F560" s="1">
        <v>72.900000000000006</v>
      </c>
      <c r="G560">
        <v>5</v>
      </c>
      <c r="H560" s="1">
        <v>26.972999999999999</v>
      </c>
      <c r="I560" s="4">
        <f>SalesData[[#This Row],[Profit]]/SalesData[[#This Row],[Sales]]</f>
        <v>0.36999999999999994</v>
      </c>
      <c r="J560">
        <f>YEAR(SalesData[[#This Row],[Order Date]])</f>
        <v>2017</v>
      </c>
      <c r="K560" t="str">
        <f>TEXT(SalesData[[#This Row],[Order Date]],"mmm")</f>
        <v>May</v>
      </c>
      <c r="L560">
        <f>MONTH(SalesData[[#This Row],[Order Date]])</f>
        <v>5</v>
      </c>
      <c r="M560">
        <f>SalesData[[#This Row],[Sales]]/SalesData[[#This Row],[Quantity]]</f>
        <v>14.580000000000002</v>
      </c>
      <c r="N560" t="str">
        <f>IF(SalesData[[#This Row],[Profit]]&gt;0,"Profit","Loss")</f>
        <v>Profit</v>
      </c>
    </row>
    <row r="561" spans="1:14" x14ac:dyDescent="0.3">
      <c r="A561" t="s">
        <v>3113</v>
      </c>
      <c r="B561" s="3">
        <v>42865</v>
      </c>
      <c r="C561" t="s">
        <v>13</v>
      </c>
      <c r="D561" t="s">
        <v>14</v>
      </c>
      <c r="E561" t="s">
        <v>243</v>
      </c>
      <c r="F561" s="1">
        <v>206.352</v>
      </c>
      <c r="G561">
        <v>3</v>
      </c>
      <c r="H561" s="1">
        <v>5.1588000000000003</v>
      </c>
      <c r="I561" s="4">
        <f>SalesData[[#This Row],[Profit]]/SalesData[[#This Row],[Sales]]</f>
        <v>2.5000000000000001E-2</v>
      </c>
      <c r="J561">
        <f>YEAR(SalesData[[#This Row],[Order Date]])</f>
        <v>2017</v>
      </c>
      <c r="K561" t="str">
        <f>TEXT(SalesData[[#This Row],[Order Date]],"mmm")</f>
        <v>May</v>
      </c>
      <c r="L561">
        <f>MONTH(SalesData[[#This Row],[Order Date]])</f>
        <v>5</v>
      </c>
      <c r="M561">
        <f>SalesData[[#This Row],[Sales]]/SalesData[[#This Row],[Quantity]]</f>
        <v>68.784000000000006</v>
      </c>
      <c r="N561" t="str">
        <f>IF(SalesData[[#This Row],[Profit]]&gt;0,"Profit","Loss")</f>
        <v>Profit</v>
      </c>
    </row>
    <row r="562" spans="1:14" x14ac:dyDescent="0.3">
      <c r="A562" t="s">
        <v>3113</v>
      </c>
      <c r="B562" s="3">
        <v>42865</v>
      </c>
      <c r="C562" t="s">
        <v>13</v>
      </c>
      <c r="D562" t="s">
        <v>10</v>
      </c>
      <c r="E562" t="s">
        <v>2940</v>
      </c>
      <c r="F562" s="1">
        <v>7.992</v>
      </c>
      <c r="G562">
        <v>1</v>
      </c>
      <c r="H562" s="1">
        <v>2.6972999999999998</v>
      </c>
      <c r="I562" s="4">
        <f>SalesData[[#This Row],[Profit]]/SalesData[[#This Row],[Sales]]</f>
        <v>0.33749999999999997</v>
      </c>
      <c r="J562">
        <f>YEAR(SalesData[[#This Row],[Order Date]])</f>
        <v>2017</v>
      </c>
      <c r="K562" t="str">
        <f>TEXT(SalesData[[#This Row],[Order Date]],"mmm")</f>
        <v>May</v>
      </c>
      <c r="L562">
        <f>MONTH(SalesData[[#This Row],[Order Date]])</f>
        <v>5</v>
      </c>
      <c r="M562">
        <f>SalesData[[#This Row],[Sales]]/SalesData[[#This Row],[Quantity]]</f>
        <v>7.992</v>
      </c>
      <c r="N562" t="str">
        <f>IF(SalesData[[#This Row],[Profit]]&gt;0,"Profit","Loss")</f>
        <v>Profit</v>
      </c>
    </row>
    <row r="563" spans="1:14" x14ac:dyDescent="0.3">
      <c r="A563" t="s">
        <v>3115</v>
      </c>
      <c r="B563" s="3">
        <v>42866</v>
      </c>
      <c r="C563" t="s">
        <v>13</v>
      </c>
      <c r="D563" t="s">
        <v>21</v>
      </c>
      <c r="E563" t="s">
        <v>1233</v>
      </c>
      <c r="F563" s="1">
        <v>2.3879999999999999</v>
      </c>
      <c r="G563">
        <v>2</v>
      </c>
      <c r="H563" s="1">
        <v>-1.8308</v>
      </c>
      <c r="I563" s="4">
        <f>SalesData[[#This Row],[Profit]]/SalesData[[#This Row],[Sales]]</f>
        <v>-0.76666666666666672</v>
      </c>
      <c r="J563">
        <f>YEAR(SalesData[[#This Row],[Order Date]])</f>
        <v>2017</v>
      </c>
      <c r="K563" t="str">
        <f>TEXT(SalesData[[#This Row],[Order Date]],"mmm")</f>
        <v>May</v>
      </c>
      <c r="L563">
        <f>MONTH(SalesData[[#This Row],[Order Date]])</f>
        <v>5</v>
      </c>
      <c r="M563">
        <f>SalesData[[#This Row],[Sales]]/SalesData[[#This Row],[Quantity]]</f>
        <v>1.194</v>
      </c>
      <c r="N563" t="str">
        <f>IF(SalesData[[#This Row],[Profit]]&gt;0,"Profit","Loss")</f>
        <v>Loss</v>
      </c>
    </row>
    <row r="564" spans="1:14" x14ac:dyDescent="0.3">
      <c r="A564" t="s">
        <v>3115</v>
      </c>
      <c r="B564" s="3">
        <v>42866</v>
      </c>
      <c r="C564" t="s">
        <v>13</v>
      </c>
      <c r="D564" t="s">
        <v>21</v>
      </c>
      <c r="E564" t="s">
        <v>367</v>
      </c>
      <c r="F564" s="1">
        <v>243.99199999999999</v>
      </c>
      <c r="G564">
        <v>7</v>
      </c>
      <c r="H564" s="1">
        <v>30.498999999999999</v>
      </c>
      <c r="I564" s="4">
        <f>SalesData[[#This Row],[Profit]]/SalesData[[#This Row],[Sales]]</f>
        <v>0.125</v>
      </c>
      <c r="J564">
        <f>YEAR(SalesData[[#This Row],[Order Date]])</f>
        <v>2017</v>
      </c>
      <c r="K564" t="str">
        <f>TEXT(SalesData[[#This Row],[Order Date]],"mmm")</f>
        <v>May</v>
      </c>
      <c r="L564">
        <f>MONTH(SalesData[[#This Row],[Order Date]])</f>
        <v>5</v>
      </c>
      <c r="M564">
        <f>SalesData[[#This Row],[Sales]]/SalesData[[#This Row],[Quantity]]</f>
        <v>34.856000000000002</v>
      </c>
      <c r="N564" t="str">
        <f>IF(SalesData[[#This Row],[Profit]]&gt;0,"Profit","Loss")</f>
        <v>Profit</v>
      </c>
    </row>
    <row r="565" spans="1:14" x14ac:dyDescent="0.3">
      <c r="A565" t="s">
        <v>3116</v>
      </c>
      <c r="B565" s="3">
        <v>42866</v>
      </c>
      <c r="C565" t="s">
        <v>13</v>
      </c>
      <c r="D565" t="s">
        <v>10</v>
      </c>
      <c r="E565" t="s">
        <v>417</v>
      </c>
      <c r="F565" s="1">
        <v>159.99</v>
      </c>
      <c r="G565">
        <v>1</v>
      </c>
      <c r="H565" s="1">
        <v>54.396599999999999</v>
      </c>
      <c r="I565" s="4">
        <f>SalesData[[#This Row],[Profit]]/SalesData[[#This Row],[Sales]]</f>
        <v>0.33999999999999997</v>
      </c>
      <c r="J565">
        <f>YEAR(SalesData[[#This Row],[Order Date]])</f>
        <v>2017</v>
      </c>
      <c r="K565" t="str">
        <f>TEXT(SalesData[[#This Row],[Order Date]],"mmm")</f>
        <v>May</v>
      </c>
      <c r="L565">
        <f>MONTH(SalesData[[#This Row],[Order Date]])</f>
        <v>5</v>
      </c>
      <c r="M565">
        <f>SalesData[[#This Row],[Sales]]/SalesData[[#This Row],[Quantity]]</f>
        <v>159.99</v>
      </c>
      <c r="N565" t="str">
        <f>IF(SalesData[[#This Row],[Profit]]&gt;0,"Profit","Loss")</f>
        <v>Profit</v>
      </c>
    </row>
    <row r="566" spans="1:14" x14ac:dyDescent="0.3">
      <c r="A566" t="s">
        <v>3117</v>
      </c>
      <c r="B566" s="3">
        <v>42866</v>
      </c>
      <c r="C566" t="s">
        <v>17</v>
      </c>
      <c r="D566" t="s">
        <v>10</v>
      </c>
      <c r="E566" t="s">
        <v>11</v>
      </c>
      <c r="F566" s="1">
        <v>390.75</v>
      </c>
      <c r="G566">
        <v>5</v>
      </c>
      <c r="H566" s="1">
        <v>171.93</v>
      </c>
      <c r="I566" s="4">
        <f>SalesData[[#This Row],[Profit]]/SalesData[[#This Row],[Sales]]</f>
        <v>0.44</v>
      </c>
      <c r="J566">
        <f>YEAR(SalesData[[#This Row],[Order Date]])</f>
        <v>2017</v>
      </c>
      <c r="K566" t="str">
        <f>TEXT(SalesData[[#This Row],[Order Date]],"mmm")</f>
        <v>May</v>
      </c>
      <c r="L566">
        <f>MONTH(SalesData[[#This Row],[Order Date]])</f>
        <v>5</v>
      </c>
      <c r="M566">
        <f>SalesData[[#This Row],[Sales]]/SalesData[[#This Row],[Quantity]]</f>
        <v>78.150000000000006</v>
      </c>
      <c r="N566" t="str">
        <f>IF(SalesData[[#This Row],[Profit]]&gt;0,"Profit","Loss")</f>
        <v>Profit</v>
      </c>
    </row>
    <row r="567" spans="1:14" x14ac:dyDescent="0.3">
      <c r="A567" t="s">
        <v>3118</v>
      </c>
      <c r="B567" s="3">
        <v>42866</v>
      </c>
      <c r="C567" t="s">
        <v>9</v>
      </c>
      <c r="D567" t="s">
        <v>21</v>
      </c>
      <c r="E567" t="s">
        <v>607</v>
      </c>
      <c r="F567" s="1">
        <v>16.03</v>
      </c>
      <c r="G567">
        <v>5</v>
      </c>
      <c r="H567" s="1">
        <v>-25.648</v>
      </c>
      <c r="I567" s="4">
        <f>SalesData[[#This Row],[Profit]]/SalesData[[#This Row],[Sales]]</f>
        <v>-1.5999999999999999</v>
      </c>
      <c r="J567">
        <f>YEAR(SalesData[[#This Row],[Order Date]])</f>
        <v>2017</v>
      </c>
      <c r="K567" t="str">
        <f>TEXT(SalesData[[#This Row],[Order Date]],"mmm")</f>
        <v>May</v>
      </c>
      <c r="L567">
        <f>MONTH(SalesData[[#This Row],[Order Date]])</f>
        <v>5</v>
      </c>
      <c r="M567">
        <f>SalesData[[#This Row],[Sales]]/SalesData[[#This Row],[Quantity]]</f>
        <v>3.2060000000000004</v>
      </c>
      <c r="N567" t="str">
        <f>IF(SalesData[[#This Row],[Profit]]&gt;0,"Profit","Loss")</f>
        <v>Loss</v>
      </c>
    </row>
    <row r="568" spans="1:14" x14ac:dyDescent="0.3">
      <c r="A568" t="s">
        <v>3119</v>
      </c>
      <c r="B568" s="3">
        <v>42866</v>
      </c>
      <c r="C568" t="s">
        <v>9</v>
      </c>
      <c r="D568" t="s">
        <v>10</v>
      </c>
      <c r="E568" t="s">
        <v>1544</v>
      </c>
      <c r="F568" s="1">
        <v>492.76799999999997</v>
      </c>
      <c r="G568">
        <v>4</v>
      </c>
      <c r="H568" s="1">
        <v>55.436399999999999</v>
      </c>
      <c r="I568" s="4">
        <f>SalesData[[#This Row],[Profit]]/SalesData[[#This Row],[Sales]]</f>
        <v>0.1125</v>
      </c>
      <c r="J568">
        <f>YEAR(SalesData[[#This Row],[Order Date]])</f>
        <v>2017</v>
      </c>
      <c r="K568" t="str">
        <f>TEXT(SalesData[[#This Row],[Order Date]],"mmm")</f>
        <v>May</v>
      </c>
      <c r="L568">
        <f>MONTH(SalesData[[#This Row],[Order Date]])</f>
        <v>5</v>
      </c>
      <c r="M568">
        <f>SalesData[[#This Row],[Sales]]/SalesData[[#This Row],[Quantity]]</f>
        <v>123.19199999999999</v>
      </c>
      <c r="N568" t="str">
        <f>IF(SalesData[[#This Row],[Profit]]&gt;0,"Profit","Loss")</f>
        <v>Profit</v>
      </c>
    </row>
    <row r="569" spans="1:14" x14ac:dyDescent="0.3">
      <c r="A569" t="s">
        <v>3120</v>
      </c>
      <c r="B569" s="3">
        <v>42866</v>
      </c>
      <c r="C569" t="s">
        <v>13</v>
      </c>
      <c r="D569" t="s">
        <v>21</v>
      </c>
      <c r="E569" t="s">
        <v>2566</v>
      </c>
      <c r="F569" s="1">
        <v>12.96</v>
      </c>
      <c r="G569">
        <v>2</v>
      </c>
      <c r="H569" s="1">
        <v>6.2207999999999997</v>
      </c>
      <c r="I569" s="4">
        <f>SalesData[[#This Row],[Profit]]/SalesData[[#This Row],[Sales]]</f>
        <v>0.47999999999999993</v>
      </c>
      <c r="J569">
        <f>YEAR(SalesData[[#This Row],[Order Date]])</f>
        <v>2017</v>
      </c>
      <c r="K569" t="str">
        <f>TEXT(SalesData[[#This Row],[Order Date]],"mmm")</f>
        <v>May</v>
      </c>
      <c r="L569">
        <f>MONTH(SalesData[[#This Row],[Order Date]])</f>
        <v>5</v>
      </c>
      <c r="M569">
        <f>SalesData[[#This Row],[Sales]]/SalesData[[#This Row],[Quantity]]</f>
        <v>6.48</v>
      </c>
      <c r="N569" t="str">
        <f>IF(SalesData[[#This Row],[Profit]]&gt;0,"Profit","Loss")</f>
        <v>Profit</v>
      </c>
    </row>
    <row r="570" spans="1:14" x14ac:dyDescent="0.3">
      <c r="A570" t="s">
        <v>3121</v>
      </c>
      <c r="B570" s="3">
        <v>42866</v>
      </c>
      <c r="C570" t="s">
        <v>17</v>
      </c>
      <c r="D570" t="s">
        <v>21</v>
      </c>
      <c r="E570" t="s">
        <v>1270</v>
      </c>
      <c r="F570" s="1">
        <v>164.68799999999999</v>
      </c>
      <c r="G570">
        <v>6</v>
      </c>
      <c r="H570" s="1">
        <v>55.5822</v>
      </c>
      <c r="I570" s="4">
        <f>SalesData[[#This Row],[Profit]]/SalesData[[#This Row],[Sales]]</f>
        <v>0.33750000000000002</v>
      </c>
      <c r="J570">
        <f>YEAR(SalesData[[#This Row],[Order Date]])</f>
        <v>2017</v>
      </c>
      <c r="K570" t="str">
        <f>TEXT(SalesData[[#This Row],[Order Date]],"mmm")</f>
        <v>May</v>
      </c>
      <c r="L570">
        <f>MONTH(SalesData[[#This Row],[Order Date]])</f>
        <v>5</v>
      </c>
      <c r="M570">
        <f>SalesData[[#This Row],[Sales]]/SalesData[[#This Row],[Quantity]]</f>
        <v>27.447999999999997</v>
      </c>
      <c r="N570" t="str">
        <f>IF(SalesData[[#This Row],[Profit]]&gt;0,"Profit","Loss")</f>
        <v>Profit</v>
      </c>
    </row>
    <row r="571" spans="1:14" x14ac:dyDescent="0.3">
      <c r="A571" t="s">
        <v>3121</v>
      </c>
      <c r="B571" s="3">
        <v>42866</v>
      </c>
      <c r="C571" t="s">
        <v>17</v>
      </c>
      <c r="D571" t="s">
        <v>14</v>
      </c>
      <c r="E571" t="s">
        <v>584</v>
      </c>
      <c r="F571" s="1">
        <v>166.5</v>
      </c>
      <c r="G571">
        <v>2</v>
      </c>
      <c r="H571" s="1">
        <v>-66.599999999999994</v>
      </c>
      <c r="I571" s="4">
        <f>SalesData[[#This Row],[Profit]]/SalesData[[#This Row],[Sales]]</f>
        <v>-0.39999999999999997</v>
      </c>
      <c r="J571">
        <f>YEAR(SalesData[[#This Row],[Order Date]])</f>
        <v>2017</v>
      </c>
      <c r="K571" t="str">
        <f>TEXT(SalesData[[#This Row],[Order Date]],"mmm")</f>
        <v>May</v>
      </c>
      <c r="L571">
        <f>MONTH(SalesData[[#This Row],[Order Date]])</f>
        <v>5</v>
      </c>
      <c r="M571">
        <f>SalesData[[#This Row],[Sales]]/SalesData[[#This Row],[Quantity]]</f>
        <v>83.25</v>
      </c>
      <c r="N571" t="str">
        <f>IF(SalesData[[#This Row],[Profit]]&gt;0,"Profit","Loss")</f>
        <v>Loss</v>
      </c>
    </row>
    <row r="572" spans="1:14" x14ac:dyDescent="0.3">
      <c r="A572" t="s">
        <v>3121</v>
      </c>
      <c r="B572" s="3">
        <v>42866</v>
      </c>
      <c r="C572" t="s">
        <v>17</v>
      </c>
      <c r="D572" t="s">
        <v>21</v>
      </c>
      <c r="E572" t="s">
        <v>1169</v>
      </c>
      <c r="F572" s="1">
        <v>12.96</v>
      </c>
      <c r="G572">
        <v>2</v>
      </c>
      <c r="H572" s="1">
        <v>6.2207999999999997</v>
      </c>
      <c r="I572" s="4">
        <f>SalesData[[#This Row],[Profit]]/SalesData[[#This Row],[Sales]]</f>
        <v>0.47999999999999993</v>
      </c>
      <c r="J572">
        <f>YEAR(SalesData[[#This Row],[Order Date]])</f>
        <v>2017</v>
      </c>
      <c r="K572" t="str">
        <f>TEXT(SalesData[[#This Row],[Order Date]],"mmm")</f>
        <v>May</v>
      </c>
      <c r="L572">
        <f>MONTH(SalesData[[#This Row],[Order Date]])</f>
        <v>5</v>
      </c>
      <c r="M572">
        <f>SalesData[[#This Row],[Sales]]/SalesData[[#This Row],[Quantity]]</f>
        <v>6.48</v>
      </c>
      <c r="N572" t="str">
        <f>IF(SalesData[[#This Row],[Profit]]&gt;0,"Profit","Loss")</f>
        <v>Profit</v>
      </c>
    </row>
    <row r="573" spans="1:14" x14ac:dyDescent="0.3">
      <c r="A573" t="s">
        <v>3121</v>
      </c>
      <c r="B573" s="3">
        <v>42866</v>
      </c>
      <c r="C573" t="s">
        <v>17</v>
      </c>
      <c r="D573" t="s">
        <v>21</v>
      </c>
      <c r="E573" t="s">
        <v>391</v>
      </c>
      <c r="F573" s="1">
        <v>110.96</v>
      </c>
      <c r="G573">
        <v>2</v>
      </c>
      <c r="H573" s="1">
        <v>53.260800000000003</v>
      </c>
      <c r="I573" s="4">
        <f>SalesData[[#This Row],[Profit]]/SalesData[[#This Row],[Sales]]</f>
        <v>0.48000000000000004</v>
      </c>
      <c r="J573">
        <f>YEAR(SalesData[[#This Row],[Order Date]])</f>
        <v>2017</v>
      </c>
      <c r="K573" t="str">
        <f>TEXT(SalesData[[#This Row],[Order Date]],"mmm")</f>
        <v>May</v>
      </c>
      <c r="L573">
        <f>MONTH(SalesData[[#This Row],[Order Date]])</f>
        <v>5</v>
      </c>
      <c r="M573">
        <f>SalesData[[#This Row],[Sales]]/SalesData[[#This Row],[Quantity]]</f>
        <v>55.48</v>
      </c>
      <c r="N573" t="str">
        <f>IF(SalesData[[#This Row],[Profit]]&gt;0,"Profit","Loss")</f>
        <v>Profit</v>
      </c>
    </row>
    <row r="574" spans="1:14" x14ac:dyDescent="0.3">
      <c r="A574" t="s">
        <v>3121</v>
      </c>
      <c r="B574" s="3">
        <v>42866</v>
      </c>
      <c r="C574" t="s">
        <v>17</v>
      </c>
      <c r="D574" t="s">
        <v>10</v>
      </c>
      <c r="E574" t="s">
        <v>2102</v>
      </c>
      <c r="F574" s="1">
        <v>99.98</v>
      </c>
      <c r="G574">
        <v>2</v>
      </c>
      <c r="H574" s="1">
        <v>3.9992000000000001</v>
      </c>
      <c r="I574" s="4">
        <f>SalesData[[#This Row],[Profit]]/SalesData[[#This Row],[Sales]]</f>
        <v>0.04</v>
      </c>
      <c r="J574">
        <f>YEAR(SalesData[[#This Row],[Order Date]])</f>
        <v>2017</v>
      </c>
      <c r="K574" t="str">
        <f>TEXT(SalesData[[#This Row],[Order Date]],"mmm")</f>
        <v>May</v>
      </c>
      <c r="L574">
        <f>MONTH(SalesData[[#This Row],[Order Date]])</f>
        <v>5</v>
      </c>
      <c r="M574">
        <f>SalesData[[#This Row],[Sales]]/SalesData[[#This Row],[Quantity]]</f>
        <v>49.99</v>
      </c>
      <c r="N574" t="str">
        <f>IF(SalesData[[#This Row],[Profit]]&gt;0,"Profit","Loss")</f>
        <v>Profit</v>
      </c>
    </row>
    <row r="575" spans="1:14" x14ac:dyDescent="0.3">
      <c r="A575" t="s">
        <v>3121</v>
      </c>
      <c r="B575" s="3">
        <v>42866</v>
      </c>
      <c r="C575" t="s">
        <v>17</v>
      </c>
      <c r="D575" t="s">
        <v>21</v>
      </c>
      <c r="E575" t="s">
        <v>1293</v>
      </c>
      <c r="F575" s="1">
        <v>11.423999999999999</v>
      </c>
      <c r="G575">
        <v>1</v>
      </c>
      <c r="H575" s="1">
        <v>3.7128000000000001</v>
      </c>
      <c r="I575" s="4">
        <f>SalesData[[#This Row],[Profit]]/SalesData[[#This Row],[Sales]]</f>
        <v>0.32500000000000001</v>
      </c>
      <c r="J575">
        <f>YEAR(SalesData[[#This Row],[Order Date]])</f>
        <v>2017</v>
      </c>
      <c r="K575" t="str">
        <f>TEXT(SalesData[[#This Row],[Order Date]],"mmm")</f>
        <v>May</v>
      </c>
      <c r="L575">
        <f>MONTH(SalesData[[#This Row],[Order Date]])</f>
        <v>5</v>
      </c>
      <c r="M575">
        <f>SalesData[[#This Row],[Sales]]/SalesData[[#This Row],[Quantity]]</f>
        <v>11.423999999999999</v>
      </c>
      <c r="N575" t="str">
        <f>IF(SalesData[[#This Row],[Profit]]&gt;0,"Profit","Loss")</f>
        <v>Profit</v>
      </c>
    </row>
    <row r="576" spans="1:14" x14ac:dyDescent="0.3">
      <c r="A576" t="s">
        <v>3121</v>
      </c>
      <c r="B576" s="3">
        <v>42866</v>
      </c>
      <c r="C576" t="s">
        <v>17</v>
      </c>
      <c r="D576" t="s">
        <v>14</v>
      </c>
      <c r="E576" t="s">
        <v>2245</v>
      </c>
      <c r="F576" s="1">
        <v>128.124</v>
      </c>
      <c r="G576">
        <v>2</v>
      </c>
      <c r="H576" s="1">
        <v>24.2012</v>
      </c>
      <c r="I576" s="4">
        <f>SalesData[[#This Row],[Profit]]/SalesData[[#This Row],[Sales]]</f>
        <v>0.18888888888888888</v>
      </c>
      <c r="J576">
        <f>YEAR(SalesData[[#This Row],[Order Date]])</f>
        <v>2017</v>
      </c>
      <c r="K576" t="str">
        <f>TEXT(SalesData[[#This Row],[Order Date]],"mmm")</f>
        <v>May</v>
      </c>
      <c r="L576">
        <f>MONTH(SalesData[[#This Row],[Order Date]])</f>
        <v>5</v>
      </c>
      <c r="M576">
        <f>SalesData[[#This Row],[Sales]]/SalesData[[#This Row],[Quantity]]</f>
        <v>64.061999999999998</v>
      </c>
      <c r="N576" t="str">
        <f>IF(SalesData[[#This Row],[Profit]]&gt;0,"Profit","Loss")</f>
        <v>Profit</v>
      </c>
    </row>
    <row r="577" spans="1:14" x14ac:dyDescent="0.3">
      <c r="A577" t="s">
        <v>3121</v>
      </c>
      <c r="B577" s="3">
        <v>42866</v>
      </c>
      <c r="C577" t="s">
        <v>17</v>
      </c>
      <c r="D577" t="s">
        <v>14</v>
      </c>
      <c r="E577" t="s">
        <v>2921</v>
      </c>
      <c r="F577" s="1">
        <v>101.4</v>
      </c>
      <c r="G577">
        <v>5</v>
      </c>
      <c r="H577" s="1">
        <v>38.531999999999996</v>
      </c>
      <c r="I577" s="4">
        <f>SalesData[[#This Row],[Profit]]/SalesData[[#This Row],[Sales]]</f>
        <v>0.37999999999999995</v>
      </c>
      <c r="J577">
        <f>YEAR(SalesData[[#This Row],[Order Date]])</f>
        <v>2017</v>
      </c>
      <c r="K577" t="str">
        <f>TEXT(SalesData[[#This Row],[Order Date]],"mmm")</f>
        <v>May</v>
      </c>
      <c r="L577">
        <f>MONTH(SalesData[[#This Row],[Order Date]])</f>
        <v>5</v>
      </c>
      <c r="M577">
        <f>SalesData[[#This Row],[Sales]]/SalesData[[#This Row],[Quantity]]</f>
        <v>20.28</v>
      </c>
      <c r="N577" t="str">
        <f>IF(SalesData[[#This Row],[Profit]]&gt;0,"Profit","Loss")</f>
        <v>Profit</v>
      </c>
    </row>
    <row r="578" spans="1:14" x14ac:dyDescent="0.3">
      <c r="A578" t="s">
        <v>3122</v>
      </c>
      <c r="B578" s="3">
        <v>42866</v>
      </c>
      <c r="C578" t="s">
        <v>9</v>
      </c>
      <c r="D578" t="s">
        <v>21</v>
      </c>
      <c r="E578" t="s">
        <v>2440</v>
      </c>
      <c r="F578" s="1">
        <v>4.41</v>
      </c>
      <c r="G578">
        <v>1</v>
      </c>
      <c r="H578" s="1">
        <v>2.0286</v>
      </c>
      <c r="I578" s="4">
        <f>SalesData[[#This Row],[Profit]]/SalesData[[#This Row],[Sales]]</f>
        <v>0.45999999999999996</v>
      </c>
      <c r="J578">
        <f>YEAR(SalesData[[#This Row],[Order Date]])</f>
        <v>2017</v>
      </c>
      <c r="K578" t="str">
        <f>TEXT(SalesData[[#This Row],[Order Date]],"mmm")</f>
        <v>May</v>
      </c>
      <c r="L578">
        <f>MONTH(SalesData[[#This Row],[Order Date]])</f>
        <v>5</v>
      </c>
      <c r="M578">
        <f>SalesData[[#This Row],[Sales]]/SalesData[[#This Row],[Quantity]]</f>
        <v>4.41</v>
      </c>
      <c r="N578" t="str">
        <f>IF(SalesData[[#This Row],[Profit]]&gt;0,"Profit","Loss")</f>
        <v>Profit</v>
      </c>
    </row>
    <row r="579" spans="1:14" x14ac:dyDescent="0.3">
      <c r="A579" t="s">
        <v>3122</v>
      </c>
      <c r="B579" s="3">
        <v>42866</v>
      </c>
      <c r="C579" t="s">
        <v>9</v>
      </c>
      <c r="D579" t="s">
        <v>21</v>
      </c>
      <c r="E579" t="s">
        <v>94</v>
      </c>
      <c r="F579" s="1">
        <v>167.94</v>
      </c>
      <c r="G579">
        <v>3</v>
      </c>
      <c r="H579" s="1">
        <v>82.290599999999998</v>
      </c>
      <c r="I579" s="4">
        <f>SalesData[[#This Row],[Profit]]/SalesData[[#This Row],[Sales]]</f>
        <v>0.49</v>
      </c>
      <c r="J579">
        <f>YEAR(SalesData[[#This Row],[Order Date]])</f>
        <v>2017</v>
      </c>
      <c r="K579" t="str">
        <f>TEXT(SalesData[[#This Row],[Order Date]],"mmm")</f>
        <v>May</v>
      </c>
      <c r="L579">
        <f>MONTH(SalesData[[#This Row],[Order Date]])</f>
        <v>5</v>
      </c>
      <c r="M579">
        <f>SalesData[[#This Row],[Sales]]/SalesData[[#This Row],[Quantity]]</f>
        <v>55.98</v>
      </c>
      <c r="N579" t="str">
        <f>IF(SalesData[[#This Row],[Profit]]&gt;0,"Profit","Loss")</f>
        <v>Profit</v>
      </c>
    </row>
    <row r="580" spans="1:14" x14ac:dyDescent="0.3">
      <c r="A580" t="s">
        <v>3122</v>
      </c>
      <c r="B580" s="3">
        <v>42866</v>
      </c>
      <c r="C580" t="s">
        <v>9</v>
      </c>
      <c r="D580" t="s">
        <v>21</v>
      </c>
      <c r="E580" t="s">
        <v>2990</v>
      </c>
      <c r="F580" s="1">
        <v>67.8</v>
      </c>
      <c r="G580">
        <v>10</v>
      </c>
      <c r="H580" s="1">
        <v>31.187999999999999</v>
      </c>
      <c r="I580" s="4">
        <f>SalesData[[#This Row],[Profit]]/SalesData[[#This Row],[Sales]]</f>
        <v>0.46</v>
      </c>
      <c r="J580">
        <f>YEAR(SalesData[[#This Row],[Order Date]])</f>
        <v>2017</v>
      </c>
      <c r="K580" t="str">
        <f>TEXT(SalesData[[#This Row],[Order Date]],"mmm")</f>
        <v>May</v>
      </c>
      <c r="L580">
        <f>MONTH(SalesData[[#This Row],[Order Date]])</f>
        <v>5</v>
      </c>
      <c r="M580">
        <f>SalesData[[#This Row],[Sales]]/SalesData[[#This Row],[Quantity]]</f>
        <v>6.7799999999999994</v>
      </c>
      <c r="N580" t="str">
        <f>IF(SalesData[[#This Row],[Profit]]&gt;0,"Profit","Loss")</f>
        <v>Profit</v>
      </c>
    </row>
    <row r="581" spans="1:14" x14ac:dyDescent="0.3">
      <c r="A581" t="s">
        <v>3123</v>
      </c>
      <c r="B581" s="3">
        <v>42867</v>
      </c>
      <c r="C581" t="s">
        <v>9</v>
      </c>
      <c r="D581" t="s">
        <v>21</v>
      </c>
      <c r="E581" t="s">
        <v>843</v>
      </c>
      <c r="F581" s="1">
        <v>61.44</v>
      </c>
      <c r="G581">
        <v>3</v>
      </c>
      <c r="H581" s="1">
        <v>16.588799999999999</v>
      </c>
      <c r="I581" s="4">
        <f>SalesData[[#This Row],[Profit]]/SalesData[[#This Row],[Sales]]</f>
        <v>0.27</v>
      </c>
      <c r="J581">
        <f>YEAR(SalesData[[#This Row],[Order Date]])</f>
        <v>2017</v>
      </c>
      <c r="K581" t="str">
        <f>TEXT(SalesData[[#This Row],[Order Date]],"mmm")</f>
        <v>May</v>
      </c>
      <c r="L581">
        <f>MONTH(SalesData[[#This Row],[Order Date]])</f>
        <v>5</v>
      </c>
      <c r="M581">
        <f>SalesData[[#This Row],[Sales]]/SalesData[[#This Row],[Quantity]]</f>
        <v>20.48</v>
      </c>
      <c r="N581" t="str">
        <f>IF(SalesData[[#This Row],[Profit]]&gt;0,"Profit","Loss")</f>
        <v>Profit</v>
      </c>
    </row>
    <row r="582" spans="1:14" x14ac:dyDescent="0.3">
      <c r="A582" t="s">
        <v>3123</v>
      </c>
      <c r="B582" s="3">
        <v>42867</v>
      </c>
      <c r="C582" t="s">
        <v>9</v>
      </c>
      <c r="D582" t="s">
        <v>21</v>
      </c>
      <c r="E582" t="s">
        <v>859</v>
      </c>
      <c r="F582" s="1">
        <v>38.9</v>
      </c>
      <c r="G582">
        <v>5</v>
      </c>
      <c r="H582" s="1">
        <v>17.504999999999999</v>
      </c>
      <c r="I582" s="4">
        <f>SalesData[[#This Row],[Profit]]/SalesData[[#This Row],[Sales]]</f>
        <v>0.45</v>
      </c>
      <c r="J582">
        <f>YEAR(SalesData[[#This Row],[Order Date]])</f>
        <v>2017</v>
      </c>
      <c r="K582" t="str">
        <f>TEXT(SalesData[[#This Row],[Order Date]],"mmm")</f>
        <v>May</v>
      </c>
      <c r="L582">
        <f>MONTH(SalesData[[#This Row],[Order Date]])</f>
        <v>5</v>
      </c>
      <c r="M582">
        <f>SalesData[[#This Row],[Sales]]/SalesData[[#This Row],[Quantity]]</f>
        <v>7.7799999999999994</v>
      </c>
      <c r="N582" t="str">
        <f>IF(SalesData[[#This Row],[Profit]]&gt;0,"Profit","Loss")</f>
        <v>Profit</v>
      </c>
    </row>
    <row r="583" spans="1:14" x14ac:dyDescent="0.3">
      <c r="A583" t="s">
        <v>3123</v>
      </c>
      <c r="B583" s="3">
        <v>42867</v>
      </c>
      <c r="C583" t="s">
        <v>9</v>
      </c>
      <c r="D583" t="s">
        <v>10</v>
      </c>
      <c r="E583" t="s">
        <v>1035</v>
      </c>
      <c r="F583" s="1">
        <v>99.39</v>
      </c>
      <c r="G583">
        <v>3</v>
      </c>
      <c r="H583" s="1">
        <v>40.749899999999997</v>
      </c>
      <c r="I583" s="4">
        <f>SalesData[[#This Row],[Profit]]/SalesData[[#This Row],[Sales]]</f>
        <v>0.41</v>
      </c>
      <c r="J583">
        <f>YEAR(SalesData[[#This Row],[Order Date]])</f>
        <v>2017</v>
      </c>
      <c r="K583" t="str">
        <f>TEXT(SalesData[[#This Row],[Order Date]],"mmm")</f>
        <v>May</v>
      </c>
      <c r="L583">
        <f>MONTH(SalesData[[#This Row],[Order Date]])</f>
        <v>5</v>
      </c>
      <c r="M583">
        <f>SalesData[[#This Row],[Sales]]/SalesData[[#This Row],[Quantity]]</f>
        <v>33.130000000000003</v>
      </c>
      <c r="N583" t="str">
        <f>IF(SalesData[[#This Row],[Profit]]&gt;0,"Profit","Loss")</f>
        <v>Profit</v>
      </c>
    </row>
    <row r="584" spans="1:14" x14ac:dyDescent="0.3">
      <c r="A584" t="s">
        <v>3124</v>
      </c>
      <c r="B584" s="3">
        <v>42867</v>
      </c>
      <c r="C584" t="s">
        <v>13</v>
      </c>
      <c r="D584" t="s">
        <v>21</v>
      </c>
      <c r="E584" t="s">
        <v>1444</v>
      </c>
      <c r="F584" s="1">
        <v>92.94</v>
      </c>
      <c r="G584">
        <v>3</v>
      </c>
      <c r="H584" s="1">
        <v>41.823</v>
      </c>
      <c r="I584" s="4">
        <f>SalesData[[#This Row],[Profit]]/SalesData[[#This Row],[Sales]]</f>
        <v>0.45</v>
      </c>
      <c r="J584">
        <f>YEAR(SalesData[[#This Row],[Order Date]])</f>
        <v>2017</v>
      </c>
      <c r="K584" t="str">
        <f>TEXT(SalesData[[#This Row],[Order Date]],"mmm")</f>
        <v>May</v>
      </c>
      <c r="L584">
        <f>MONTH(SalesData[[#This Row],[Order Date]])</f>
        <v>5</v>
      </c>
      <c r="M584">
        <f>SalesData[[#This Row],[Sales]]/SalesData[[#This Row],[Quantity]]</f>
        <v>30.98</v>
      </c>
      <c r="N584" t="str">
        <f>IF(SalesData[[#This Row],[Profit]]&gt;0,"Profit","Loss")</f>
        <v>Profit</v>
      </c>
    </row>
    <row r="585" spans="1:14" x14ac:dyDescent="0.3">
      <c r="A585" t="s">
        <v>3125</v>
      </c>
      <c r="B585" s="3">
        <v>42867</v>
      </c>
      <c r="C585" t="s">
        <v>17</v>
      </c>
      <c r="D585" t="s">
        <v>10</v>
      </c>
      <c r="E585" t="s">
        <v>908</v>
      </c>
      <c r="F585" s="1">
        <v>205.03</v>
      </c>
      <c r="G585">
        <v>7</v>
      </c>
      <c r="H585" s="1">
        <v>67.659899999999993</v>
      </c>
      <c r="I585" s="4">
        <f>SalesData[[#This Row],[Profit]]/SalesData[[#This Row],[Sales]]</f>
        <v>0.32999999999999996</v>
      </c>
      <c r="J585">
        <f>YEAR(SalesData[[#This Row],[Order Date]])</f>
        <v>2017</v>
      </c>
      <c r="K585" t="str">
        <f>TEXT(SalesData[[#This Row],[Order Date]],"mmm")</f>
        <v>May</v>
      </c>
      <c r="L585">
        <f>MONTH(SalesData[[#This Row],[Order Date]])</f>
        <v>5</v>
      </c>
      <c r="M585">
        <f>SalesData[[#This Row],[Sales]]/SalesData[[#This Row],[Quantity]]</f>
        <v>29.29</v>
      </c>
      <c r="N585" t="str">
        <f>IF(SalesData[[#This Row],[Profit]]&gt;0,"Profit","Loss")</f>
        <v>Profit</v>
      </c>
    </row>
    <row r="586" spans="1:14" x14ac:dyDescent="0.3">
      <c r="A586" t="s">
        <v>3126</v>
      </c>
      <c r="B586" s="3">
        <v>42867</v>
      </c>
      <c r="C586" t="s">
        <v>17</v>
      </c>
      <c r="D586" t="s">
        <v>14</v>
      </c>
      <c r="E586" t="s">
        <v>535</v>
      </c>
      <c r="F586" s="1">
        <v>20.94</v>
      </c>
      <c r="G586">
        <v>3</v>
      </c>
      <c r="H586" s="1">
        <v>6.0726000000000004</v>
      </c>
      <c r="I586" s="4">
        <f>SalesData[[#This Row],[Profit]]/SalesData[[#This Row],[Sales]]</f>
        <v>0.28999999999999998</v>
      </c>
      <c r="J586">
        <f>YEAR(SalesData[[#This Row],[Order Date]])</f>
        <v>2017</v>
      </c>
      <c r="K586" t="str">
        <f>TEXT(SalesData[[#This Row],[Order Date]],"mmm")</f>
        <v>May</v>
      </c>
      <c r="L586">
        <f>MONTH(SalesData[[#This Row],[Order Date]])</f>
        <v>5</v>
      </c>
      <c r="M586">
        <f>SalesData[[#This Row],[Sales]]/SalesData[[#This Row],[Quantity]]</f>
        <v>6.98</v>
      </c>
      <c r="N586" t="str">
        <f>IF(SalesData[[#This Row],[Profit]]&gt;0,"Profit","Loss")</f>
        <v>Profit</v>
      </c>
    </row>
    <row r="587" spans="1:14" x14ac:dyDescent="0.3">
      <c r="A587" t="s">
        <v>3126</v>
      </c>
      <c r="B587" s="3">
        <v>42867</v>
      </c>
      <c r="C587" t="s">
        <v>17</v>
      </c>
      <c r="D587" t="s">
        <v>14</v>
      </c>
      <c r="E587" t="s">
        <v>3127</v>
      </c>
      <c r="F587" s="1">
        <v>58.68</v>
      </c>
      <c r="G587">
        <v>2</v>
      </c>
      <c r="H587" s="1">
        <v>18.190799999999999</v>
      </c>
      <c r="I587" s="4">
        <f>SalesData[[#This Row],[Profit]]/SalesData[[#This Row],[Sales]]</f>
        <v>0.31</v>
      </c>
      <c r="J587">
        <f>YEAR(SalesData[[#This Row],[Order Date]])</f>
        <v>2017</v>
      </c>
      <c r="K587" t="str">
        <f>TEXT(SalesData[[#This Row],[Order Date]],"mmm")</f>
        <v>May</v>
      </c>
      <c r="L587">
        <f>MONTH(SalesData[[#This Row],[Order Date]])</f>
        <v>5</v>
      </c>
      <c r="M587">
        <f>SalesData[[#This Row],[Sales]]/SalesData[[#This Row],[Quantity]]</f>
        <v>29.34</v>
      </c>
      <c r="N587" t="str">
        <f>IF(SalesData[[#This Row],[Profit]]&gt;0,"Profit","Loss")</f>
        <v>Profit</v>
      </c>
    </row>
    <row r="588" spans="1:14" x14ac:dyDescent="0.3">
      <c r="A588" t="s">
        <v>3126</v>
      </c>
      <c r="B588" s="3">
        <v>42867</v>
      </c>
      <c r="C588" t="s">
        <v>17</v>
      </c>
      <c r="D588" t="s">
        <v>21</v>
      </c>
      <c r="E588" t="s">
        <v>352</v>
      </c>
      <c r="F588" s="1">
        <v>254.9</v>
      </c>
      <c r="G588">
        <v>5</v>
      </c>
      <c r="H588" s="1">
        <v>68.822999999999993</v>
      </c>
      <c r="I588" s="4">
        <f>SalesData[[#This Row],[Profit]]/SalesData[[#This Row],[Sales]]</f>
        <v>0.26999999999999996</v>
      </c>
      <c r="J588">
        <f>YEAR(SalesData[[#This Row],[Order Date]])</f>
        <v>2017</v>
      </c>
      <c r="K588" t="str">
        <f>TEXT(SalesData[[#This Row],[Order Date]],"mmm")</f>
        <v>May</v>
      </c>
      <c r="L588">
        <f>MONTH(SalesData[[#This Row],[Order Date]])</f>
        <v>5</v>
      </c>
      <c r="M588">
        <f>SalesData[[#This Row],[Sales]]/SalesData[[#This Row],[Quantity]]</f>
        <v>50.980000000000004</v>
      </c>
      <c r="N588" t="str">
        <f>IF(SalesData[[#This Row],[Profit]]&gt;0,"Profit","Loss")</f>
        <v>Profit</v>
      </c>
    </row>
    <row r="589" spans="1:14" x14ac:dyDescent="0.3">
      <c r="A589" t="s">
        <v>3128</v>
      </c>
      <c r="B589" s="3">
        <v>42867</v>
      </c>
      <c r="C589" t="s">
        <v>13</v>
      </c>
      <c r="D589" t="s">
        <v>21</v>
      </c>
      <c r="E589" t="s">
        <v>388</v>
      </c>
      <c r="F589" s="1">
        <v>24.815999999999999</v>
      </c>
      <c r="G589">
        <v>3</v>
      </c>
      <c r="H589" s="1">
        <v>8.3754000000000008</v>
      </c>
      <c r="I589" s="4">
        <f>SalesData[[#This Row],[Profit]]/SalesData[[#This Row],[Sales]]</f>
        <v>0.33750000000000002</v>
      </c>
      <c r="J589">
        <f>YEAR(SalesData[[#This Row],[Order Date]])</f>
        <v>2017</v>
      </c>
      <c r="K589" t="str">
        <f>TEXT(SalesData[[#This Row],[Order Date]],"mmm")</f>
        <v>May</v>
      </c>
      <c r="L589">
        <f>MONTH(SalesData[[#This Row],[Order Date]])</f>
        <v>5</v>
      </c>
      <c r="M589">
        <f>SalesData[[#This Row],[Sales]]/SalesData[[#This Row],[Quantity]]</f>
        <v>8.2720000000000002</v>
      </c>
      <c r="N589" t="str">
        <f>IF(SalesData[[#This Row],[Profit]]&gt;0,"Profit","Loss")</f>
        <v>Profit</v>
      </c>
    </row>
    <row r="590" spans="1:14" x14ac:dyDescent="0.3">
      <c r="A590" t="s">
        <v>3128</v>
      </c>
      <c r="B590" s="3">
        <v>42867</v>
      </c>
      <c r="C590" t="s">
        <v>13</v>
      </c>
      <c r="D590" t="s">
        <v>21</v>
      </c>
      <c r="E590" t="s">
        <v>36</v>
      </c>
      <c r="F590" s="1">
        <v>14.976000000000001</v>
      </c>
      <c r="G590">
        <v>6</v>
      </c>
      <c r="H590" s="1">
        <v>5.4287999999999998</v>
      </c>
      <c r="I590" s="4">
        <f>SalesData[[#This Row],[Profit]]/SalesData[[#This Row],[Sales]]</f>
        <v>0.36249999999999999</v>
      </c>
      <c r="J590">
        <f>YEAR(SalesData[[#This Row],[Order Date]])</f>
        <v>2017</v>
      </c>
      <c r="K590" t="str">
        <f>TEXT(SalesData[[#This Row],[Order Date]],"mmm")</f>
        <v>May</v>
      </c>
      <c r="L590">
        <f>MONTH(SalesData[[#This Row],[Order Date]])</f>
        <v>5</v>
      </c>
      <c r="M590">
        <f>SalesData[[#This Row],[Sales]]/SalesData[[#This Row],[Quantity]]</f>
        <v>2.496</v>
      </c>
      <c r="N590" t="str">
        <f>IF(SalesData[[#This Row],[Profit]]&gt;0,"Profit","Loss")</f>
        <v>Profit</v>
      </c>
    </row>
    <row r="591" spans="1:14" x14ac:dyDescent="0.3">
      <c r="A591" t="s">
        <v>3129</v>
      </c>
      <c r="B591" s="3">
        <v>42867</v>
      </c>
      <c r="C591" t="s">
        <v>17</v>
      </c>
      <c r="D591" t="s">
        <v>14</v>
      </c>
      <c r="E591" t="s">
        <v>2638</v>
      </c>
      <c r="F591" s="1">
        <v>41.96</v>
      </c>
      <c r="G591">
        <v>2</v>
      </c>
      <c r="H591" s="1">
        <v>10.909599999999999</v>
      </c>
      <c r="I591" s="4">
        <f>SalesData[[#This Row],[Profit]]/SalesData[[#This Row],[Sales]]</f>
        <v>0.25999999999999995</v>
      </c>
      <c r="J591">
        <f>YEAR(SalesData[[#This Row],[Order Date]])</f>
        <v>2017</v>
      </c>
      <c r="K591" t="str">
        <f>TEXT(SalesData[[#This Row],[Order Date]],"mmm")</f>
        <v>May</v>
      </c>
      <c r="L591">
        <f>MONTH(SalesData[[#This Row],[Order Date]])</f>
        <v>5</v>
      </c>
      <c r="M591">
        <f>SalesData[[#This Row],[Sales]]/SalesData[[#This Row],[Quantity]]</f>
        <v>20.98</v>
      </c>
      <c r="N591" t="str">
        <f>IF(SalesData[[#This Row],[Profit]]&gt;0,"Profit","Loss")</f>
        <v>Profit</v>
      </c>
    </row>
    <row r="592" spans="1:14" x14ac:dyDescent="0.3">
      <c r="A592" t="s">
        <v>3129</v>
      </c>
      <c r="B592" s="3">
        <v>42867</v>
      </c>
      <c r="C592" t="s">
        <v>17</v>
      </c>
      <c r="D592" t="s">
        <v>21</v>
      </c>
      <c r="E592" t="s">
        <v>3130</v>
      </c>
      <c r="F592" s="1">
        <v>9.4499999999999993</v>
      </c>
      <c r="G592">
        <v>3</v>
      </c>
      <c r="H592" s="1">
        <v>4.5359999999999996</v>
      </c>
      <c r="I592" s="4">
        <f>SalesData[[#This Row],[Profit]]/SalesData[[#This Row],[Sales]]</f>
        <v>0.48</v>
      </c>
      <c r="J592">
        <f>YEAR(SalesData[[#This Row],[Order Date]])</f>
        <v>2017</v>
      </c>
      <c r="K592" t="str">
        <f>TEXT(SalesData[[#This Row],[Order Date]],"mmm")</f>
        <v>May</v>
      </c>
      <c r="L592">
        <f>MONTH(SalesData[[#This Row],[Order Date]])</f>
        <v>5</v>
      </c>
      <c r="M592">
        <f>SalesData[[#This Row],[Sales]]/SalesData[[#This Row],[Quantity]]</f>
        <v>3.15</v>
      </c>
      <c r="N592" t="str">
        <f>IF(SalesData[[#This Row],[Profit]]&gt;0,"Profit","Loss")</f>
        <v>Profit</v>
      </c>
    </row>
    <row r="593" spans="1:14" x14ac:dyDescent="0.3">
      <c r="A593" t="s">
        <v>3131</v>
      </c>
      <c r="B593" s="3">
        <v>42867</v>
      </c>
      <c r="C593" t="s">
        <v>13</v>
      </c>
      <c r="D593" t="s">
        <v>21</v>
      </c>
      <c r="E593" t="s">
        <v>1181</v>
      </c>
      <c r="F593" s="1">
        <v>83.92</v>
      </c>
      <c r="G593">
        <v>5</v>
      </c>
      <c r="H593" s="1">
        <v>29.372</v>
      </c>
      <c r="I593" s="4">
        <f>SalesData[[#This Row],[Profit]]/SalesData[[#This Row],[Sales]]</f>
        <v>0.35</v>
      </c>
      <c r="J593">
        <f>YEAR(SalesData[[#This Row],[Order Date]])</f>
        <v>2017</v>
      </c>
      <c r="K593" t="str">
        <f>TEXT(SalesData[[#This Row],[Order Date]],"mmm")</f>
        <v>May</v>
      </c>
      <c r="L593">
        <f>MONTH(SalesData[[#This Row],[Order Date]])</f>
        <v>5</v>
      </c>
      <c r="M593">
        <f>SalesData[[#This Row],[Sales]]/SalesData[[#This Row],[Quantity]]</f>
        <v>16.783999999999999</v>
      </c>
      <c r="N593" t="str">
        <f>IF(SalesData[[#This Row],[Profit]]&gt;0,"Profit","Loss")</f>
        <v>Profit</v>
      </c>
    </row>
    <row r="594" spans="1:14" x14ac:dyDescent="0.3">
      <c r="A594" t="s">
        <v>3131</v>
      </c>
      <c r="B594" s="3">
        <v>42867</v>
      </c>
      <c r="C594" t="s">
        <v>13</v>
      </c>
      <c r="D594" t="s">
        <v>14</v>
      </c>
      <c r="E594" t="s">
        <v>2403</v>
      </c>
      <c r="F594" s="1">
        <v>199.9</v>
      </c>
      <c r="G594">
        <v>5</v>
      </c>
      <c r="H594" s="1">
        <v>39.979999999999997</v>
      </c>
      <c r="I594" s="4">
        <f>SalesData[[#This Row],[Profit]]/SalesData[[#This Row],[Sales]]</f>
        <v>0.19999999999999998</v>
      </c>
      <c r="J594">
        <f>YEAR(SalesData[[#This Row],[Order Date]])</f>
        <v>2017</v>
      </c>
      <c r="K594" t="str">
        <f>TEXT(SalesData[[#This Row],[Order Date]],"mmm")</f>
        <v>May</v>
      </c>
      <c r="L594">
        <f>MONTH(SalesData[[#This Row],[Order Date]])</f>
        <v>5</v>
      </c>
      <c r="M594">
        <f>SalesData[[#This Row],[Sales]]/SalesData[[#This Row],[Quantity]]</f>
        <v>39.980000000000004</v>
      </c>
      <c r="N594" t="str">
        <f>IF(SalesData[[#This Row],[Profit]]&gt;0,"Profit","Loss")</f>
        <v>Profit</v>
      </c>
    </row>
    <row r="595" spans="1:14" x14ac:dyDescent="0.3">
      <c r="A595" t="s">
        <v>3131</v>
      </c>
      <c r="B595" s="3">
        <v>42867</v>
      </c>
      <c r="C595" t="s">
        <v>13</v>
      </c>
      <c r="D595" t="s">
        <v>10</v>
      </c>
      <c r="E595" t="s">
        <v>1881</v>
      </c>
      <c r="F595" s="1">
        <v>31.175999999999998</v>
      </c>
      <c r="G595">
        <v>3</v>
      </c>
      <c r="H595" s="1">
        <v>-7.0145999999999997</v>
      </c>
      <c r="I595" s="4">
        <f>SalesData[[#This Row],[Profit]]/SalesData[[#This Row],[Sales]]</f>
        <v>-0.22500000000000001</v>
      </c>
      <c r="J595">
        <f>YEAR(SalesData[[#This Row],[Order Date]])</f>
        <v>2017</v>
      </c>
      <c r="K595" t="str">
        <f>TEXT(SalesData[[#This Row],[Order Date]],"mmm")</f>
        <v>May</v>
      </c>
      <c r="L595">
        <f>MONTH(SalesData[[#This Row],[Order Date]])</f>
        <v>5</v>
      </c>
      <c r="M595">
        <f>SalesData[[#This Row],[Sales]]/SalesData[[#This Row],[Quantity]]</f>
        <v>10.391999999999999</v>
      </c>
      <c r="N595" t="str">
        <f>IF(SalesData[[#This Row],[Profit]]&gt;0,"Profit","Loss")</f>
        <v>Loss</v>
      </c>
    </row>
    <row r="596" spans="1:14" x14ac:dyDescent="0.3">
      <c r="A596" t="s">
        <v>3131</v>
      </c>
      <c r="B596" s="3">
        <v>42867</v>
      </c>
      <c r="C596" t="s">
        <v>13</v>
      </c>
      <c r="D596" t="s">
        <v>21</v>
      </c>
      <c r="E596" t="s">
        <v>2373</v>
      </c>
      <c r="F596" s="1">
        <v>172.75200000000001</v>
      </c>
      <c r="G596">
        <v>6</v>
      </c>
      <c r="H596" s="1">
        <v>60.463200000000001</v>
      </c>
      <c r="I596" s="4">
        <f>SalesData[[#This Row],[Profit]]/SalesData[[#This Row],[Sales]]</f>
        <v>0.35</v>
      </c>
      <c r="J596">
        <f>YEAR(SalesData[[#This Row],[Order Date]])</f>
        <v>2017</v>
      </c>
      <c r="K596" t="str">
        <f>TEXT(SalesData[[#This Row],[Order Date]],"mmm")</f>
        <v>May</v>
      </c>
      <c r="L596">
        <f>MONTH(SalesData[[#This Row],[Order Date]])</f>
        <v>5</v>
      </c>
      <c r="M596">
        <f>SalesData[[#This Row],[Sales]]/SalesData[[#This Row],[Quantity]]</f>
        <v>28.792000000000002</v>
      </c>
      <c r="N596" t="str">
        <f>IF(SalesData[[#This Row],[Profit]]&gt;0,"Profit","Loss")</f>
        <v>Profit</v>
      </c>
    </row>
    <row r="597" spans="1:14" x14ac:dyDescent="0.3">
      <c r="A597" t="s">
        <v>3131</v>
      </c>
      <c r="B597" s="3">
        <v>42867</v>
      </c>
      <c r="C597" t="s">
        <v>13</v>
      </c>
      <c r="D597" t="s">
        <v>21</v>
      </c>
      <c r="E597" t="s">
        <v>2074</v>
      </c>
      <c r="F597" s="1">
        <v>9.2959999999999994</v>
      </c>
      <c r="G597">
        <v>2</v>
      </c>
      <c r="H597" s="1">
        <v>3.0211999999999999</v>
      </c>
      <c r="I597" s="4">
        <f>SalesData[[#This Row],[Profit]]/SalesData[[#This Row],[Sales]]</f>
        <v>0.32500000000000001</v>
      </c>
      <c r="J597">
        <f>YEAR(SalesData[[#This Row],[Order Date]])</f>
        <v>2017</v>
      </c>
      <c r="K597" t="str">
        <f>TEXT(SalesData[[#This Row],[Order Date]],"mmm")</f>
        <v>May</v>
      </c>
      <c r="L597">
        <f>MONTH(SalesData[[#This Row],[Order Date]])</f>
        <v>5</v>
      </c>
      <c r="M597">
        <f>SalesData[[#This Row],[Sales]]/SalesData[[#This Row],[Quantity]]</f>
        <v>4.6479999999999997</v>
      </c>
      <c r="N597" t="str">
        <f>IF(SalesData[[#This Row],[Profit]]&gt;0,"Profit","Loss")</f>
        <v>Profit</v>
      </c>
    </row>
    <row r="598" spans="1:14" x14ac:dyDescent="0.3">
      <c r="A598" t="s">
        <v>3132</v>
      </c>
      <c r="B598" s="3">
        <v>42867</v>
      </c>
      <c r="C598" t="s">
        <v>17</v>
      </c>
      <c r="D598" t="s">
        <v>21</v>
      </c>
      <c r="E598" t="s">
        <v>3043</v>
      </c>
      <c r="F598" s="1">
        <v>21.6</v>
      </c>
      <c r="G598">
        <v>6</v>
      </c>
      <c r="H598" s="1">
        <v>9.9359999999999999</v>
      </c>
      <c r="I598" s="4">
        <f>SalesData[[#This Row],[Profit]]/SalesData[[#This Row],[Sales]]</f>
        <v>0.45999999999999996</v>
      </c>
      <c r="J598">
        <f>YEAR(SalesData[[#This Row],[Order Date]])</f>
        <v>2017</v>
      </c>
      <c r="K598" t="str">
        <f>TEXT(SalesData[[#This Row],[Order Date]],"mmm")</f>
        <v>May</v>
      </c>
      <c r="L598">
        <f>MONTH(SalesData[[#This Row],[Order Date]])</f>
        <v>5</v>
      </c>
      <c r="M598">
        <f>SalesData[[#This Row],[Sales]]/SalesData[[#This Row],[Quantity]]</f>
        <v>3.6</v>
      </c>
      <c r="N598" t="str">
        <f>IF(SalesData[[#This Row],[Profit]]&gt;0,"Profit","Loss")</f>
        <v>Profit</v>
      </c>
    </row>
    <row r="599" spans="1:14" x14ac:dyDescent="0.3">
      <c r="A599" t="s">
        <v>3132</v>
      </c>
      <c r="B599" s="3">
        <v>42867</v>
      </c>
      <c r="C599" t="s">
        <v>17</v>
      </c>
      <c r="D599" t="s">
        <v>21</v>
      </c>
      <c r="E599" t="s">
        <v>2429</v>
      </c>
      <c r="F599" s="1">
        <v>11.07</v>
      </c>
      <c r="G599">
        <v>3</v>
      </c>
      <c r="H599" s="1">
        <v>5.2028999999999996</v>
      </c>
      <c r="I599" s="4">
        <f>SalesData[[#This Row],[Profit]]/SalesData[[#This Row],[Sales]]</f>
        <v>0.47</v>
      </c>
      <c r="J599">
        <f>YEAR(SalesData[[#This Row],[Order Date]])</f>
        <v>2017</v>
      </c>
      <c r="K599" t="str">
        <f>TEXT(SalesData[[#This Row],[Order Date]],"mmm")</f>
        <v>May</v>
      </c>
      <c r="L599">
        <f>MONTH(SalesData[[#This Row],[Order Date]])</f>
        <v>5</v>
      </c>
      <c r="M599">
        <f>SalesData[[#This Row],[Sales]]/SalesData[[#This Row],[Quantity]]</f>
        <v>3.69</v>
      </c>
      <c r="N599" t="str">
        <f>IF(SalesData[[#This Row],[Profit]]&gt;0,"Profit","Loss")</f>
        <v>Profit</v>
      </c>
    </row>
    <row r="600" spans="1:14" x14ac:dyDescent="0.3">
      <c r="A600" t="s">
        <v>3133</v>
      </c>
      <c r="B600" s="3">
        <v>42887</v>
      </c>
      <c r="C600" t="s">
        <v>46</v>
      </c>
      <c r="D600" t="s">
        <v>21</v>
      </c>
      <c r="E600" t="s">
        <v>879</v>
      </c>
      <c r="F600" s="1">
        <v>33.74</v>
      </c>
      <c r="G600">
        <v>7</v>
      </c>
      <c r="H600" s="1">
        <v>15.5204</v>
      </c>
      <c r="I600" s="4">
        <f>SalesData[[#This Row],[Profit]]/SalesData[[#This Row],[Sales]]</f>
        <v>0.45999999999999996</v>
      </c>
      <c r="J600">
        <f>YEAR(SalesData[[#This Row],[Order Date]])</f>
        <v>2017</v>
      </c>
      <c r="K600" t="str">
        <f>TEXT(SalesData[[#This Row],[Order Date]],"mmm")</f>
        <v>Jun</v>
      </c>
      <c r="L600">
        <f>MONTH(SalesData[[#This Row],[Order Date]])</f>
        <v>6</v>
      </c>
      <c r="M600">
        <f>SalesData[[#This Row],[Sales]]/SalesData[[#This Row],[Quantity]]</f>
        <v>4.82</v>
      </c>
      <c r="N600" t="str">
        <f>IF(SalesData[[#This Row],[Profit]]&gt;0,"Profit","Loss")</f>
        <v>Profit</v>
      </c>
    </row>
    <row r="601" spans="1:14" x14ac:dyDescent="0.3">
      <c r="A601" t="s">
        <v>3134</v>
      </c>
      <c r="B601" s="3">
        <v>42888</v>
      </c>
      <c r="C601" t="s">
        <v>46</v>
      </c>
      <c r="D601" t="s">
        <v>14</v>
      </c>
      <c r="E601" t="s">
        <v>2171</v>
      </c>
      <c r="F601" s="1">
        <v>359.97</v>
      </c>
      <c r="G601">
        <v>3</v>
      </c>
      <c r="H601" s="1">
        <v>79.193399999999997</v>
      </c>
      <c r="I601" s="4">
        <f>SalesData[[#This Row],[Profit]]/SalesData[[#This Row],[Sales]]</f>
        <v>0.21999999999999997</v>
      </c>
      <c r="J601">
        <f>YEAR(SalesData[[#This Row],[Order Date]])</f>
        <v>2017</v>
      </c>
      <c r="K601" t="str">
        <f>TEXT(SalesData[[#This Row],[Order Date]],"mmm")</f>
        <v>Jun</v>
      </c>
      <c r="L601">
        <f>MONTH(SalesData[[#This Row],[Order Date]])</f>
        <v>6</v>
      </c>
      <c r="M601">
        <f>SalesData[[#This Row],[Sales]]/SalesData[[#This Row],[Quantity]]</f>
        <v>119.99000000000001</v>
      </c>
      <c r="N601" t="str">
        <f>IF(SalesData[[#This Row],[Profit]]&gt;0,"Profit","Loss")</f>
        <v>Profit</v>
      </c>
    </row>
    <row r="602" spans="1:14" x14ac:dyDescent="0.3">
      <c r="A602" t="s">
        <v>3135</v>
      </c>
      <c r="B602" s="3">
        <v>42888</v>
      </c>
      <c r="C602" t="s">
        <v>17</v>
      </c>
      <c r="D602" t="s">
        <v>14</v>
      </c>
      <c r="E602" t="s">
        <v>1059</v>
      </c>
      <c r="F602" s="1">
        <v>240.78399999999999</v>
      </c>
      <c r="G602">
        <v>1</v>
      </c>
      <c r="H602" s="1">
        <v>30.097999999999999</v>
      </c>
      <c r="I602" s="4">
        <f>SalesData[[#This Row],[Profit]]/SalesData[[#This Row],[Sales]]</f>
        <v>0.125</v>
      </c>
      <c r="J602">
        <f>YEAR(SalesData[[#This Row],[Order Date]])</f>
        <v>2017</v>
      </c>
      <c r="K602" t="str">
        <f>TEXT(SalesData[[#This Row],[Order Date]],"mmm")</f>
        <v>Jun</v>
      </c>
      <c r="L602">
        <f>MONTH(SalesData[[#This Row],[Order Date]])</f>
        <v>6</v>
      </c>
      <c r="M602">
        <f>SalesData[[#This Row],[Sales]]/SalesData[[#This Row],[Quantity]]</f>
        <v>240.78399999999999</v>
      </c>
      <c r="N602" t="str">
        <f>IF(SalesData[[#This Row],[Profit]]&gt;0,"Profit","Loss")</f>
        <v>Profit</v>
      </c>
    </row>
    <row r="603" spans="1:14" x14ac:dyDescent="0.3">
      <c r="A603" t="s">
        <v>3136</v>
      </c>
      <c r="B603" s="3">
        <v>42888</v>
      </c>
      <c r="C603" t="s">
        <v>17</v>
      </c>
      <c r="D603" t="s">
        <v>10</v>
      </c>
      <c r="E603" t="s">
        <v>2263</v>
      </c>
      <c r="F603" s="1">
        <v>227.46</v>
      </c>
      <c r="G603">
        <v>6</v>
      </c>
      <c r="H603" s="1">
        <v>65.963399999999993</v>
      </c>
      <c r="I603" s="4">
        <f>SalesData[[#This Row],[Profit]]/SalesData[[#This Row],[Sales]]</f>
        <v>0.28999999999999998</v>
      </c>
      <c r="J603">
        <f>YEAR(SalesData[[#This Row],[Order Date]])</f>
        <v>2017</v>
      </c>
      <c r="K603" t="str">
        <f>TEXT(SalesData[[#This Row],[Order Date]],"mmm")</f>
        <v>Jun</v>
      </c>
      <c r="L603">
        <f>MONTH(SalesData[[#This Row],[Order Date]])</f>
        <v>6</v>
      </c>
      <c r="M603">
        <f>SalesData[[#This Row],[Sales]]/SalesData[[#This Row],[Quantity]]</f>
        <v>37.910000000000004</v>
      </c>
      <c r="N603" t="str">
        <f>IF(SalesData[[#This Row],[Profit]]&gt;0,"Profit","Loss")</f>
        <v>Profit</v>
      </c>
    </row>
    <row r="604" spans="1:14" x14ac:dyDescent="0.3">
      <c r="A604" t="s">
        <v>3136</v>
      </c>
      <c r="B604" s="3">
        <v>42888</v>
      </c>
      <c r="C604" t="s">
        <v>17</v>
      </c>
      <c r="D604" t="s">
        <v>21</v>
      </c>
      <c r="E604" t="s">
        <v>3137</v>
      </c>
      <c r="F604" s="1">
        <v>46.24</v>
      </c>
      <c r="G604">
        <v>4</v>
      </c>
      <c r="H604" s="1">
        <v>15.606</v>
      </c>
      <c r="I604" s="4">
        <f>SalesData[[#This Row],[Profit]]/SalesData[[#This Row],[Sales]]</f>
        <v>0.33749999999999997</v>
      </c>
      <c r="J604">
        <f>YEAR(SalesData[[#This Row],[Order Date]])</f>
        <v>2017</v>
      </c>
      <c r="K604" t="str">
        <f>TEXT(SalesData[[#This Row],[Order Date]],"mmm")</f>
        <v>Jun</v>
      </c>
      <c r="L604">
        <f>MONTH(SalesData[[#This Row],[Order Date]])</f>
        <v>6</v>
      </c>
      <c r="M604">
        <f>SalesData[[#This Row],[Sales]]/SalesData[[#This Row],[Quantity]]</f>
        <v>11.56</v>
      </c>
      <c r="N604" t="str">
        <f>IF(SalesData[[#This Row],[Profit]]&gt;0,"Profit","Loss")</f>
        <v>Profit</v>
      </c>
    </row>
    <row r="605" spans="1:14" x14ac:dyDescent="0.3">
      <c r="A605" t="s">
        <v>3138</v>
      </c>
      <c r="B605" s="3">
        <v>42888</v>
      </c>
      <c r="C605" t="s">
        <v>13</v>
      </c>
      <c r="D605" t="s">
        <v>21</v>
      </c>
      <c r="E605" t="s">
        <v>138</v>
      </c>
      <c r="F605" s="1">
        <v>29.9</v>
      </c>
      <c r="G605">
        <v>5</v>
      </c>
      <c r="H605" s="1">
        <v>13.455</v>
      </c>
      <c r="I605" s="4">
        <f>SalesData[[#This Row],[Profit]]/SalesData[[#This Row],[Sales]]</f>
        <v>0.45</v>
      </c>
      <c r="J605">
        <f>YEAR(SalesData[[#This Row],[Order Date]])</f>
        <v>2017</v>
      </c>
      <c r="K605" t="str">
        <f>TEXT(SalesData[[#This Row],[Order Date]],"mmm")</f>
        <v>Jun</v>
      </c>
      <c r="L605">
        <f>MONTH(SalesData[[#This Row],[Order Date]])</f>
        <v>6</v>
      </c>
      <c r="M605">
        <f>SalesData[[#This Row],[Sales]]/SalesData[[#This Row],[Quantity]]</f>
        <v>5.9799999999999995</v>
      </c>
      <c r="N605" t="str">
        <f>IF(SalesData[[#This Row],[Profit]]&gt;0,"Profit","Loss")</f>
        <v>Profit</v>
      </c>
    </row>
    <row r="606" spans="1:14" x14ac:dyDescent="0.3">
      <c r="A606" t="s">
        <v>3139</v>
      </c>
      <c r="B606" s="3">
        <v>42889</v>
      </c>
      <c r="C606" t="s">
        <v>17</v>
      </c>
      <c r="D606" t="s">
        <v>21</v>
      </c>
      <c r="E606" t="s">
        <v>1736</v>
      </c>
      <c r="F606" s="1">
        <v>26.38</v>
      </c>
      <c r="G606">
        <v>1</v>
      </c>
      <c r="H606" s="1">
        <v>12.1348</v>
      </c>
      <c r="I606" s="4">
        <f>SalesData[[#This Row],[Profit]]/SalesData[[#This Row],[Sales]]</f>
        <v>0.46</v>
      </c>
      <c r="J606">
        <f>YEAR(SalesData[[#This Row],[Order Date]])</f>
        <v>2017</v>
      </c>
      <c r="K606" t="str">
        <f>TEXT(SalesData[[#This Row],[Order Date]],"mmm")</f>
        <v>Jun</v>
      </c>
      <c r="L606">
        <f>MONTH(SalesData[[#This Row],[Order Date]])</f>
        <v>6</v>
      </c>
      <c r="M606">
        <f>SalesData[[#This Row],[Sales]]/SalesData[[#This Row],[Quantity]]</f>
        <v>26.38</v>
      </c>
      <c r="N606" t="str">
        <f>IF(SalesData[[#This Row],[Profit]]&gt;0,"Profit","Loss")</f>
        <v>Profit</v>
      </c>
    </row>
    <row r="607" spans="1:14" x14ac:dyDescent="0.3">
      <c r="A607" t="s">
        <v>3139</v>
      </c>
      <c r="B607" s="3">
        <v>42889</v>
      </c>
      <c r="C607" t="s">
        <v>17</v>
      </c>
      <c r="D607" t="s">
        <v>14</v>
      </c>
      <c r="E607" t="s">
        <v>2931</v>
      </c>
      <c r="F607" s="1">
        <v>71.97</v>
      </c>
      <c r="G607">
        <v>3</v>
      </c>
      <c r="H607" s="1">
        <v>16.553100000000001</v>
      </c>
      <c r="I607" s="4">
        <f>SalesData[[#This Row],[Profit]]/SalesData[[#This Row],[Sales]]</f>
        <v>0.23</v>
      </c>
      <c r="J607">
        <f>YEAR(SalesData[[#This Row],[Order Date]])</f>
        <v>2017</v>
      </c>
      <c r="K607" t="str">
        <f>TEXT(SalesData[[#This Row],[Order Date]],"mmm")</f>
        <v>Jun</v>
      </c>
      <c r="L607">
        <f>MONTH(SalesData[[#This Row],[Order Date]])</f>
        <v>6</v>
      </c>
      <c r="M607">
        <f>SalesData[[#This Row],[Sales]]/SalesData[[#This Row],[Quantity]]</f>
        <v>23.99</v>
      </c>
      <c r="N607" t="str">
        <f>IF(SalesData[[#This Row],[Profit]]&gt;0,"Profit","Loss")</f>
        <v>Profit</v>
      </c>
    </row>
    <row r="608" spans="1:14" x14ac:dyDescent="0.3">
      <c r="A608" t="s">
        <v>3140</v>
      </c>
      <c r="B608" s="3">
        <v>42889</v>
      </c>
      <c r="C608" t="s">
        <v>13</v>
      </c>
      <c r="D608" t="s">
        <v>21</v>
      </c>
      <c r="E608" t="s">
        <v>3141</v>
      </c>
      <c r="F608" s="1">
        <v>14.976000000000001</v>
      </c>
      <c r="G608">
        <v>9</v>
      </c>
      <c r="H608" s="1">
        <v>5.4287999999999998</v>
      </c>
      <c r="I608" s="4">
        <f>SalesData[[#This Row],[Profit]]/SalesData[[#This Row],[Sales]]</f>
        <v>0.36249999999999999</v>
      </c>
      <c r="J608">
        <f>YEAR(SalesData[[#This Row],[Order Date]])</f>
        <v>2017</v>
      </c>
      <c r="K608" t="str">
        <f>TEXT(SalesData[[#This Row],[Order Date]],"mmm")</f>
        <v>Jun</v>
      </c>
      <c r="L608">
        <f>MONTH(SalesData[[#This Row],[Order Date]])</f>
        <v>6</v>
      </c>
      <c r="M608">
        <f>SalesData[[#This Row],[Sales]]/SalesData[[#This Row],[Quantity]]</f>
        <v>1.6640000000000001</v>
      </c>
      <c r="N608" t="str">
        <f>IF(SalesData[[#This Row],[Profit]]&gt;0,"Profit","Loss")</f>
        <v>Profit</v>
      </c>
    </row>
    <row r="609" spans="1:14" x14ac:dyDescent="0.3">
      <c r="A609" t="s">
        <v>3142</v>
      </c>
      <c r="B609" s="3">
        <v>42889</v>
      </c>
      <c r="C609" t="s">
        <v>13</v>
      </c>
      <c r="D609" t="s">
        <v>21</v>
      </c>
      <c r="E609" t="s">
        <v>3143</v>
      </c>
      <c r="F609" s="1">
        <v>67.78</v>
      </c>
      <c r="G609">
        <v>2</v>
      </c>
      <c r="H609" s="1">
        <v>16.945</v>
      </c>
      <c r="I609" s="4">
        <f>SalesData[[#This Row],[Profit]]/SalesData[[#This Row],[Sales]]</f>
        <v>0.25</v>
      </c>
      <c r="J609">
        <f>YEAR(SalesData[[#This Row],[Order Date]])</f>
        <v>2017</v>
      </c>
      <c r="K609" t="str">
        <f>TEXT(SalesData[[#This Row],[Order Date]],"mmm")</f>
        <v>Jun</v>
      </c>
      <c r="L609">
        <f>MONTH(SalesData[[#This Row],[Order Date]])</f>
        <v>6</v>
      </c>
      <c r="M609">
        <f>SalesData[[#This Row],[Sales]]/SalesData[[#This Row],[Quantity]]</f>
        <v>33.89</v>
      </c>
      <c r="N609" t="str">
        <f>IF(SalesData[[#This Row],[Profit]]&gt;0,"Profit","Loss")</f>
        <v>Profit</v>
      </c>
    </row>
    <row r="610" spans="1:14" x14ac:dyDescent="0.3">
      <c r="A610" t="s">
        <v>3144</v>
      </c>
      <c r="B610" s="3">
        <v>42889</v>
      </c>
      <c r="C610" t="s">
        <v>13</v>
      </c>
      <c r="D610" t="s">
        <v>21</v>
      </c>
      <c r="E610" t="s">
        <v>997</v>
      </c>
      <c r="F610" s="1">
        <v>23.88</v>
      </c>
      <c r="G610">
        <v>6</v>
      </c>
      <c r="H610" s="1">
        <v>8.1191999999999993</v>
      </c>
      <c r="I610" s="4">
        <f>SalesData[[#This Row],[Profit]]/SalesData[[#This Row],[Sales]]</f>
        <v>0.33999999999999997</v>
      </c>
      <c r="J610">
        <f>YEAR(SalesData[[#This Row],[Order Date]])</f>
        <v>2017</v>
      </c>
      <c r="K610" t="str">
        <f>TEXT(SalesData[[#This Row],[Order Date]],"mmm")</f>
        <v>Jun</v>
      </c>
      <c r="L610">
        <f>MONTH(SalesData[[#This Row],[Order Date]])</f>
        <v>6</v>
      </c>
      <c r="M610">
        <f>SalesData[[#This Row],[Sales]]/SalesData[[#This Row],[Quantity]]</f>
        <v>3.98</v>
      </c>
      <c r="N610" t="str">
        <f>IF(SalesData[[#This Row],[Profit]]&gt;0,"Profit","Loss")</f>
        <v>Profit</v>
      </c>
    </row>
    <row r="611" spans="1:14" x14ac:dyDescent="0.3">
      <c r="A611" t="s">
        <v>3144</v>
      </c>
      <c r="B611" s="3">
        <v>42889</v>
      </c>
      <c r="C611" t="s">
        <v>13</v>
      </c>
      <c r="D611" t="s">
        <v>21</v>
      </c>
      <c r="E611" t="s">
        <v>759</v>
      </c>
      <c r="F611" s="1">
        <v>11.52</v>
      </c>
      <c r="G611">
        <v>4</v>
      </c>
      <c r="H611" s="1">
        <v>5.6448</v>
      </c>
      <c r="I611" s="4">
        <f>SalesData[[#This Row],[Profit]]/SalesData[[#This Row],[Sales]]</f>
        <v>0.49000000000000005</v>
      </c>
      <c r="J611">
        <f>YEAR(SalesData[[#This Row],[Order Date]])</f>
        <v>2017</v>
      </c>
      <c r="K611" t="str">
        <f>TEXT(SalesData[[#This Row],[Order Date]],"mmm")</f>
        <v>Jun</v>
      </c>
      <c r="L611">
        <f>MONTH(SalesData[[#This Row],[Order Date]])</f>
        <v>6</v>
      </c>
      <c r="M611">
        <f>SalesData[[#This Row],[Sales]]/SalesData[[#This Row],[Quantity]]</f>
        <v>2.88</v>
      </c>
      <c r="N611" t="str">
        <f>IF(SalesData[[#This Row],[Profit]]&gt;0,"Profit","Loss")</f>
        <v>Profit</v>
      </c>
    </row>
    <row r="612" spans="1:14" x14ac:dyDescent="0.3">
      <c r="A612" t="s">
        <v>3144</v>
      </c>
      <c r="B612" s="3">
        <v>42889</v>
      </c>
      <c r="C612" t="s">
        <v>13</v>
      </c>
      <c r="D612" t="s">
        <v>21</v>
      </c>
      <c r="E612" t="s">
        <v>474</v>
      </c>
      <c r="F612" s="1">
        <v>286.93</v>
      </c>
      <c r="G612">
        <v>7</v>
      </c>
      <c r="H612" s="1">
        <v>140.59569999999999</v>
      </c>
      <c r="I612" s="4">
        <f>SalesData[[#This Row],[Profit]]/SalesData[[#This Row],[Sales]]</f>
        <v>0.49</v>
      </c>
      <c r="J612">
        <f>YEAR(SalesData[[#This Row],[Order Date]])</f>
        <v>2017</v>
      </c>
      <c r="K612" t="str">
        <f>TEXT(SalesData[[#This Row],[Order Date]],"mmm")</f>
        <v>Jun</v>
      </c>
      <c r="L612">
        <f>MONTH(SalesData[[#This Row],[Order Date]])</f>
        <v>6</v>
      </c>
      <c r="M612">
        <f>SalesData[[#This Row],[Sales]]/SalesData[[#This Row],[Quantity]]</f>
        <v>40.99</v>
      </c>
      <c r="N612" t="str">
        <f>IF(SalesData[[#This Row],[Profit]]&gt;0,"Profit","Loss")</f>
        <v>Profit</v>
      </c>
    </row>
    <row r="613" spans="1:14" x14ac:dyDescent="0.3">
      <c r="A613" t="s">
        <v>3144</v>
      </c>
      <c r="B613" s="3">
        <v>42889</v>
      </c>
      <c r="C613" t="s">
        <v>13</v>
      </c>
      <c r="D613" t="s">
        <v>10</v>
      </c>
      <c r="E613" t="s">
        <v>1533</v>
      </c>
      <c r="F613" s="1">
        <v>206.38399999999999</v>
      </c>
      <c r="G613">
        <v>2</v>
      </c>
      <c r="H613" s="1">
        <v>23.2182</v>
      </c>
      <c r="I613" s="4">
        <f>SalesData[[#This Row],[Profit]]/SalesData[[#This Row],[Sales]]</f>
        <v>0.1125</v>
      </c>
      <c r="J613">
        <f>YEAR(SalesData[[#This Row],[Order Date]])</f>
        <v>2017</v>
      </c>
      <c r="K613" t="str">
        <f>TEXT(SalesData[[#This Row],[Order Date]],"mmm")</f>
        <v>Jun</v>
      </c>
      <c r="L613">
        <f>MONTH(SalesData[[#This Row],[Order Date]])</f>
        <v>6</v>
      </c>
      <c r="M613">
        <f>SalesData[[#This Row],[Sales]]/SalesData[[#This Row],[Quantity]]</f>
        <v>103.19199999999999</v>
      </c>
      <c r="N613" t="str">
        <f>IF(SalesData[[#This Row],[Profit]]&gt;0,"Profit","Loss")</f>
        <v>Profit</v>
      </c>
    </row>
    <row r="614" spans="1:14" x14ac:dyDescent="0.3">
      <c r="A614" t="s">
        <v>3145</v>
      </c>
      <c r="B614" s="3">
        <v>42889</v>
      </c>
      <c r="C614" t="s">
        <v>9</v>
      </c>
      <c r="D614" t="s">
        <v>21</v>
      </c>
      <c r="E614" t="s">
        <v>2355</v>
      </c>
      <c r="F614" s="1">
        <v>4.9279999999999999</v>
      </c>
      <c r="G614">
        <v>2</v>
      </c>
      <c r="H614" s="1">
        <v>1.7248000000000001</v>
      </c>
      <c r="I614" s="4">
        <f>SalesData[[#This Row],[Profit]]/SalesData[[#This Row],[Sales]]</f>
        <v>0.35000000000000003</v>
      </c>
      <c r="J614">
        <f>YEAR(SalesData[[#This Row],[Order Date]])</f>
        <v>2017</v>
      </c>
      <c r="K614" t="str">
        <f>TEXT(SalesData[[#This Row],[Order Date]],"mmm")</f>
        <v>Jun</v>
      </c>
      <c r="L614">
        <f>MONTH(SalesData[[#This Row],[Order Date]])</f>
        <v>6</v>
      </c>
      <c r="M614">
        <f>SalesData[[#This Row],[Sales]]/SalesData[[#This Row],[Quantity]]</f>
        <v>2.464</v>
      </c>
      <c r="N614" t="str">
        <f>IF(SalesData[[#This Row],[Profit]]&gt;0,"Profit","Loss")</f>
        <v>Profit</v>
      </c>
    </row>
    <row r="615" spans="1:14" x14ac:dyDescent="0.3">
      <c r="A615" t="s">
        <v>3145</v>
      </c>
      <c r="B615" s="3">
        <v>42889</v>
      </c>
      <c r="C615" t="s">
        <v>9</v>
      </c>
      <c r="D615" t="s">
        <v>21</v>
      </c>
      <c r="E615" t="s">
        <v>385</v>
      </c>
      <c r="F615" s="1">
        <v>63.488</v>
      </c>
      <c r="G615">
        <v>4</v>
      </c>
      <c r="H615" s="1">
        <v>4.7615999999999996</v>
      </c>
      <c r="I615" s="4">
        <f>SalesData[[#This Row],[Profit]]/SalesData[[#This Row],[Sales]]</f>
        <v>7.4999999999999997E-2</v>
      </c>
      <c r="J615">
        <f>YEAR(SalesData[[#This Row],[Order Date]])</f>
        <v>2017</v>
      </c>
      <c r="K615" t="str">
        <f>TEXT(SalesData[[#This Row],[Order Date]],"mmm")</f>
        <v>Jun</v>
      </c>
      <c r="L615">
        <f>MONTH(SalesData[[#This Row],[Order Date]])</f>
        <v>6</v>
      </c>
      <c r="M615">
        <f>SalesData[[#This Row],[Sales]]/SalesData[[#This Row],[Quantity]]</f>
        <v>15.872</v>
      </c>
      <c r="N615" t="str">
        <f>IF(SalesData[[#This Row],[Profit]]&gt;0,"Profit","Loss")</f>
        <v>Profit</v>
      </c>
    </row>
    <row r="616" spans="1:14" x14ac:dyDescent="0.3">
      <c r="A616" t="s">
        <v>3146</v>
      </c>
      <c r="B616" s="3">
        <v>42890</v>
      </c>
      <c r="C616" t="s">
        <v>9</v>
      </c>
      <c r="D616" t="s">
        <v>21</v>
      </c>
      <c r="E616" t="s">
        <v>94</v>
      </c>
      <c r="F616" s="1">
        <v>106.32</v>
      </c>
      <c r="G616">
        <v>3</v>
      </c>
      <c r="H616" s="1">
        <v>49.970399999999998</v>
      </c>
      <c r="I616" s="4">
        <f>SalesData[[#This Row],[Profit]]/SalesData[[#This Row],[Sales]]</f>
        <v>0.47000000000000003</v>
      </c>
      <c r="J616">
        <f>YEAR(SalesData[[#This Row],[Order Date]])</f>
        <v>2017</v>
      </c>
      <c r="K616" t="str">
        <f>TEXT(SalesData[[#This Row],[Order Date]],"mmm")</f>
        <v>Jun</v>
      </c>
      <c r="L616">
        <f>MONTH(SalesData[[#This Row],[Order Date]])</f>
        <v>6</v>
      </c>
      <c r="M616">
        <f>SalesData[[#This Row],[Sales]]/SalesData[[#This Row],[Quantity]]</f>
        <v>35.44</v>
      </c>
      <c r="N616" t="str">
        <f>IF(SalesData[[#This Row],[Profit]]&gt;0,"Profit","Loss")</f>
        <v>Profit</v>
      </c>
    </row>
    <row r="617" spans="1:14" x14ac:dyDescent="0.3">
      <c r="A617" t="s">
        <v>3147</v>
      </c>
      <c r="B617" s="3">
        <v>42890</v>
      </c>
      <c r="C617" t="s">
        <v>46</v>
      </c>
      <c r="D617" t="s">
        <v>21</v>
      </c>
      <c r="E617" t="s">
        <v>1762</v>
      </c>
      <c r="F617" s="1">
        <v>8.1</v>
      </c>
      <c r="G617">
        <v>5</v>
      </c>
      <c r="H617" s="1">
        <v>-5.94</v>
      </c>
      <c r="I617" s="4">
        <f>SalesData[[#This Row],[Profit]]/SalesData[[#This Row],[Sales]]</f>
        <v>-0.73333333333333339</v>
      </c>
      <c r="J617">
        <f>YEAR(SalesData[[#This Row],[Order Date]])</f>
        <v>2017</v>
      </c>
      <c r="K617" t="str">
        <f>TEXT(SalesData[[#This Row],[Order Date]],"mmm")</f>
        <v>Jun</v>
      </c>
      <c r="L617">
        <f>MONTH(SalesData[[#This Row],[Order Date]])</f>
        <v>6</v>
      </c>
      <c r="M617">
        <f>SalesData[[#This Row],[Sales]]/SalesData[[#This Row],[Quantity]]</f>
        <v>1.6199999999999999</v>
      </c>
      <c r="N617" t="str">
        <f>IF(SalesData[[#This Row],[Profit]]&gt;0,"Profit","Loss")</f>
        <v>Loss</v>
      </c>
    </row>
    <row r="618" spans="1:14" x14ac:dyDescent="0.3">
      <c r="A618" t="s">
        <v>3148</v>
      </c>
      <c r="B618" s="3">
        <v>42891</v>
      </c>
      <c r="C618" t="s">
        <v>9</v>
      </c>
      <c r="D618" t="s">
        <v>21</v>
      </c>
      <c r="E618" t="s">
        <v>1986</v>
      </c>
      <c r="F618" s="1">
        <v>6.4080000000000004</v>
      </c>
      <c r="G618">
        <v>3</v>
      </c>
      <c r="H618" s="1">
        <v>0.64080000000000004</v>
      </c>
      <c r="I618" s="4">
        <f>SalesData[[#This Row],[Profit]]/SalesData[[#This Row],[Sales]]</f>
        <v>0.1</v>
      </c>
      <c r="J618">
        <f>YEAR(SalesData[[#This Row],[Order Date]])</f>
        <v>2017</v>
      </c>
      <c r="K618" t="str">
        <f>TEXT(SalesData[[#This Row],[Order Date]],"mmm")</f>
        <v>Jun</v>
      </c>
      <c r="L618">
        <f>MONTH(SalesData[[#This Row],[Order Date]])</f>
        <v>6</v>
      </c>
      <c r="M618">
        <f>SalesData[[#This Row],[Sales]]/SalesData[[#This Row],[Quantity]]</f>
        <v>2.1360000000000001</v>
      </c>
      <c r="N618" t="str">
        <f>IF(SalesData[[#This Row],[Profit]]&gt;0,"Profit","Loss")</f>
        <v>Profit</v>
      </c>
    </row>
    <row r="619" spans="1:14" x14ac:dyDescent="0.3">
      <c r="A619" t="s">
        <v>3148</v>
      </c>
      <c r="B619" s="3">
        <v>42891</v>
      </c>
      <c r="C619" t="s">
        <v>9</v>
      </c>
      <c r="D619" t="s">
        <v>10</v>
      </c>
      <c r="E619" t="s">
        <v>468</v>
      </c>
      <c r="F619" s="1">
        <v>408.74400000000003</v>
      </c>
      <c r="G619">
        <v>7</v>
      </c>
      <c r="H619" s="1">
        <v>76.639499999999998</v>
      </c>
      <c r="I619" s="4">
        <f>SalesData[[#This Row],[Profit]]/SalesData[[#This Row],[Sales]]</f>
        <v>0.18749999999999997</v>
      </c>
      <c r="J619">
        <f>YEAR(SalesData[[#This Row],[Order Date]])</f>
        <v>2017</v>
      </c>
      <c r="K619" t="str">
        <f>TEXT(SalesData[[#This Row],[Order Date]],"mmm")</f>
        <v>Jun</v>
      </c>
      <c r="L619">
        <f>MONTH(SalesData[[#This Row],[Order Date]])</f>
        <v>6</v>
      </c>
      <c r="M619">
        <f>SalesData[[#This Row],[Sales]]/SalesData[[#This Row],[Quantity]]</f>
        <v>58.392000000000003</v>
      </c>
      <c r="N619" t="str">
        <f>IF(SalesData[[#This Row],[Profit]]&gt;0,"Profit","Loss")</f>
        <v>Profit</v>
      </c>
    </row>
    <row r="620" spans="1:14" x14ac:dyDescent="0.3">
      <c r="A620" t="s">
        <v>3149</v>
      </c>
      <c r="B620" s="3">
        <v>42891</v>
      </c>
      <c r="C620" t="s">
        <v>17</v>
      </c>
      <c r="D620" t="s">
        <v>21</v>
      </c>
      <c r="E620" t="s">
        <v>1121</v>
      </c>
      <c r="F620" s="1">
        <v>59.2</v>
      </c>
      <c r="G620">
        <v>4</v>
      </c>
      <c r="H620" s="1">
        <v>29.6</v>
      </c>
      <c r="I620" s="4">
        <f>SalesData[[#This Row],[Profit]]/SalesData[[#This Row],[Sales]]</f>
        <v>0.5</v>
      </c>
      <c r="J620">
        <f>YEAR(SalesData[[#This Row],[Order Date]])</f>
        <v>2017</v>
      </c>
      <c r="K620" t="str">
        <f>TEXT(SalesData[[#This Row],[Order Date]],"mmm")</f>
        <v>Jun</v>
      </c>
      <c r="L620">
        <f>MONTH(SalesData[[#This Row],[Order Date]])</f>
        <v>6</v>
      </c>
      <c r="M620">
        <f>SalesData[[#This Row],[Sales]]/SalesData[[#This Row],[Quantity]]</f>
        <v>14.8</v>
      </c>
      <c r="N620" t="str">
        <f>IF(SalesData[[#This Row],[Profit]]&gt;0,"Profit","Loss")</f>
        <v>Profit</v>
      </c>
    </row>
    <row r="621" spans="1:14" x14ac:dyDescent="0.3">
      <c r="A621" t="s">
        <v>3150</v>
      </c>
      <c r="B621" s="3">
        <v>42891</v>
      </c>
      <c r="C621" t="s">
        <v>46</v>
      </c>
      <c r="D621" t="s">
        <v>21</v>
      </c>
      <c r="E621" t="s">
        <v>605</v>
      </c>
      <c r="F621" s="1">
        <v>54.66</v>
      </c>
      <c r="G621">
        <v>6</v>
      </c>
      <c r="H621" s="1">
        <v>18.037800000000001</v>
      </c>
      <c r="I621" s="4">
        <f>SalesData[[#This Row],[Profit]]/SalesData[[#This Row],[Sales]]</f>
        <v>0.33</v>
      </c>
      <c r="J621">
        <f>YEAR(SalesData[[#This Row],[Order Date]])</f>
        <v>2017</v>
      </c>
      <c r="K621" t="str">
        <f>TEXT(SalesData[[#This Row],[Order Date]],"mmm")</f>
        <v>Jun</v>
      </c>
      <c r="L621">
        <f>MONTH(SalesData[[#This Row],[Order Date]])</f>
        <v>6</v>
      </c>
      <c r="M621">
        <f>SalesData[[#This Row],[Sales]]/SalesData[[#This Row],[Quantity]]</f>
        <v>9.11</v>
      </c>
      <c r="N621" t="str">
        <f>IF(SalesData[[#This Row],[Profit]]&gt;0,"Profit","Loss")</f>
        <v>Profit</v>
      </c>
    </row>
    <row r="622" spans="1:14" x14ac:dyDescent="0.3">
      <c r="A622" t="s">
        <v>3151</v>
      </c>
      <c r="B622" s="3">
        <v>42891</v>
      </c>
      <c r="C622" t="s">
        <v>9</v>
      </c>
      <c r="D622" t="s">
        <v>21</v>
      </c>
      <c r="E622" t="s">
        <v>220</v>
      </c>
      <c r="F622" s="1">
        <v>11.06</v>
      </c>
      <c r="G622">
        <v>10</v>
      </c>
      <c r="H622" s="1">
        <v>-18.802</v>
      </c>
      <c r="I622" s="4">
        <f>SalesData[[#This Row],[Profit]]/SalesData[[#This Row],[Sales]]</f>
        <v>-1.7</v>
      </c>
      <c r="J622">
        <f>YEAR(SalesData[[#This Row],[Order Date]])</f>
        <v>2017</v>
      </c>
      <c r="K622" t="str">
        <f>TEXT(SalesData[[#This Row],[Order Date]],"mmm")</f>
        <v>Jun</v>
      </c>
      <c r="L622">
        <f>MONTH(SalesData[[#This Row],[Order Date]])</f>
        <v>6</v>
      </c>
      <c r="M622">
        <f>SalesData[[#This Row],[Sales]]/SalesData[[#This Row],[Quantity]]</f>
        <v>1.1060000000000001</v>
      </c>
      <c r="N622" t="str">
        <f>IF(SalesData[[#This Row],[Profit]]&gt;0,"Profit","Loss")</f>
        <v>Loss</v>
      </c>
    </row>
    <row r="623" spans="1:14" x14ac:dyDescent="0.3">
      <c r="A623" t="s">
        <v>3151</v>
      </c>
      <c r="B623" s="3">
        <v>42891</v>
      </c>
      <c r="C623" t="s">
        <v>9</v>
      </c>
      <c r="D623" t="s">
        <v>14</v>
      </c>
      <c r="E623" t="s">
        <v>801</v>
      </c>
      <c r="F623" s="1">
        <v>623.46479999999997</v>
      </c>
      <c r="G623">
        <v>7</v>
      </c>
      <c r="H623" s="1">
        <v>-119.1918</v>
      </c>
      <c r="I623" s="4">
        <f>SalesData[[#This Row],[Profit]]/SalesData[[#This Row],[Sales]]</f>
        <v>-0.19117647058823531</v>
      </c>
      <c r="J623">
        <f>YEAR(SalesData[[#This Row],[Order Date]])</f>
        <v>2017</v>
      </c>
      <c r="K623" t="str">
        <f>TEXT(SalesData[[#This Row],[Order Date]],"mmm")</f>
        <v>Jun</v>
      </c>
      <c r="L623">
        <f>MONTH(SalesData[[#This Row],[Order Date]])</f>
        <v>6</v>
      </c>
      <c r="M623">
        <f>SalesData[[#This Row],[Sales]]/SalesData[[#This Row],[Quantity]]</f>
        <v>89.066400000000002</v>
      </c>
      <c r="N623" t="str">
        <f>IF(SalesData[[#This Row],[Profit]]&gt;0,"Profit","Loss")</f>
        <v>Loss</v>
      </c>
    </row>
    <row r="624" spans="1:14" x14ac:dyDescent="0.3">
      <c r="A624" t="s">
        <v>3151</v>
      </c>
      <c r="B624" s="3">
        <v>42891</v>
      </c>
      <c r="C624" t="s">
        <v>9</v>
      </c>
      <c r="D624" t="s">
        <v>21</v>
      </c>
      <c r="E624" t="s">
        <v>542</v>
      </c>
      <c r="F624" s="1">
        <v>772.68</v>
      </c>
      <c r="G624">
        <v>5</v>
      </c>
      <c r="H624" s="1">
        <v>-57.951000000000001</v>
      </c>
      <c r="I624" s="4">
        <f>SalesData[[#This Row],[Profit]]/SalesData[[#This Row],[Sales]]</f>
        <v>-7.5000000000000011E-2</v>
      </c>
      <c r="J624">
        <f>YEAR(SalesData[[#This Row],[Order Date]])</f>
        <v>2017</v>
      </c>
      <c r="K624" t="str">
        <f>TEXT(SalesData[[#This Row],[Order Date]],"mmm")</f>
        <v>Jun</v>
      </c>
      <c r="L624">
        <f>MONTH(SalesData[[#This Row],[Order Date]])</f>
        <v>6</v>
      </c>
      <c r="M624">
        <f>SalesData[[#This Row],[Sales]]/SalesData[[#This Row],[Quantity]]</f>
        <v>154.536</v>
      </c>
      <c r="N624" t="str">
        <f>IF(SalesData[[#This Row],[Profit]]&gt;0,"Profit","Loss")</f>
        <v>Loss</v>
      </c>
    </row>
    <row r="625" spans="1:14" x14ac:dyDescent="0.3">
      <c r="A625" t="s">
        <v>3152</v>
      </c>
      <c r="B625" s="3">
        <v>42891</v>
      </c>
      <c r="C625" t="s">
        <v>46</v>
      </c>
      <c r="D625" t="s">
        <v>21</v>
      </c>
      <c r="E625" t="s">
        <v>517</v>
      </c>
      <c r="F625" s="1">
        <v>68.540999999999997</v>
      </c>
      <c r="G625">
        <v>11</v>
      </c>
      <c r="H625" s="1">
        <v>-52.548099999999998</v>
      </c>
      <c r="I625" s="4">
        <f>SalesData[[#This Row],[Profit]]/SalesData[[#This Row],[Sales]]</f>
        <v>-0.76666666666666672</v>
      </c>
      <c r="J625">
        <f>YEAR(SalesData[[#This Row],[Order Date]])</f>
        <v>2017</v>
      </c>
      <c r="K625" t="str">
        <f>TEXT(SalesData[[#This Row],[Order Date]],"mmm")</f>
        <v>Jun</v>
      </c>
      <c r="L625">
        <f>MONTH(SalesData[[#This Row],[Order Date]])</f>
        <v>6</v>
      </c>
      <c r="M625">
        <f>SalesData[[#This Row],[Sales]]/SalesData[[#This Row],[Quantity]]</f>
        <v>6.2309999999999999</v>
      </c>
      <c r="N625" t="str">
        <f>IF(SalesData[[#This Row],[Profit]]&gt;0,"Profit","Loss")</f>
        <v>Loss</v>
      </c>
    </row>
    <row r="626" spans="1:14" x14ac:dyDescent="0.3">
      <c r="A626" t="s">
        <v>3152</v>
      </c>
      <c r="B626" s="3">
        <v>42891</v>
      </c>
      <c r="C626" t="s">
        <v>46</v>
      </c>
      <c r="D626" t="s">
        <v>10</v>
      </c>
      <c r="E626" t="s">
        <v>490</v>
      </c>
      <c r="F626" s="1">
        <v>627.16800000000001</v>
      </c>
      <c r="G626">
        <v>4</v>
      </c>
      <c r="H626" s="1">
        <v>70.556399999999996</v>
      </c>
      <c r="I626" s="4">
        <f>SalesData[[#This Row],[Profit]]/SalesData[[#This Row],[Sales]]</f>
        <v>0.11249999999999999</v>
      </c>
      <c r="J626">
        <f>YEAR(SalesData[[#This Row],[Order Date]])</f>
        <v>2017</v>
      </c>
      <c r="K626" t="str">
        <f>TEXT(SalesData[[#This Row],[Order Date]],"mmm")</f>
        <v>Jun</v>
      </c>
      <c r="L626">
        <f>MONTH(SalesData[[#This Row],[Order Date]])</f>
        <v>6</v>
      </c>
      <c r="M626">
        <f>SalesData[[#This Row],[Sales]]/SalesData[[#This Row],[Quantity]]</f>
        <v>156.792</v>
      </c>
      <c r="N626" t="str">
        <f>IF(SalesData[[#This Row],[Profit]]&gt;0,"Profit","Loss")</f>
        <v>Profit</v>
      </c>
    </row>
    <row r="627" spans="1:14" x14ac:dyDescent="0.3">
      <c r="A627" t="s">
        <v>3152</v>
      </c>
      <c r="B627" s="3">
        <v>42891</v>
      </c>
      <c r="C627" t="s">
        <v>46</v>
      </c>
      <c r="D627" t="s">
        <v>21</v>
      </c>
      <c r="E627" t="s">
        <v>3153</v>
      </c>
      <c r="F627" s="1">
        <v>122.12</v>
      </c>
      <c r="G627">
        <v>5</v>
      </c>
      <c r="H627" s="1">
        <v>39.689</v>
      </c>
      <c r="I627" s="4">
        <f>SalesData[[#This Row],[Profit]]/SalesData[[#This Row],[Sales]]</f>
        <v>0.32500000000000001</v>
      </c>
      <c r="J627">
        <f>YEAR(SalesData[[#This Row],[Order Date]])</f>
        <v>2017</v>
      </c>
      <c r="K627" t="str">
        <f>TEXT(SalesData[[#This Row],[Order Date]],"mmm")</f>
        <v>Jun</v>
      </c>
      <c r="L627">
        <f>MONTH(SalesData[[#This Row],[Order Date]])</f>
        <v>6</v>
      </c>
      <c r="M627">
        <f>SalesData[[#This Row],[Sales]]/SalesData[[#This Row],[Quantity]]</f>
        <v>24.423999999999999</v>
      </c>
      <c r="N627" t="str">
        <f>IF(SalesData[[#This Row],[Profit]]&gt;0,"Profit","Loss")</f>
        <v>Profit</v>
      </c>
    </row>
    <row r="628" spans="1:14" x14ac:dyDescent="0.3">
      <c r="A628" t="s">
        <v>3154</v>
      </c>
      <c r="B628" s="3">
        <v>42891</v>
      </c>
      <c r="C628" t="s">
        <v>13</v>
      </c>
      <c r="D628" t="s">
        <v>21</v>
      </c>
      <c r="E628" t="s">
        <v>352</v>
      </c>
      <c r="F628" s="1">
        <v>152.94</v>
      </c>
      <c r="G628">
        <v>3</v>
      </c>
      <c r="H628" s="1">
        <v>41.293799999999997</v>
      </c>
      <c r="I628" s="4">
        <f>SalesData[[#This Row],[Profit]]/SalesData[[#This Row],[Sales]]</f>
        <v>0.26999999999999996</v>
      </c>
      <c r="J628">
        <f>YEAR(SalesData[[#This Row],[Order Date]])</f>
        <v>2017</v>
      </c>
      <c r="K628" t="str">
        <f>TEXT(SalesData[[#This Row],[Order Date]],"mmm")</f>
        <v>Jun</v>
      </c>
      <c r="L628">
        <f>MONTH(SalesData[[#This Row],[Order Date]])</f>
        <v>6</v>
      </c>
      <c r="M628">
        <f>SalesData[[#This Row],[Sales]]/SalesData[[#This Row],[Quantity]]</f>
        <v>50.98</v>
      </c>
      <c r="N628" t="str">
        <f>IF(SalesData[[#This Row],[Profit]]&gt;0,"Profit","Loss")</f>
        <v>Profit</v>
      </c>
    </row>
    <row r="629" spans="1:14" x14ac:dyDescent="0.3">
      <c r="A629" t="s">
        <v>3155</v>
      </c>
      <c r="B629" s="3">
        <v>42891</v>
      </c>
      <c r="C629" t="s">
        <v>13</v>
      </c>
      <c r="D629" t="s">
        <v>21</v>
      </c>
      <c r="E629" t="s">
        <v>1736</v>
      </c>
      <c r="F629" s="1">
        <v>84.415999999999997</v>
      </c>
      <c r="G629">
        <v>4</v>
      </c>
      <c r="H629" s="1">
        <v>27.435199999999998</v>
      </c>
      <c r="I629" s="4">
        <f>SalesData[[#This Row],[Profit]]/SalesData[[#This Row],[Sales]]</f>
        <v>0.32500000000000001</v>
      </c>
      <c r="J629">
        <f>YEAR(SalesData[[#This Row],[Order Date]])</f>
        <v>2017</v>
      </c>
      <c r="K629" t="str">
        <f>TEXT(SalesData[[#This Row],[Order Date]],"mmm")</f>
        <v>Jun</v>
      </c>
      <c r="L629">
        <f>MONTH(SalesData[[#This Row],[Order Date]])</f>
        <v>6</v>
      </c>
      <c r="M629">
        <f>SalesData[[#This Row],[Sales]]/SalesData[[#This Row],[Quantity]]</f>
        <v>21.103999999999999</v>
      </c>
      <c r="N629" t="str">
        <f>IF(SalesData[[#This Row],[Profit]]&gt;0,"Profit","Loss")</f>
        <v>Profit</v>
      </c>
    </row>
    <row r="630" spans="1:14" x14ac:dyDescent="0.3">
      <c r="A630" t="s">
        <v>3156</v>
      </c>
      <c r="B630" s="3">
        <v>42891</v>
      </c>
      <c r="C630" t="s">
        <v>9</v>
      </c>
      <c r="D630" t="s">
        <v>10</v>
      </c>
      <c r="E630" t="s">
        <v>2394</v>
      </c>
      <c r="F630" s="1">
        <v>191.96799999999999</v>
      </c>
      <c r="G630">
        <v>4</v>
      </c>
      <c r="H630" s="1">
        <v>28.795200000000001</v>
      </c>
      <c r="I630" s="4">
        <f>SalesData[[#This Row],[Profit]]/SalesData[[#This Row],[Sales]]</f>
        <v>0.15000000000000002</v>
      </c>
      <c r="J630">
        <f>YEAR(SalesData[[#This Row],[Order Date]])</f>
        <v>2017</v>
      </c>
      <c r="K630" t="str">
        <f>TEXT(SalesData[[#This Row],[Order Date]],"mmm")</f>
        <v>Jun</v>
      </c>
      <c r="L630">
        <f>MONTH(SalesData[[#This Row],[Order Date]])</f>
        <v>6</v>
      </c>
      <c r="M630">
        <f>SalesData[[#This Row],[Sales]]/SalesData[[#This Row],[Quantity]]</f>
        <v>47.991999999999997</v>
      </c>
      <c r="N630" t="str">
        <f>IF(SalesData[[#This Row],[Profit]]&gt;0,"Profit","Loss")</f>
        <v>Profit</v>
      </c>
    </row>
    <row r="631" spans="1:14" x14ac:dyDescent="0.3">
      <c r="A631" t="s">
        <v>3157</v>
      </c>
      <c r="B631" s="3">
        <v>42892</v>
      </c>
      <c r="C631" t="s">
        <v>13</v>
      </c>
      <c r="D631" t="s">
        <v>14</v>
      </c>
      <c r="E631" t="s">
        <v>3158</v>
      </c>
      <c r="F631" s="1">
        <v>4.95</v>
      </c>
      <c r="G631">
        <v>1</v>
      </c>
      <c r="H631" s="1">
        <v>2.1779999999999999</v>
      </c>
      <c r="I631" s="4">
        <f>SalesData[[#This Row],[Profit]]/SalesData[[#This Row],[Sales]]</f>
        <v>0.43999999999999995</v>
      </c>
      <c r="J631">
        <f>YEAR(SalesData[[#This Row],[Order Date]])</f>
        <v>2017</v>
      </c>
      <c r="K631" t="str">
        <f>TEXT(SalesData[[#This Row],[Order Date]],"mmm")</f>
        <v>Jun</v>
      </c>
      <c r="L631">
        <f>MONTH(SalesData[[#This Row],[Order Date]])</f>
        <v>6</v>
      </c>
      <c r="M631">
        <f>SalesData[[#This Row],[Sales]]/SalesData[[#This Row],[Quantity]]</f>
        <v>4.95</v>
      </c>
      <c r="N631" t="str">
        <f>IF(SalesData[[#This Row],[Profit]]&gt;0,"Profit","Loss")</f>
        <v>Profit</v>
      </c>
    </row>
    <row r="632" spans="1:14" x14ac:dyDescent="0.3">
      <c r="A632" t="s">
        <v>3157</v>
      </c>
      <c r="B632" s="3">
        <v>42892</v>
      </c>
      <c r="C632" t="s">
        <v>13</v>
      </c>
      <c r="D632" t="s">
        <v>21</v>
      </c>
      <c r="E632" t="s">
        <v>1953</v>
      </c>
      <c r="F632" s="1">
        <v>26.4</v>
      </c>
      <c r="G632">
        <v>5</v>
      </c>
      <c r="H632" s="1">
        <v>0</v>
      </c>
      <c r="I632" s="4">
        <f>SalesData[[#This Row],[Profit]]/SalesData[[#This Row],[Sales]]</f>
        <v>0</v>
      </c>
      <c r="J632">
        <f>YEAR(SalesData[[#This Row],[Order Date]])</f>
        <v>2017</v>
      </c>
      <c r="K632" t="str">
        <f>TEXT(SalesData[[#This Row],[Order Date]],"mmm")</f>
        <v>Jun</v>
      </c>
      <c r="L632">
        <f>MONTH(SalesData[[#This Row],[Order Date]])</f>
        <v>6</v>
      </c>
      <c r="M632">
        <f>SalesData[[#This Row],[Sales]]/SalesData[[#This Row],[Quantity]]</f>
        <v>5.2799999999999994</v>
      </c>
      <c r="N632" t="str">
        <f>IF(SalesData[[#This Row],[Profit]]&gt;0,"Profit","Loss")</f>
        <v>Loss</v>
      </c>
    </row>
    <row r="633" spans="1:14" x14ac:dyDescent="0.3">
      <c r="A633" t="s">
        <v>3159</v>
      </c>
      <c r="B633" s="3">
        <v>42893</v>
      </c>
      <c r="C633" t="s">
        <v>17</v>
      </c>
      <c r="D633" t="s">
        <v>21</v>
      </c>
      <c r="E633" t="s">
        <v>2121</v>
      </c>
      <c r="F633" s="1">
        <v>2.9460000000000002</v>
      </c>
      <c r="G633">
        <v>2</v>
      </c>
      <c r="H633" s="1">
        <v>-2.2585999999999999</v>
      </c>
      <c r="I633" s="4">
        <f>SalesData[[#This Row],[Profit]]/SalesData[[#This Row],[Sales]]</f>
        <v>-0.76666666666666661</v>
      </c>
      <c r="J633">
        <f>YEAR(SalesData[[#This Row],[Order Date]])</f>
        <v>2017</v>
      </c>
      <c r="K633" t="str">
        <f>TEXT(SalesData[[#This Row],[Order Date]],"mmm")</f>
        <v>Jun</v>
      </c>
      <c r="L633">
        <f>MONTH(SalesData[[#This Row],[Order Date]])</f>
        <v>6</v>
      </c>
      <c r="M633">
        <f>SalesData[[#This Row],[Sales]]/SalesData[[#This Row],[Quantity]]</f>
        <v>1.4730000000000001</v>
      </c>
      <c r="N633" t="str">
        <f>IF(SalesData[[#This Row],[Profit]]&gt;0,"Profit","Loss")</f>
        <v>Loss</v>
      </c>
    </row>
    <row r="634" spans="1:14" x14ac:dyDescent="0.3">
      <c r="A634" t="s">
        <v>3159</v>
      </c>
      <c r="B634" s="3">
        <v>42893</v>
      </c>
      <c r="C634" t="s">
        <v>17</v>
      </c>
      <c r="D634" t="s">
        <v>21</v>
      </c>
      <c r="E634" t="s">
        <v>3160</v>
      </c>
      <c r="F634" s="1">
        <v>16.056000000000001</v>
      </c>
      <c r="G634">
        <v>3</v>
      </c>
      <c r="H634" s="1">
        <v>5.8202999999999996</v>
      </c>
      <c r="I634" s="4">
        <f>SalesData[[#This Row],[Profit]]/SalesData[[#This Row],[Sales]]</f>
        <v>0.36249999999999993</v>
      </c>
      <c r="J634">
        <f>YEAR(SalesData[[#This Row],[Order Date]])</f>
        <v>2017</v>
      </c>
      <c r="K634" t="str">
        <f>TEXT(SalesData[[#This Row],[Order Date]],"mmm")</f>
        <v>Jun</v>
      </c>
      <c r="L634">
        <f>MONTH(SalesData[[#This Row],[Order Date]])</f>
        <v>6</v>
      </c>
      <c r="M634">
        <f>SalesData[[#This Row],[Sales]]/SalesData[[#This Row],[Quantity]]</f>
        <v>5.3520000000000003</v>
      </c>
      <c r="N634" t="str">
        <f>IF(SalesData[[#This Row],[Profit]]&gt;0,"Profit","Loss")</f>
        <v>Profit</v>
      </c>
    </row>
    <row r="635" spans="1:14" x14ac:dyDescent="0.3">
      <c r="A635" t="s">
        <v>3161</v>
      </c>
      <c r="B635" s="3">
        <v>42893</v>
      </c>
      <c r="C635" t="s">
        <v>46</v>
      </c>
      <c r="D635" t="s">
        <v>14</v>
      </c>
      <c r="E635" t="s">
        <v>530</v>
      </c>
      <c r="F635" s="1">
        <v>239.24</v>
      </c>
      <c r="G635">
        <v>1</v>
      </c>
      <c r="H635" s="1">
        <v>23.923999999999999</v>
      </c>
      <c r="I635" s="4">
        <f>SalesData[[#This Row],[Profit]]/SalesData[[#This Row],[Sales]]</f>
        <v>9.9999999999999992E-2</v>
      </c>
      <c r="J635">
        <f>YEAR(SalesData[[#This Row],[Order Date]])</f>
        <v>2017</v>
      </c>
      <c r="K635" t="str">
        <f>TEXT(SalesData[[#This Row],[Order Date]],"mmm")</f>
        <v>Jun</v>
      </c>
      <c r="L635">
        <f>MONTH(SalesData[[#This Row],[Order Date]])</f>
        <v>6</v>
      </c>
      <c r="M635">
        <f>SalesData[[#This Row],[Sales]]/SalesData[[#This Row],[Quantity]]</f>
        <v>239.24</v>
      </c>
      <c r="N635" t="str">
        <f>IF(SalesData[[#This Row],[Profit]]&gt;0,"Profit","Loss")</f>
        <v>Profit</v>
      </c>
    </row>
    <row r="636" spans="1:14" x14ac:dyDescent="0.3">
      <c r="A636" t="s">
        <v>3162</v>
      </c>
      <c r="B636" s="3">
        <v>42893</v>
      </c>
      <c r="C636" t="s">
        <v>13</v>
      </c>
      <c r="D636" t="s">
        <v>14</v>
      </c>
      <c r="E636" t="s">
        <v>2227</v>
      </c>
      <c r="F636" s="1">
        <v>122.136</v>
      </c>
      <c r="G636">
        <v>3</v>
      </c>
      <c r="H636" s="1">
        <v>-13.7403</v>
      </c>
      <c r="I636" s="4">
        <f>SalesData[[#This Row],[Profit]]/SalesData[[#This Row],[Sales]]</f>
        <v>-0.1125</v>
      </c>
      <c r="J636">
        <f>YEAR(SalesData[[#This Row],[Order Date]])</f>
        <v>2017</v>
      </c>
      <c r="K636" t="str">
        <f>TEXT(SalesData[[#This Row],[Order Date]],"mmm")</f>
        <v>Jun</v>
      </c>
      <c r="L636">
        <f>MONTH(SalesData[[#This Row],[Order Date]])</f>
        <v>6</v>
      </c>
      <c r="M636">
        <f>SalesData[[#This Row],[Sales]]/SalesData[[#This Row],[Quantity]]</f>
        <v>40.711999999999996</v>
      </c>
      <c r="N636" t="str">
        <f>IF(SalesData[[#This Row],[Profit]]&gt;0,"Profit","Loss")</f>
        <v>Loss</v>
      </c>
    </row>
    <row r="637" spans="1:14" x14ac:dyDescent="0.3">
      <c r="A637" t="s">
        <v>3163</v>
      </c>
      <c r="B637" s="3">
        <v>42894</v>
      </c>
      <c r="C637" t="s">
        <v>46</v>
      </c>
      <c r="D637" t="s">
        <v>14</v>
      </c>
      <c r="E637" t="s">
        <v>679</v>
      </c>
      <c r="F637" s="1">
        <v>145.74</v>
      </c>
      <c r="G637">
        <v>3</v>
      </c>
      <c r="H637" s="1">
        <v>23.3184</v>
      </c>
      <c r="I637" s="4">
        <f>SalesData[[#This Row],[Profit]]/SalesData[[#This Row],[Sales]]</f>
        <v>0.16</v>
      </c>
      <c r="J637">
        <f>YEAR(SalesData[[#This Row],[Order Date]])</f>
        <v>2017</v>
      </c>
      <c r="K637" t="str">
        <f>TEXT(SalesData[[#This Row],[Order Date]],"mmm")</f>
        <v>Jun</v>
      </c>
      <c r="L637">
        <f>MONTH(SalesData[[#This Row],[Order Date]])</f>
        <v>6</v>
      </c>
      <c r="M637">
        <f>SalesData[[#This Row],[Sales]]/SalesData[[#This Row],[Quantity]]</f>
        <v>48.580000000000005</v>
      </c>
      <c r="N637" t="str">
        <f>IF(SalesData[[#This Row],[Profit]]&gt;0,"Profit","Loss")</f>
        <v>Profit</v>
      </c>
    </row>
    <row r="638" spans="1:14" x14ac:dyDescent="0.3">
      <c r="A638" t="s">
        <v>3163</v>
      </c>
      <c r="B638" s="3">
        <v>42894</v>
      </c>
      <c r="C638" t="s">
        <v>46</v>
      </c>
      <c r="D638" t="s">
        <v>14</v>
      </c>
      <c r="E638" t="s">
        <v>1049</v>
      </c>
      <c r="F638" s="1">
        <v>15.4</v>
      </c>
      <c r="G638">
        <v>5</v>
      </c>
      <c r="H638" s="1">
        <v>7.3920000000000003</v>
      </c>
      <c r="I638" s="4">
        <f>SalesData[[#This Row],[Profit]]/SalesData[[#This Row],[Sales]]</f>
        <v>0.48000000000000004</v>
      </c>
      <c r="J638">
        <f>YEAR(SalesData[[#This Row],[Order Date]])</f>
        <v>2017</v>
      </c>
      <c r="K638" t="str">
        <f>TEXT(SalesData[[#This Row],[Order Date]],"mmm")</f>
        <v>Jun</v>
      </c>
      <c r="L638">
        <f>MONTH(SalesData[[#This Row],[Order Date]])</f>
        <v>6</v>
      </c>
      <c r="M638">
        <f>SalesData[[#This Row],[Sales]]/SalesData[[#This Row],[Quantity]]</f>
        <v>3.08</v>
      </c>
      <c r="N638" t="str">
        <f>IF(SalesData[[#This Row],[Profit]]&gt;0,"Profit","Loss")</f>
        <v>Profit</v>
      </c>
    </row>
    <row r="639" spans="1:14" x14ac:dyDescent="0.3">
      <c r="A639" t="s">
        <v>3164</v>
      </c>
      <c r="B639" s="3">
        <v>42894</v>
      </c>
      <c r="C639" t="s">
        <v>9</v>
      </c>
      <c r="D639" t="s">
        <v>21</v>
      </c>
      <c r="E639" t="s">
        <v>2215</v>
      </c>
      <c r="F639" s="1">
        <v>115.29600000000001</v>
      </c>
      <c r="G639">
        <v>3</v>
      </c>
      <c r="H639" s="1">
        <v>40.3536</v>
      </c>
      <c r="I639" s="4">
        <f>SalesData[[#This Row],[Profit]]/SalesData[[#This Row],[Sales]]</f>
        <v>0.35</v>
      </c>
      <c r="J639">
        <f>YEAR(SalesData[[#This Row],[Order Date]])</f>
        <v>2017</v>
      </c>
      <c r="K639" t="str">
        <f>TEXT(SalesData[[#This Row],[Order Date]],"mmm")</f>
        <v>Jun</v>
      </c>
      <c r="L639">
        <f>MONTH(SalesData[[#This Row],[Order Date]])</f>
        <v>6</v>
      </c>
      <c r="M639">
        <f>SalesData[[#This Row],[Sales]]/SalesData[[#This Row],[Quantity]]</f>
        <v>38.432000000000002</v>
      </c>
      <c r="N639" t="str">
        <f>IF(SalesData[[#This Row],[Profit]]&gt;0,"Profit","Loss")</f>
        <v>Profit</v>
      </c>
    </row>
    <row r="640" spans="1:14" x14ac:dyDescent="0.3">
      <c r="A640" t="s">
        <v>3165</v>
      </c>
      <c r="B640" s="3">
        <v>42894</v>
      </c>
      <c r="C640" t="s">
        <v>17</v>
      </c>
      <c r="D640" t="s">
        <v>10</v>
      </c>
      <c r="E640" t="s">
        <v>1491</v>
      </c>
      <c r="F640" s="1">
        <v>824.95</v>
      </c>
      <c r="G640">
        <v>5</v>
      </c>
      <c r="H640" s="1">
        <v>247.48500000000001</v>
      </c>
      <c r="I640" s="4">
        <f>SalesData[[#This Row],[Profit]]/SalesData[[#This Row],[Sales]]</f>
        <v>0.3</v>
      </c>
      <c r="J640">
        <f>YEAR(SalesData[[#This Row],[Order Date]])</f>
        <v>2017</v>
      </c>
      <c r="K640" t="str">
        <f>TEXT(SalesData[[#This Row],[Order Date]],"mmm")</f>
        <v>Jun</v>
      </c>
      <c r="L640">
        <f>MONTH(SalesData[[#This Row],[Order Date]])</f>
        <v>6</v>
      </c>
      <c r="M640">
        <f>SalesData[[#This Row],[Sales]]/SalesData[[#This Row],[Quantity]]</f>
        <v>164.99</v>
      </c>
      <c r="N640" t="str">
        <f>IF(SalesData[[#This Row],[Profit]]&gt;0,"Profit","Loss")</f>
        <v>Profit</v>
      </c>
    </row>
    <row r="641" spans="1:14" x14ac:dyDescent="0.3">
      <c r="A641" t="s">
        <v>3165</v>
      </c>
      <c r="B641" s="3">
        <v>42894</v>
      </c>
      <c r="C641" t="s">
        <v>17</v>
      </c>
      <c r="D641" t="s">
        <v>21</v>
      </c>
      <c r="E641" t="s">
        <v>238</v>
      </c>
      <c r="F641" s="1">
        <v>24.64</v>
      </c>
      <c r="G641">
        <v>8</v>
      </c>
      <c r="H641" s="1">
        <v>11.827199999999999</v>
      </c>
      <c r="I641" s="4">
        <f>SalesData[[#This Row],[Profit]]/SalesData[[#This Row],[Sales]]</f>
        <v>0.48</v>
      </c>
      <c r="J641">
        <f>YEAR(SalesData[[#This Row],[Order Date]])</f>
        <v>2017</v>
      </c>
      <c r="K641" t="str">
        <f>TEXT(SalesData[[#This Row],[Order Date]],"mmm")</f>
        <v>Jun</v>
      </c>
      <c r="L641">
        <f>MONTH(SalesData[[#This Row],[Order Date]])</f>
        <v>6</v>
      </c>
      <c r="M641">
        <f>SalesData[[#This Row],[Sales]]/SalesData[[#This Row],[Quantity]]</f>
        <v>3.08</v>
      </c>
      <c r="N641" t="str">
        <f>IF(SalesData[[#This Row],[Profit]]&gt;0,"Profit","Loss")</f>
        <v>Profit</v>
      </c>
    </row>
    <row r="642" spans="1:14" x14ac:dyDescent="0.3">
      <c r="A642" t="s">
        <v>3165</v>
      </c>
      <c r="B642" s="3">
        <v>42894</v>
      </c>
      <c r="C642" t="s">
        <v>17</v>
      </c>
      <c r="D642" t="s">
        <v>21</v>
      </c>
      <c r="E642" t="s">
        <v>701</v>
      </c>
      <c r="F642" s="1">
        <v>227.88</v>
      </c>
      <c r="G642">
        <v>6</v>
      </c>
      <c r="H642" s="1">
        <v>68.364000000000004</v>
      </c>
      <c r="I642" s="4">
        <f>SalesData[[#This Row],[Profit]]/SalesData[[#This Row],[Sales]]</f>
        <v>0.30000000000000004</v>
      </c>
      <c r="J642">
        <f>YEAR(SalesData[[#This Row],[Order Date]])</f>
        <v>2017</v>
      </c>
      <c r="K642" t="str">
        <f>TEXT(SalesData[[#This Row],[Order Date]],"mmm")</f>
        <v>Jun</v>
      </c>
      <c r="L642">
        <f>MONTH(SalesData[[#This Row],[Order Date]])</f>
        <v>6</v>
      </c>
      <c r="M642">
        <f>SalesData[[#This Row],[Sales]]/SalesData[[#This Row],[Quantity]]</f>
        <v>37.979999999999997</v>
      </c>
      <c r="N642" t="str">
        <f>IF(SalesData[[#This Row],[Profit]]&gt;0,"Profit","Loss")</f>
        <v>Profit</v>
      </c>
    </row>
    <row r="643" spans="1:14" x14ac:dyDescent="0.3">
      <c r="A643" t="s">
        <v>3166</v>
      </c>
      <c r="B643" s="3">
        <v>42894</v>
      </c>
      <c r="C643" t="s">
        <v>17</v>
      </c>
      <c r="D643" t="s">
        <v>21</v>
      </c>
      <c r="E643" t="s">
        <v>1069</v>
      </c>
      <c r="F643" s="1">
        <v>70.12</v>
      </c>
      <c r="G643">
        <v>4</v>
      </c>
      <c r="H643" s="1">
        <v>21.036000000000001</v>
      </c>
      <c r="I643" s="4">
        <f>SalesData[[#This Row],[Profit]]/SalesData[[#This Row],[Sales]]</f>
        <v>0.3</v>
      </c>
      <c r="J643">
        <f>YEAR(SalesData[[#This Row],[Order Date]])</f>
        <v>2017</v>
      </c>
      <c r="K643" t="str">
        <f>TEXT(SalesData[[#This Row],[Order Date]],"mmm")</f>
        <v>Jun</v>
      </c>
      <c r="L643">
        <f>MONTH(SalesData[[#This Row],[Order Date]])</f>
        <v>6</v>
      </c>
      <c r="M643">
        <f>SalesData[[#This Row],[Sales]]/SalesData[[#This Row],[Quantity]]</f>
        <v>17.53</v>
      </c>
      <c r="N643" t="str">
        <f>IF(SalesData[[#This Row],[Profit]]&gt;0,"Profit","Loss")</f>
        <v>Profit</v>
      </c>
    </row>
    <row r="644" spans="1:14" x14ac:dyDescent="0.3">
      <c r="A644" t="s">
        <v>3167</v>
      </c>
      <c r="B644" s="3">
        <v>42896</v>
      </c>
      <c r="C644" t="s">
        <v>13</v>
      </c>
      <c r="D644" t="s">
        <v>14</v>
      </c>
      <c r="E644" t="s">
        <v>1331</v>
      </c>
      <c r="F644" s="1">
        <v>41.96</v>
      </c>
      <c r="G644">
        <v>2</v>
      </c>
      <c r="H644" s="1">
        <v>2.9371999999999998</v>
      </c>
      <c r="I644" s="4">
        <f>SalesData[[#This Row],[Profit]]/SalesData[[#This Row],[Sales]]</f>
        <v>6.9999999999999993E-2</v>
      </c>
      <c r="J644">
        <f>YEAR(SalesData[[#This Row],[Order Date]])</f>
        <v>2017</v>
      </c>
      <c r="K644" t="str">
        <f>TEXT(SalesData[[#This Row],[Order Date]],"mmm")</f>
        <v>Jun</v>
      </c>
      <c r="L644">
        <f>MONTH(SalesData[[#This Row],[Order Date]])</f>
        <v>6</v>
      </c>
      <c r="M644">
        <f>SalesData[[#This Row],[Sales]]/SalesData[[#This Row],[Quantity]]</f>
        <v>20.98</v>
      </c>
      <c r="N644" t="str">
        <f>IF(SalesData[[#This Row],[Profit]]&gt;0,"Profit","Loss")</f>
        <v>Profit</v>
      </c>
    </row>
    <row r="645" spans="1:14" x14ac:dyDescent="0.3">
      <c r="A645" t="s">
        <v>3167</v>
      </c>
      <c r="B645" s="3">
        <v>42896</v>
      </c>
      <c r="C645" t="s">
        <v>13</v>
      </c>
      <c r="D645" t="s">
        <v>21</v>
      </c>
      <c r="E645" t="s">
        <v>1570</v>
      </c>
      <c r="F645" s="1">
        <v>227.84</v>
      </c>
      <c r="G645">
        <v>4</v>
      </c>
      <c r="H645" s="1">
        <v>66.073599999999999</v>
      </c>
      <c r="I645" s="4">
        <f>SalesData[[#This Row],[Profit]]/SalesData[[#This Row],[Sales]]</f>
        <v>0.28999999999999998</v>
      </c>
      <c r="J645">
        <f>YEAR(SalesData[[#This Row],[Order Date]])</f>
        <v>2017</v>
      </c>
      <c r="K645" t="str">
        <f>TEXT(SalesData[[#This Row],[Order Date]],"mmm")</f>
        <v>Jun</v>
      </c>
      <c r="L645">
        <f>MONTH(SalesData[[#This Row],[Order Date]])</f>
        <v>6</v>
      </c>
      <c r="M645">
        <f>SalesData[[#This Row],[Sales]]/SalesData[[#This Row],[Quantity]]</f>
        <v>56.96</v>
      </c>
      <c r="N645" t="str">
        <f>IF(SalesData[[#This Row],[Profit]]&gt;0,"Profit","Loss")</f>
        <v>Profit</v>
      </c>
    </row>
    <row r="646" spans="1:14" x14ac:dyDescent="0.3">
      <c r="A646" t="s">
        <v>3167</v>
      </c>
      <c r="B646" s="3">
        <v>42896</v>
      </c>
      <c r="C646" t="s">
        <v>13</v>
      </c>
      <c r="D646" t="s">
        <v>21</v>
      </c>
      <c r="E646" t="s">
        <v>1160</v>
      </c>
      <c r="F646" s="1">
        <v>37.94</v>
      </c>
      <c r="G646">
        <v>2</v>
      </c>
      <c r="H646" s="1">
        <v>18.211200000000002</v>
      </c>
      <c r="I646" s="4">
        <f>SalesData[[#This Row],[Profit]]/SalesData[[#This Row],[Sales]]</f>
        <v>0.48000000000000009</v>
      </c>
      <c r="J646">
        <f>YEAR(SalesData[[#This Row],[Order Date]])</f>
        <v>2017</v>
      </c>
      <c r="K646" t="str">
        <f>TEXT(SalesData[[#This Row],[Order Date]],"mmm")</f>
        <v>Jun</v>
      </c>
      <c r="L646">
        <f>MONTH(SalesData[[#This Row],[Order Date]])</f>
        <v>6</v>
      </c>
      <c r="M646">
        <f>SalesData[[#This Row],[Sales]]/SalesData[[#This Row],[Quantity]]</f>
        <v>18.97</v>
      </c>
      <c r="N646" t="str">
        <f>IF(SalesData[[#This Row],[Profit]]&gt;0,"Profit","Loss")</f>
        <v>Profit</v>
      </c>
    </row>
    <row r="647" spans="1:14" x14ac:dyDescent="0.3">
      <c r="A647" t="s">
        <v>3168</v>
      </c>
      <c r="B647" s="3">
        <v>42896</v>
      </c>
      <c r="C647" t="s">
        <v>17</v>
      </c>
      <c r="D647" t="s">
        <v>10</v>
      </c>
      <c r="E647" t="s">
        <v>3077</v>
      </c>
      <c r="F647" s="1">
        <v>319.95999999999998</v>
      </c>
      <c r="G647">
        <v>4</v>
      </c>
      <c r="H647" s="1">
        <v>115.18559999999999</v>
      </c>
      <c r="I647" s="4">
        <f>SalesData[[#This Row],[Profit]]/SalesData[[#This Row],[Sales]]</f>
        <v>0.36</v>
      </c>
      <c r="J647">
        <f>YEAR(SalesData[[#This Row],[Order Date]])</f>
        <v>2017</v>
      </c>
      <c r="K647" t="str">
        <f>TEXT(SalesData[[#This Row],[Order Date]],"mmm")</f>
        <v>Jun</v>
      </c>
      <c r="L647">
        <f>MONTH(SalesData[[#This Row],[Order Date]])</f>
        <v>6</v>
      </c>
      <c r="M647">
        <f>SalesData[[#This Row],[Sales]]/SalesData[[#This Row],[Quantity]]</f>
        <v>79.989999999999995</v>
      </c>
      <c r="N647" t="str">
        <f>IF(SalesData[[#This Row],[Profit]]&gt;0,"Profit","Loss")</f>
        <v>Profit</v>
      </c>
    </row>
    <row r="648" spans="1:14" x14ac:dyDescent="0.3">
      <c r="A648" t="s">
        <v>3168</v>
      </c>
      <c r="B648" s="3">
        <v>42896</v>
      </c>
      <c r="C648" t="s">
        <v>17</v>
      </c>
      <c r="D648" t="s">
        <v>21</v>
      </c>
      <c r="E648" t="s">
        <v>3169</v>
      </c>
      <c r="F648" s="1">
        <v>17.04</v>
      </c>
      <c r="G648">
        <v>3</v>
      </c>
      <c r="H648" s="1">
        <v>7.6680000000000001</v>
      </c>
      <c r="I648" s="4">
        <f>SalesData[[#This Row],[Profit]]/SalesData[[#This Row],[Sales]]</f>
        <v>0.45</v>
      </c>
      <c r="J648">
        <f>YEAR(SalesData[[#This Row],[Order Date]])</f>
        <v>2017</v>
      </c>
      <c r="K648" t="str">
        <f>TEXT(SalesData[[#This Row],[Order Date]],"mmm")</f>
        <v>Jun</v>
      </c>
      <c r="L648">
        <f>MONTH(SalesData[[#This Row],[Order Date]])</f>
        <v>6</v>
      </c>
      <c r="M648">
        <f>SalesData[[#This Row],[Sales]]/SalesData[[#This Row],[Quantity]]</f>
        <v>5.68</v>
      </c>
      <c r="N648" t="str">
        <f>IF(SalesData[[#This Row],[Profit]]&gt;0,"Profit","Loss")</f>
        <v>Profit</v>
      </c>
    </row>
    <row r="649" spans="1:14" x14ac:dyDescent="0.3">
      <c r="A649" t="s">
        <v>3168</v>
      </c>
      <c r="B649" s="3">
        <v>42896</v>
      </c>
      <c r="C649" t="s">
        <v>17</v>
      </c>
      <c r="D649" t="s">
        <v>21</v>
      </c>
      <c r="E649" t="s">
        <v>404</v>
      </c>
      <c r="F649" s="1">
        <v>344.91</v>
      </c>
      <c r="G649">
        <v>3</v>
      </c>
      <c r="H649" s="1">
        <v>10.347300000000001</v>
      </c>
      <c r="I649" s="4">
        <f>SalesData[[#This Row],[Profit]]/SalesData[[#This Row],[Sales]]</f>
        <v>0.03</v>
      </c>
      <c r="J649">
        <f>YEAR(SalesData[[#This Row],[Order Date]])</f>
        <v>2017</v>
      </c>
      <c r="K649" t="str">
        <f>TEXT(SalesData[[#This Row],[Order Date]],"mmm")</f>
        <v>Jun</v>
      </c>
      <c r="L649">
        <f>MONTH(SalesData[[#This Row],[Order Date]])</f>
        <v>6</v>
      </c>
      <c r="M649">
        <f>SalesData[[#This Row],[Sales]]/SalesData[[#This Row],[Quantity]]</f>
        <v>114.97000000000001</v>
      </c>
      <c r="N649" t="str">
        <f>IF(SalesData[[#This Row],[Profit]]&gt;0,"Profit","Loss")</f>
        <v>Profit</v>
      </c>
    </row>
    <row r="650" spans="1:14" x14ac:dyDescent="0.3">
      <c r="A650" t="s">
        <v>3170</v>
      </c>
      <c r="B650" s="3">
        <v>42896</v>
      </c>
      <c r="C650" t="s">
        <v>17</v>
      </c>
      <c r="D650" t="s">
        <v>21</v>
      </c>
      <c r="E650" t="s">
        <v>474</v>
      </c>
      <c r="F650" s="1">
        <v>40.99</v>
      </c>
      <c r="G650">
        <v>1</v>
      </c>
      <c r="H650" s="1">
        <v>20.085100000000001</v>
      </c>
      <c r="I650" s="4">
        <f>SalesData[[#This Row],[Profit]]/SalesData[[#This Row],[Sales]]</f>
        <v>0.49</v>
      </c>
      <c r="J650">
        <f>YEAR(SalesData[[#This Row],[Order Date]])</f>
        <v>2017</v>
      </c>
      <c r="K650" t="str">
        <f>TEXT(SalesData[[#This Row],[Order Date]],"mmm")</f>
        <v>Jun</v>
      </c>
      <c r="L650">
        <f>MONTH(SalesData[[#This Row],[Order Date]])</f>
        <v>6</v>
      </c>
      <c r="M650">
        <f>SalesData[[#This Row],[Sales]]/SalesData[[#This Row],[Quantity]]</f>
        <v>40.99</v>
      </c>
      <c r="N650" t="str">
        <f>IF(SalesData[[#This Row],[Profit]]&gt;0,"Profit","Loss")</f>
        <v>Profit</v>
      </c>
    </row>
    <row r="651" spans="1:14" x14ac:dyDescent="0.3">
      <c r="A651" t="s">
        <v>3171</v>
      </c>
      <c r="B651" s="3">
        <v>42896</v>
      </c>
      <c r="C651" t="s">
        <v>17</v>
      </c>
      <c r="D651" t="s">
        <v>21</v>
      </c>
      <c r="E651" t="s">
        <v>1520</v>
      </c>
      <c r="F651" s="1">
        <v>143.69999999999999</v>
      </c>
      <c r="G651">
        <v>3</v>
      </c>
      <c r="H651" s="1">
        <v>68.975999999999999</v>
      </c>
      <c r="I651" s="4">
        <f>SalesData[[#This Row],[Profit]]/SalesData[[#This Row],[Sales]]</f>
        <v>0.48000000000000004</v>
      </c>
      <c r="J651">
        <f>YEAR(SalesData[[#This Row],[Order Date]])</f>
        <v>2017</v>
      </c>
      <c r="K651" t="str">
        <f>TEXT(SalesData[[#This Row],[Order Date]],"mmm")</f>
        <v>Jun</v>
      </c>
      <c r="L651">
        <f>MONTH(SalesData[[#This Row],[Order Date]])</f>
        <v>6</v>
      </c>
      <c r="M651">
        <f>SalesData[[#This Row],[Sales]]/SalesData[[#This Row],[Quantity]]</f>
        <v>47.9</v>
      </c>
      <c r="N651" t="str">
        <f>IF(SalesData[[#This Row],[Profit]]&gt;0,"Profit","Loss")</f>
        <v>Profit</v>
      </c>
    </row>
    <row r="652" spans="1:14" x14ac:dyDescent="0.3">
      <c r="A652" t="s">
        <v>3171</v>
      </c>
      <c r="B652" s="3">
        <v>42896</v>
      </c>
      <c r="C652" t="s">
        <v>17</v>
      </c>
      <c r="D652" t="s">
        <v>21</v>
      </c>
      <c r="E652" t="s">
        <v>3172</v>
      </c>
      <c r="F652" s="1">
        <v>6.48</v>
      </c>
      <c r="G652">
        <v>1</v>
      </c>
      <c r="H652" s="1">
        <v>3.1103999999999998</v>
      </c>
      <c r="I652" s="4">
        <f>SalesData[[#This Row],[Profit]]/SalesData[[#This Row],[Sales]]</f>
        <v>0.47999999999999993</v>
      </c>
      <c r="J652">
        <f>YEAR(SalesData[[#This Row],[Order Date]])</f>
        <v>2017</v>
      </c>
      <c r="K652" t="str">
        <f>TEXT(SalesData[[#This Row],[Order Date]],"mmm")</f>
        <v>Jun</v>
      </c>
      <c r="L652">
        <f>MONTH(SalesData[[#This Row],[Order Date]])</f>
        <v>6</v>
      </c>
      <c r="M652">
        <f>SalesData[[#This Row],[Sales]]/SalesData[[#This Row],[Quantity]]</f>
        <v>6.48</v>
      </c>
      <c r="N652" t="str">
        <f>IF(SalesData[[#This Row],[Profit]]&gt;0,"Profit","Loss")</f>
        <v>Profit</v>
      </c>
    </row>
    <row r="653" spans="1:14" x14ac:dyDescent="0.3">
      <c r="A653" t="s">
        <v>3173</v>
      </c>
      <c r="B653" s="3">
        <v>42896</v>
      </c>
      <c r="C653" t="s">
        <v>9</v>
      </c>
      <c r="D653" t="s">
        <v>21</v>
      </c>
      <c r="E653" t="s">
        <v>192</v>
      </c>
      <c r="F653" s="1">
        <v>290.33600000000001</v>
      </c>
      <c r="G653">
        <v>2</v>
      </c>
      <c r="H653" s="1">
        <v>32.662799999999997</v>
      </c>
      <c r="I653" s="4">
        <f>SalesData[[#This Row],[Profit]]/SalesData[[#This Row],[Sales]]</f>
        <v>0.11249999999999999</v>
      </c>
      <c r="J653">
        <f>YEAR(SalesData[[#This Row],[Order Date]])</f>
        <v>2017</v>
      </c>
      <c r="K653" t="str">
        <f>TEXT(SalesData[[#This Row],[Order Date]],"mmm")</f>
        <v>Jun</v>
      </c>
      <c r="L653">
        <f>MONTH(SalesData[[#This Row],[Order Date]])</f>
        <v>6</v>
      </c>
      <c r="M653">
        <f>SalesData[[#This Row],[Sales]]/SalesData[[#This Row],[Quantity]]</f>
        <v>145.16800000000001</v>
      </c>
      <c r="N653" t="str">
        <f>IF(SalesData[[#This Row],[Profit]]&gt;0,"Profit","Loss")</f>
        <v>Profit</v>
      </c>
    </row>
    <row r="654" spans="1:14" x14ac:dyDescent="0.3">
      <c r="A654" t="s">
        <v>3173</v>
      </c>
      <c r="B654" s="3">
        <v>42896</v>
      </c>
      <c r="C654" t="s">
        <v>9</v>
      </c>
      <c r="D654" t="s">
        <v>21</v>
      </c>
      <c r="E654" t="s">
        <v>1730</v>
      </c>
      <c r="F654" s="1">
        <v>19.152000000000001</v>
      </c>
      <c r="G654">
        <v>2</v>
      </c>
      <c r="H654" s="1">
        <v>1.1970000000000001</v>
      </c>
      <c r="I654" s="4">
        <f>SalesData[[#This Row],[Profit]]/SalesData[[#This Row],[Sales]]</f>
        <v>6.25E-2</v>
      </c>
      <c r="J654">
        <f>YEAR(SalesData[[#This Row],[Order Date]])</f>
        <v>2017</v>
      </c>
      <c r="K654" t="str">
        <f>TEXT(SalesData[[#This Row],[Order Date]],"mmm")</f>
        <v>Jun</v>
      </c>
      <c r="L654">
        <f>MONTH(SalesData[[#This Row],[Order Date]])</f>
        <v>6</v>
      </c>
      <c r="M654">
        <f>SalesData[[#This Row],[Sales]]/SalesData[[#This Row],[Quantity]]</f>
        <v>9.5760000000000005</v>
      </c>
      <c r="N654" t="str">
        <f>IF(SalesData[[#This Row],[Profit]]&gt;0,"Profit","Loss")</f>
        <v>Profit</v>
      </c>
    </row>
    <row r="655" spans="1:14" x14ac:dyDescent="0.3">
      <c r="A655" t="s">
        <v>3174</v>
      </c>
      <c r="B655" s="3">
        <v>42896</v>
      </c>
      <c r="C655" t="s">
        <v>13</v>
      </c>
      <c r="D655" t="s">
        <v>21</v>
      </c>
      <c r="E655" t="s">
        <v>1664</v>
      </c>
      <c r="F655" s="1">
        <v>9.3439999999999994</v>
      </c>
      <c r="G655">
        <v>2</v>
      </c>
      <c r="H655" s="1">
        <v>1.8688</v>
      </c>
      <c r="I655" s="4">
        <f>SalesData[[#This Row],[Profit]]/SalesData[[#This Row],[Sales]]</f>
        <v>0.2</v>
      </c>
      <c r="J655">
        <f>YEAR(SalesData[[#This Row],[Order Date]])</f>
        <v>2017</v>
      </c>
      <c r="K655" t="str">
        <f>TEXT(SalesData[[#This Row],[Order Date]],"mmm")</f>
        <v>Jun</v>
      </c>
      <c r="L655">
        <f>MONTH(SalesData[[#This Row],[Order Date]])</f>
        <v>6</v>
      </c>
      <c r="M655">
        <f>SalesData[[#This Row],[Sales]]/SalesData[[#This Row],[Quantity]]</f>
        <v>4.6719999999999997</v>
      </c>
      <c r="N655" t="str">
        <f>IF(SalesData[[#This Row],[Profit]]&gt;0,"Profit","Loss")</f>
        <v>Profit</v>
      </c>
    </row>
    <row r="656" spans="1:14" x14ac:dyDescent="0.3">
      <c r="A656" t="s">
        <v>3175</v>
      </c>
      <c r="B656" s="3">
        <v>42897</v>
      </c>
      <c r="C656" t="s">
        <v>13</v>
      </c>
      <c r="D656" t="s">
        <v>21</v>
      </c>
      <c r="E656" t="s">
        <v>3176</v>
      </c>
      <c r="F656" s="1">
        <v>5.6820000000000004</v>
      </c>
      <c r="G656">
        <v>1</v>
      </c>
      <c r="H656" s="1">
        <v>-3.7879999999999998</v>
      </c>
      <c r="I656" s="4">
        <f>SalesData[[#This Row],[Profit]]/SalesData[[#This Row],[Sales]]</f>
        <v>-0.66666666666666663</v>
      </c>
      <c r="J656">
        <f>YEAR(SalesData[[#This Row],[Order Date]])</f>
        <v>2017</v>
      </c>
      <c r="K656" t="str">
        <f>TEXT(SalesData[[#This Row],[Order Date]],"mmm")</f>
        <v>Jun</v>
      </c>
      <c r="L656">
        <f>MONTH(SalesData[[#This Row],[Order Date]])</f>
        <v>6</v>
      </c>
      <c r="M656">
        <f>SalesData[[#This Row],[Sales]]/SalesData[[#This Row],[Quantity]]</f>
        <v>5.6820000000000004</v>
      </c>
      <c r="N656" t="str">
        <f>IF(SalesData[[#This Row],[Profit]]&gt;0,"Profit","Loss")</f>
        <v>Loss</v>
      </c>
    </row>
    <row r="657" spans="1:14" x14ac:dyDescent="0.3">
      <c r="A657" t="s">
        <v>3177</v>
      </c>
      <c r="B657" s="3">
        <v>42897</v>
      </c>
      <c r="C657" t="s">
        <v>17</v>
      </c>
      <c r="D657" t="s">
        <v>21</v>
      </c>
      <c r="E657" t="s">
        <v>3178</v>
      </c>
      <c r="F657" s="1">
        <v>46.26</v>
      </c>
      <c r="G657">
        <v>3</v>
      </c>
      <c r="H657" s="1">
        <v>12.0276</v>
      </c>
      <c r="I657" s="4">
        <f>SalesData[[#This Row],[Profit]]/SalesData[[#This Row],[Sales]]</f>
        <v>0.26</v>
      </c>
      <c r="J657">
        <f>YEAR(SalesData[[#This Row],[Order Date]])</f>
        <v>2017</v>
      </c>
      <c r="K657" t="str">
        <f>TEXT(SalesData[[#This Row],[Order Date]],"mmm")</f>
        <v>Jun</v>
      </c>
      <c r="L657">
        <f>MONTH(SalesData[[#This Row],[Order Date]])</f>
        <v>6</v>
      </c>
      <c r="M657">
        <f>SalesData[[#This Row],[Sales]]/SalesData[[#This Row],[Quantity]]</f>
        <v>15.42</v>
      </c>
      <c r="N657" t="str">
        <f>IF(SalesData[[#This Row],[Profit]]&gt;0,"Profit","Loss")</f>
        <v>Profit</v>
      </c>
    </row>
    <row r="658" spans="1:14" x14ac:dyDescent="0.3">
      <c r="A658" t="s">
        <v>3179</v>
      </c>
      <c r="B658" s="3">
        <v>42897</v>
      </c>
      <c r="C658" t="s">
        <v>46</v>
      </c>
      <c r="D658" t="s">
        <v>21</v>
      </c>
      <c r="E658" t="s">
        <v>809</v>
      </c>
      <c r="F658" s="1">
        <v>5.78</v>
      </c>
      <c r="G658">
        <v>1</v>
      </c>
      <c r="H658" s="1">
        <v>2.8321999999999998</v>
      </c>
      <c r="I658" s="4">
        <f>SalesData[[#This Row],[Profit]]/SalesData[[#This Row],[Sales]]</f>
        <v>0.48999999999999994</v>
      </c>
      <c r="J658">
        <f>YEAR(SalesData[[#This Row],[Order Date]])</f>
        <v>2017</v>
      </c>
      <c r="K658" t="str">
        <f>TEXT(SalesData[[#This Row],[Order Date]],"mmm")</f>
        <v>Jun</v>
      </c>
      <c r="L658">
        <f>MONTH(SalesData[[#This Row],[Order Date]])</f>
        <v>6</v>
      </c>
      <c r="M658">
        <f>SalesData[[#This Row],[Sales]]/SalesData[[#This Row],[Quantity]]</f>
        <v>5.78</v>
      </c>
      <c r="N658" t="str">
        <f>IF(SalesData[[#This Row],[Profit]]&gt;0,"Profit","Loss")</f>
        <v>Profit</v>
      </c>
    </row>
    <row r="659" spans="1:14" x14ac:dyDescent="0.3">
      <c r="A659" t="s">
        <v>3180</v>
      </c>
      <c r="B659" s="3">
        <v>42897</v>
      </c>
      <c r="C659" t="s">
        <v>13</v>
      </c>
      <c r="D659" t="s">
        <v>21</v>
      </c>
      <c r="E659" t="s">
        <v>846</v>
      </c>
      <c r="F659" s="1">
        <v>15.28</v>
      </c>
      <c r="G659">
        <v>2</v>
      </c>
      <c r="H659" s="1">
        <v>7.4871999999999996</v>
      </c>
      <c r="I659" s="4">
        <f>SalesData[[#This Row],[Profit]]/SalesData[[#This Row],[Sales]]</f>
        <v>0.49</v>
      </c>
      <c r="J659">
        <f>YEAR(SalesData[[#This Row],[Order Date]])</f>
        <v>2017</v>
      </c>
      <c r="K659" t="str">
        <f>TEXT(SalesData[[#This Row],[Order Date]],"mmm")</f>
        <v>Jun</v>
      </c>
      <c r="L659">
        <f>MONTH(SalesData[[#This Row],[Order Date]])</f>
        <v>6</v>
      </c>
      <c r="M659">
        <f>SalesData[[#This Row],[Sales]]/SalesData[[#This Row],[Quantity]]</f>
        <v>7.64</v>
      </c>
      <c r="N659" t="str">
        <f>IF(SalesData[[#This Row],[Profit]]&gt;0,"Profit","Loss")</f>
        <v>Profit</v>
      </c>
    </row>
    <row r="660" spans="1:14" x14ac:dyDescent="0.3">
      <c r="A660" t="s">
        <v>3180</v>
      </c>
      <c r="B660" s="3">
        <v>42897</v>
      </c>
      <c r="C660" t="s">
        <v>13</v>
      </c>
      <c r="D660" t="s">
        <v>14</v>
      </c>
      <c r="E660" t="s">
        <v>2688</v>
      </c>
      <c r="F660" s="1">
        <v>8.73</v>
      </c>
      <c r="G660">
        <v>1</v>
      </c>
      <c r="H660" s="1">
        <v>2.9681999999999999</v>
      </c>
      <c r="I660" s="4">
        <f>SalesData[[#This Row],[Profit]]/SalesData[[#This Row],[Sales]]</f>
        <v>0.33999999999999997</v>
      </c>
      <c r="J660">
        <f>YEAR(SalesData[[#This Row],[Order Date]])</f>
        <v>2017</v>
      </c>
      <c r="K660" t="str">
        <f>TEXT(SalesData[[#This Row],[Order Date]],"mmm")</f>
        <v>Jun</v>
      </c>
      <c r="L660">
        <f>MONTH(SalesData[[#This Row],[Order Date]])</f>
        <v>6</v>
      </c>
      <c r="M660">
        <f>SalesData[[#This Row],[Sales]]/SalesData[[#This Row],[Quantity]]</f>
        <v>8.73</v>
      </c>
      <c r="N660" t="str">
        <f>IF(SalesData[[#This Row],[Profit]]&gt;0,"Profit","Loss")</f>
        <v>Profit</v>
      </c>
    </row>
    <row r="661" spans="1:14" x14ac:dyDescent="0.3">
      <c r="A661" t="s">
        <v>3180</v>
      </c>
      <c r="B661" s="3">
        <v>42897</v>
      </c>
      <c r="C661" t="s">
        <v>13</v>
      </c>
      <c r="D661" t="s">
        <v>21</v>
      </c>
      <c r="E661" t="s">
        <v>1402</v>
      </c>
      <c r="F661" s="1">
        <v>5.68</v>
      </c>
      <c r="G661">
        <v>2</v>
      </c>
      <c r="H661" s="1">
        <v>1.7607999999999999</v>
      </c>
      <c r="I661" s="4">
        <f>SalesData[[#This Row],[Profit]]/SalesData[[#This Row],[Sales]]</f>
        <v>0.31</v>
      </c>
      <c r="J661">
        <f>YEAR(SalesData[[#This Row],[Order Date]])</f>
        <v>2017</v>
      </c>
      <c r="K661" t="str">
        <f>TEXT(SalesData[[#This Row],[Order Date]],"mmm")</f>
        <v>Jun</v>
      </c>
      <c r="L661">
        <f>MONTH(SalesData[[#This Row],[Order Date]])</f>
        <v>6</v>
      </c>
      <c r="M661">
        <f>SalesData[[#This Row],[Sales]]/SalesData[[#This Row],[Quantity]]</f>
        <v>2.84</v>
      </c>
      <c r="N661" t="str">
        <f>IF(SalesData[[#This Row],[Profit]]&gt;0,"Profit","Loss")</f>
        <v>Profit</v>
      </c>
    </row>
    <row r="662" spans="1:14" x14ac:dyDescent="0.3">
      <c r="A662" t="s">
        <v>3181</v>
      </c>
      <c r="B662" s="3">
        <v>42897</v>
      </c>
      <c r="C662" t="s">
        <v>46</v>
      </c>
      <c r="D662" t="s">
        <v>21</v>
      </c>
      <c r="E662" t="s">
        <v>2678</v>
      </c>
      <c r="F662" s="1">
        <v>499.584</v>
      </c>
      <c r="G662">
        <v>3</v>
      </c>
      <c r="H662" s="1">
        <v>43.7136</v>
      </c>
      <c r="I662" s="4">
        <f>SalesData[[#This Row],[Profit]]/SalesData[[#This Row],[Sales]]</f>
        <v>8.7499999999999994E-2</v>
      </c>
      <c r="J662">
        <f>YEAR(SalesData[[#This Row],[Order Date]])</f>
        <v>2017</v>
      </c>
      <c r="K662" t="str">
        <f>TEXT(SalesData[[#This Row],[Order Date]],"mmm")</f>
        <v>Jun</v>
      </c>
      <c r="L662">
        <f>MONTH(SalesData[[#This Row],[Order Date]])</f>
        <v>6</v>
      </c>
      <c r="M662">
        <f>SalesData[[#This Row],[Sales]]/SalesData[[#This Row],[Quantity]]</f>
        <v>166.52799999999999</v>
      </c>
      <c r="N662" t="str">
        <f>IF(SalesData[[#This Row],[Profit]]&gt;0,"Profit","Loss")</f>
        <v>Profit</v>
      </c>
    </row>
    <row r="663" spans="1:14" x14ac:dyDescent="0.3">
      <c r="A663" t="s">
        <v>3181</v>
      </c>
      <c r="B663" s="3">
        <v>42897</v>
      </c>
      <c r="C663" t="s">
        <v>46</v>
      </c>
      <c r="D663" t="s">
        <v>21</v>
      </c>
      <c r="E663" t="s">
        <v>1011</v>
      </c>
      <c r="F663" s="1">
        <v>31.103999999999999</v>
      </c>
      <c r="G663">
        <v>6</v>
      </c>
      <c r="H663" s="1">
        <v>10.8864</v>
      </c>
      <c r="I663" s="4">
        <f>SalesData[[#This Row],[Profit]]/SalesData[[#This Row],[Sales]]</f>
        <v>0.35000000000000003</v>
      </c>
      <c r="J663">
        <f>YEAR(SalesData[[#This Row],[Order Date]])</f>
        <v>2017</v>
      </c>
      <c r="K663" t="str">
        <f>TEXT(SalesData[[#This Row],[Order Date]],"mmm")</f>
        <v>Jun</v>
      </c>
      <c r="L663">
        <f>MONTH(SalesData[[#This Row],[Order Date]])</f>
        <v>6</v>
      </c>
      <c r="M663">
        <f>SalesData[[#This Row],[Sales]]/SalesData[[#This Row],[Quantity]]</f>
        <v>5.1840000000000002</v>
      </c>
      <c r="N663" t="str">
        <f>IF(SalesData[[#This Row],[Profit]]&gt;0,"Profit","Loss")</f>
        <v>Profit</v>
      </c>
    </row>
    <row r="664" spans="1:14" x14ac:dyDescent="0.3">
      <c r="A664" t="s">
        <v>3181</v>
      </c>
      <c r="B664" s="3">
        <v>42897</v>
      </c>
      <c r="C664" t="s">
        <v>46</v>
      </c>
      <c r="D664" t="s">
        <v>21</v>
      </c>
      <c r="E664" t="s">
        <v>220</v>
      </c>
      <c r="F664" s="1">
        <v>13.272</v>
      </c>
      <c r="G664">
        <v>8</v>
      </c>
      <c r="H664" s="1">
        <v>-10.617599999999999</v>
      </c>
      <c r="I664" s="4">
        <f>SalesData[[#This Row],[Profit]]/SalesData[[#This Row],[Sales]]</f>
        <v>-0.79999999999999993</v>
      </c>
      <c r="J664">
        <f>YEAR(SalesData[[#This Row],[Order Date]])</f>
        <v>2017</v>
      </c>
      <c r="K664" t="str">
        <f>TEXT(SalesData[[#This Row],[Order Date]],"mmm")</f>
        <v>Jun</v>
      </c>
      <c r="L664">
        <f>MONTH(SalesData[[#This Row],[Order Date]])</f>
        <v>6</v>
      </c>
      <c r="M664">
        <f>SalesData[[#This Row],[Sales]]/SalesData[[#This Row],[Quantity]]</f>
        <v>1.659</v>
      </c>
      <c r="N664" t="str">
        <f>IF(SalesData[[#This Row],[Profit]]&gt;0,"Profit","Loss")</f>
        <v>Loss</v>
      </c>
    </row>
    <row r="665" spans="1:14" x14ac:dyDescent="0.3">
      <c r="A665" t="s">
        <v>3181</v>
      </c>
      <c r="B665" s="3">
        <v>42897</v>
      </c>
      <c r="C665" t="s">
        <v>46</v>
      </c>
      <c r="D665" t="s">
        <v>14</v>
      </c>
      <c r="E665" t="s">
        <v>371</v>
      </c>
      <c r="F665" s="1">
        <v>28.271999999999998</v>
      </c>
      <c r="G665">
        <v>2</v>
      </c>
      <c r="H665" s="1">
        <v>6.3612000000000002</v>
      </c>
      <c r="I665" s="4">
        <f>SalesData[[#This Row],[Profit]]/SalesData[[#This Row],[Sales]]</f>
        <v>0.22500000000000001</v>
      </c>
      <c r="J665">
        <f>YEAR(SalesData[[#This Row],[Order Date]])</f>
        <v>2017</v>
      </c>
      <c r="K665" t="str">
        <f>TEXT(SalesData[[#This Row],[Order Date]],"mmm")</f>
        <v>Jun</v>
      </c>
      <c r="L665">
        <f>MONTH(SalesData[[#This Row],[Order Date]])</f>
        <v>6</v>
      </c>
      <c r="M665">
        <f>SalesData[[#This Row],[Sales]]/SalesData[[#This Row],[Quantity]]</f>
        <v>14.135999999999999</v>
      </c>
      <c r="N665" t="str">
        <f>IF(SalesData[[#This Row],[Profit]]&gt;0,"Profit","Loss")</f>
        <v>Profit</v>
      </c>
    </row>
    <row r="666" spans="1:14" x14ac:dyDescent="0.3">
      <c r="A666" t="s">
        <v>3181</v>
      </c>
      <c r="B666" s="3">
        <v>42897</v>
      </c>
      <c r="C666" t="s">
        <v>46</v>
      </c>
      <c r="D666" t="s">
        <v>21</v>
      </c>
      <c r="E666" t="s">
        <v>702</v>
      </c>
      <c r="F666" s="1">
        <v>259.13600000000002</v>
      </c>
      <c r="G666">
        <v>4</v>
      </c>
      <c r="H666" s="1">
        <v>-51.827199999999998</v>
      </c>
      <c r="I666" s="4">
        <f>SalesData[[#This Row],[Profit]]/SalesData[[#This Row],[Sales]]</f>
        <v>-0.19999999999999998</v>
      </c>
      <c r="J666">
        <f>YEAR(SalesData[[#This Row],[Order Date]])</f>
        <v>2017</v>
      </c>
      <c r="K666" t="str">
        <f>TEXT(SalesData[[#This Row],[Order Date]],"mmm")</f>
        <v>Jun</v>
      </c>
      <c r="L666">
        <f>MONTH(SalesData[[#This Row],[Order Date]])</f>
        <v>6</v>
      </c>
      <c r="M666">
        <f>SalesData[[#This Row],[Sales]]/SalesData[[#This Row],[Quantity]]</f>
        <v>64.784000000000006</v>
      </c>
      <c r="N666" t="str">
        <f>IF(SalesData[[#This Row],[Profit]]&gt;0,"Profit","Loss")</f>
        <v>Loss</v>
      </c>
    </row>
    <row r="667" spans="1:14" x14ac:dyDescent="0.3">
      <c r="A667" t="s">
        <v>3182</v>
      </c>
      <c r="B667" s="3">
        <v>42897</v>
      </c>
      <c r="C667" t="s">
        <v>9</v>
      </c>
      <c r="D667" t="s">
        <v>21</v>
      </c>
      <c r="E667" t="s">
        <v>3183</v>
      </c>
      <c r="F667" s="1">
        <v>13.9</v>
      </c>
      <c r="G667">
        <v>5</v>
      </c>
      <c r="H667" s="1">
        <v>3.6139999999999999</v>
      </c>
      <c r="I667" s="4">
        <f>SalesData[[#This Row],[Profit]]/SalesData[[#This Row],[Sales]]</f>
        <v>0.26</v>
      </c>
      <c r="J667">
        <f>YEAR(SalesData[[#This Row],[Order Date]])</f>
        <v>2017</v>
      </c>
      <c r="K667" t="str">
        <f>TEXT(SalesData[[#This Row],[Order Date]],"mmm")</f>
        <v>Jun</v>
      </c>
      <c r="L667">
        <f>MONTH(SalesData[[#This Row],[Order Date]])</f>
        <v>6</v>
      </c>
      <c r="M667">
        <f>SalesData[[#This Row],[Sales]]/SalesData[[#This Row],[Quantity]]</f>
        <v>2.7800000000000002</v>
      </c>
      <c r="N667" t="str">
        <f>IF(SalesData[[#This Row],[Profit]]&gt;0,"Profit","Loss")</f>
        <v>Profit</v>
      </c>
    </row>
    <row r="668" spans="1:14" x14ac:dyDescent="0.3">
      <c r="A668" t="s">
        <v>3182</v>
      </c>
      <c r="B668" s="3">
        <v>42897</v>
      </c>
      <c r="C668" t="s">
        <v>9</v>
      </c>
      <c r="D668" t="s">
        <v>21</v>
      </c>
      <c r="E668" t="s">
        <v>94</v>
      </c>
      <c r="F668" s="1">
        <v>26.38</v>
      </c>
      <c r="G668">
        <v>1</v>
      </c>
      <c r="H668" s="1">
        <v>12.1348</v>
      </c>
      <c r="I668" s="4">
        <f>SalesData[[#This Row],[Profit]]/SalesData[[#This Row],[Sales]]</f>
        <v>0.46</v>
      </c>
      <c r="J668">
        <f>YEAR(SalesData[[#This Row],[Order Date]])</f>
        <v>2017</v>
      </c>
      <c r="K668" t="str">
        <f>TEXT(SalesData[[#This Row],[Order Date]],"mmm")</f>
        <v>Jun</v>
      </c>
      <c r="L668">
        <f>MONTH(SalesData[[#This Row],[Order Date]])</f>
        <v>6</v>
      </c>
      <c r="M668">
        <f>SalesData[[#This Row],[Sales]]/SalesData[[#This Row],[Quantity]]</f>
        <v>26.38</v>
      </c>
      <c r="N668" t="str">
        <f>IF(SalesData[[#This Row],[Profit]]&gt;0,"Profit","Loss")</f>
        <v>Profit</v>
      </c>
    </row>
    <row r="669" spans="1:14" x14ac:dyDescent="0.3">
      <c r="A669" t="s">
        <v>3184</v>
      </c>
      <c r="B669" s="3">
        <v>42897</v>
      </c>
      <c r="C669" t="s">
        <v>17</v>
      </c>
      <c r="D669" t="s">
        <v>14</v>
      </c>
      <c r="E669" t="s">
        <v>1144</v>
      </c>
      <c r="F669" s="1">
        <v>127.372</v>
      </c>
      <c r="G669">
        <v>2</v>
      </c>
      <c r="H669" s="1">
        <v>-30.933199999999999</v>
      </c>
      <c r="I669" s="4">
        <f>SalesData[[#This Row],[Profit]]/SalesData[[#This Row],[Sales]]</f>
        <v>-0.24285714285714285</v>
      </c>
      <c r="J669">
        <f>YEAR(SalesData[[#This Row],[Order Date]])</f>
        <v>2017</v>
      </c>
      <c r="K669" t="str">
        <f>TEXT(SalesData[[#This Row],[Order Date]],"mmm")</f>
        <v>Jun</v>
      </c>
      <c r="L669">
        <f>MONTH(SalesData[[#This Row],[Order Date]])</f>
        <v>6</v>
      </c>
      <c r="M669">
        <f>SalesData[[#This Row],[Sales]]/SalesData[[#This Row],[Quantity]]</f>
        <v>63.686</v>
      </c>
      <c r="N669" t="str">
        <f>IF(SalesData[[#This Row],[Profit]]&gt;0,"Profit","Loss")</f>
        <v>Loss</v>
      </c>
    </row>
    <row r="670" spans="1:14" x14ac:dyDescent="0.3">
      <c r="A670" t="s">
        <v>3184</v>
      </c>
      <c r="B670" s="3">
        <v>42897</v>
      </c>
      <c r="C670" t="s">
        <v>17</v>
      </c>
      <c r="D670" t="s">
        <v>21</v>
      </c>
      <c r="E670" t="s">
        <v>2280</v>
      </c>
      <c r="F670" s="1">
        <v>47.951999999999998</v>
      </c>
      <c r="G670">
        <v>3</v>
      </c>
      <c r="H670" s="1">
        <v>16.183800000000002</v>
      </c>
      <c r="I670" s="4">
        <f>SalesData[[#This Row],[Profit]]/SalesData[[#This Row],[Sales]]</f>
        <v>0.33750000000000002</v>
      </c>
      <c r="J670">
        <f>YEAR(SalesData[[#This Row],[Order Date]])</f>
        <v>2017</v>
      </c>
      <c r="K670" t="str">
        <f>TEXT(SalesData[[#This Row],[Order Date]],"mmm")</f>
        <v>Jun</v>
      </c>
      <c r="L670">
        <f>MONTH(SalesData[[#This Row],[Order Date]])</f>
        <v>6</v>
      </c>
      <c r="M670">
        <f>SalesData[[#This Row],[Sales]]/SalesData[[#This Row],[Quantity]]</f>
        <v>15.984</v>
      </c>
      <c r="N670" t="str">
        <f>IF(SalesData[[#This Row],[Profit]]&gt;0,"Profit","Loss")</f>
        <v>Profit</v>
      </c>
    </row>
    <row r="671" spans="1:14" x14ac:dyDescent="0.3">
      <c r="A671" t="s">
        <v>3185</v>
      </c>
      <c r="B671" s="3">
        <v>42897</v>
      </c>
      <c r="C671" t="s">
        <v>13</v>
      </c>
      <c r="D671" t="s">
        <v>21</v>
      </c>
      <c r="E671" t="s">
        <v>2280</v>
      </c>
      <c r="F671" s="1">
        <v>59.94</v>
      </c>
      <c r="G671">
        <v>3</v>
      </c>
      <c r="H671" s="1">
        <v>28.171800000000001</v>
      </c>
      <c r="I671" s="4">
        <f>SalesData[[#This Row],[Profit]]/SalesData[[#This Row],[Sales]]</f>
        <v>0.47000000000000003</v>
      </c>
      <c r="J671">
        <f>YEAR(SalesData[[#This Row],[Order Date]])</f>
        <v>2017</v>
      </c>
      <c r="K671" t="str">
        <f>TEXT(SalesData[[#This Row],[Order Date]],"mmm")</f>
        <v>Jun</v>
      </c>
      <c r="L671">
        <f>MONTH(SalesData[[#This Row],[Order Date]])</f>
        <v>6</v>
      </c>
      <c r="M671">
        <f>SalesData[[#This Row],[Sales]]/SalesData[[#This Row],[Quantity]]</f>
        <v>19.98</v>
      </c>
      <c r="N671" t="str">
        <f>IF(SalesData[[#This Row],[Profit]]&gt;0,"Profit","Loss")</f>
        <v>Profit</v>
      </c>
    </row>
    <row r="672" spans="1:14" x14ac:dyDescent="0.3">
      <c r="A672" t="s">
        <v>3185</v>
      </c>
      <c r="B672" s="3">
        <v>42897</v>
      </c>
      <c r="C672" t="s">
        <v>13</v>
      </c>
      <c r="D672" t="s">
        <v>21</v>
      </c>
      <c r="E672" t="s">
        <v>94</v>
      </c>
      <c r="F672" s="1">
        <v>45.36</v>
      </c>
      <c r="G672">
        <v>4</v>
      </c>
      <c r="H672" s="1">
        <v>22.226400000000002</v>
      </c>
      <c r="I672" s="4">
        <f>SalesData[[#This Row],[Profit]]/SalesData[[#This Row],[Sales]]</f>
        <v>0.49000000000000005</v>
      </c>
      <c r="J672">
        <f>YEAR(SalesData[[#This Row],[Order Date]])</f>
        <v>2017</v>
      </c>
      <c r="K672" t="str">
        <f>TEXT(SalesData[[#This Row],[Order Date]],"mmm")</f>
        <v>Jun</v>
      </c>
      <c r="L672">
        <f>MONTH(SalesData[[#This Row],[Order Date]])</f>
        <v>6</v>
      </c>
      <c r="M672">
        <f>SalesData[[#This Row],[Sales]]/SalesData[[#This Row],[Quantity]]</f>
        <v>11.34</v>
      </c>
      <c r="N672" t="str">
        <f>IF(SalesData[[#This Row],[Profit]]&gt;0,"Profit","Loss")</f>
        <v>Profit</v>
      </c>
    </row>
    <row r="673" spans="1:14" x14ac:dyDescent="0.3">
      <c r="A673" t="s">
        <v>3185</v>
      </c>
      <c r="B673" s="3">
        <v>42897</v>
      </c>
      <c r="C673" t="s">
        <v>13</v>
      </c>
      <c r="D673" t="s">
        <v>21</v>
      </c>
      <c r="E673" t="s">
        <v>816</v>
      </c>
      <c r="F673" s="1">
        <v>26.4</v>
      </c>
      <c r="G673">
        <v>5</v>
      </c>
      <c r="H673" s="1">
        <v>12.672000000000001</v>
      </c>
      <c r="I673" s="4">
        <f>SalesData[[#This Row],[Profit]]/SalesData[[#This Row],[Sales]]</f>
        <v>0.48000000000000004</v>
      </c>
      <c r="J673">
        <f>YEAR(SalesData[[#This Row],[Order Date]])</f>
        <v>2017</v>
      </c>
      <c r="K673" t="str">
        <f>TEXT(SalesData[[#This Row],[Order Date]],"mmm")</f>
        <v>Jun</v>
      </c>
      <c r="L673">
        <f>MONTH(SalesData[[#This Row],[Order Date]])</f>
        <v>6</v>
      </c>
      <c r="M673">
        <f>SalesData[[#This Row],[Sales]]/SalesData[[#This Row],[Quantity]]</f>
        <v>5.2799999999999994</v>
      </c>
      <c r="N673" t="str">
        <f>IF(SalesData[[#This Row],[Profit]]&gt;0,"Profit","Loss")</f>
        <v>Profit</v>
      </c>
    </row>
    <row r="674" spans="1:14" x14ac:dyDescent="0.3">
      <c r="A674" t="s">
        <v>3185</v>
      </c>
      <c r="B674" s="3">
        <v>42897</v>
      </c>
      <c r="C674" t="s">
        <v>13</v>
      </c>
      <c r="D674" t="s">
        <v>21</v>
      </c>
      <c r="E674" t="s">
        <v>1721</v>
      </c>
      <c r="F674" s="1">
        <v>41.4</v>
      </c>
      <c r="G674">
        <v>4</v>
      </c>
      <c r="H674" s="1">
        <v>19.872</v>
      </c>
      <c r="I674" s="4">
        <f>SalesData[[#This Row],[Profit]]/SalesData[[#This Row],[Sales]]</f>
        <v>0.48000000000000004</v>
      </c>
      <c r="J674">
        <f>YEAR(SalesData[[#This Row],[Order Date]])</f>
        <v>2017</v>
      </c>
      <c r="K674" t="str">
        <f>TEXT(SalesData[[#This Row],[Order Date]],"mmm")</f>
        <v>Jun</v>
      </c>
      <c r="L674">
        <f>MONTH(SalesData[[#This Row],[Order Date]])</f>
        <v>6</v>
      </c>
      <c r="M674">
        <f>SalesData[[#This Row],[Sales]]/SalesData[[#This Row],[Quantity]]</f>
        <v>10.35</v>
      </c>
      <c r="N674" t="str">
        <f>IF(SalesData[[#This Row],[Profit]]&gt;0,"Profit","Loss")</f>
        <v>Profit</v>
      </c>
    </row>
    <row r="675" spans="1:14" x14ac:dyDescent="0.3">
      <c r="A675" t="s">
        <v>3185</v>
      </c>
      <c r="B675" s="3">
        <v>42897</v>
      </c>
      <c r="C675" t="s">
        <v>13</v>
      </c>
      <c r="D675" t="s">
        <v>10</v>
      </c>
      <c r="E675" t="s">
        <v>504</v>
      </c>
      <c r="F675" s="1">
        <v>16.95</v>
      </c>
      <c r="G675">
        <v>1</v>
      </c>
      <c r="H675" s="1">
        <v>1.0169999999999999</v>
      </c>
      <c r="I675" s="4">
        <f>SalesData[[#This Row],[Profit]]/SalesData[[#This Row],[Sales]]</f>
        <v>0.06</v>
      </c>
      <c r="J675">
        <f>YEAR(SalesData[[#This Row],[Order Date]])</f>
        <v>2017</v>
      </c>
      <c r="K675" t="str">
        <f>TEXT(SalesData[[#This Row],[Order Date]],"mmm")</f>
        <v>Jun</v>
      </c>
      <c r="L675">
        <f>MONTH(SalesData[[#This Row],[Order Date]])</f>
        <v>6</v>
      </c>
      <c r="M675">
        <f>SalesData[[#This Row],[Sales]]/SalesData[[#This Row],[Quantity]]</f>
        <v>16.95</v>
      </c>
      <c r="N675" t="str">
        <f>IF(SalesData[[#This Row],[Profit]]&gt;0,"Profit","Loss")</f>
        <v>Profit</v>
      </c>
    </row>
    <row r="676" spans="1:14" x14ac:dyDescent="0.3">
      <c r="A676" t="s">
        <v>3186</v>
      </c>
      <c r="B676" s="3">
        <v>42897</v>
      </c>
      <c r="C676" t="s">
        <v>17</v>
      </c>
      <c r="D676" t="s">
        <v>21</v>
      </c>
      <c r="E676" t="s">
        <v>1422</v>
      </c>
      <c r="F676" s="1">
        <v>318.95999999999998</v>
      </c>
      <c r="G676">
        <v>9</v>
      </c>
      <c r="H676" s="1">
        <v>149.91120000000001</v>
      </c>
      <c r="I676" s="4">
        <f>SalesData[[#This Row],[Profit]]/SalesData[[#This Row],[Sales]]</f>
        <v>0.47000000000000003</v>
      </c>
      <c r="J676">
        <f>YEAR(SalesData[[#This Row],[Order Date]])</f>
        <v>2017</v>
      </c>
      <c r="K676" t="str">
        <f>TEXT(SalesData[[#This Row],[Order Date]],"mmm")</f>
        <v>Jun</v>
      </c>
      <c r="L676">
        <f>MONTH(SalesData[[#This Row],[Order Date]])</f>
        <v>6</v>
      </c>
      <c r="M676">
        <f>SalesData[[#This Row],[Sales]]/SalesData[[#This Row],[Quantity]]</f>
        <v>35.44</v>
      </c>
      <c r="N676" t="str">
        <f>IF(SalesData[[#This Row],[Profit]]&gt;0,"Profit","Loss")</f>
        <v>Profit</v>
      </c>
    </row>
    <row r="677" spans="1:14" x14ac:dyDescent="0.3">
      <c r="A677" t="s">
        <v>3187</v>
      </c>
      <c r="B677" s="3">
        <v>42897</v>
      </c>
      <c r="C677" t="s">
        <v>13</v>
      </c>
      <c r="D677" t="s">
        <v>14</v>
      </c>
      <c r="E677" t="s">
        <v>986</v>
      </c>
      <c r="F677" s="1">
        <v>2036.86</v>
      </c>
      <c r="G677">
        <v>7</v>
      </c>
      <c r="H677" s="1">
        <v>366.63479999999998</v>
      </c>
      <c r="I677" s="4">
        <f>SalesData[[#This Row],[Profit]]/SalesData[[#This Row],[Sales]]</f>
        <v>0.18</v>
      </c>
      <c r="J677">
        <f>YEAR(SalesData[[#This Row],[Order Date]])</f>
        <v>2017</v>
      </c>
      <c r="K677" t="str">
        <f>TEXT(SalesData[[#This Row],[Order Date]],"mmm")</f>
        <v>Jun</v>
      </c>
      <c r="L677">
        <f>MONTH(SalesData[[#This Row],[Order Date]])</f>
        <v>6</v>
      </c>
      <c r="M677">
        <f>SalesData[[#This Row],[Sales]]/SalesData[[#This Row],[Quantity]]</f>
        <v>290.97999999999996</v>
      </c>
      <c r="N677" t="str">
        <f>IF(SalesData[[#This Row],[Profit]]&gt;0,"Profit","Loss")</f>
        <v>Profit</v>
      </c>
    </row>
    <row r="678" spans="1:14" x14ac:dyDescent="0.3">
      <c r="A678" t="s">
        <v>3187</v>
      </c>
      <c r="B678" s="3">
        <v>42897</v>
      </c>
      <c r="C678" t="s">
        <v>13</v>
      </c>
      <c r="D678" t="s">
        <v>14</v>
      </c>
      <c r="E678" t="s">
        <v>1757</v>
      </c>
      <c r="F678" s="1">
        <v>449.56799999999998</v>
      </c>
      <c r="G678">
        <v>2</v>
      </c>
      <c r="H678" s="1">
        <v>-73.0548</v>
      </c>
      <c r="I678" s="4">
        <f>SalesData[[#This Row],[Profit]]/SalesData[[#This Row],[Sales]]</f>
        <v>-0.16250000000000001</v>
      </c>
      <c r="J678">
        <f>YEAR(SalesData[[#This Row],[Order Date]])</f>
        <v>2017</v>
      </c>
      <c r="K678" t="str">
        <f>TEXT(SalesData[[#This Row],[Order Date]],"mmm")</f>
        <v>Jun</v>
      </c>
      <c r="L678">
        <f>MONTH(SalesData[[#This Row],[Order Date]])</f>
        <v>6</v>
      </c>
      <c r="M678">
        <f>SalesData[[#This Row],[Sales]]/SalesData[[#This Row],[Quantity]]</f>
        <v>224.78399999999999</v>
      </c>
      <c r="N678" t="str">
        <f>IF(SalesData[[#This Row],[Profit]]&gt;0,"Profit","Loss")</f>
        <v>Loss</v>
      </c>
    </row>
    <row r="679" spans="1:14" x14ac:dyDescent="0.3">
      <c r="A679" t="s">
        <v>3187</v>
      </c>
      <c r="B679" s="3">
        <v>42897</v>
      </c>
      <c r="C679" t="s">
        <v>13</v>
      </c>
      <c r="D679" t="s">
        <v>10</v>
      </c>
      <c r="E679" t="s">
        <v>904</v>
      </c>
      <c r="F679" s="1">
        <v>108.96</v>
      </c>
      <c r="G679">
        <v>3</v>
      </c>
      <c r="H679" s="1">
        <v>32.688000000000002</v>
      </c>
      <c r="I679" s="4">
        <f>SalesData[[#This Row],[Profit]]/SalesData[[#This Row],[Sales]]</f>
        <v>0.30000000000000004</v>
      </c>
      <c r="J679">
        <f>YEAR(SalesData[[#This Row],[Order Date]])</f>
        <v>2017</v>
      </c>
      <c r="K679" t="str">
        <f>TEXT(SalesData[[#This Row],[Order Date]],"mmm")</f>
        <v>Jun</v>
      </c>
      <c r="L679">
        <f>MONTH(SalesData[[#This Row],[Order Date]])</f>
        <v>6</v>
      </c>
      <c r="M679">
        <f>SalesData[[#This Row],[Sales]]/SalesData[[#This Row],[Quantity]]</f>
        <v>36.32</v>
      </c>
      <c r="N679" t="str">
        <f>IF(SalesData[[#This Row],[Profit]]&gt;0,"Profit","Loss")</f>
        <v>Profit</v>
      </c>
    </row>
    <row r="680" spans="1:14" x14ac:dyDescent="0.3">
      <c r="A680" t="s">
        <v>3188</v>
      </c>
      <c r="B680" s="3">
        <v>42897</v>
      </c>
      <c r="C680" t="s">
        <v>9</v>
      </c>
      <c r="D680" t="s">
        <v>14</v>
      </c>
      <c r="E680" t="s">
        <v>120</v>
      </c>
      <c r="F680" s="1">
        <v>30.56</v>
      </c>
      <c r="G680">
        <v>5</v>
      </c>
      <c r="H680" s="1">
        <v>-19.864000000000001</v>
      </c>
      <c r="I680" s="4">
        <f>SalesData[[#This Row],[Profit]]/SalesData[[#This Row],[Sales]]</f>
        <v>-0.65</v>
      </c>
      <c r="J680">
        <f>YEAR(SalesData[[#This Row],[Order Date]])</f>
        <v>2017</v>
      </c>
      <c r="K680" t="str">
        <f>TEXT(SalesData[[#This Row],[Order Date]],"mmm")</f>
        <v>Jun</v>
      </c>
      <c r="L680">
        <f>MONTH(SalesData[[#This Row],[Order Date]])</f>
        <v>6</v>
      </c>
      <c r="M680">
        <f>SalesData[[#This Row],[Sales]]/SalesData[[#This Row],[Quantity]]</f>
        <v>6.1120000000000001</v>
      </c>
      <c r="N680" t="str">
        <f>IF(SalesData[[#This Row],[Profit]]&gt;0,"Profit","Loss")</f>
        <v>Loss</v>
      </c>
    </row>
    <row r="681" spans="1:14" x14ac:dyDescent="0.3">
      <c r="A681" t="s">
        <v>3189</v>
      </c>
      <c r="B681" s="3">
        <v>42897</v>
      </c>
      <c r="C681" t="s">
        <v>9</v>
      </c>
      <c r="D681" t="s">
        <v>21</v>
      </c>
      <c r="E681" t="s">
        <v>36</v>
      </c>
      <c r="F681" s="1">
        <v>1.248</v>
      </c>
      <c r="G681">
        <v>2</v>
      </c>
      <c r="H681" s="1">
        <v>-1.9343999999999999</v>
      </c>
      <c r="I681" s="4">
        <f>SalesData[[#This Row],[Profit]]/SalesData[[#This Row],[Sales]]</f>
        <v>-1.5499999999999998</v>
      </c>
      <c r="J681">
        <f>YEAR(SalesData[[#This Row],[Order Date]])</f>
        <v>2017</v>
      </c>
      <c r="K681" t="str">
        <f>TEXT(SalesData[[#This Row],[Order Date]],"mmm")</f>
        <v>Jun</v>
      </c>
      <c r="L681">
        <f>MONTH(SalesData[[#This Row],[Order Date]])</f>
        <v>6</v>
      </c>
      <c r="M681">
        <f>SalesData[[#This Row],[Sales]]/SalesData[[#This Row],[Quantity]]</f>
        <v>0.624</v>
      </c>
      <c r="N681" t="str">
        <f>IF(SalesData[[#This Row],[Profit]]&gt;0,"Profit","Loss")</f>
        <v>Loss</v>
      </c>
    </row>
    <row r="682" spans="1:14" x14ac:dyDescent="0.3">
      <c r="A682" t="s">
        <v>3190</v>
      </c>
      <c r="B682" s="3">
        <v>42897</v>
      </c>
      <c r="C682" t="s">
        <v>9</v>
      </c>
      <c r="D682" t="s">
        <v>21</v>
      </c>
      <c r="E682" t="s">
        <v>2458</v>
      </c>
      <c r="F682" s="1">
        <v>18.16</v>
      </c>
      <c r="G682">
        <v>2</v>
      </c>
      <c r="H682" s="1">
        <v>1.8160000000000001</v>
      </c>
      <c r="I682" s="4">
        <f>SalesData[[#This Row],[Profit]]/SalesData[[#This Row],[Sales]]</f>
        <v>0.1</v>
      </c>
      <c r="J682">
        <f>YEAR(SalesData[[#This Row],[Order Date]])</f>
        <v>2017</v>
      </c>
      <c r="K682" t="str">
        <f>TEXT(SalesData[[#This Row],[Order Date]],"mmm")</f>
        <v>Jun</v>
      </c>
      <c r="L682">
        <f>MONTH(SalesData[[#This Row],[Order Date]])</f>
        <v>6</v>
      </c>
      <c r="M682">
        <f>SalesData[[#This Row],[Sales]]/SalesData[[#This Row],[Quantity]]</f>
        <v>9.08</v>
      </c>
      <c r="N682" t="str">
        <f>IF(SalesData[[#This Row],[Profit]]&gt;0,"Profit","Loss")</f>
        <v>Profit</v>
      </c>
    </row>
    <row r="683" spans="1:14" x14ac:dyDescent="0.3">
      <c r="A683" t="s">
        <v>3191</v>
      </c>
      <c r="B683" s="3">
        <v>42898</v>
      </c>
      <c r="C683" t="s">
        <v>13</v>
      </c>
      <c r="D683" t="s">
        <v>21</v>
      </c>
      <c r="E683" t="s">
        <v>255</v>
      </c>
      <c r="F683" s="1">
        <v>10.68</v>
      </c>
      <c r="G683">
        <v>1</v>
      </c>
      <c r="H683" s="1">
        <v>2.8835999999999999</v>
      </c>
      <c r="I683" s="4">
        <f>SalesData[[#This Row],[Profit]]/SalesData[[#This Row],[Sales]]</f>
        <v>0.27</v>
      </c>
      <c r="J683">
        <f>YEAR(SalesData[[#This Row],[Order Date]])</f>
        <v>2017</v>
      </c>
      <c r="K683" t="str">
        <f>TEXT(SalesData[[#This Row],[Order Date]],"mmm")</f>
        <v>Jun</v>
      </c>
      <c r="L683">
        <f>MONTH(SalesData[[#This Row],[Order Date]])</f>
        <v>6</v>
      </c>
      <c r="M683">
        <f>SalesData[[#This Row],[Sales]]/SalesData[[#This Row],[Quantity]]</f>
        <v>10.68</v>
      </c>
      <c r="N683" t="str">
        <f>IF(SalesData[[#This Row],[Profit]]&gt;0,"Profit","Loss")</f>
        <v>Profit</v>
      </c>
    </row>
    <row r="684" spans="1:14" x14ac:dyDescent="0.3">
      <c r="A684" t="s">
        <v>3192</v>
      </c>
      <c r="B684" s="3">
        <v>42917</v>
      </c>
      <c r="C684" t="s">
        <v>9</v>
      </c>
      <c r="D684" t="s">
        <v>10</v>
      </c>
      <c r="E684" t="s">
        <v>682</v>
      </c>
      <c r="F684" s="1">
        <v>3059.982</v>
      </c>
      <c r="G684">
        <v>2</v>
      </c>
      <c r="H684" s="1">
        <v>679.99599999999998</v>
      </c>
      <c r="I684" s="4">
        <f>SalesData[[#This Row],[Profit]]/SalesData[[#This Row],[Sales]]</f>
        <v>0.22222222222222221</v>
      </c>
      <c r="J684">
        <f>YEAR(SalesData[[#This Row],[Order Date]])</f>
        <v>2017</v>
      </c>
      <c r="K684" t="str">
        <f>TEXT(SalesData[[#This Row],[Order Date]],"mmm")</f>
        <v>Jul</v>
      </c>
      <c r="L684">
        <f>MONTH(SalesData[[#This Row],[Order Date]])</f>
        <v>7</v>
      </c>
      <c r="M684">
        <f>SalesData[[#This Row],[Sales]]/SalesData[[#This Row],[Quantity]]</f>
        <v>1529.991</v>
      </c>
      <c r="N684" t="str">
        <f>IF(SalesData[[#This Row],[Profit]]&gt;0,"Profit","Loss")</f>
        <v>Profit</v>
      </c>
    </row>
    <row r="685" spans="1:14" x14ac:dyDescent="0.3">
      <c r="A685" t="s">
        <v>3193</v>
      </c>
      <c r="B685" s="3">
        <v>42917</v>
      </c>
      <c r="C685" t="s">
        <v>46</v>
      </c>
      <c r="D685" t="s">
        <v>21</v>
      </c>
      <c r="E685" t="s">
        <v>36</v>
      </c>
      <c r="F685" s="1">
        <v>2.8079999999999998</v>
      </c>
      <c r="G685">
        <v>3</v>
      </c>
      <c r="H685" s="1">
        <v>-1.9656</v>
      </c>
      <c r="I685" s="4">
        <f>SalesData[[#This Row],[Profit]]/SalesData[[#This Row],[Sales]]</f>
        <v>-0.70000000000000007</v>
      </c>
      <c r="J685">
        <f>YEAR(SalesData[[#This Row],[Order Date]])</f>
        <v>2017</v>
      </c>
      <c r="K685" t="str">
        <f>TEXT(SalesData[[#This Row],[Order Date]],"mmm")</f>
        <v>Jul</v>
      </c>
      <c r="L685">
        <f>MONTH(SalesData[[#This Row],[Order Date]])</f>
        <v>7</v>
      </c>
      <c r="M685">
        <f>SalesData[[#This Row],[Sales]]/SalesData[[#This Row],[Quantity]]</f>
        <v>0.93599999999999994</v>
      </c>
      <c r="N685" t="str">
        <f>IF(SalesData[[#This Row],[Profit]]&gt;0,"Profit","Loss")</f>
        <v>Loss</v>
      </c>
    </row>
    <row r="686" spans="1:14" x14ac:dyDescent="0.3">
      <c r="A686" t="s">
        <v>3194</v>
      </c>
      <c r="B686" s="3">
        <v>42917</v>
      </c>
      <c r="C686" t="s">
        <v>13</v>
      </c>
      <c r="D686" t="s">
        <v>21</v>
      </c>
      <c r="E686" t="s">
        <v>1787</v>
      </c>
      <c r="F686" s="1">
        <v>153.78</v>
      </c>
      <c r="G686">
        <v>11</v>
      </c>
      <c r="H686" s="1">
        <v>44.596200000000003</v>
      </c>
      <c r="I686" s="4">
        <f>SalesData[[#This Row],[Profit]]/SalesData[[#This Row],[Sales]]</f>
        <v>0.29000000000000004</v>
      </c>
      <c r="J686">
        <f>YEAR(SalesData[[#This Row],[Order Date]])</f>
        <v>2017</v>
      </c>
      <c r="K686" t="str">
        <f>TEXT(SalesData[[#This Row],[Order Date]],"mmm")</f>
        <v>Jul</v>
      </c>
      <c r="L686">
        <f>MONTH(SalesData[[#This Row],[Order Date]])</f>
        <v>7</v>
      </c>
      <c r="M686">
        <f>SalesData[[#This Row],[Sales]]/SalesData[[#This Row],[Quantity]]</f>
        <v>13.98</v>
      </c>
      <c r="N686" t="str">
        <f>IF(SalesData[[#This Row],[Profit]]&gt;0,"Profit","Loss")</f>
        <v>Profit</v>
      </c>
    </row>
    <row r="687" spans="1:14" x14ac:dyDescent="0.3">
      <c r="A687" t="s">
        <v>3194</v>
      </c>
      <c r="B687" s="3">
        <v>42917</v>
      </c>
      <c r="C687" t="s">
        <v>13</v>
      </c>
      <c r="D687" t="s">
        <v>21</v>
      </c>
      <c r="E687" t="s">
        <v>3195</v>
      </c>
      <c r="F687" s="1">
        <v>61.02</v>
      </c>
      <c r="G687">
        <v>3</v>
      </c>
      <c r="H687" s="1">
        <v>0.61019999999999996</v>
      </c>
      <c r="I687" s="4">
        <f>SalesData[[#This Row],[Profit]]/SalesData[[#This Row],[Sales]]</f>
        <v>9.9999999999999985E-3</v>
      </c>
      <c r="J687">
        <f>YEAR(SalesData[[#This Row],[Order Date]])</f>
        <v>2017</v>
      </c>
      <c r="K687" t="str">
        <f>TEXT(SalesData[[#This Row],[Order Date]],"mmm")</f>
        <v>Jul</v>
      </c>
      <c r="L687">
        <f>MONTH(SalesData[[#This Row],[Order Date]])</f>
        <v>7</v>
      </c>
      <c r="M687">
        <f>SalesData[[#This Row],[Sales]]/SalesData[[#This Row],[Quantity]]</f>
        <v>20.34</v>
      </c>
      <c r="N687" t="str">
        <f>IF(SalesData[[#This Row],[Profit]]&gt;0,"Profit","Loss")</f>
        <v>Profit</v>
      </c>
    </row>
    <row r="688" spans="1:14" x14ac:dyDescent="0.3">
      <c r="A688" t="s">
        <v>3194</v>
      </c>
      <c r="B688" s="3">
        <v>42917</v>
      </c>
      <c r="C688" t="s">
        <v>13</v>
      </c>
      <c r="D688" t="s">
        <v>21</v>
      </c>
      <c r="E688" t="s">
        <v>3196</v>
      </c>
      <c r="F688" s="1">
        <v>110.11</v>
      </c>
      <c r="G688">
        <v>7</v>
      </c>
      <c r="H688" s="1">
        <v>31.931899999999999</v>
      </c>
      <c r="I688" s="4">
        <f>SalesData[[#This Row],[Profit]]/SalesData[[#This Row],[Sales]]</f>
        <v>0.28999999999999998</v>
      </c>
      <c r="J688">
        <f>YEAR(SalesData[[#This Row],[Order Date]])</f>
        <v>2017</v>
      </c>
      <c r="K688" t="str">
        <f>TEXT(SalesData[[#This Row],[Order Date]],"mmm")</f>
        <v>Jul</v>
      </c>
      <c r="L688">
        <f>MONTH(SalesData[[#This Row],[Order Date]])</f>
        <v>7</v>
      </c>
      <c r="M688">
        <f>SalesData[[#This Row],[Sales]]/SalesData[[#This Row],[Quantity]]</f>
        <v>15.73</v>
      </c>
      <c r="N688" t="str">
        <f>IF(SalesData[[#This Row],[Profit]]&gt;0,"Profit","Loss")</f>
        <v>Profit</v>
      </c>
    </row>
    <row r="689" spans="1:14" x14ac:dyDescent="0.3">
      <c r="A689" t="s">
        <v>3194</v>
      </c>
      <c r="B689" s="3">
        <v>42917</v>
      </c>
      <c r="C689" t="s">
        <v>13</v>
      </c>
      <c r="D689" t="s">
        <v>21</v>
      </c>
      <c r="E689" t="s">
        <v>83</v>
      </c>
      <c r="F689" s="1">
        <v>7.89</v>
      </c>
      <c r="G689">
        <v>1</v>
      </c>
      <c r="H689" s="1">
        <v>3.5505</v>
      </c>
      <c r="I689" s="4">
        <f>SalesData[[#This Row],[Profit]]/SalesData[[#This Row],[Sales]]</f>
        <v>0.45</v>
      </c>
      <c r="J689">
        <f>YEAR(SalesData[[#This Row],[Order Date]])</f>
        <v>2017</v>
      </c>
      <c r="K689" t="str">
        <f>TEXT(SalesData[[#This Row],[Order Date]],"mmm")</f>
        <v>Jul</v>
      </c>
      <c r="L689">
        <f>MONTH(SalesData[[#This Row],[Order Date]])</f>
        <v>7</v>
      </c>
      <c r="M689">
        <f>SalesData[[#This Row],[Sales]]/SalesData[[#This Row],[Quantity]]</f>
        <v>7.89</v>
      </c>
      <c r="N689" t="str">
        <f>IF(SalesData[[#This Row],[Profit]]&gt;0,"Profit","Loss")</f>
        <v>Profit</v>
      </c>
    </row>
    <row r="690" spans="1:14" x14ac:dyDescent="0.3">
      <c r="A690" t="s">
        <v>3197</v>
      </c>
      <c r="B690" s="3">
        <v>42919</v>
      </c>
      <c r="C690" t="s">
        <v>17</v>
      </c>
      <c r="D690" t="s">
        <v>10</v>
      </c>
      <c r="E690" t="s">
        <v>435</v>
      </c>
      <c r="F690" s="1">
        <v>49.08</v>
      </c>
      <c r="G690">
        <v>3</v>
      </c>
      <c r="H690" s="1">
        <v>4.9080000000000004</v>
      </c>
      <c r="I690" s="4">
        <f>SalesData[[#This Row],[Profit]]/SalesData[[#This Row],[Sales]]</f>
        <v>0.1</v>
      </c>
      <c r="J690">
        <f>YEAR(SalesData[[#This Row],[Order Date]])</f>
        <v>2017</v>
      </c>
      <c r="K690" t="str">
        <f>TEXT(SalesData[[#This Row],[Order Date]],"mmm")</f>
        <v>Jul</v>
      </c>
      <c r="L690">
        <f>MONTH(SalesData[[#This Row],[Order Date]])</f>
        <v>7</v>
      </c>
      <c r="M690">
        <f>SalesData[[#This Row],[Sales]]/SalesData[[#This Row],[Quantity]]</f>
        <v>16.36</v>
      </c>
      <c r="N690" t="str">
        <f>IF(SalesData[[#This Row],[Profit]]&gt;0,"Profit","Loss")</f>
        <v>Profit</v>
      </c>
    </row>
    <row r="691" spans="1:14" x14ac:dyDescent="0.3">
      <c r="A691" t="s">
        <v>3198</v>
      </c>
      <c r="B691" s="3">
        <v>42919</v>
      </c>
      <c r="C691" t="s">
        <v>17</v>
      </c>
      <c r="D691" t="s">
        <v>21</v>
      </c>
      <c r="E691" t="s">
        <v>1762</v>
      </c>
      <c r="F691" s="1">
        <v>25.92</v>
      </c>
      <c r="G691">
        <v>6</v>
      </c>
      <c r="H691" s="1">
        <v>9.0719999999999992</v>
      </c>
      <c r="I691" s="4">
        <f>SalesData[[#This Row],[Profit]]/SalesData[[#This Row],[Sales]]</f>
        <v>0.34999999999999992</v>
      </c>
      <c r="J691">
        <f>YEAR(SalesData[[#This Row],[Order Date]])</f>
        <v>2017</v>
      </c>
      <c r="K691" t="str">
        <f>TEXT(SalesData[[#This Row],[Order Date]],"mmm")</f>
        <v>Jul</v>
      </c>
      <c r="L691">
        <f>MONTH(SalesData[[#This Row],[Order Date]])</f>
        <v>7</v>
      </c>
      <c r="M691">
        <f>SalesData[[#This Row],[Sales]]/SalesData[[#This Row],[Quantity]]</f>
        <v>4.32</v>
      </c>
      <c r="N691" t="str">
        <f>IF(SalesData[[#This Row],[Profit]]&gt;0,"Profit","Loss")</f>
        <v>Profit</v>
      </c>
    </row>
    <row r="692" spans="1:14" x14ac:dyDescent="0.3">
      <c r="A692" t="s">
        <v>3198</v>
      </c>
      <c r="B692" s="3">
        <v>42919</v>
      </c>
      <c r="C692" t="s">
        <v>17</v>
      </c>
      <c r="D692" t="s">
        <v>21</v>
      </c>
      <c r="E692" t="s">
        <v>3153</v>
      </c>
      <c r="F692" s="1">
        <v>91.59</v>
      </c>
      <c r="G692">
        <v>3</v>
      </c>
      <c r="H692" s="1">
        <v>42.131399999999999</v>
      </c>
      <c r="I692" s="4">
        <f>SalesData[[#This Row],[Profit]]/SalesData[[#This Row],[Sales]]</f>
        <v>0.45999999999999996</v>
      </c>
      <c r="J692">
        <f>YEAR(SalesData[[#This Row],[Order Date]])</f>
        <v>2017</v>
      </c>
      <c r="K692" t="str">
        <f>TEXT(SalesData[[#This Row],[Order Date]],"mmm")</f>
        <v>Jul</v>
      </c>
      <c r="L692">
        <f>MONTH(SalesData[[#This Row],[Order Date]])</f>
        <v>7</v>
      </c>
      <c r="M692">
        <f>SalesData[[#This Row],[Sales]]/SalesData[[#This Row],[Quantity]]</f>
        <v>30.53</v>
      </c>
      <c r="N692" t="str">
        <f>IF(SalesData[[#This Row],[Profit]]&gt;0,"Profit","Loss")</f>
        <v>Profit</v>
      </c>
    </row>
    <row r="693" spans="1:14" x14ac:dyDescent="0.3">
      <c r="A693" t="s">
        <v>3199</v>
      </c>
      <c r="B693" s="3">
        <v>42920</v>
      </c>
      <c r="C693" t="s">
        <v>46</v>
      </c>
      <c r="D693" t="s">
        <v>14</v>
      </c>
      <c r="E693" t="s">
        <v>1114</v>
      </c>
      <c r="F693" s="1">
        <v>233.86</v>
      </c>
      <c r="G693">
        <v>2</v>
      </c>
      <c r="H693" s="1">
        <v>-102.048</v>
      </c>
      <c r="I693" s="4">
        <f>SalesData[[#This Row],[Profit]]/SalesData[[#This Row],[Sales]]</f>
        <v>-0.43636363636363634</v>
      </c>
      <c r="J693">
        <f>YEAR(SalesData[[#This Row],[Order Date]])</f>
        <v>2017</v>
      </c>
      <c r="K693" t="str">
        <f>TEXT(SalesData[[#This Row],[Order Date]],"mmm")</f>
        <v>Jul</v>
      </c>
      <c r="L693">
        <f>MONTH(SalesData[[#This Row],[Order Date]])</f>
        <v>7</v>
      </c>
      <c r="M693">
        <f>SalesData[[#This Row],[Sales]]/SalesData[[#This Row],[Quantity]]</f>
        <v>116.93</v>
      </c>
      <c r="N693" t="str">
        <f>IF(SalesData[[#This Row],[Profit]]&gt;0,"Profit","Loss")</f>
        <v>Loss</v>
      </c>
    </row>
    <row r="694" spans="1:14" x14ac:dyDescent="0.3">
      <c r="A694" t="s">
        <v>3199</v>
      </c>
      <c r="B694" s="3">
        <v>42920</v>
      </c>
      <c r="C694" t="s">
        <v>46</v>
      </c>
      <c r="D694" t="s">
        <v>14</v>
      </c>
      <c r="E694" t="s">
        <v>1041</v>
      </c>
      <c r="F694" s="1">
        <v>620.61450000000002</v>
      </c>
      <c r="G694">
        <v>3</v>
      </c>
      <c r="H694" s="1">
        <v>-248.2458</v>
      </c>
      <c r="I694" s="4">
        <f>SalesData[[#This Row],[Profit]]/SalesData[[#This Row],[Sales]]</f>
        <v>-0.39999999999999997</v>
      </c>
      <c r="J694">
        <f>YEAR(SalesData[[#This Row],[Order Date]])</f>
        <v>2017</v>
      </c>
      <c r="K694" t="str">
        <f>TEXT(SalesData[[#This Row],[Order Date]],"mmm")</f>
        <v>Jul</v>
      </c>
      <c r="L694">
        <f>MONTH(SalesData[[#This Row],[Order Date]])</f>
        <v>7</v>
      </c>
      <c r="M694">
        <f>SalesData[[#This Row],[Sales]]/SalesData[[#This Row],[Quantity]]</f>
        <v>206.8715</v>
      </c>
      <c r="N694" t="str">
        <f>IF(SalesData[[#This Row],[Profit]]&gt;0,"Profit","Loss")</f>
        <v>Loss</v>
      </c>
    </row>
    <row r="695" spans="1:14" x14ac:dyDescent="0.3">
      <c r="A695" t="s">
        <v>3199</v>
      </c>
      <c r="B695" s="3">
        <v>42920</v>
      </c>
      <c r="C695" t="s">
        <v>46</v>
      </c>
      <c r="D695" t="s">
        <v>21</v>
      </c>
      <c r="E695" t="s">
        <v>3200</v>
      </c>
      <c r="F695" s="1">
        <v>5.3280000000000003</v>
      </c>
      <c r="G695">
        <v>2</v>
      </c>
      <c r="H695" s="1">
        <v>-3.552</v>
      </c>
      <c r="I695" s="4">
        <f>SalesData[[#This Row],[Profit]]/SalesData[[#This Row],[Sales]]</f>
        <v>-0.66666666666666663</v>
      </c>
      <c r="J695">
        <f>YEAR(SalesData[[#This Row],[Order Date]])</f>
        <v>2017</v>
      </c>
      <c r="K695" t="str">
        <f>TEXT(SalesData[[#This Row],[Order Date]],"mmm")</f>
        <v>Jul</v>
      </c>
      <c r="L695">
        <f>MONTH(SalesData[[#This Row],[Order Date]])</f>
        <v>7</v>
      </c>
      <c r="M695">
        <f>SalesData[[#This Row],[Sales]]/SalesData[[#This Row],[Quantity]]</f>
        <v>2.6640000000000001</v>
      </c>
      <c r="N695" t="str">
        <f>IF(SalesData[[#This Row],[Profit]]&gt;0,"Profit","Loss")</f>
        <v>Loss</v>
      </c>
    </row>
    <row r="696" spans="1:14" x14ac:dyDescent="0.3">
      <c r="A696" t="s">
        <v>3199</v>
      </c>
      <c r="B696" s="3">
        <v>42920</v>
      </c>
      <c r="C696" t="s">
        <v>46</v>
      </c>
      <c r="D696" t="s">
        <v>14</v>
      </c>
      <c r="E696" t="s">
        <v>3201</v>
      </c>
      <c r="F696" s="1">
        <v>258.072</v>
      </c>
      <c r="G696">
        <v>3</v>
      </c>
      <c r="H696" s="1">
        <v>0</v>
      </c>
      <c r="I696" s="4">
        <f>SalesData[[#This Row],[Profit]]/SalesData[[#This Row],[Sales]]</f>
        <v>0</v>
      </c>
      <c r="J696">
        <f>YEAR(SalesData[[#This Row],[Order Date]])</f>
        <v>2017</v>
      </c>
      <c r="K696" t="str">
        <f>TEXT(SalesData[[#This Row],[Order Date]],"mmm")</f>
        <v>Jul</v>
      </c>
      <c r="L696">
        <f>MONTH(SalesData[[#This Row],[Order Date]])</f>
        <v>7</v>
      </c>
      <c r="M696">
        <f>SalesData[[#This Row],[Sales]]/SalesData[[#This Row],[Quantity]]</f>
        <v>86.024000000000001</v>
      </c>
      <c r="N696" t="str">
        <f>IF(SalesData[[#This Row],[Profit]]&gt;0,"Profit","Loss")</f>
        <v>Loss</v>
      </c>
    </row>
    <row r="697" spans="1:14" x14ac:dyDescent="0.3">
      <c r="A697" t="s">
        <v>3199</v>
      </c>
      <c r="B697" s="3">
        <v>42920</v>
      </c>
      <c r="C697" t="s">
        <v>46</v>
      </c>
      <c r="D697" t="s">
        <v>10</v>
      </c>
      <c r="E697" t="s">
        <v>2613</v>
      </c>
      <c r="F697" s="1">
        <v>617.976</v>
      </c>
      <c r="G697">
        <v>3</v>
      </c>
      <c r="H697" s="1">
        <v>-7.7247000000000003</v>
      </c>
      <c r="I697" s="4">
        <f>SalesData[[#This Row],[Profit]]/SalesData[[#This Row],[Sales]]</f>
        <v>-1.2500000000000001E-2</v>
      </c>
      <c r="J697">
        <f>YEAR(SalesData[[#This Row],[Order Date]])</f>
        <v>2017</v>
      </c>
      <c r="K697" t="str">
        <f>TEXT(SalesData[[#This Row],[Order Date]],"mmm")</f>
        <v>Jul</v>
      </c>
      <c r="L697">
        <f>MONTH(SalesData[[#This Row],[Order Date]])</f>
        <v>7</v>
      </c>
      <c r="M697">
        <f>SalesData[[#This Row],[Sales]]/SalesData[[#This Row],[Quantity]]</f>
        <v>205.99199999999999</v>
      </c>
      <c r="N697" t="str">
        <f>IF(SalesData[[#This Row],[Profit]]&gt;0,"Profit","Loss")</f>
        <v>Loss</v>
      </c>
    </row>
    <row r="698" spans="1:14" x14ac:dyDescent="0.3">
      <c r="A698" t="s">
        <v>3202</v>
      </c>
      <c r="B698" s="3">
        <v>42920</v>
      </c>
      <c r="C698" t="s">
        <v>46</v>
      </c>
      <c r="D698" t="s">
        <v>21</v>
      </c>
      <c r="E698" t="s">
        <v>957</v>
      </c>
      <c r="F698" s="1">
        <v>16.256</v>
      </c>
      <c r="G698">
        <v>2</v>
      </c>
      <c r="H698" s="1">
        <v>1.2192000000000001</v>
      </c>
      <c r="I698" s="4">
        <f>SalesData[[#This Row],[Profit]]/SalesData[[#This Row],[Sales]]</f>
        <v>7.4999999999999997E-2</v>
      </c>
      <c r="J698">
        <f>YEAR(SalesData[[#This Row],[Order Date]])</f>
        <v>2017</v>
      </c>
      <c r="K698" t="str">
        <f>TEXT(SalesData[[#This Row],[Order Date]],"mmm")</f>
        <v>Jul</v>
      </c>
      <c r="L698">
        <f>MONTH(SalesData[[#This Row],[Order Date]])</f>
        <v>7</v>
      </c>
      <c r="M698">
        <f>SalesData[[#This Row],[Sales]]/SalesData[[#This Row],[Quantity]]</f>
        <v>8.1280000000000001</v>
      </c>
      <c r="N698" t="str">
        <f>IF(SalesData[[#This Row],[Profit]]&gt;0,"Profit","Loss")</f>
        <v>Profit</v>
      </c>
    </row>
    <row r="699" spans="1:14" x14ac:dyDescent="0.3">
      <c r="A699" t="s">
        <v>3202</v>
      </c>
      <c r="B699" s="3">
        <v>42920</v>
      </c>
      <c r="C699" t="s">
        <v>46</v>
      </c>
      <c r="D699" t="s">
        <v>10</v>
      </c>
      <c r="E699" t="s">
        <v>975</v>
      </c>
      <c r="F699" s="1">
        <v>219.184</v>
      </c>
      <c r="G699">
        <v>2</v>
      </c>
      <c r="H699" s="1">
        <v>19.178599999999999</v>
      </c>
      <c r="I699" s="4">
        <f>SalesData[[#This Row],[Profit]]/SalesData[[#This Row],[Sales]]</f>
        <v>8.7499999999999994E-2</v>
      </c>
      <c r="J699">
        <f>YEAR(SalesData[[#This Row],[Order Date]])</f>
        <v>2017</v>
      </c>
      <c r="K699" t="str">
        <f>TEXT(SalesData[[#This Row],[Order Date]],"mmm")</f>
        <v>Jul</v>
      </c>
      <c r="L699">
        <f>MONTH(SalesData[[#This Row],[Order Date]])</f>
        <v>7</v>
      </c>
      <c r="M699">
        <f>SalesData[[#This Row],[Sales]]/SalesData[[#This Row],[Quantity]]</f>
        <v>109.592</v>
      </c>
      <c r="N699" t="str">
        <f>IF(SalesData[[#This Row],[Profit]]&gt;0,"Profit","Loss")</f>
        <v>Profit</v>
      </c>
    </row>
    <row r="700" spans="1:14" x14ac:dyDescent="0.3">
      <c r="A700" t="s">
        <v>3203</v>
      </c>
      <c r="B700" s="3">
        <v>42921</v>
      </c>
      <c r="C700" t="s">
        <v>9</v>
      </c>
      <c r="D700" t="s">
        <v>14</v>
      </c>
      <c r="E700" t="s">
        <v>1143</v>
      </c>
      <c r="F700" s="1">
        <v>1458.65</v>
      </c>
      <c r="G700">
        <v>5</v>
      </c>
      <c r="H700" s="1">
        <v>423.00850000000003</v>
      </c>
      <c r="I700" s="4">
        <f>SalesData[[#This Row],[Profit]]/SalesData[[#This Row],[Sales]]</f>
        <v>0.28999999999999998</v>
      </c>
      <c r="J700">
        <f>YEAR(SalesData[[#This Row],[Order Date]])</f>
        <v>2017</v>
      </c>
      <c r="K700" t="str">
        <f>TEXT(SalesData[[#This Row],[Order Date]],"mmm")</f>
        <v>Jul</v>
      </c>
      <c r="L700">
        <f>MONTH(SalesData[[#This Row],[Order Date]])</f>
        <v>7</v>
      </c>
      <c r="M700">
        <f>SalesData[[#This Row],[Sales]]/SalesData[[#This Row],[Quantity]]</f>
        <v>291.73</v>
      </c>
      <c r="N700" t="str">
        <f>IF(SalesData[[#This Row],[Profit]]&gt;0,"Profit","Loss")</f>
        <v>Profit</v>
      </c>
    </row>
    <row r="701" spans="1:14" x14ac:dyDescent="0.3">
      <c r="A701" t="s">
        <v>3203</v>
      </c>
      <c r="B701" s="3">
        <v>42921</v>
      </c>
      <c r="C701" t="s">
        <v>9</v>
      </c>
      <c r="D701" t="s">
        <v>14</v>
      </c>
      <c r="E701" t="s">
        <v>3204</v>
      </c>
      <c r="F701" s="1">
        <v>26.64</v>
      </c>
      <c r="G701">
        <v>1</v>
      </c>
      <c r="H701" s="1">
        <v>7.4592000000000001</v>
      </c>
      <c r="I701" s="4">
        <f>SalesData[[#This Row],[Profit]]/SalesData[[#This Row],[Sales]]</f>
        <v>0.27999999999999997</v>
      </c>
      <c r="J701">
        <f>YEAR(SalesData[[#This Row],[Order Date]])</f>
        <v>2017</v>
      </c>
      <c r="K701" t="str">
        <f>TEXT(SalesData[[#This Row],[Order Date]],"mmm")</f>
        <v>Jul</v>
      </c>
      <c r="L701">
        <f>MONTH(SalesData[[#This Row],[Order Date]])</f>
        <v>7</v>
      </c>
      <c r="M701">
        <f>SalesData[[#This Row],[Sales]]/SalesData[[#This Row],[Quantity]]</f>
        <v>26.64</v>
      </c>
      <c r="N701" t="str">
        <f>IF(SalesData[[#This Row],[Profit]]&gt;0,"Profit","Loss")</f>
        <v>Profit</v>
      </c>
    </row>
    <row r="702" spans="1:14" x14ac:dyDescent="0.3">
      <c r="A702" t="s">
        <v>3203</v>
      </c>
      <c r="B702" s="3">
        <v>42921</v>
      </c>
      <c r="C702" t="s">
        <v>9</v>
      </c>
      <c r="D702" t="s">
        <v>14</v>
      </c>
      <c r="E702" t="s">
        <v>1510</v>
      </c>
      <c r="F702" s="1">
        <v>476.8</v>
      </c>
      <c r="G702">
        <v>2</v>
      </c>
      <c r="H702" s="1">
        <v>119.2</v>
      </c>
      <c r="I702" s="4">
        <f>SalesData[[#This Row],[Profit]]/SalesData[[#This Row],[Sales]]</f>
        <v>0.25</v>
      </c>
      <c r="J702">
        <f>YEAR(SalesData[[#This Row],[Order Date]])</f>
        <v>2017</v>
      </c>
      <c r="K702" t="str">
        <f>TEXT(SalesData[[#This Row],[Order Date]],"mmm")</f>
        <v>Jul</v>
      </c>
      <c r="L702">
        <f>MONTH(SalesData[[#This Row],[Order Date]])</f>
        <v>7</v>
      </c>
      <c r="M702">
        <f>SalesData[[#This Row],[Sales]]/SalesData[[#This Row],[Quantity]]</f>
        <v>238.4</v>
      </c>
      <c r="N702" t="str">
        <f>IF(SalesData[[#This Row],[Profit]]&gt;0,"Profit","Loss")</f>
        <v>Profit</v>
      </c>
    </row>
    <row r="703" spans="1:14" x14ac:dyDescent="0.3">
      <c r="A703" t="s">
        <v>3203</v>
      </c>
      <c r="B703" s="3">
        <v>42921</v>
      </c>
      <c r="C703" t="s">
        <v>9</v>
      </c>
      <c r="D703" t="s">
        <v>21</v>
      </c>
      <c r="E703" t="s">
        <v>3205</v>
      </c>
      <c r="F703" s="1">
        <v>87.444000000000003</v>
      </c>
      <c r="G703">
        <v>2</v>
      </c>
      <c r="H703" s="1">
        <v>18.4604</v>
      </c>
      <c r="I703" s="4">
        <f>SalesData[[#This Row],[Profit]]/SalesData[[#This Row],[Sales]]</f>
        <v>0.21111111111111111</v>
      </c>
      <c r="J703">
        <f>YEAR(SalesData[[#This Row],[Order Date]])</f>
        <v>2017</v>
      </c>
      <c r="K703" t="str">
        <f>TEXT(SalesData[[#This Row],[Order Date]],"mmm")</f>
        <v>Jul</v>
      </c>
      <c r="L703">
        <f>MONTH(SalesData[[#This Row],[Order Date]])</f>
        <v>7</v>
      </c>
      <c r="M703">
        <f>SalesData[[#This Row],[Sales]]/SalesData[[#This Row],[Quantity]]</f>
        <v>43.722000000000001</v>
      </c>
      <c r="N703" t="str">
        <f>IF(SalesData[[#This Row],[Profit]]&gt;0,"Profit","Loss")</f>
        <v>Profit</v>
      </c>
    </row>
    <row r="704" spans="1:14" x14ac:dyDescent="0.3">
      <c r="A704" t="s">
        <v>3206</v>
      </c>
      <c r="B704" s="3">
        <v>42921</v>
      </c>
      <c r="C704" t="s">
        <v>13</v>
      </c>
      <c r="D704" t="s">
        <v>10</v>
      </c>
      <c r="E704" t="s">
        <v>236</v>
      </c>
      <c r="F704" s="1">
        <v>79.989999999999995</v>
      </c>
      <c r="G704">
        <v>1</v>
      </c>
      <c r="H704" s="1">
        <v>28.796399999999998</v>
      </c>
      <c r="I704" s="4">
        <f>SalesData[[#This Row],[Profit]]/SalesData[[#This Row],[Sales]]</f>
        <v>0.36</v>
      </c>
      <c r="J704">
        <f>YEAR(SalesData[[#This Row],[Order Date]])</f>
        <v>2017</v>
      </c>
      <c r="K704" t="str">
        <f>TEXT(SalesData[[#This Row],[Order Date]],"mmm")</f>
        <v>Jul</v>
      </c>
      <c r="L704">
        <f>MONTH(SalesData[[#This Row],[Order Date]])</f>
        <v>7</v>
      </c>
      <c r="M704">
        <f>SalesData[[#This Row],[Sales]]/SalesData[[#This Row],[Quantity]]</f>
        <v>79.989999999999995</v>
      </c>
      <c r="N704" t="str">
        <f>IF(SalesData[[#This Row],[Profit]]&gt;0,"Profit","Loss")</f>
        <v>Profit</v>
      </c>
    </row>
    <row r="705" spans="1:14" x14ac:dyDescent="0.3">
      <c r="A705" t="s">
        <v>3207</v>
      </c>
      <c r="B705" s="3">
        <v>42921</v>
      </c>
      <c r="C705" t="s">
        <v>13</v>
      </c>
      <c r="D705" t="s">
        <v>10</v>
      </c>
      <c r="E705" t="s">
        <v>3208</v>
      </c>
      <c r="F705" s="1">
        <v>419.94400000000002</v>
      </c>
      <c r="G705">
        <v>7</v>
      </c>
      <c r="H705" s="1">
        <v>52.493000000000002</v>
      </c>
      <c r="I705" s="4">
        <f>SalesData[[#This Row],[Profit]]/SalesData[[#This Row],[Sales]]</f>
        <v>0.125</v>
      </c>
      <c r="J705">
        <f>YEAR(SalesData[[#This Row],[Order Date]])</f>
        <v>2017</v>
      </c>
      <c r="K705" t="str">
        <f>TEXT(SalesData[[#This Row],[Order Date]],"mmm")</f>
        <v>Jul</v>
      </c>
      <c r="L705">
        <f>MONTH(SalesData[[#This Row],[Order Date]])</f>
        <v>7</v>
      </c>
      <c r="M705">
        <f>SalesData[[#This Row],[Sales]]/SalesData[[#This Row],[Quantity]]</f>
        <v>59.992000000000004</v>
      </c>
      <c r="N705" t="str">
        <f>IF(SalesData[[#This Row],[Profit]]&gt;0,"Profit","Loss")</f>
        <v>Profit</v>
      </c>
    </row>
    <row r="706" spans="1:14" x14ac:dyDescent="0.3">
      <c r="A706" t="s">
        <v>3209</v>
      </c>
      <c r="B706" s="3">
        <v>42923</v>
      </c>
      <c r="C706" t="s">
        <v>17</v>
      </c>
      <c r="D706" t="s">
        <v>21</v>
      </c>
      <c r="E706" t="s">
        <v>1640</v>
      </c>
      <c r="F706" s="1">
        <v>17.472000000000001</v>
      </c>
      <c r="G706">
        <v>3</v>
      </c>
      <c r="H706" s="1">
        <v>6.3335999999999997</v>
      </c>
      <c r="I706" s="4">
        <f>SalesData[[#This Row],[Profit]]/SalesData[[#This Row],[Sales]]</f>
        <v>0.36249999999999993</v>
      </c>
      <c r="J706">
        <f>YEAR(SalesData[[#This Row],[Order Date]])</f>
        <v>2017</v>
      </c>
      <c r="K706" t="str">
        <f>TEXT(SalesData[[#This Row],[Order Date]],"mmm")</f>
        <v>Jul</v>
      </c>
      <c r="L706">
        <f>MONTH(SalesData[[#This Row],[Order Date]])</f>
        <v>7</v>
      </c>
      <c r="M706">
        <f>SalesData[[#This Row],[Sales]]/SalesData[[#This Row],[Quantity]]</f>
        <v>5.8240000000000007</v>
      </c>
      <c r="N706" t="str">
        <f>IF(SalesData[[#This Row],[Profit]]&gt;0,"Profit","Loss")</f>
        <v>Profit</v>
      </c>
    </row>
    <row r="707" spans="1:14" x14ac:dyDescent="0.3">
      <c r="A707" t="s">
        <v>3210</v>
      </c>
      <c r="B707" s="3">
        <v>42923</v>
      </c>
      <c r="C707" t="s">
        <v>17</v>
      </c>
      <c r="D707" t="s">
        <v>10</v>
      </c>
      <c r="E707" t="s">
        <v>131</v>
      </c>
      <c r="F707" s="1">
        <v>252</v>
      </c>
      <c r="G707">
        <v>4</v>
      </c>
      <c r="H707" s="1">
        <v>93.24</v>
      </c>
      <c r="I707" s="4">
        <f>SalesData[[#This Row],[Profit]]/SalesData[[#This Row],[Sales]]</f>
        <v>0.37</v>
      </c>
      <c r="J707">
        <f>YEAR(SalesData[[#This Row],[Order Date]])</f>
        <v>2017</v>
      </c>
      <c r="K707" t="str">
        <f>TEXT(SalesData[[#This Row],[Order Date]],"mmm")</f>
        <v>Jul</v>
      </c>
      <c r="L707">
        <f>MONTH(SalesData[[#This Row],[Order Date]])</f>
        <v>7</v>
      </c>
      <c r="M707">
        <f>SalesData[[#This Row],[Sales]]/SalesData[[#This Row],[Quantity]]</f>
        <v>63</v>
      </c>
      <c r="N707" t="str">
        <f>IF(SalesData[[#This Row],[Profit]]&gt;0,"Profit","Loss")</f>
        <v>Profit</v>
      </c>
    </row>
    <row r="708" spans="1:14" x14ac:dyDescent="0.3">
      <c r="A708" t="s">
        <v>3211</v>
      </c>
      <c r="B708" s="3">
        <v>42923</v>
      </c>
      <c r="C708" t="s">
        <v>17</v>
      </c>
      <c r="D708" t="s">
        <v>14</v>
      </c>
      <c r="E708" t="s">
        <v>3212</v>
      </c>
      <c r="F708" s="1">
        <v>87.21</v>
      </c>
      <c r="G708">
        <v>3</v>
      </c>
      <c r="H708" s="1">
        <v>-45.349200000000003</v>
      </c>
      <c r="I708" s="4">
        <f>SalesData[[#This Row],[Profit]]/SalesData[[#This Row],[Sales]]</f>
        <v>-0.52000000000000013</v>
      </c>
      <c r="J708">
        <f>YEAR(SalesData[[#This Row],[Order Date]])</f>
        <v>2017</v>
      </c>
      <c r="K708" t="str">
        <f>TEXT(SalesData[[#This Row],[Order Date]],"mmm")</f>
        <v>Jul</v>
      </c>
      <c r="L708">
        <f>MONTH(SalesData[[#This Row],[Order Date]])</f>
        <v>7</v>
      </c>
      <c r="M708">
        <f>SalesData[[#This Row],[Sales]]/SalesData[[#This Row],[Quantity]]</f>
        <v>29.069999999999997</v>
      </c>
      <c r="N708" t="str">
        <f>IF(SalesData[[#This Row],[Profit]]&gt;0,"Profit","Loss")</f>
        <v>Loss</v>
      </c>
    </row>
    <row r="709" spans="1:14" x14ac:dyDescent="0.3">
      <c r="A709" t="s">
        <v>3211</v>
      </c>
      <c r="B709" s="3">
        <v>42923</v>
      </c>
      <c r="C709" t="s">
        <v>17</v>
      </c>
      <c r="D709" t="s">
        <v>21</v>
      </c>
      <c r="E709" t="s">
        <v>70</v>
      </c>
      <c r="F709" s="1">
        <v>15.552</v>
      </c>
      <c r="G709">
        <v>3</v>
      </c>
      <c r="H709" s="1">
        <v>5.4432</v>
      </c>
      <c r="I709" s="4">
        <f>SalesData[[#This Row],[Profit]]/SalesData[[#This Row],[Sales]]</f>
        <v>0.35000000000000003</v>
      </c>
      <c r="J709">
        <f>YEAR(SalesData[[#This Row],[Order Date]])</f>
        <v>2017</v>
      </c>
      <c r="K709" t="str">
        <f>TEXT(SalesData[[#This Row],[Order Date]],"mmm")</f>
        <v>Jul</v>
      </c>
      <c r="L709">
        <f>MONTH(SalesData[[#This Row],[Order Date]])</f>
        <v>7</v>
      </c>
      <c r="M709">
        <f>SalesData[[#This Row],[Sales]]/SalesData[[#This Row],[Quantity]]</f>
        <v>5.1840000000000002</v>
      </c>
      <c r="N709" t="str">
        <f>IF(SalesData[[#This Row],[Profit]]&gt;0,"Profit","Loss")</f>
        <v>Profit</v>
      </c>
    </row>
    <row r="710" spans="1:14" x14ac:dyDescent="0.3">
      <c r="A710" t="s">
        <v>3211</v>
      </c>
      <c r="B710" s="3">
        <v>42923</v>
      </c>
      <c r="C710" t="s">
        <v>17</v>
      </c>
      <c r="D710" t="s">
        <v>10</v>
      </c>
      <c r="E710" t="s">
        <v>3213</v>
      </c>
      <c r="F710" s="1">
        <v>683.98800000000006</v>
      </c>
      <c r="G710">
        <v>2</v>
      </c>
      <c r="H710" s="1">
        <v>-113.998</v>
      </c>
      <c r="I710" s="4">
        <f>SalesData[[#This Row],[Profit]]/SalesData[[#This Row],[Sales]]</f>
        <v>-0.16666666666666666</v>
      </c>
      <c r="J710">
        <f>YEAR(SalesData[[#This Row],[Order Date]])</f>
        <v>2017</v>
      </c>
      <c r="K710" t="str">
        <f>TEXT(SalesData[[#This Row],[Order Date]],"mmm")</f>
        <v>Jul</v>
      </c>
      <c r="L710">
        <f>MONTH(SalesData[[#This Row],[Order Date]])</f>
        <v>7</v>
      </c>
      <c r="M710">
        <f>SalesData[[#This Row],[Sales]]/SalesData[[#This Row],[Quantity]]</f>
        <v>341.99400000000003</v>
      </c>
      <c r="N710" t="str">
        <f>IF(SalesData[[#This Row],[Profit]]&gt;0,"Profit","Loss")</f>
        <v>Loss</v>
      </c>
    </row>
    <row r="711" spans="1:14" x14ac:dyDescent="0.3">
      <c r="A711" t="s">
        <v>3211</v>
      </c>
      <c r="B711" s="3">
        <v>42923</v>
      </c>
      <c r="C711" t="s">
        <v>17</v>
      </c>
      <c r="D711" t="s">
        <v>21</v>
      </c>
      <c r="E711" t="s">
        <v>3214</v>
      </c>
      <c r="F711" s="1">
        <v>13.391999999999999</v>
      </c>
      <c r="G711">
        <v>3</v>
      </c>
      <c r="H711" s="1">
        <v>1.0044</v>
      </c>
      <c r="I711" s="4">
        <f>SalesData[[#This Row],[Profit]]/SalesData[[#This Row],[Sales]]</f>
        <v>7.4999999999999997E-2</v>
      </c>
      <c r="J711">
        <f>YEAR(SalesData[[#This Row],[Order Date]])</f>
        <v>2017</v>
      </c>
      <c r="K711" t="str">
        <f>TEXT(SalesData[[#This Row],[Order Date]],"mmm")</f>
        <v>Jul</v>
      </c>
      <c r="L711">
        <f>MONTH(SalesData[[#This Row],[Order Date]])</f>
        <v>7</v>
      </c>
      <c r="M711">
        <f>SalesData[[#This Row],[Sales]]/SalesData[[#This Row],[Quantity]]</f>
        <v>4.4639999999999995</v>
      </c>
      <c r="N711" t="str">
        <f>IF(SalesData[[#This Row],[Profit]]&gt;0,"Profit","Loss")</f>
        <v>Profit</v>
      </c>
    </row>
    <row r="712" spans="1:14" x14ac:dyDescent="0.3">
      <c r="A712" t="s">
        <v>3211</v>
      </c>
      <c r="B712" s="3">
        <v>42923</v>
      </c>
      <c r="C712" t="s">
        <v>17</v>
      </c>
      <c r="D712" t="s">
        <v>10</v>
      </c>
      <c r="E712" t="s">
        <v>1677</v>
      </c>
      <c r="F712" s="1">
        <v>16.776</v>
      </c>
      <c r="G712">
        <v>3</v>
      </c>
      <c r="H712" s="1">
        <v>4.8231000000000002</v>
      </c>
      <c r="I712" s="4">
        <f>SalesData[[#This Row],[Profit]]/SalesData[[#This Row],[Sales]]</f>
        <v>0.28750000000000003</v>
      </c>
      <c r="J712">
        <f>YEAR(SalesData[[#This Row],[Order Date]])</f>
        <v>2017</v>
      </c>
      <c r="K712" t="str">
        <f>TEXT(SalesData[[#This Row],[Order Date]],"mmm")</f>
        <v>Jul</v>
      </c>
      <c r="L712">
        <f>MONTH(SalesData[[#This Row],[Order Date]])</f>
        <v>7</v>
      </c>
      <c r="M712">
        <f>SalesData[[#This Row],[Sales]]/SalesData[[#This Row],[Quantity]]</f>
        <v>5.5919999999999996</v>
      </c>
      <c r="N712" t="str">
        <f>IF(SalesData[[#This Row],[Profit]]&gt;0,"Profit","Loss")</f>
        <v>Profit</v>
      </c>
    </row>
    <row r="713" spans="1:14" x14ac:dyDescent="0.3">
      <c r="A713" t="s">
        <v>3211</v>
      </c>
      <c r="B713" s="3">
        <v>42923</v>
      </c>
      <c r="C713" t="s">
        <v>17</v>
      </c>
      <c r="D713" t="s">
        <v>10</v>
      </c>
      <c r="E713" t="s">
        <v>3215</v>
      </c>
      <c r="F713" s="1">
        <v>527.91999999999996</v>
      </c>
      <c r="G713">
        <v>2</v>
      </c>
      <c r="H713" s="1">
        <v>85.787000000000006</v>
      </c>
      <c r="I713" s="4">
        <f>SalesData[[#This Row],[Profit]]/SalesData[[#This Row],[Sales]]</f>
        <v>0.16250000000000003</v>
      </c>
      <c r="J713">
        <f>YEAR(SalesData[[#This Row],[Order Date]])</f>
        <v>2017</v>
      </c>
      <c r="K713" t="str">
        <f>TEXT(SalesData[[#This Row],[Order Date]],"mmm")</f>
        <v>Jul</v>
      </c>
      <c r="L713">
        <f>MONTH(SalesData[[#This Row],[Order Date]])</f>
        <v>7</v>
      </c>
      <c r="M713">
        <f>SalesData[[#This Row],[Sales]]/SalesData[[#This Row],[Quantity]]</f>
        <v>263.95999999999998</v>
      </c>
      <c r="N713" t="str">
        <f>IF(SalesData[[#This Row],[Profit]]&gt;0,"Profit","Loss")</f>
        <v>Profit</v>
      </c>
    </row>
    <row r="714" spans="1:14" x14ac:dyDescent="0.3">
      <c r="A714" t="s">
        <v>3216</v>
      </c>
      <c r="B714" s="3">
        <v>42923</v>
      </c>
      <c r="C714" t="s">
        <v>13</v>
      </c>
      <c r="D714" t="s">
        <v>21</v>
      </c>
      <c r="E714" t="s">
        <v>1091</v>
      </c>
      <c r="F714" s="1">
        <v>5.94</v>
      </c>
      <c r="G714">
        <v>3</v>
      </c>
      <c r="H714" s="1">
        <v>0.1188</v>
      </c>
      <c r="I714" s="4">
        <f>SalesData[[#This Row],[Profit]]/SalesData[[#This Row],[Sales]]</f>
        <v>0.02</v>
      </c>
      <c r="J714">
        <f>YEAR(SalesData[[#This Row],[Order Date]])</f>
        <v>2017</v>
      </c>
      <c r="K714" t="str">
        <f>TEXT(SalesData[[#This Row],[Order Date]],"mmm")</f>
        <v>Jul</v>
      </c>
      <c r="L714">
        <f>MONTH(SalesData[[#This Row],[Order Date]])</f>
        <v>7</v>
      </c>
      <c r="M714">
        <f>SalesData[[#This Row],[Sales]]/SalesData[[#This Row],[Quantity]]</f>
        <v>1.9800000000000002</v>
      </c>
      <c r="N714" t="str">
        <f>IF(SalesData[[#This Row],[Profit]]&gt;0,"Profit","Loss")</f>
        <v>Profit</v>
      </c>
    </row>
    <row r="715" spans="1:14" x14ac:dyDescent="0.3">
      <c r="A715" t="s">
        <v>3217</v>
      </c>
      <c r="B715" s="3">
        <v>42924</v>
      </c>
      <c r="C715" t="s">
        <v>46</v>
      </c>
      <c r="D715" t="s">
        <v>10</v>
      </c>
      <c r="E715" t="s">
        <v>533</v>
      </c>
      <c r="F715" s="1">
        <v>79.992000000000004</v>
      </c>
      <c r="G715">
        <v>1</v>
      </c>
      <c r="H715" s="1">
        <v>21.997800000000002</v>
      </c>
      <c r="I715" s="4">
        <f>SalesData[[#This Row],[Profit]]/SalesData[[#This Row],[Sales]]</f>
        <v>0.27500000000000002</v>
      </c>
      <c r="J715">
        <f>YEAR(SalesData[[#This Row],[Order Date]])</f>
        <v>2017</v>
      </c>
      <c r="K715" t="str">
        <f>TEXT(SalesData[[#This Row],[Order Date]],"mmm")</f>
        <v>Jul</v>
      </c>
      <c r="L715">
        <f>MONTH(SalesData[[#This Row],[Order Date]])</f>
        <v>7</v>
      </c>
      <c r="M715">
        <f>SalesData[[#This Row],[Sales]]/SalesData[[#This Row],[Quantity]]</f>
        <v>79.992000000000004</v>
      </c>
      <c r="N715" t="str">
        <f>IF(SalesData[[#This Row],[Profit]]&gt;0,"Profit","Loss")</f>
        <v>Profit</v>
      </c>
    </row>
    <row r="716" spans="1:14" x14ac:dyDescent="0.3">
      <c r="A716" t="s">
        <v>3218</v>
      </c>
      <c r="B716" s="3">
        <v>42924</v>
      </c>
      <c r="C716" t="s">
        <v>17</v>
      </c>
      <c r="D716" t="s">
        <v>21</v>
      </c>
      <c r="E716" t="s">
        <v>3219</v>
      </c>
      <c r="F716" s="1">
        <v>11.68</v>
      </c>
      <c r="G716">
        <v>2</v>
      </c>
      <c r="H716" s="1">
        <v>5.4896000000000003</v>
      </c>
      <c r="I716" s="4">
        <f>SalesData[[#This Row],[Profit]]/SalesData[[#This Row],[Sales]]</f>
        <v>0.47000000000000003</v>
      </c>
      <c r="J716">
        <f>YEAR(SalesData[[#This Row],[Order Date]])</f>
        <v>2017</v>
      </c>
      <c r="K716" t="str">
        <f>TEXT(SalesData[[#This Row],[Order Date]],"mmm")</f>
        <v>Jul</v>
      </c>
      <c r="L716">
        <f>MONTH(SalesData[[#This Row],[Order Date]])</f>
        <v>7</v>
      </c>
      <c r="M716">
        <f>SalesData[[#This Row],[Sales]]/SalesData[[#This Row],[Quantity]]</f>
        <v>5.84</v>
      </c>
      <c r="N716" t="str">
        <f>IF(SalesData[[#This Row],[Profit]]&gt;0,"Profit","Loss")</f>
        <v>Profit</v>
      </c>
    </row>
    <row r="717" spans="1:14" x14ac:dyDescent="0.3">
      <c r="A717" t="s">
        <v>3218</v>
      </c>
      <c r="B717" s="3">
        <v>42924</v>
      </c>
      <c r="C717" t="s">
        <v>17</v>
      </c>
      <c r="D717" t="s">
        <v>21</v>
      </c>
      <c r="E717" t="s">
        <v>1730</v>
      </c>
      <c r="F717" s="1">
        <v>104.8</v>
      </c>
      <c r="G717">
        <v>10</v>
      </c>
      <c r="H717" s="1">
        <v>26.2</v>
      </c>
      <c r="I717" s="4">
        <f>SalesData[[#This Row],[Profit]]/SalesData[[#This Row],[Sales]]</f>
        <v>0.25</v>
      </c>
      <c r="J717">
        <f>YEAR(SalesData[[#This Row],[Order Date]])</f>
        <v>2017</v>
      </c>
      <c r="K717" t="str">
        <f>TEXT(SalesData[[#This Row],[Order Date]],"mmm")</f>
        <v>Jul</v>
      </c>
      <c r="L717">
        <f>MONTH(SalesData[[#This Row],[Order Date]])</f>
        <v>7</v>
      </c>
      <c r="M717">
        <f>SalesData[[#This Row],[Sales]]/SalesData[[#This Row],[Quantity]]</f>
        <v>10.48</v>
      </c>
      <c r="N717" t="str">
        <f>IF(SalesData[[#This Row],[Profit]]&gt;0,"Profit","Loss")</f>
        <v>Profit</v>
      </c>
    </row>
    <row r="718" spans="1:14" x14ac:dyDescent="0.3">
      <c r="A718" t="s">
        <v>3220</v>
      </c>
      <c r="B718" s="3">
        <v>42924</v>
      </c>
      <c r="C718" t="s">
        <v>13</v>
      </c>
      <c r="D718" t="s">
        <v>10</v>
      </c>
      <c r="E718" t="s">
        <v>988</v>
      </c>
      <c r="F718" s="1">
        <v>159.96</v>
      </c>
      <c r="G718">
        <v>5</v>
      </c>
      <c r="H718" s="1">
        <v>17.9955</v>
      </c>
      <c r="I718" s="4">
        <f>SalesData[[#This Row],[Profit]]/SalesData[[#This Row],[Sales]]</f>
        <v>0.11249999999999999</v>
      </c>
      <c r="J718">
        <f>YEAR(SalesData[[#This Row],[Order Date]])</f>
        <v>2017</v>
      </c>
      <c r="K718" t="str">
        <f>TEXT(SalesData[[#This Row],[Order Date]],"mmm")</f>
        <v>Jul</v>
      </c>
      <c r="L718">
        <f>MONTH(SalesData[[#This Row],[Order Date]])</f>
        <v>7</v>
      </c>
      <c r="M718">
        <f>SalesData[[#This Row],[Sales]]/SalesData[[#This Row],[Quantity]]</f>
        <v>31.992000000000001</v>
      </c>
      <c r="N718" t="str">
        <f>IF(SalesData[[#This Row],[Profit]]&gt;0,"Profit","Loss")</f>
        <v>Profit</v>
      </c>
    </row>
    <row r="719" spans="1:14" x14ac:dyDescent="0.3">
      <c r="A719" t="s">
        <v>3220</v>
      </c>
      <c r="B719" s="3">
        <v>42924</v>
      </c>
      <c r="C719" t="s">
        <v>13</v>
      </c>
      <c r="D719" t="s">
        <v>21</v>
      </c>
      <c r="E719" t="s">
        <v>3221</v>
      </c>
      <c r="F719" s="1">
        <v>13.76</v>
      </c>
      <c r="G719">
        <v>2</v>
      </c>
      <c r="H719" s="1">
        <v>4.6440000000000001</v>
      </c>
      <c r="I719" s="4">
        <f>SalesData[[#This Row],[Profit]]/SalesData[[#This Row],[Sales]]</f>
        <v>0.33750000000000002</v>
      </c>
      <c r="J719">
        <f>YEAR(SalesData[[#This Row],[Order Date]])</f>
        <v>2017</v>
      </c>
      <c r="K719" t="str">
        <f>TEXT(SalesData[[#This Row],[Order Date]],"mmm")</f>
        <v>Jul</v>
      </c>
      <c r="L719">
        <f>MONTH(SalesData[[#This Row],[Order Date]])</f>
        <v>7</v>
      </c>
      <c r="M719">
        <f>SalesData[[#This Row],[Sales]]/SalesData[[#This Row],[Quantity]]</f>
        <v>6.88</v>
      </c>
      <c r="N719" t="str">
        <f>IF(SalesData[[#This Row],[Profit]]&gt;0,"Profit","Loss")</f>
        <v>Profit</v>
      </c>
    </row>
    <row r="720" spans="1:14" x14ac:dyDescent="0.3">
      <c r="A720" t="s">
        <v>3222</v>
      </c>
      <c r="B720" s="3">
        <v>42924</v>
      </c>
      <c r="C720" t="s">
        <v>9</v>
      </c>
      <c r="D720" t="s">
        <v>10</v>
      </c>
      <c r="E720" t="s">
        <v>3004</v>
      </c>
      <c r="F720" s="1">
        <v>63.96</v>
      </c>
      <c r="G720">
        <v>4</v>
      </c>
      <c r="H720" s="1">
        <v>19.8276</v>
      </c>
      <c r="I720" s="4">
        <f>SalesData[[#This Row],[Profit]]/SalesData[[#This Row],[Sales]]</f>
        <v>0.31</v>
      </c>
      <c r="J720">
        <f>YEAR(SalesData[[#This Row],[Order Date]])</f>
        <v>2017</v>
      </c>
      <c r="K720" t="str">
        <f>TEXT(SalesData[[#This Row],[Order Date]],"mmm")</f>
        <v>Jul</v>
      </c>
      <c r="L720">
        <f>MONTH(SalesData[[#This Row],[Order Date]])</f>
        <v>7</v>
      </c>
      <c r="M720">
        <f>SalesData[[#This Row],[Sales]]/SalesData[[#This Row],[Quantity]]</f>
        <v>15.99</v>
      </c>
      <c r="N720" t="str">
        <f>IF(SalesData[[#This Row],[Profit]]&gt;0,"Profit","Loss")</f>
        <v>Profit</v>
      </c>
    </row>
    <row r="721" spans="1:14" x14ac:dyDescent="0.3">
      <c r="A721" t="s">
        <v>3223</v>
      </c>
      <c r="B721" s="3">
        <v>42924</v>
      </c>
      <c r="C721" t="s">
        <v>13</v>
      </c>
      <c r="D721" t="s">
        <v>21</v>
      </c>
      <c r="E721" t="s">
        <v>389</v>
      </c>
      <c r="F721" s="1">
        <v>244.55</v>
      </c>
      <c r="G721">
        <v>5</v>
      </c>
      <c r="H721" s="1">
        <v>114.9385</v>
      </c>
      <c r="I721" s="4">
        <f>SalesData[[#This Row],[Profit]]/SalesData[[#This Row],[Sales]]</f>
        <v>0.47</v>
      </c>
      <c r="J721">
        <f>YEAR(SalesData[[#This Row],[Order Date]])</f>
        <v>2017</v>
      </c>
      <c r="K721" t="str">
        <f>TEXT(SalesData[[#This Row],[Order Date]],"mmm")</f>
        <v>Jul</v>
      </c>
      <c r="L721">
        <f>MONTH(SalesData[[#This Row],[Order Date]])</f>
        <v>7</v>
      </c>
      <c r="M721">
        <f>SalesData[[#This Row],[Sales]]/SalesData[[#This Row],[Quantity]]</f>
        <v>48.910000000000004</v>
      </c>
      <c r="N721" t="str">
        <f>IF(SalesData[[#This Row],[Profit]]&gt;0,"Profit","Loss")</f>
        <v>Profit</v>
      </c>
    </row>
    <row r="722" spans="1:14" x14ac:dyDescent="0.3">
      <c r="A722" t="s">
        <v>3224</v>
      </c>
      <c r="B722" s="3">
        <v>42924</v>
      </c>
      <c r="C722" t="s">
        <v>9</v>
      </c>
      <c r="D722" t="s">
        <v>10</v>
      </c>
      <c r="E722" t="s">
        <v>1176</v>
      </c>
      <c r="F722" s="1">
        <v>119.44799999999999</v>
      </c>
      <c r="G722">
        <v>3</v>
      </c>
      <c r="H722" s="1">
        <v>-13.437900000000001</v>
      </c>
      <c r="I722" s="4">
        <f>SalesData[[#This Row],[Profit]]/SalesData[[#This Row],[Sales]]</f>
        <v>-0.11250000000000002</v>
      </c>
      <c r="J722">
        <f>YEAR(SalesData[[#This Row],[Order Date]])</f>
        <v>2017</v>
      </c>
      <c r="K722" t="str">
        <f>TEXT(SalesData[[#This Row],[Order Date]],"mmm")</f>
        <v>Jul</v>
      </c>
      <c r="L722">
        <f>MONTH(SalesData[[#This Row],[Order Date]])</f>
        <v>7</v>
      </c>
      <c r="M722">
        <f>SalesData[[#This Row],[Sales]]/SalesData[[#This Row],[Quantity]]</f>
        <v>39.815999999999995</v>
      </c>
      <c r="N722" t="str">
        <f>IF(SalesData[[#This Row],[Profit]]&gt;0,"Profit","Loss")</f>
        <v>Loss</v>
      </c>
    </row>
    <row r="723" spans="1:14" x14ac:dyDescent="0.3">
      <c r="A723" t="s">
        <v>3224</v>
      </c>
      <c r="B723" s="3">
        <v>42924</v>
      </c>
      <c r="C723" t="s">
        <v>9</v>
      </c>
      <c r="D723" t="s">
        <v>21</v>
      </c>
      <c r="E723" t="s">
        <v>2774</v>
      </c>
      <c r="F723" s="1">
        <v>118.16</v>
      </c>
      <c r="G723">
        <v>2</v>
      </c>
      <c r="H723" s="1">
        <v>-25.109000000000002</v>
      </c>
      <c r="I723" s="4">
        <f>SalesData[[#This Row],[Profit]]/SalesData[[#This Row],[Sales]]</f>
        <v>-0.21250000000000002</v>
      </c>
      <c r="J723">
        <f>YEAR(SalesData[[#This Row],[Order Date]])</f>
        <v>2017</v>
      </c>
      <c r="K723" t="str">
        <f>TEXT(SalesData[[#This Row],[Order Date]],"mmm")</f>
        <v>Jul</v>
      </c>
      <c r="L723">
        <f>MONTH(SalesData[[#This Row],[Order Date]])</f>
        <v>7</v>
      </c>
      <c r="M723">
        <f>SalesData[[#This Row],[Sales]]/SalesData[[#This Row],[Quantity]]</f>
        <v>59.08</v>
      </c>
      <c r="N723" t="str">
        <f>IF(SalesData[[#This Row],[Profit]]&gt;0,"Profit","Loss")</f>
        <v>Loss</v>
      </c>
    </row>
    <row r="724" spans="1:14" x14ac:dyDescent="0.3">
      <c r="A724" t="s">
        <v>3225</v>
      </c>
      <c r="B724" s="3">
        <v>42924</v>
      </c>
      <c r="C724" t="s">
        <v>13</v>
      </c>
      <c r="D724" t="s">
        <v>10</v>
      </c>
      <c r="E724" t="s">
        <v>3226</v>
      </c>
      <c r="F724" s="1">
        <v>707.88</v>
      </c>
      <c r="G724">
        <v>3</v>
      </c>
      <c r="H724" s="1">
        <v>44.2425</v>
      </c>
      <c r="I724" s="4">
        <f>SalesData[[#This Row],[Profit]]/SalesData[[#This Row],[Sales]]</f>
        <v>6.25E-2</v>
      </c>
      <c r="J724">
        <f>YEAR(SalesData[[#This Row],[Order Date]])</f>
        <v>2017</v>
      </c>
      <c r="K724" t="str">
        <f>TEXT(SalesData[[#This Row],[Order Date]],"mmm")</f>
        <v>Jul</v>
      </c>
      <c r="L724">
        <f>MONTH(SalesData[[#This Row],[Order Date]])</f>
        <v>7</v>
      </c>
      <c r="M724">
        <f>SalesData[[#This Row],[Sales]]/SalesData[[#This Row],[Quantity]]</f>
        <v>235.96</v>
      </c>
      <c r="N724" t="str">
        <f>IF(SalesData[[#This Row],[Profit]]&gt;0,"Profit","Loss")</f>
        <v>Profit</v>
      </c>
    </row>
    <row r="725" spans="1:14" x14ac:dyDescent="0.3">
      <c r="A725" t="s">
        <v>3225</v>
      </c>
      <c r="B725" s="3">
        <v>42924</v>
      </c>
      <c r="C725" t="s">
        <v>13</v>
      </c>
      <c r="D725" t="s">
        <v>21</v>
      </c>
      <c r="E725" t="s">
        <v>53</v>
      </c>
      <c r="F725" s="1">
        <v>11.952</v>
      </c>
      <c r="G725">
        <v>3</v>
      </c>
      <c r="H725" s="1">
        <v>4.1832000000000003</v>
      </c>
      <c r="I725" s="4">
        <f>SalesData[[#This Row],[Profit]]/SalesData[[#This Row],[Sales]]</f>
        <v>0.35000000000000003</v>
      </c>
      <c r="J725">
        <f>YEAR(SalesData[[#This Row],[Order Date]])</f>
        <v>2017</v>
      </c>
      <c r="K725" t="str">
        <f>TEXT(SalesData[[#This Row],[Order Date]],"mmm")</f>
        <v>Jul</v>
      </c>
      <c r="L725">
        <f>MONTH(SalesData[[#This Row],[Order Date]])</f>
        <v>7</v>
      </c>
      <c r="M725">
        <f>SalesData[[#This Row],[Sales]]/SalesData[[#This Row],[Quantity]]</f>
        <v>3.984</v>
      </c>
      <c r="N725" t="str">
        <f>IF(SalesData[[#This Row],[Profit]]&gt;0,"Profit","Loss")</f>
        <v>Profit</v>
      </c>
    </row>
    <row r="726" spans="1:14" x14ac:dyDescent="0.3">
      <c r="A726" t="s">
        <v>3225</v>
      </c>
      <c r="B726" s="3">
        <v>42924</v>
      </c>
      <c r="C726" t="s">
        <v>13</v>
      </c>
      <c r="D726" t="s">
        <v>21</v>
      </c>
      <c r="E726" t="s">
        <v>2981</v>
      </c>
      <c r="F726" s="1">
        <v>31.128</v>
      </c>
      <c r="G726">
        <v>3</v>
      </c>
      <c r="H726" s="1">
        <v>11.673</v>
      </c>
      <c r="I726" s="4">
        <f>SalesData[[#This Row],[Profit]]/SalesData[[#This Row],[Sales]]</f>
        <v>0.375</v>
      </c>
      <c r="J726">
        <f>YEAR(SalesData[[#This Row],[Order Date]])</f>
        <v>2017</v>
      </c>
      <c r="K726" t="str">
        <f>TEXT(SalesData[[#This Row],[Order Date]],"mmm")</f>
        <v>Jul</v>
      </c>
      <c r="L726">
        <f>MONTH(SalesData[[#This Row],[Order Date]])</f>
        <v>7</v>
      </c>
      <c r="M726">
        <f>SalesData[[#This Row],[Sales]]/SalesData[[#This Row],[Quantity]]</f>
        <v>10.375999999999999</v>
      </c>
      <c r="N726" t="str">
        <f>IF(SalesData[[#This Row],[Profit]]&gt;0,"Profit","Loss")</f>
        <v>Profit</v>
      </c>
    </row>
    <row r="727" spans="1:14" x14ac:dyDescent="0.3">
      <c r="A727" t="s">
        <v>3225</v>
      </c>
      <c r="B727" s="3">
        <v>42924</v>
      </c>
      <c r="C727" t="s">
        <v>13</v>
      </c>
      <c r="D727" t="s">
        <v>10</v>
      </c>
      <c r="E727" t="s">
        <v>2039</v>
      </c>
      <c r="F727" s="1">
        <v>55.76</v>
      </c>
      <c r="G727">
        <v>4</v>
      </c>
      <c r="H727" s="1">
        <v>7.8064</v>
      </c>
      <c r="I727" s="4">
        <f>SalesData[[#This Row],[Profit]]/SalesData[[#This Row],[Sales]]</f>
        <v>0.14000000000000001</v>
      </c>
      <c r="J727">
        <f>YEAR(SalesData[[#This Row],[Order Date]])</f>
        <v>2017</v>
      </c>
      <c r="K727" t="str">
        <f>TEXT(SalesData[[#This Row],[Order Date]],"mmm")</f>
        <v>Jul</v>
      </c>
      <c r="L727">
        <f>MONTH(SalesData[[#This Row],[Order Date]])</f>
        <v>7</v>
      </c>
      <c r="M727">
        <f>SalesData[[#This Row],[Sales]]/SalesData[[#This Row],[Quantity]]</f>
        <v>13.94</v>
      </c>
      <c r="N727" t="str">
        <f>IF(SalesData[[#This Row],[Profit]]&gt;0,"Profit","Loss")</f>
        <v>Profit</v>
      </c>
    </row>
    <row r="728" spans="1:14" x14ac:dyDescent="0.3">
      <c r="A728" t="s">
        <v>3225</v>
      </c>
      <c r="B728" s="3">
        <v>42924</v>
      </c>
      <c r="C728" t="s">
        <v>13</v>
      </c>
      <c r="D728" t="s">
        <v>21</v>
      </c>
      <c r="E728" t="s">
        <v>920</v>
      </c>
      <c r="F728" s="1">
        <v>24.56</v>
      </c>
      <c r="G728">
        <v>2</v>
      </c>
      <c r="H728" s="1">
        <v>11.543200000000001</v>
      </c>
      <c r="I728" s="4">
        <f>SalesData[[#This Row],[Profit]]/SalesData[[#This Row],[Sales]]</f>
        <v>0.47000000000000003</v>
      </c>
      <c r="J728">
        <f>YEAR(SalesData[[#This Row],[Order Date]])</f>
        <v>2017</v>
      </c>
      <c r="K728" t="str">
        <f>TEXT(SalesData[[#This Row],[Order Date]],"mmm")</f>
        <v>Jul</v>
      </c>
      <c r="L728">
        <f>MONTH(SalesData[[#This Row],[Order Date]])</f>
        <v>7</v>
      </c>
      <c r="M728">
        <f>SalesData[[#This Row],[Sales]]/SalesData[[#This Row],[Quantity]]</f>
        <v>12.28</v>
      </c>
      <c r="N728" t="str">
        <f>IF(SalesData[[#This Row],[Profit]]&gt;0,"Profit","Loss")</f>
        <v>Profit</v>
      </c>
    </row>
    <row r="729" spans="1:14" x14ac:dyDescent="0.3">
      <c r="A729" t="s">
        <v>3225</v>
      </c>
      <c r="B729" s="3">
        <v>42924</v>
      </c>
      <c r="C729" t="s">
        <v>13</v>
      </c>
      <c r="D729" t="s">
        <v>14</v>
      </c>
      <c r="E729" t="s">
        <v>1761</v>
      </c>
      <c r="F729" s="1">
        <v>51.75</v>
      </c>
      <c r="G729">
        <v>1</v>
      </c>
      <c r="H729" s="1">
        <v>15.525</v>
      </c>
      <c r="I729" s="4">
        <f>SalesData[[#This Row],[Profit]]/SalesData[[#This Row],[Sales]]</f>
        <v>0.3</v>
      </c>
      <c r="J729">
        <f>YEAR(SalesData[[#This Row],[Order Date]])</f>
        <v>2017</v>
      </c>
      <c r="K729" t="str">
        <f>TEXT(SalesData[[#This Row],[Order Date]],"mmm")</f>
        <v>Jul</v>
      </c>
      <c r="L729">
        <f>MONTH(SalesData[[#This Row],[Order Date]])</f>
        <v>7</v>
      </c>
      <c r="M729">
        <f>SalesData[[#This Row],[Sales]]/SalesData[[#This Row],[Quantity]]</f>
        <v>51.75</v>
      </c>
      <c r="N729" t="str">
        <f>IF(SalesData[[#This Row],[Profit]]&gt;0,"Profit","Loss")</f>
        <v>Profit</v>
      </c>
    </row>
    <row r="730" spans="1:14" x14ac:dyDescent="0.3">
      <c r="A730" t="s">
        <v>3225</v>
      </c>
      <c r="B730" s="3">
        <v>42924</v>
      </c>
      <c r="C730" t="s">
        <v>13</v>
      </c>
      <c r="D730" t="s">
        <v>14</v>
      </c>
      <c r="E730" t="s">
        <v>3227</v>
      </c>
      <c r="F730" s="1">
        <v>207.184</v>
      </c>
      <c r="G730">
        <v>1</v>
      </c>
      <c r="H730" s="1">
        <v>25.898</v>
      </c>
      <c r="I730" s="4">
        <f>SalesData[[#This Row],[Profit]]/SalesData[[#This Row],[Sales]]</f>
        <v>0.125</v>
      </c>
      <c r="J730">
        <f>YEAR(SalesData[[#This Row],[Order Date]])</f>
        <v>2017</v>
      </c>
      <c r="K730" t="str">
        <f>TEXT(SalesData[[#This Row],[Order Date]],"mmm")</f>
        <v>Jul</v>
      </c>
      <c r="L730">
        <f>MONTH(SalesData[[#This Row],[Order Date]])</f>
        <v>7</v>
      </c>
      <c r="M730">
        <f>SalesData[[#This Row],[Sales]]/SalesData[[#This Row],[Quantity]]</f>
        <v>207.184</v>
      </c>
      <c r="N730" t="str">
        <f>IF(SalesData[[#This Row],[Profit]]&gt;0,"Profit","Loss")</f>
        <v>Profit</v>
      </c>
    </row>
    <row r="731" spans="1:14" x14ac:dyDescent="0.3">
      <c r="A731" t="s">
        <v>3225</v>
      </c>
      <c r="B731" s="3">
        <v>42924</v>
      </c>
      <c r="C731" t="s">
        <v>13</v>
      </c>
      <c r="D731" t="s">
        <v>21</v>
      </c>
      <c r="E731" t="s">
        <v>231</v>
      </c>
      <c r="F731" s="1">
        <v>1473.1</v>
      </c>
      <c r="G731">
        <v>5</v>
      </c>
      <c r="H731" s="1">
        <v>412.46800000000002</v>
      </c>
      <c r="I731" s="4">
        <f>SalesData[[#This Row],[Profit]]/SalesData[[#This Row],[Sales]]</f>
        <v>0.28000000000000003</v>
      </c>
      <c r="J731">
        <f>YEAR(SalesData[[#This Row],[Order Date]])</f>
        <v>2017</v>
      </c>
      <c r="K731" t="str">
        <f>TEXT(SalesData[[#This Row],[Order Date]],"mmm")</f>
        <v>Jul</v>
      </c>
      <c r="L731">
        <f>MONTH(SalesData[[#This Row],[Order Date]])</f>
        <v>7</v>
      </c>
      <c r="M731">
        <f>SalesData[[#This Row],[Sales]]/SalesData[[#This Row],[Quantity]]</f>
        <v>294.62</v>
      </c>
      <c r="N731" t="str">
        <f>IF(SalesData[[#This Row],[Profit]]&gt;0,"Profit","Loss")</f>
        <v>Profit</v>
      </c>
    </row>
    <row r="732" spans="1:14" x14ac:dyDescent="0.3">
      <c r="A732" t="s">
        <v>3228</v>
      </c>
      <c r="B732" s="3">
        <v>42925</v>
      </c>
      <c r="C732" t="s">
        <v>13</v>
      </c>
      <c r="D732" t="s">
        <v>14</v>
      </c>
      <c r="E732" t="s">
        <v>1934</v>
      </c>
      <c r="F732" s="1">
        <v>47.94</v>
      </c>
      <c r="G732">
        <v>3</v>
      </c>
      <c r="H732" s="1">
        <v>2.3969999999999998</v>
      </c>
      <c r="I732" s="4">
        <f>SalesData[[#This Row],[Profit]]/SalesData[[#This Row],[Sales]]</f>
        <v>4.9999999999999996E-2</v>
      </c>
      <c r="J732">
        <f>YEAR(SalesData[[#This Row],[Order Date]])</f>
        <v>2017</v>
      </c>
      <c r="K732" t="str">
        <f>TEXT(SalesData[[#This Row],[Order Date]],"mmm")</f>
        <v>Jul</v>
      </c>
      <c r="L732">
        <f>MONTH(SalesData[[#This Row],[Order Date]])</f>
        <v>7</v>
      </c>
      <c r="M732">
        <f>SalesData[[#This Row],[Sales]]/SalesData[[#This Row],[Quantity]]</f>
        <v>15.979999999999999</v>
      </c>
      <c r="N732" t="str">
        <f>IF(SalesData[[#This Row],[Profit]]&gt;0,"Profit","Loss")</f>
        <v>Profit</v>
      </c>
    </row>
    <row r="733" spans="1:14" x14ac:dyDescent="0.3">
      <c r="A733" t="s">
        <v>3229</v>
      </c>
      <c r="B733" s="3">
        <v>42925</v>
      </c>
      <c r="C733" t="s">
        <v>13</v>
      </c>
      <c r="D733" t="s">
        <v>21</v>
      </c>
      <c r="E733" t="s">
        <v>1379</v>
      </c>
      <c r="F733" s="1">
        <v>37.68</v>
      </c>
      <c r="G733">
        <v>3</v>
      </c>
      <c r="H733" s="1">
        <v>2.355</v>
      </c>
      <c r="I733" s="4">
        <f>SalesData[[#This Row],[Profit]]/SalesData[[#This Row],[Sales]]</f>
        <v>6.25E-2</v>
      </c>
      <c r="J733">
        <f>YEAR(SalesData[[#This Row],[Order Date]])</f>
        <v>2017</v>
      </c>
      <c r="K733" t="str">
        <f>TEXT(SalesData[[#This Row],[Order Date]],"mmm")</f>
        <v>Jul</v>
      </c>
      <c r="L733">
        <f>MONTH(SalesData[[#This Row],[Order Date]])</f>
        <v>7</v>
      </c>
      <c r="M733">
        <f>SalesData[[#This Row],[Sales]]/SalesData[[#This Row],[Quantity]]</f>
        <v>12.56</v>
      </c>
      <c r="N733" t="str">
        <f>IF(SalesData[[#This Row],[Profit]]&gt;0,"Profit","Loss")</f>
        <v>Profit</v>
      </c>
    </row>
    <row r="734" spans="1:14" x14ac:dyDescent="0.3">
      <c r="A734" t="s">
        <v>3229</v>
      </c>
      <c r="B734" s="3">
        <v>42925</v>
      </c>
      <c r="C734" t="s">
        <v>13</v>
      </c>
      <c r="D734" t="s">
        <v>10</v>
      </c>
      <c r="E734" t="s">
        <v>322</v>
      </c>
      <c r="F734" s="1">
        <v>279.94400000000002</v>
      </c>
      <c r="G734">
        <v>7</v>
      </c>
      <c r="H734" s="1">
        <v>80.483900000000006</v>
      </c>
      <c r="I734" s="4">
        <f>SalesData[[#This Row],[Profit]]/SalesData[[#This Row],[Sales]]</f>
        <v>0.28749999999999998</v>
      </c>
      <c r="J734">
        <f>YEAR(SalesData[[#This Row],[Order Date]])</f>
        <v>2017</v>
      </c>
      <c r="K734" t="str">
        <f>TEXT(SalesData[[#This Row],[Order Date]],"mmm")</f>
        <v>Jul</v>
      </c>
      <c r="L734">
        <f>MONTH(SalesData[[#This Row],[Order Date]])</f>
        <v>7</v>
      </c>
      <c r="M734">
        <f>SalesData[[#This Row],[Sales]]/SalesData[[#This Row],[Quantity]]</f>
        <v>39.992000000000004</v>
      </c>
      <c r="N734" t="str">
        <f>IF(SalesData[[#This Row],[Profit]]&gt;0,"Profit","Loss")</f>
        <v>Profit</v>
      </c>
    </row>
    <row r="735" spans="1:14" x14ac:dyDescent="0.3">
      <c r="A735" t="s">
        <v>3230</v>
      </c>
      <c r="B735" s="3">
        <v>42925</v>
      </c>
      <c r="C735" t="s">
        <v>17</v>
      </c>
      <c r="D735" t="s">
        <v>21</v>
      </c>
      <c r="E735" t="s">
        <v>1791</v>
      </c>
      <c r="F735" s="1">
        <v>478.08</v>
      </c>
      <c r="G735">
        <v>8</v>
      </c>
      <c r="H735" s="1">
        <v>133.86240000000001</v>
      </c>
      <c r="I735" s="4">
        <f>SalesData[[#This Row],[Profit]]/SalesData[[#This Row],[Sales]]</f>
        <v>0.28000000000000003</v>
      </c>
      <c r="J735">
        <f>YEAR(SalesData[[#This Row],[Order Date]])</f>
        <v>2017</v>
      </c>
      <c r="K735" t="str">
        <f>TEXT(SalesData[[#This Row],[Order Date]],"mmm")</f>
        <v>Jul</v>
      </c>
      <c r="L735">
        <f>MONTH(SalesData[[#This Row],[Order Date]])</f>
        <v>7</v>
      </c>
      <c r="M735">
        <f>SalesData[[#This Row],[Sales]]/SalesData[[#This Row],[Quantity]]</f>
        <v>59.76</v>
      </c>
      <c r="N735" t="str">
        <f>IF(SalesData[[#This Row],[Profit]]&gt;0,"Profit","Loss")</f>
        <v>Profit</v>
      </c>
    </row>
    <row r="736" spans="1:14" x14ac:dyDescent="0.3">
      <c r="A736" t="s">
        <v>3231</v>
      </c>
      <c r="B736" s="3">
        <v>42925</v>
      </c>
      <c r="C736" t="s">
        <v>9</v>
      </c>
      <c r="D736" t="s">
        <v>21</v>
      </c>
      <c r="E736" t="s">
        <v>94</v>
      </c>
      <c r="F736" s="1">
        <v>73.007999999999996</v>
      </c>
      <c r="G736">
        <v>9</v>
      </c>
      <c r="H736" s="1">
        <v>26.465399999999999</v>
      </c>
      <c r="I736" s="4">
        <f>SalesData[[#This Row],[Profit]]/SalesData[[#This Row],[Sales]]</f>
        <v>0.36249999999999999</v>
      </c>
      <c r="J736">
        <f>YEAR(SalesData[[#This Row],[Order Date]])</f>
        <v>2017</v>
      </c>
      <c r="K736" t="str">
        <f>TEXT(SalesData[[#This Row],[Order Date]],"mmm")</f>
        <v>Jul</v>
      </c>
      <c r="L736">
        <f>MONTH(SalesData[[#This Row],[Order Date]])</f>
        <v>7</v>
      </c>
      <c r="M736">
        <f>SalesData[[#This Row],[Sales]]/SalesData[[#This Row],[Quantity]]</f>
        <v>8.1120000000000001</v>
      </c>
      <c r="N736" t="str">
        <f>IF(SalesData[[#This Row],[Profit]]&gt;0,"Profit","Loss")</f>
        <v>Profit</v>
      </c>
    </row>
    <row r="737" spans="1:14" x14ac:dyDescent="0.3">
      <c r="A737" t="s">
        <v>3232</v>
      </c>
      <c r="B737" s="3">
        <v>42925</v>
      </c>
      <c r="C737" t="s">
        <v>9</v>
      </c>
      <c r="D737" t="s">
        <v>21</v>
      </c>
      <c r="E737" t="s">
        <v>1045</v>
      </c>
      <c r="F737" s="1">
        <v>1577.94</v>
      </c>
      <c r="G737">
        <v>3</v>
      </c>
      <c r="H737" s="1">
        <v>757.41120000000001</v>
      </c>
      <c r="I737" s="4">
        <f>SalesData[[#This Row],[Profit]]/SalesData[[#This Row],[Sales]]</f>
        <v>0.48</v>
      </c>
      <c r="J737">
        <f>YEAR(SalesData[[#This Row],[Order Date]])</f>
        <v>2017</v>
      </c>
      <c r="K737" t="str">
        <f>TEXT(SalesData[[#This Row],[Order Date]],"mmm")</f>
        <v>Jul</v>
      </c>
      <c r="L737">
        <f>MONTH(SalesData[[#This Row],[Order Date]])</f>
        <v>7</v>
      </c>
      <c r="M737">
        <f>SalesData[[#This Row],[Sales]]/SalesData[[#This Row],[Quantity]]</f>
        <v>525.98</v>
      </c>
      <c r="N737" t="str">
        <f>IF(SalesData[[#This Row],[Profit]]&gt;0,"Profit","Loss")</f>
        <v>Profit</v>
      </c>
    </row>
    <row r="738" spans="1:14" x14ac:dyDescent="0.3">
      <c r="A738" t="s">
        <v>3233</v>
      </c>
      <c r="B738" s="3">
        <v>42925</v>
      </c>
      <c r="C738" t="s">
        <v>13</v>
      </c>
      <c r="D738" t="s">
        <v>21</v>
      </c>
      <c r="E738" t="s">
        <v>760</v>
      </c>
      <c r="F738" s="1">
        <v>7.8570000000000002</v>
      </c>
      <c r="G738">
        <v>3</v>
      </c>
      <c r="H738" s="1">
        <v>-6.0236999999999998</v>
      </c>
      <c r="I738" s="4">
        <f>SalesData[[#This Row],[Profit]]/SalesData[[#This Row],[Sales]]</f>
        <v>-0.76666666666666661</v>
      </c>
      <c r="J738">
        <f>YEAR(SalesData[[#This Row],[Order Date]])</f>
        <v>2017</v>
      </c>
      <c r="K738" t="str">
        <f>TEXT(SalesData[[#This Row],[Order Date]],"mmm")</f>
        <v>Jul</v>
      </c>
      <c r="L738">
        <f>MONTH(SalesData[[#This Row],[Order Date]])</f>
        <v>7</v>
      </c>
      <c r="M738">
        <f>SalesData[[#This Row],[Sales]]/SalesData[[#This Row],[Quantity]]</f>
        <v>2.6190000000000002</v>
      </c>
      <c r="N738" t="str">
        <f>IF(SalesData[[#This Row],[Profit]]&gt;0,"Profit","Loss")</f>
        <v>Loss</v>
      </c>
    </row>
    <row r="739" spans="1:14" x14ac:dyDescent="0.3">
      <c r="A739" t="s">
        <v>3234</v>
      </c>
      <c r="B739" s="3">
        <v>42925</v>
      </c>
      <c r="C739" t="s">
        <v>17</v>
      </c>
      <c r="D739" t="s">
        <v>21</v>
      </c>
      <c r="E739" t="s">
        <v>359</v>
      </c>
      <c r="F739" s="1">
        <v>29.24</v>
      </c>
      <c r="G739">
        <v>5</v>
      </c>
      <c r="H739" s="1">
        <v>9.8684999999999992</v>
      </c>
      <c r="I739" s="4">
        <f>SalesData[[#This Row],[Profit]]/SalesData[[#This Row],[Sales]]</f>
        <v>0.33749999999999997</v>
      </c>
      <c r="J739">
        <f>YEAR(SalesData[[#This Row],[Order Date]])</f>
        <v>2017</v>
      </c>
      <c r="K739" t="str">
        <f>TEXT(SalesData[[#This Row],[Order Date]],"mmm")</f>
        <v>Jul</v>
      </c>
      <c r="L739">
        <f>MONTH(SalesData[[#This Row],[Order Date]])</f>
        <v>7</v>
      </c>
      <c r="M739">
        <f>SalesData[[#This Row],[Sales]]/SalesData[[#This Row],[Quantity]]</f>
        <v>5.8479999999999999</v>
      </c>
      <c r="N739" t="str">
        <f>IF(SalesData[[#This Row],[Profit]]&gt;0,"Profit","Loss")</f>
        <v>Profit</v>
      </c>
    </row>
    <row r="740" spans="1:14" x14ac:dyDescent="0.3">
      <c r="A740" t="s">
        <v>3234</v>
      </c>
      <c r="B740" s="3">
        <v>42925</v>
      </c>
      <c r="C740" t="s">
        <v>17</v>
      </c>
      <c r="D740" t="s">
        <v>21</v>
      </c>
      <c r="E740" t="s">
        <v>756</v>
      </c>
      <c r="F740" s="1">
        <v>15.552</v>
      </c>
      <c r="G740">
        <v>3</v>
      </c>
      <c r="H740" s="1">
        <v>5.4432</v>
      </c>
      <c r="I740" s="4">
        <f>SalesData[[#This Row],[Profit]]/SalesData[[#This Row],[Sales]]</f>
        <v>0.35000000000000003</v>
      </c>
      <c r="J740">
        <f>YEAR(SalesData[[#This Row],[Order Date]])</f>
        <v>2017</v>
      </c>
      <c r="K740" t="str">
        <f>TEXT(SalesData[[#This Row],[Order Date]],"mmm")</f>
        <v>Jul</v>
      </c>
      <c r="L740">
        <f>MONTH(SalesData[[#This Row],[Order Date]])</f>
        <v>7</v>
      </c>
      <c r="M740">
        <f>SalesData[[#This Row],[Sales]]/SalesData[[#This Row],[Quantity]]</f>
        <v>5.1840000000000002</v>
      </c>
      <c r="N740" t="str">
        <f>IF(SalesData[[#This Row],[Profit]]&gt;0,"Profit","Loss")</f>
        <v>Profit</v>
      </c>
    </row>
    <row r="741" spans="1:14" x14ac:dyDescent="0.3">
      <c r="A741" t="s">
        <v>3234</v>
      </c>
      <c r="B741" s="3">
        <v>42925</v>
      </c>
      <c r="C741" t="s">
        <v>17</v>
      </c>
      <c r="D741" t="s">
        <v>21</v>
      </c>
      <c r="E741" t="s">
        <v>1676</v>
      </c>
      <c r="F741" s="1">
        <v>4.8959999999999999</v>
      </c>
      <c r="G741">
        <v>3</v>
      </c>
      <c r="H741" s="1">
        <v>1.6524000000000001</v>
      </c>
      <c r="I741" s="4">
        <f>SalesData[[#This Row],[Profit]]/SalesData[[#This Row],[Sales]]</f>
        <v>0.33750000000000002</v>
      </c>
      <c r="J741">
        <f>YEAR(SalesData[[#This Row],[Order Date]])</f>
        <v>2017</v>
      </c>
      <c r="K741" t="str">
        <f>TEXT(SalesData[[#This Row],[Order Date]],"mmm")</f>
        <v>Jul</v>
      </c>
      <c r="L741">
        <f>MONTH(SalesData[[#This Row],[Order Date]])</f>
        <v>7</v>
      </c>
      <c r="M741">
        <f>SalesData[[#This Row],[Sales]]/SalesData[[#This Row],[Quantity]]</f>
        <v>1.6319999999999999</v>
      </c>
      <c r="N741" t="str">
        <f>IF(SalesData[[#This Row],[Profit]]&gt;0,"Profit","Loss")</f>
        <v>Profit</v>
      </c>
    </row>
    <row r="742" spans="1:14" x14ac:dyDescent="0.3">
      <c r="A742" t="s">
        <v>3235</v>
      </c>
      <c r="B742" s="3">
        <v>42925</v>
      </c>
      <c r="C742" t="s">
        <v>9</v>
      </c>
      <c r="D742" t="s">
        <v>10</v>
      </c>
      <c r="E742" t="s">
        <v>788</v>
      </c>
      <c r="F742" s="1">
        <v>13.48</v>
      </c>
      <c r="G742">
        <v>1</v>
      </c>
      <c r="H742" s="1">
        <v>1.8872</v>
      </c>
      <c r="I742" s="4">
        <f>SalesData[[#This Row],[Profit]]/SalesData[[#This Row],[Sales]]</f>
        <v>0.13999999999999999</v>
      </c>
      <c r="J742">
        <f>YEAR(SalesData[[#This Row],[Order Date]])</f>
        <v>2017</v>
      </c>
      <c r="K742" t="str">
        <f>TEXT(SalesData[[#This Row],[Order Date]],"mmm")</f>
        <v>Jul</v>
      </c>
      <c r="L742">
        <f>MONTH(SalesData[[#This Row],[Order Date]])</f>
        <v>7</v>
      </c>
      <c r="M742">
        <f>SalesData[[#This Row],[Sales]]/SalesData[[#This Row],[Quantity]]</f>
        <v>13.48</v>
      </c>
      <c r="N742" t="str">
        <f>IF(SalesData[[#This Row],[Profit]]&gt;0,"Profit","Loss")</f>
        <v>Profit</v>
      </c>
    </row>
    <row r="743" spans="1:14" x14ac:dyDescent="0.3">
      <c r="A743" t="s">
        <v>3236</v>
      </c>
      <c r="B743" s="3">
        <v>42925</v>
      </c>
      <c r="C743" t="s">
        <v>13</v>
      </c>
      <c r="D743" t="s">
        <v>14</v>
      </c>
      <c r="E743" t="s">
        <v>3237</v>
      </c>
      <c r="F743" s="1">
        <v>25.16</v>
      </c>
      <c r="G743">
        <v>2</v>
      </c>
      <c r="H743" s="1">
        <v>10.5672</v>
      </c>
      <c r="I743" s="4">
        <f>SalesData[[#This Row],[Profit]]/SalesData[[#This Row],[Sales]]</f>
        <v>0.42</v>
      </c>
      <c r="J743">
        <f>YEAR(SalesData[[#This Row],[Order Date]])</f>
        <v>2017</v>
      </c>
      <c r="K743" t="str">
        <f>TEXT(SalesData[[#This Row],[Order Date]],"mmm")</f>
        <v>Jul</v>
      </c>
      <c r="L743">
        <f>MONTH(SalesData[[#This Row],[Order Date]])</f>
        <v>7</v>
      </c>
      <c r="M743">
        <f>SalesData[[#This Row],[Sales]]/SalesData[[#This Row],[Quantity]]</f>
        <v>12.58</v>
      </c>
      <c r="N743" t="str">
        <f>IF(SalesData[[#This Row],[Profit]]&gt;0,"Profit","Loss")</f>
        <v>Profit</v>
      </c>
    </row>
    <row r="744" spans="1:14" x14ac:dyDescent="0.3">
      <c r="A744" t="s">
        <v>3236</v>
      </c>
      <c r="B744" s="3">
        <v>42925</v>
      </c>
      <c r="C744" t="s">
        <v>13</v>
      </c>
      <c r="D744" t="s">
        <v>10</v>
      </c>
      <c r="E744" t="s">
        <v>3238</v>
      </c>
      <c r="F744" s="1">
        <v>126.56</v>
      </c>
      <c r="G744">
        <v>4</v>
      </c>
      <c r="H744" s="1">
        <v>47.46</v>
      </c>
      <c r="I744" s="4">
        <f>SalesData[[#This Row],[Profit]]/SalesData[[#This Row],[Sales]]</f>
        <v>0.375</v>
      </c>
      <c r="J744">
        <f>YEAR(SalesData[[#This Row],[Order Date]])</f>
        <v>2017</v>
      </c>
      <c r="K744" t="str">
        <f>TEXT(SalesData[[#This Row],[Order Date]],"mmm")</f>
        <v>Jul</v>
      </c>
      <c r="L744">
        <f>MONTH(SalesData[[#This Row],[Order Date]])</f>
        <v>7</v>
      </c>
      <c r="M744">
        <f>SalesData[[#This Row],[Sales]]/SalesData[[#This Row],[Quantity]]</f>
        <v>31.64</v>
      </c>
      <c r="N744" t="str">
        <f>IF(SalesData[[#This Row],[Profit]]&gt;0,"Profit","Loss")</f>
        <v>Profit</v>
      </c>
    </row>
    <row r="745" spans="1:14" x14ac:dyDescent="0.3">
      <c r="A745" t="s">
        <v>3239</v>
      </c>
      <c r="B745" s="3">
        <v>42925</v>
      </c>
      <c r="C745" t="s">
        <v>13</v>
      </c>
      <c r="D745" t="s">
        <v>14</v>
      </c>
      <c r="E745" t="s">
        <v>2361</v>
      </c>
      <c r="F745" s="1">
        <v>19.760000000000002</v>
      </c>
      <c r="G745">
        <v>4</v>
      </c>
      <c r="H745" s="1">
        <v>8.2992000000000008</v>
      </c>
      <c r="I745" s="4">
        <f>SalesData[[#This Row],[Profit]]/SalesData[[#This Row],[Sales]]</f>
        <v>0.42</v>
      </c>
      <c r="J745">
        <f>YEAR(SalesData[[#This Row],[Order Date]])</f>
        <v>2017</v>
      </c>
      <c r="K745" t="str">
        <f>TEXT(SalesData[[#This Row],[Order Date]],"mmm")</f>
        <v>Jul</v>
      </c>
      <c r="L745">
        <f>MONTH(SalesData[[#This Row],[Order Date]])</f>
        <v>7</v>
      </c>
      <c r="M745">
        <f>SalesData[[#This Row],[Sales]]/SalesData[[#This Row],[Quantity]]</f>
        <v>4.9400000000000004</v>
      </c>
      <c r="N745" t="str">
        <f>IF(SalesData[[#This Row],[Profit]]&gt;0,"Profit","Loss")</f>
        <v>Profit</v>
      </c>
    </row>
    <row r="746" spans="1:14" x14ac:dyDescent="0.3">
      <c r="A746" t="s">
        <v>3240</v>
      </c>
      <c r="B746" s="3">
        <v>42925</v>
      </c>
      <c r="C746" t="s">
        <v>9</v>
      </c>
      <c r="D746" t="s">
        <v>10</v>
      </c>
      <c r="E746" t="s">
        <v>354</v>
      </c>
      <c r="F746" s="1">
        <v>113.52</v>
      </c>
      <c r="G746">
        <v>4</v>
      </c>
      <c r="H746" s="1">
        <v>46.543199999999999</v>
      </c>
      <c r="I746" s="4">
        <f>SalesData[[#This Row],[Profit]]/SalesData[[#This Row],[Sales]]</f>
        <v>0.41000000000000003</v>
      </c>
      <c r="J746">
        <f>YEAR(SalesData[[#This Row],[Order Date]])</f>
        <v>2017</v>
      </c>
      <c r="K746" t="str">
        <f>TEXT(SalesData[[#This Row],[Order Date]],"mmm")</f>
        <v>Jul</v>
      </c>
      <c r="L746">
        <f>MONTH(SalesData[[#This Row],[Order Date]])</f>
        <v>7</v>
      </c>
      <c r="M746">
        <f>SalesData[[#This Row],[Sales]]/SalesData[[#This Row],[Quantity]]</f>
        <v>28.38</v>
      </c>
      <c r="N746" t="str">
        <f>IF(SalesData[[#This Row],[Profit]]&gt;0,"Profit","Loss")</f>
        <v>Profit</v>
      </c>
    </row>
    <row r="747" spans="1:14" x14ac:dyDescent="0.3">
      <c r="A747" t="s">
        <v>3240</v>
      </c>
      <c r="B747" s="3">
        <v>42925</v>
      </c>
      <c r="C747" t="s">
        <v>9</v>
      </c>
      <c r="D747" t="s">
        <v>14</v>
      </c>
      <c r="E747" t="s">
        <v>1305</v>
      </c>
      <c r="F747" s="1">
        <v>135.30000000000001</v>
      </c>
      <c r="G747">
        <v>5</v>
      </c>
      <c r="H747" s="1">
        <v>37.884</v>
      </c>
      <c r="I747" s="4">
        <f>SalesData[[#This Row],[Profit]]/SalesData[[#This Row],[Sales]]</f>
        <v>0.27999999999999997</v>
      </c>
      <c r="J747">
        <f>YEAR(SalesData[[#This Row],[Order Date]])</f>
        <v>2017</v>
      </c>
      <c r="K747" t="str">
        <f>TEXT(SalesData[[#This Row],[Order Date]],"mmm")</f>
        <v>Jul</v>
      </c>
      <c r="L747">
        <f>MONTH(SalesData[[#This Row],[Order Date]])</f>
        <v>7</v>
      </c>
      <c r="M747">
        <f>SalesData[[#This Row],[Sales]]/SalesData[[#This Row],[Quantity]]</f>
        <v>27.060000000000002</v>
      </c>
      <c r="N747" t="str">
        <f>IF(SalesData[[#This Row],[Profit]]&gt;0,"Profit","Loss")</f>
        <v>Profit</v>
      </c>
    </row>
    <row r="748" spans="1:14" x14ac:dyDescent="0.3">
      <c r="A748" t="s">
        <v>3241</v>
      </c>
      <c r="B748" s="3">
        <v>42925</v>
      </c>
      <c r="C748" t="s">
        <v>13</v>
      </c>
      <c r="D748" t="s">
        <v>14</v>
      </c>
      <c r="E748" t="s">
        <v>1448</v>
      </c>
      <c r="F748" s="1">
        <v>161.56800000000001</v>
      </c>
      <c r="G748">
        <v>2</v>
      </c>
      <c r="H748" s="1">
        <v>-28.2744</v>
      </c>
      <c r="I748" s="4">
        <f>SalesData[[#This Row],[Profit]]/SalesData[[#This Row],[Sales]]</f>
        <v>-0.17499999999999999</v>
      </c>
      <c r="J748">
        <f>YEAR(SalesData[[#This Row],[Order Date]])</f>
        <v>2017</v>
      </c>
      <c r="K748" t="str">
        <f>TEXT(SalesData[[#This Row],[Order Date]],"mmm")</f>
        <v>Jul</v>
      </c>
      <c r="L748">
        <f>MONTH(SalesData[[#This Row],[Order Date]])</f>
        <v>7</v>
      </c>
      <c r="M748">
        <f>SalesData[[#This Row],[Sales]]/SalesData[[#This Row],[Quantity]]</f>
        <v>80.784000000000006</v>
      </c>
      <c r="N748" t="str">
        <f>IF(SalesData[[#This Row],[Profit]]&gt;0,"Profit","Loss")</f>
        <v>Loss</v>
      </c>
    </row>
    <row r="749" spans="1:14" x14ac:dyDescent="0.3">
      <c r="A749" t="s">
        <v>3242</v>
      </c>
      <c r="B749" s="3">
        <v>42925</v>
      </c>
      <c r="C749" t="s">
        <v>46</v>
      </c>
      <c r="D749" t="s">
        <v>21</v>
      </c>
      <c r="E749" t="s">
        <v>352</v>
      </c>
      <c r="F749" s="1">
        <v>81.567999999999998</v>
      </c>
      <c r="G749">
        <v>2</v>
      </c>
      <c r="H749" s="1">
        <v>7.1372</v>
      </c>
      <c r="I749" s="4">
        <f>SalesData[[#This Row],[Profit]]/SalesData[[#This Row],[Sales]]</f>
        <v>8.7500000000000008E-2</v>
      </c>
      <c r="J749">
        <f>YEAR(SalesData[[#This Row],[Order Date]])</f>
        <v>2017</v>
      </c>
      <c r="K749" t="str">
        <f>TEXT(SalesData[[#This Row],[Order Date]],"mmm")</f>
        <v>Jul</v>
      </c>
      <c r="L749">
        <f>MONTH(SalesData[[#This Row],[Order Date]])</f>
        <v>7</v>
      </c>
      <c r="M749">
        <f>SalesData[[#This Row],[Sales]]/SalesData[[#This Row],[Quantity]]</f>
        <v>40.783999999999999</v>
      </c>
      <c r="N749" t="str">
        <f>IF(SalesData[[#This Row],[Profit]]&gt;0,"Profit","Loss")</f>
        <v>Profit</v>
      </c>
    </row>
    <row r="750" spans="1:14" x14ac:dyDescent="0.3">
      <c r="A750" t="s">
        <v>3243</v>
      </c>
      <c r="B750" s="3">
        <v>42925</v>
      </c>
      <c r="C750" t="s">
        <v>13</v>
      </c>
      <c r="D750" t="s">
        <v>14</v>
      </c>
      <c r="E750" t="s">
        <v>3005</v>
      </c>
      <c r="F750" s="1">
        <v>80.959999999999994</v>
      </c>
      <c r="G750">
        <v>4</v>
      </c>
      <c r="H750" s="1">
        <v>34.812800000000003</v>
      </c>
      <c r="I750" s="4">
        <f>SalesData[[#This Row],[Profit]]/SalesData[[#This Row],[Sales]]</f>
        <v>0.43000000000000005</v>
      </c>
      <c r="J750">
        <f>YEAR(SalesData[[#This Row],[Order Date]])</f>
        <v>2017</v>
      </c>
      <c r="K750" t="str">
        <f>TEXT(SalesData[[#This Row],[Order Date]],"mmm")</f>
        <v>Jul</v>
      </c>
      <c r="L750">
        <f>MONTH(SalesData[[#This Row],[Order Date]])</f>
        <v>7</v>
      </c>
      <c r="M750">
        <f>SalesData[[#This Row],[Sales]]/SalesData[[#This Row],[Quantity]]</f>
        <v>20.239999999999998</v>
      </c>
      <c r="N750" t="str">
        <f>IF(SalesData[[#This Row],[Profit]]&gt;0,"Profit","Loss")</f>
        <v>Profit</v>
      </c>
    </row>
    <row r="751" spans="1:14" x14ac:dyDescent="0.3">
      <c r="A751" t="s">
        <v>3243</v>
      </c>
      <c r="B751" s="3">
        <v>42925</v>
      </c>
      <c r="C751" t="s">
        <v>13</v>
      </c>
      <c r="D751" t="s">
        <v>10</v>
      </c>
      <c r="E751" t="s">
        <v>743</v>
      </c>
      <c r="F751" s="1">
        <v>455.71199999999999</v>
      </c>
      <c r="G751">
        <v>2</v>
      </c>
      <c r="H751" s="1">
        <v>34.178400000000003</v>
      </c>
      <c r="I751" s="4">
        <f>SalesData[[#This Row],[Profit]]/SalesData[[#This Row],[Sales]]</f>
        <v>7.5000000000000011E-2</v>
      </c>
      <c r="J751">
        <f>YEAR(SalesData[[#This Row],[Order Date]])</f>
        <v>2017</v>
      </c>
      <c r="K751" t="str">
        <f>TEXT(SalesData[[#This Row],[Order Date]],"mmm")</f>
        <v>Jul</v>
      </c>
      <c r="L751">
        <f>MONTH(SalesData[[#This Row],[Order Date]])</f>
        <v>7</v>
      </c>
      <c r="M751">
        <f>SalesData[[#This Row],[Sales]]/SalesData[[#This Row],[Quantity]]</f>
        <v>227.85599999999999</v>
      </c>
      <c r="N751" t="str">
        <f>IF(SalesData[[#This Row],[Profit]]&gt;0,"Profit","Loss")</f>
        <v>Profit</v>
      </c>
    </row>
    <row r="752" spans="1:14" x14ac:dyDescent="0.3">
      <c r="A752" t="s">
        <v>3243</v>
      </c>
      <c r="B752" s="3">
        <v>42925</v>
      </c>
      <c r="C752" t="s">
        <v>13</v>
      </c>
      <c r="D752" t="s">
        <v>21</v>
      </c>
      <c r="E752" t="s">
        <v>3244</v>
      </c>
      <c r="F752" s="1">
        <v>25.98</v>
      </c>
      <c r="G752">
        <v>1</v>
      </c>
      <c r="H752" s="1">
        <v>7.2744</v>
      </c>
      <c r="I752" s="4">
        <f>SalesData[[#This Row],[Profit]]/SalesData[[#This Row],[Sales]]</f>
        <v>0.27999999999999997</v>
      </c>
      <c r="J752">
        <f>YEAR(SalesData[[#This Row],[Order Date]])</f>
        <v>2017</v>
      </c>
      <c r="K752" t="str">
        <f>TEXT(SalesData[[#This Row],[Order Date]],"mmm")</f>
        <v>Jul</v>
      </c>
      <c r="L752">
        <f>MONTH(SalesData[[#This Row],[Order Date]])</f>
        <v>7</v>
      </c>
      <c r="M752">
        <f>SalesData[[#This Row],[Sales]]/SalesData[[#This Row],[Quantity]]</f>
        <v>25.98</v>
      </c>
      <c r="N752" t="str">
        <f>IF(SalesData[[#This Row],[Profit]]&gt;0,"Profit","Loss")</f>
        <v>Profit</v>
      </c>
    </row>
    <row r="753" spans="1:14" x14ac:dyDescent="0.3">
      <c r="A753" t="s">
        <v>3245</v>
      </c>
      <c r="B753" s="3">
        <v>42925</v>
      </c>
      <c r="C753" t="s">
        <v>17</v>
      </c>
      <c r="D753" t="s">
        <v>21</v>
      </c>
      <c r="E753" t="s">
        <v>1095</v>
      </c>
      <c r="F753" s="1">
        <v>16.899999999999999</v>
      </c>
      <c r="G753">
        <v>5</v>
      </c>
      <c r="H753" s="1">
        <v>7.774</v>
      </c>
      <c r="I753" s="4">
        <f>SalesData[[#This Row],[Profit]]/SalesData[[#This Row],[Sales]]</f>
        <v>0.46</v>
      </c>
      <c r="J753">
        <f>YEAR(SalesData[[#This Row],[Order Date]])</f>
        <v>2017</v>
      </c>
      <c r="K753" t="str">
        <f>TEXT(SalesData[[#This Row],[Order Date]],"mmm")</f>
        <v>Jul</v>
      </c>
      <c r="L753">
        <f>MONTH(SalesData[[#This Row],[Order Date]])</f>
        <v>7</v>
      </c>
      <c r="M753">
        <f>SalesData[[#This Row],[Sales]]/SalesData[[#This Row],[Quantity]]</f>
        <v>3.38</v>
      </c>
      <c r="N753" t="str">
        <f>IF(SalesData[[#This Row],[Profit]]&gt;0,"Profit","Loss")</f>
        <v>Profit</v>
      </c>
    </row>
    <row r="754" spans="1:14" x14ac:dyDescent="0.3">
      <c r="A754" t="s">
        <v>3245</v>
      </c>
      <c r="B754" s="3">
        <v>42925</v>
      </c>
      <c r="C754" t="s">
        <v>17</v>
      </c>
      <c r="D754" t="s">
        <v>21</v>
      </c>
      <c r="E754" t="s">
        <v>2280</v>
      </c>
      <c r="F754" s="1">
        <v>39.96</v>
      </c>
      <c r="G754">
        <v>2</v>
      </c>
      <c r="H754" s="1">
        <v>18.781199999999998</v>
      </c>
      <c r="I754" s="4">
        <f>SalesData[[#This Row],[Profit]]/SalesData[[#This Row],[Sales]]</f>
        <v>0.47</v>
      </c>
      <c r="J754">
        <f>YEAR(SalesData[[#This Row],[Order Date]])</f>
        <v>2017</v>
      </c>
      <c r="K754" t="str">
        <f>TEXT(SalesData[[#This Row],[Order Date]],"mmm")</f>
        <v>Jul</v>
      </c>
      <c r="L754">
        <f>MONTH(SalesData[[#This Row],[Order Date]])</f>
        <v>7</v>
      </c>
      <c r="M754">
        <f>SalesData[[#This Row],[Sales]]/SalesData[[#This Row],[Quantity]]</f>
        <v>19.98</v>
      </c>
      <c r="N754" t="str">
        <f>IF(SalesData[[#This Row],[Profit]]&gt;0,"Profit","Loss")</f>
        <v>Profit</v>
      </c>
    </row>
    <row r="755" spans="1:14" x14ac:dyDescent="0.3">
      <c r="A755" t="s">
        <v>3246</v>
      </c>
      <c r="B755" s="3">
        <v>42926</v>
      </c>
      <c r="C755" t="s">
        <v>13</v>
      </c>
      <c r="D755" t="s">
        <v>14</v>
      </c>
      <c r="E755" t="s">
        <v>1423</v>
      </c>
      <c r="F755" s="1">
        <v>307.666</v>
      </c>
      <c r="G755">
        <v>2</v>
      </c>
      <c r="H755" s="1">
        <v>-14.478400000000001</v>
      </c>
      <c r="I755" s="4">
        <f>SalesData[[#This Row],[Profit]]/SalesData[[#This Row],[Sales]]</f>
        <v>-4.7058823529411764E-2</v>
      </c>
      <c r="J755">
        <f>YEAR(SalesData[[#This Row],[Order Date]])</f>
        <v>2017</v>
      </c>
      <c r="K755" t="str">
        <f>TEXT(SalesData[[#This Row],[Order Date]],"mmm")</f>
        <v>Jul</v>
      </c>
      <c r="L755">
        <f>MONTH(SalesData[[#This Row],[Order Date]])</f>
        <v>7</v>
      </c>
      <c r="M755">
        <f>SalesData[[#This Row],[Sales]]/SalesData[[#This Row],[Quantity]]</f>
        <v>153.833</v>
      </c>
      <c r="N755" t="str">
        <f>IF(SalesData[[#This Row],[Profit]]&gt;0,"Profit","Loss")</f>
        <v>Loss</v>
      </c>
    </row>
    <row r="756" spans="1:14" x14ac:dyDescent="0.3">
      <c r="A756" t="s">
        <v>3247</v>
      </c>
      <c r="B756" s="3">
        <v>42926</v>
      </c>
      <c r="C756" t="s">
        <v>13</v>
      </c>
      <c r="D756" t="s">
        <v>10</v>
      </c>
      <c r="E756" t="s">
        <v>1296</v>
      </c>
      <c r="F756" s="1">
        <v>1115.9100000000001</v>
      </c>
      <c r="G756">
        <v>9</v>
      </c>
      <c r="H756" s="1">
        <v>200.8638</v>
      </c>
      <c r="I756" s="4">
        <f>SalesData[[#This Row],[Profit]]/SalesData[[#This Row],[Sales]]</f>
        <v>0.18</v>
      </c>
      <c r="J756">
        <f>YEAR(SalesData[[#This Row],[Order Date]])</f>
        <v>2017</v>
      </c>
      <c r="K756" t="str">
        <f>TEXT(SalesData[[#This Row],[Order Date]],"mmm")</f>
        <v>Jul</v>
      </c>
      <c r="L756">
        <f>MONTH(SalesData[[#This Row],[Order Date]])</f>
        <v>7</v>
      </c>
      <c r="M756">
        <f>SalesData[[#This Row],[Sales]]/SalesData[[#This Row],[Quantity]]</f>
        <v>123.99000000000001</v>
      </c>
      <c r="N756" t="str">
        <f>IF(SalesData[[#This Row],[Profit]]&gt;0,"Profit","Loss")</f>
        <v>Profit</v>
      </c>
    </row>
    <row r="757" spans="1:14" x14ac:dyDescent="0.3">
      <c r="A757" t="s">
        <v>3247</v>
      </c>
      <c r="B757" s="3">
        <v>42926</v>
      </c>
      <c r="C757" t="s">
        <v>13</v>
      </c>
      <c r="D757" t="s">
        <v>10</v>
      </c>
      <c r="E757" t="s">
        <v>2452</v>
      </c>
      <c r="F757" s="1">
        <v>128.744</v>
      </c>
      <c r="G757">
        <v>7</v>
      </c>
      <c r="H757" s="1">
        <v>-28.967400000000001</v>
      </c>
      <c r="I757" s="4">
        <f>SalesData[[#This Row],[Profit]]/SalesData[[#This Row],[Sales]]</f>
        <v>-0.22500000000000001</v>
      </c>
      <c r="J757">
        <f>YEAR(SalesData[[#This Row],[Order Date]])</f>
        <v>2017</v>
      </c>
      <c r="K757" t="str">
        <f>TEXT(SalesData[[#This Row],[Order Date]],"mmm")</f>
        <v>Jul</v>
      </c>
      <c r="L757">
        <f>MONTH(SalesData[[#This Row],[Order Date]])</f>
        <v>7</v>
      </c>
      <c r="M757">
        <f>SalesData[[#This Row],[Sales]]/SalesData[[#This Row],[Quantity]]</f>
        <v>18.391999999999999</v>
      </c>
      <c r="N757" t="str">
        <f>IF(SalesData[[#This Row],[Profit]]&gt;0,"Profit","Loss")</f>
        <v>Loss</v>
      </c>
    </row>
    <row r="758" spans="1:14" x14ac:dyDescent="0.3">
      <c r="A758" t="s">
        <v>3247</v>
      </c>
      <c r="B758" s="3">
        <v>42926</v>
      </c>
      <c r="C758" t="s">
        <v>13</v>
      </c>
      <c r="D758" t="s">
        <v>10</v>
      </c>
      <c r="E758" t="s">
        <v>2940</v>
      </c>
      <c r="F758" s="1">
        <v>79.92</v>
      </c>
      <c r="G758">
        <v>10</v>
      </c>
      <c r="H758" s="1">
        <v>26.972999999999999</v>
      </c>
      <c r="I758" s="4">
        <f>SalesData[[#This Row],[Profit]]/SalesData[[#This Row],[Sales]]</f>
        <v>0.33749999999999997</v>
      </c>
      <c r="J758">
        <f>YEAR(SalesData[[#This Row],[Order Date]])</f>
        <v>2017</v>
      </c>
      <c r="K758" t="str">
        <f>TEXT(SalesData[[#This Row],[Order Date]],"mmm")</f>
        <v>Jul</v>
      </c>
      <c r="L758">
        <f>MONTH(SalesData[[#This Row],[Order Date]])</f>
        <v>7</v>
      </c>
      <c r="M758">
        <f>SalesData[[#This Row],[Sales]]/SalesData[[#This Row],[Quantity]]</f>
        <v>7.992</v>
      </c>
      <c r="N758" t="str">
        <f>IF(SalesData[[#This Row],[Profit]]&gt;0,"Profit","Loss")</f>
        <v>Profit</v>
      </c>
    </row>
    <row r="759" spans="1:14" x14ac:dyDescent="0.3">
      <c r="A759" t="s">
        <v>3248</v>
      </c>
      <c r="B759" s="3">
        <v>42926</v>
      </c>
      <c r="C759" t="s">
        <v>46</v>
      </c>
      <c r="D759" t="s">
        <v>21</v>
      </c>
      <c r="E759" t="s">
        <v>192</v>
      </c>
      <c r="F759" s="1">
        <v>580.67200000000003</v>
      </c>
      <c r="G759">
        <v>4</v>
      </c>
      <c r="H759" s="1">
        <v>65.325599999999994</v>
      </c>
      <c r="I759" s="4">
        <f>SalesData[[#This Row],[Profit]]/SalesData[[#This Row],[Sales]]</f>
        <v>0.11249999999999999</v>
      </c>
      <c r="J759">
        <f>YEAR(SalesData[[#This Row],[Order Date]])</f>
        <v>2017</v>
      </c>
      <c r="K759" t="str">
        <f>TEXT(SalesData[[#This Row],[Order Date]],"mmm")</f>
        <v>Jul</v>
      </c>
      <c r="L759">
        <f>MONTH(SalesData[[#This Row],[Order Date]])</f>
        <v>7</v>
      </c>
      <c r="M759">
        <f>SalesData[[#This Row],[Sales]]/SalesData[[#This Row],[Quantity]]</f>
        <v>145.16800000000001</v>
      </c>
      <c r="N759" t="str">
        <f>IF(SalesData[[#This Row],[Profit]]&gt;0,"Profit","Loss")</f>
        <v>Profit</v>
      </c>
    </row>
    <row r="760" spans="1:14" x14ac:dyDescent="0.3">
      <c r="A760" t="s">
        <v>3248</v>
      </c>
      <c r="B760" s="3">
        <v>42926</v>
      </c>
      <c r="C760" t="s">
        <v>46</v>
      </c>
      <c r="D760" t="s">
        <v>21</v>
      </c>
      <c r="E760" t="s">
        <v>83</v>
      </c>
      <c r="F760" s="1">
        <v>18.936</v>
      </c>
      <c r="G760">
        <v>3</v>
      </c>
      <c r="H760" s="1">
        <v>5.9175000000000004</v>
      </c>
      <c r="I760" s="4">
        <f>SalesData[[#This Row],[Profit]]/SalesData[[#This Row],[Sales]]</f>
        <v>0.3125</v>
      </c>
      <c r="J760">
        <f>YEAR(SalesData[[#This Row],[Order Date]])</f>
        <v>2017</v>
      </c>
      <c r="K760" t="str">
        <f>TEXT(SalesData[[#This Row],[Order Date]],"mmm")</f>
        <v>Jul</v>
      </c>
      <c r="L760">
        <f>MONTH(SalesData[[#This Row],[Order Date]])</f>
        <v>7</v>
      </c>
      <c r="M760">
        <f>SalesData[[#This Row],[Sales]]/SalesData[[#This Row],[Quantity]]</f>
        <v>6.3120000000000003</v>
      </c>
      <c r="N760" t="str">
        <f>IF(SalesData[[#This Row],[Profit]]&gt;0,"Profit","Loss")</f>
        <v>Profit</v>
      </c>
    </row>
    <row r="761" spans="1:14" x14ac:dyDescent="0.3">
      <c r="A761" t="s">
        <v>3248</v>
      </c>
      <c r="B761" s="3">
        <v>42926</v>
      </c>
      <c r="C761" t="s">
        <v>46</v>
      </c>
      <c r="D761" t="s">
        <v>10</v>
      </c>
      <c r="E761" t="s">
        <v>716</v>
      </c>
      <c r="F761" s="1">
        <v>222.38399999999999</v>
      </c>
      <c r="G761">
        <v>2</v>
      </c>
      <c r="H761" s="1">
        <v>16.678799999999999</v>
      </c>
      <c r="I761" s="4">
        <f>SalesData[[#This Row],[Profit]]/SalesData[[#This Row],[Sales]]</f>
        <v>7.4999999999999997E-2</v>
      </c>
      <c r="J761">
        <f>YEAR(SalesData[[#This Row],[Order Date]])</f>
        <v>2017</v>
      </c>
      <c r="K761" t="str">
        <f>TEXT(SalesData[[#This Row],[Order Date]],"mmm")</f>
        <v>Jul</v>
      </c>
      <c r="L761">
        <f>MONTH(SalesData[[#This Row],[Order Date]])</f>
        <v>7</v>
      </c>
      <c r="M761">
        <f>SalesData[[#This Row],[Sales]]/SalesData[[#This Row],[Quantity]]</f>
        <v>111.19199999999999</v>
      </c>
      <c r="N761" t="str">
        <f>IF(SalesData[[#This Row],[Profit]]&gt;0,"Profit","Loss")</f>
        <v>Profit</v>
      </c>
    </row>
    <row r="762" spans="1:14" x14ac:dyDescent="0.3">
      <c r="A762" t="s">
        <v>3248</v>
      </c>
      <c r="B762" s="3">
        <v>42926</v>
      </c>
      <c r="C762" t="s">
        <v>46</v>
      </c>
      <c r="D762" t="s">
        <v>21</v>
      </c>
      <c r="E762" t="s">
        <v>999</v>
      </c>
      <c r="F762" s="1">
        <v>50.454000000000001</v>
      </c>
      <c r="G762">
        <v>6</v>
      </c>
      <c r="H762" s="1">
        <v>-33.636000000000003</v>
      </c>
      <c r="I762" s="4">
        <f>SalesData[[#This Row],[Profit]]/SalesData[[#This Row],[Sales]]</f>
        <v>-0.66666666666666674</v>
      </c>
      <c r="J762">
        <f>YEAR(SalesData[[#This Row],[Order Date]])</f>
        <v>2017</v>
      </c>
      <c r="K762" t="str">
        <f>TEXT(SalesData[[#This Row],[Order Date]],"mmm")</f>
        <v>Jul</v>
      </c>
      <c r="L762">
        <f>MONTH(SalesData[[#This Row],[Order Date]])</f>
        <v>7</v>
      </c>
      <c r="M762">
        <f>SalesData[[#This Row],[Sales]]/SalesData[[#This Row],[Quantity]]</f>
        <v>8.4090000000000007</v>
      </c>
      <c r="N762" t="str">
        <f>IF(SalesData[[#This Row],[Profit]]&gt;0,"Profit","Loss")</f>
        <v>Loss</v>
      </c>
    </row>
    <row r="763" spans="1:14" x14ac:dyDescent="0.3">
      <c r="A763" t="s">
        <v>3248</v>
      </c>
      <c r="B763" s="3">
        <v>42926</v>
      </c>
      <c r="C763" t="s">
        <v>46</v>
      </c>
      <c r="D763" t="s">
        <v>14</v>
      </c>
      <c r="E763" t="s">
        <v>243</v>
      </c>
      <c r="F763" s="1">
        <v>154.76400000000001</v>
      </c>
      <c r="G763">
        <v>3</v>
      </c>
      <c r="H763" s="1">
        <v>-36.111600000000003</v>
      </c>
      <c r="I763" s="4">
        <f>SalesData[[#This Row],[Profit]]/SalesData[[#This Row],[Sales]]</f>
        <v>-0.23333333333333334</v>
      </c>
      <c r="J763">
        <f>YEAR(SalesData[[#This Row],[Order Date]])</f>
        <v>2017</v>
      </c>
      <c r="K763" t="str">
        <f>TEXT(SalesData[[#This Row],[Order Date]],"mmm")</f>
        <v>Jul</v>
      </c>
      <c r="L763">
        <f>MONTH(SalesData[[#This Row],[Order Date]])</f>
        <v>7</v>
      </c>
      <c r="M763">
        <f>SalesData[[#This Row],[Sales]]/SalesData[[#This Row],[Quantity]]</f>
        <v>51.588000000000001</v>
      </c>
      <c r="N763" t="str">
        <f>IF(SalesData[[#This Row],[Profit]]&gt;0,"Profit","Loss")</f>
        <v>Loss</v>
      </c>
    </row>
    <row r="764" spans="1:14" x14ac:dyDescent="0.3">
      <c r="A764" t="s">
        <v>3249</v>
      </c>
      <c r="B764" s="3">
        <v>42926</v>
      </c>
      <c r="C764" t="s">
        <v>9</v>
      </c>
      <c r="D764" t="s">
        <v>21</v>
      </c>
      <c r="E764" t="s">
        <v>3250</v>
      </c>
      <c r="F764" s="1">
        <v>4.24</v>
      </c>
      <c r="G764">
        <v>5</v>
      </c>
      <c r="H764" s="1">
        <v>-6.36</v>
      </c>
      <c r="I764" s="4">
        <f>SalesData[[#This Row],[Profit]]/SalesData[[#This Row],[Sales]]</f>
        <v>-1.5</v>
      </c>
      <c r="J764">
        <f>YEAR(SalesData[[#This Row],[Order Date]])</f>
        <v>2017</v>
      </c>
      <c r="K764" t="str">
        <f>TEXT(SalesData[[#This Row],[Order Date]],"mmm")</f>
        <v>Jul</v>
      </c>
      <c r="L764">
        <f>MONTH(SalesData[[#This Row],[Order Date]])</f>
        <v>7</v>
      </c>
      <c r="M764">
        <f>SalesData[[#This Row],[Sales]]/SalesData[[#This Row],[Quantity]]</f>
        <v>0.84800000000000009</v>
      </c>
      <c r="N764" t="str">
        <f>IF(SalesData[[#This Row],[Profit]]&gt;0,"Profit","Loss")</f>
        <v>Loss</v>
      </c>
    </row>
    <row r="765" spans="1:14" x14ac:dyDescent="0.3">
      <c r="A765" t="s">
        <v>3251</v>
      </c>
      <c r="B765" s="3">
        <v>42926</v>
      </c>
      <c r="C765" t="s">
        <v>9</v>
      </c>
      <c r="D765" t="s">
        <v>21</v>
      </c>
      <c r="E765" t="s">
        <v>1126</v>
      </c>
      <c r="F765" s="1">
        <v>85.52</v>
      </c>
      <c r="G765">
        <v>2</v>
      </c>
      <c r="H765" s="1">
        <v>22.235199999999999</v>
      </c>
      <c r="I765" s="4">
        <f>SalesData[[#This Row],[Profit]]/SalesData[[#This Row],[Sales]]</f>
        <v>0.26</v>
      </c>
      <c r="J765">
        <f>YEAR(SalesData[[#This Row],[Order Date]])</f>
        <v>2017</v>
      </c>
      <c r="K765" t="str">
        <f>TEXT(SalesData[[#This Row],[Order Date]],"mmm")</f>
        <v>Jul</v>
      </c>
      <c r="L765">
        <f>MONTH(SalesData[[#This Row],[Order Date]])</f>
        <v>7</v>
      </c>
      <c r="M765">
        <f>SalesData[[#This Row],[Sales]]/SalesData[[#This Row],[Quantity]]</f>
        <v>42.76</v>
      </c>
      <c r="N765" t="str">
        <f>IF(SalesData[[#This Row],[Profit]]&gt;0,"Profit","Loss")</f>
        <v>Profit</v>
      </c>
    </row>
    <row r="766" spans="1:14" x14ac:dyDescent="0.3">
      <c r="A766" t="s">
        <v>3252</v>
      </c>
      <c r="B766" s="3">
        <v>42927</v>
      </c>
      <c r="C766" t="s">
        <v>13</v>
      </c>
      <c r="D766" t="s">
        <v>10</v>
      </c>
      <c r="E766" t="s">
        <v>1134</v>
      </c>
      <c r="F766" s="1">
        <v>59.97</v>
      </c>
      <c r="G766">
        <v>3</v>
      </c>
      <c r="H766" s="1">
        <v>13.793100000000001</v>
      </c>
      <c r="I766" s="4">
        <f>SalesData[[#This Row],[Profit]]/SalesData[[#This Row],[Sales]]</f>
        <v>0.23</v>
      </c>
      <c r="J766">
        <f>YEAR(SalesData[[#This Row],[Order Date]])</f>
        <v>2017</v>
      </c>
      <c r="K766" t="str">
        <f>TEXT(SalesData[[#This Row],[Order Date]],"mmm")</f>
        <v>Jul</v>
      </c>
      <c r="L766">
        <f>MONTH(SalesData[[#This Row],[Order Date]])</f>
        <v>7</v>
      </c>
      <c r="M766">
        <f>SalesData[[#This Row],[Sales]]/SalesData[[#This Row],[Quantity]]</f>
        <v>19.989999999999998</v>
      </c>
      <c r="N766" t="str">
        <f>IF(SalesData[[#This Row],[Profit]]&gt;0,"Profit","Loss")</f>
        <v>Profit</v>
      </c>
    </row>
    <row r="767" spans="1:14" x14ac:dyDescent="0.3">
      <c r="A767" t="s">
        <v>3252</v>
      </c>
      <c r="B767" s="3">
        <v>42927</v>
      </c>
      <c r="C767" t="s">
        <v>13</v>
      </c>
      <c r="D767" t="s">
        <v>10</v>
      </c>
      <c r="E767" t="s">
        <v>443</v>
      </c>
      <c r="F767" s="1">
        <v>761.54399999999998</v>
      </c>
      <c r="G767">
        <v>7</v>
      </c>
      <c r="H767" s="1">
        <v>66.635099999999994</v>
      </c>
      <c r="I767" s="4">
        <f>SalesData[[#This Row],[Profit]]/SalesData[[#This Row],[Sales]]</f>
        <v>8.7499999999999994E-2</v>
      </c>
      <c r="J767">
        <f>YEAR(SalesData[[#This Row],[Order Date]])</f>
        <v>2017</v>
      </c>
      <c r="K767" t="str">
        <f>TEXT(SalesData[[#This Row],[Order Date]],"mmm")</f>
        <v>Jul</v>
      </c>
      <c r="L767">
        <f>MONTH(SalesData[[#This Row],[Order Date]])</f>
        <v>7</v>
      </c>
      <c r="M767">
        <f>SalesData[[#This Row],[Sales]]/SalesData[[#This Row],[Quantity]]</f>
        <v>108.792</v>
      </c>
      <c r="N767" t="str">
        <f>IF(SalesData[[#This Row],[Profit]]&gt;0,"Profit","Loss")</f>
        <v>Profit</v>
      </c>
    </row>
    <row r="768" spans="1:14" x14ac:dyDescent="0.3">
      <c r="A768" t="s">
        <v>3253</v>
      </c>
      <c r="B768" s="3">
        <v>42927</v>
      </c>
      <c r="C768" t="s">
        <v>17</v>
      </c>
      <c r="D768" t="s">
        <v>10</v>
      </c>
      <c r="E768" t="s">
        <v>298</v>
      </c>
      <c r="F768" s="1">
        <v>359.97</v>
      </c>
      <c r="G768">
        <v>5</v>
      </c>
      <c r="H768" s="1">
        <v>-71.994</v>
      </c>
      <c r="I768" s="4">
        <f>SalesData[[#This Row],[Profit]]/SalesData[[#This Row],[Sales]]</f>
        <v>-0.19999999999999998</v>
      </c>
      <c r="J768">
        <f>YEAR(SalesData[[#This Row],[Order Date]])</f>
        <v>2017</v>
      </c>
      <c r="K768" t="str">
        <f>TEXT(SalesData[[#This Row],[Order Date]],"mmm")</f>
        <v>Jul</v>
      </c>
      <c r="L768">
        <f>MONTH(SalesData[[#This Row],[Order Date]])</f>
        <v>7</v>
      </c>
      <c r="M768">
        <f>SalesData[[#This Row],[Sales]]/SalesData[[#This Row],[Quantity]]</f>
        <v>71.994</v>
      </c>
      <c r="N768" t="str">
        <f>IF(SalesData[[#This Row],[Profit]]&gt;0,"Profit","Loss")</f>
        <v>Loss</v>
      </c>
    </row>
    <row r="769" spans="1:14" x14ac:dyDescent="0.3">
      <c r="A769" t="s">
        <v>3253</v>
      </c>
      <c r="B769" s="3">
        <v>42927</v>
      </c>
      <c r="C769" t="s">
        <v>17</v>
      </c>
      <c r="D769" t="s">
        <v>14</v>
      </c>
      <c r="E769" t="s">
        <v>1798</v>
      </c>
      <c r="F769" s="1">
        <v>350.35199999999998</v>
      </c>
      <c r="G769">
        <v>4</v>
      </c>
      <c r="H769" s="1">
        <v>-140.14080000000001</v>
      </c>
      <c r="I769" s="4">
        <f>SalesData[[#This Row],[Profit]]/SalesData[[#This Row],[Sales]]</f>
        <v>-0.40000000000000008</v>
      </c>
      <c r="J769">
        <f>YEAR(SalesData[[#This Row],[Order Date]])</f>
        <v>2017</v>
      </c>
      <c r="K769" t="str">
        <f>TEXT(SalesData[[#This Row],[Order Date]],"mmm")</f>
        <v>Jul</v>
      </c>
      <c r="L769">
        <f>MONTH(SalesData[[#This Row],[Order Date]])</f>
        <v>7</v>
      </c>
      <c r="M769">
        <f>SalesData[[#This Row],[Sales]]/SalesData[[#This Row],[Quantity]]</f>
        <v>87.587999999999994</v>
      </c>
      <c r="N769" t="str">
        <f>IF(SalesData[[#This Row],[Profit]]&gt;0,"Profit","Loss")</f>
        <v>Loss</v>
      </c>
    </row>
    <row r="770" spans="1:14" x14ac:dyDescent="0.3">
      <c r="A770" t="s">
        <v>3254</v>
      </c>
      <c r="B770" s="3">
        <v>42927</v>
      </c>
      <c r="C770" t="s">
        <v>13</v>
      </c>
      <c r="D770" t="s">
        <v>21</v>
      </c>
      <c r="E770" t="s">
        <v>290</v>
      </c>
      <c r="F770" s="1">
        <v>21.792000000000002</v>
      </c>
      <c r="G770">
        <v>4</v>
      </c>
      <c r="H770" s="1">
        <v>7.6272000000000002</v>
      </c>
      <c r="I770" s="4">
        <f>SalesData[[#This Row],[Profit]]/SalesData[[#This Row],[Sales]]</f>
        <v>0.35</v>
      </c>
      <c r="J770">
        <f>YEAR(SalesData[[#This Row],[Order Date]])</f>
        <v>2017</v>
      </c>
      <c r="K770" t="str">
        <f>TEXT(SalesData[[#This Row],[Order Date]],"mmm")</f>
        <v>Jul</v>
      </c>
      <c r="L770">
        <f>MONTH(SalesData[[#This Row],[Order Date]])</f>
        <v>7</v>
      </c>
      <c r="M770">
        <f>SalesData[[#This Row],[Sales]]/SalesData[[#This Row],[Quantity]]</f>
        <v>5.4480000000000004</v>
      </c>
      <c r="N770" t="str">
        <f>IF(SalesData[[#This Row],[Profit]]&gt;0,"Profit","Loss")</f>
        <v>Profit</v>
      </c>
    </row>
    <row r="771" spans="1:14" x14ac:dyDescent="0.3">
      <c r="A771" t="s">
        <v>3254</v>
      </c>
      <c r="B771" s="3">
        <v>42927</v>
      </c>
      <c r="C771" t="s">
        <v>13</v>
      </c>
      <c r="D771" t="s">
        <v>10</v>
      </c>
      <c r="E771" t="s">
        <v>2924</v>
      </c>
      <c r="F771" s="1">
        <v>439.8</v>
      </c>
      <c r="G771">
        <v>4</v>
      </c>
      <c r="H771" s="1">
        <v>145.13399999999999</v>
      </c>
      <c r="I771" s="4">
        <f>SalesData[[#This Row],[Profit]]/SalesData[[#This Row],[Sales]]</f>
        <v>0.32999999999999996</v>
      </c>
      <c r="J771">
        <f>YEAR(SalesData[[#This Row],[Order Date]])</f>
        <v>2017</v>
      </c>
      <c r="K771" t="str">
        <f>TEXT(SalesData[[#This Row],[Order Date]],"mmm")</f>
        <v>Jul</v>
      </c>
      <c r="L771">
        <f>MONTH(SalesData[[#This Row],[Order Date]])</f>
        <v>7</v>
      </c>
      <c r="M771">
        <f>SalesData[[#This Row],[Sales]]/SalesData[[#This Row],[Quantity]]</f>
        <v>109.95</v>
      </c>
      <c r="N771" t="str">
        <f>IF(SalesData[[#This Row],[Profit]]&gt;0,"Profit","Loss")</f>
        <v>Profit</v>
      </c>
    </row>
    <row r="772" spans="1:14" x14ac:dyDescent="0.3">
      <c r="A772" t="s">
        <v>3255</v>
      </c>
      <c r="B772" s="3">
        <v>42927</v>
      </c>
      <c r="C772" t="s">
        <v>17</v>
      </c>
      <c r="D772" t="s">
        <v>21</v>
      </c>
      <c r="E772" t="s">
        <v>334</v>
      </c>
      <c r="F772" s="1">
        <v>100.94</v>
      </c>
      <c r="G772">
        <v>7</v>
      </c>
      <c r="H772" s="1">
        <v>33.310200000000002</v>
      </c>
      <c r="I772" s="4">
        <f>SalesData[[#This Row],[Profit]]/SalesData[[#This Row],[Sales]]</f>
        <v>0.33</v>
      </c>
      <c r="J772">
        <f>YEAR(SalesData[[#This Row],[Order Date]])</f>
        <v>2017</v>
      </c>
      <c r="K772" t="str">
        <f>TEXT(SalesData[[#This Row],[Order Date]],"mmm")</f>
        <v>Jul</v>
      </c>
      <c r="L772">
        <f>MONTH(SalesData[[#This Row],[Order Date]])</f>
        <v>7</v>
      </c>
      <c r="M772">
        <f>SalesData[[#This Row],[Sales]]/SalesData[[#This Row],[Quantity]]</f>
        <v>14.42</v>
      </c>
      <c r="N772" t="str">
        <f>IF(SalesData[[#This Row],[Profit]]&gt;0,"Profit","Loss")</f>
        <v>Profit</v>
      </c>
    </row>
    <row r="773" spans="1:14" x14ac:dyDescent="0.3">
      <c r="A773" t="s">
        <v>3256</v>
      </c>
      <c r="B773" s="3">
        <v>42927</v>
      </c>
      <c r="C773" t="s">
        <v>17</v>
      </c>
      <c r="D773" t="s">
        <v>10</v>
      </c>
      <c r="E773" t="s">
        <v>3257</v>
      </c>
      <c r="F773" s="1">
        <v>7.88</v>
      </c>
      <c r="G773">
        <v>4</v>
      </c>
      <c r="H773" s="1">
        <v>2.5215999999999998</v>
      </c>
      <c r="I773" s="4">
        <f>SalesData[[#This Row],[Profit]]/SalesData[[#This Row],[Sales]]</f>
        <v>0.32</v>
      </c>
      <c r="J773">
        <f>YEAR(SalesData[[#This Row],[Order Date]])</f>
        <v>2017</v>
      </c>
      <c r="K773" t="str">
        <f>TEXT(SalesData[[#This Row],[Order Date]],"mmm")</f>
        <v>Jul</v>
      </c>
      <c r="L773">
        <f>MONTH(SalesData[[#This Row],[Order Date]])</f>
        <v>7</v>
      </c>
      <c r="M773">
        <f>SalesData[[#This Row],[Sales]]/SalesData[[#This Row],[Quantity]]</f>
        <v>1.97</v>
      </c>
      <c r="N773" t="str">
        <f>IF(SalesData[[#This Row],[Profit]]&gt;0,"Profit","Loss")</f>
        <v>Profit</v>
      </c>
    </row>
    <row r="774" spans="1:14" x14ac:dyDescent="0.3">
      <c r="A774" t="s">
        <v>3258</v>
      </c>
      <c r="B774" s="3">
        <v>42927</v>
      </c>
      <c r="C774" t="s">
        <v>17</v>
      </c>
      <c r="D774" t="s">
        <v>14</v>
      </c>
      <c r="E774" t="s">
        <v>1103</v>
      </c>
      <c r="F774" s="1">
        <v>272.97000000000003</v>
      </c>
      <c r="G774">
        <v>3</v>
      </c>
      <c r="H774" s="1">
        <v>43.675199999999997</v>
      </c>
      <c r="I774" s="4">
        <f>SalesData[[#This Row],[Profit]]/SalesData[[#This Row],[Sales]]</f>
        <v>0.15999999999999998</v>
      </c>
      <c r="J774">
        <f>YEAR(SalesData[[#This Row],[Order Date]])</f>
        <v>2017</v>
      </c>
      <c r="K774" t="str">
        <f>TEXT(SalesData[[#This Row],[Order Date]],"mmm")</f>
        <v>Jul</v>
      </c>
      <c r="L774">
        <f>MONTH(SalesData[[#This Row],[Order Date]])</f>
        <v>7</v>
      </c>
      <c r="M774">
        <f>SalesData[[#This Row],[Sales]]/SalesData[[#This Row],[Quantity]]</f>
        <v>90.990000000000009</v>
      </c>
      <c r="N774" t="str">
        <f>IF(SalesData[[#This Row],[Profit]]&gt;0,"Profit","Loss")</f>
        <v>Profit</v>
      </c>
    </row>
    <row r="775" spans="1:14" x14ac:dyDescent="0.3">
      <c r="A775" t="s">
        <v>3259</v>
      </c>
      <c r="B775" s="3">
        <v>42927</v>
      </c>
      <c r="C775" t="s">
        <v>9</v>
      </c>
      <c r="D775" t="s">
        <v>21</v>
      </c>
      <c r="E775" t="s">
        <v>3250</v>
      </c>
      <c r="F775" s="1">
        <v>38.159999999999997</v>
      </c>
      <c r="G775">
        <v>9</v>
      </c>
      <c r="H775" s="1">
        <v>19.079999999999998</v>
      </c>
      <c r="I775" s="4">
        <f>SalesData[[#This Row],[Profit]]/SalesData[[#This Row],[Sales]]</f>
        <v>0.5</v>
      </c>
      <c r="J775">
        <f>YEAR(SalesData[[#This Row],[Order Date]])</f>
        <v>2017</v>
      </c>
      <c r="K775" t="str">
        <f>TEXT(SalesData[[#This Row],[Order Date]],"mmm")</f>
        <v>Jul</v>
      </c>
      <c r="L775">
        <f>MONTH(SalesData[[#This Row],[Order Date]])</f>
        <v>7</v>
      </c>
      <c r="M775">
        <f>SalesData[[#This Row],[Sales]]/SalesData[[#This Row],[Quantity]]</f>
        <v>4.2399999999999993</v>
      </c>
      <c r="N775" t="str">
        <f>IF(SalesData[[#This Row],[Profit]]&gt;0,"Profit","Loss")</f>
        <v>Profit</v>
      </c>
    </row>
    <row r="776" spans="1:14" x14ac:dyDescent="0.3">
      <c r="A776" t="s">
        <v>3260</v>
      </c>
      <c r="B776" s="3">
        <v>42928</v>
      </c>
      <c r="C776" t="s">
        <v>13</v>
      </c>
      <c r="D776" t="s">
        <v>10</v>
      </c>
      <c r="E776" t="s">
        <v>1084</v>
      </c>
      <c r="F776" s="1">
        <v>374.37599999999998</v>
      </c>
      <c r="G776">
        <v>3</v>
      </c>
      <c r="H776" s="1">
        <v>46.796999999999997</v>
      </c>
      <c r="I776" s="4">
        <f>SalesData[[#This Row],[Profit]]/SalesData[[#This Row],[Sales]]</f>
        <v>0.125</v>
      </c>
      <c r="J776">
        <f>YEAR(SalesData[[#This Row],[Order Date]])</f>
        <v>2017</v>
      </c>
      <c r="K776" t="str">
        <f>TEXT(SalesData[[#This Row],[Order Date]],"mmm")</f>
        <v>Jul</v>
      </c>
      <c r="L776">
        <f>MONTH(SalesData[[#This Row],[Order Date]])</f>
        <v>7</v>
      </c>
      <c r="M776">
        <f>SalesData[[#This Row],[Sales]]/SalesData[[#This Row],[Quantity]]</f>
        <v>124.79199999999999</v>
      </c>
      <c r="N776" t="str">
        <f>IF(SalesData[[#This Row],[Profit]]&gt;0,"Profit","Loss")</f>
        <v>Profit</v>
      </c>
    </row>
    <row r="777" spans="1:14" x14ac:dyDescent="0.3">
      <c r="A777" t="s">
        <v>3261</v>
      </c>
      <c r="B777" s="3">
        <v>42928</v>
      </c>
      <c r="C777" t="s">
        <v>9</v>
      </c>
      <c r="D777" t="s">
        <v>21</v>
      </c>
      <c r="E777" t="s">
        <v>633</v>
      </c>
      <c r="F777" s="1">
        <v>3.552</v>
      </c>
      <c r="G777">
        <v>3</v>
      </c>
      <c r="H777" s="1">
        <v>1.2432000000000001</v>
      </c>
      <c r="I777" s="4">
        <f>SalesData[[#This Row],[Profit]]/SalesData[[#This Row],[Sales]]</f>
        <v>0.35000000000000003</v>
      </c>
      <c r="J777">
        <f>YEAR(SalesData[[#This Row],[Order Date]])</f>
        <v>2017</v>
      </c>
      <c r="K777" t="str">
        <f>TEXT(SalesData[[#This Row],[Order Date]],"mmm")</f>
        <v>Jul</v>
      </c>
      <c r="L777">
        <f>MONTH(SalesData[[#This Row],[Order Date]])</f>
        <v>7</v>
      </c>
      <c r="M777">
        <f>SalesData[[#This Row],[Sales]]/SalesData[[#This Row],[Quantity]]</f>
        <v>1.1839999999999999</v>
      </c>
      <c r="N777" t="str">
        <f>IF(SalesData[[#This Row],[Profit]]&gt;0,"Profit","Loss")</f>
        <v>Profit</v>
      </c>
    </row>
    <row r="778" spans="1:14" x14ac:dyDescent="0.3">
      <c r="A778" t="s">
        <v>3261</v>
      </c>
      <c r="B778" s="3">
        <v>42928</v>
      </c>
      <c r="C778" t="s">
        <v>9</v>
      </c>
      <c r="D778" t="s">
        <v>21</v>
      </c>
      <c r="E778" t="s">
        <v>419</v>
      </c>
      <c r="F778" s="1">
        <v>15.552</v>
      </c>
      <c r="G778">
        <v>3</v>
      </c>
      <c r="H778" s="1">
        <v>5.4432</v>
      </c>
      <c r="I778" s="4">
        <f>SalesData[[#This Row],[Profit]]/SalesData[[#This Row],[Sales]]</f>
        <v>0.35000000000000003</v>
      </c>
      <c r="J778">
        <f>YEAR(SalesData[[#This Row],[Order Date]])</f>
        <v>2017</v>
      </c>
      <c r="K778" t="str">
        <f>TEXT(SalesData[[#This Row],[Order Date]],"mmm")</f>
        <v>Jul</v>
      </c>
      <c r="L778">
        <f>MONTH(SalesData[[#This Row],[Order Date]])</f>
        <v>7</v>
      </c>
      <c r="M778">
        <f>SalesData[[#This Row],[Sales]]/SalesData[[#This Row],[Quantity]]</f>
        <v>5.1840000000000002</v>
      </c>
      <c r="N778" t="str">
        <f>IF(SalesData[[#This Row],[Profit]]&gt;0,"Profit","Loss")</f>
        <v>Profit</v>
      </c>
    </row>
    <row r="779" spans="1:14" x14ac:dyDescent="0.3">
      <c r="A779" t="s">
        <v>3262</v>
      </c>
      <c r="B779" s="3">
        <v>42928</v>
      </c>
      <c r="C779" t="s">
        <v>17</v>
      </c>
      <c r="D779" t="s">
        <v>10</v>
      </c>
      <c r="E779" t="s">
        <v>1038</v>
      </c>
      <c r="F779" s="1">
        <v>127.98399999999999</v>
      </c>
      <c r="G779">
        <v>2</v>
      </c>
      <c r="H779" s="1">
        <v>25.596800000000002</v>
      </c>
      <c r="I779" s="4">
        <f>SalesData[[#This Row],[Profit]]/SalesData[[#This Row],[Sales]]</f>
        <v>0.2</v>
      </c>
      <c r="J779">
        <f>YEAR(SalesData[[#This Row],[Order Date]])</f>
        <v>2017</v>
      </c>
      <c r="K779" t="str">
        <f>TEXT(SalesData[[#This Row],[Order Date]],"mmm")</f>
        <v>Jul</v>
      </c>
      <c r="L779">
        <f>MONTH(SalesData[[#This Row],[Order Date]])</f>
        <v>7</v>
      </c>
      <c r="M779">
        <f>SalesData[[#This Row],[Sales]]/SalesData[[#This Row],[Quantity]]</f>
        <v>63.991999999999997</v>
      </c>
      <c r="N779" t="str">
        <f>IF(SalesData[[#This Row],[Profit]]&gt;0,"Profit","Loss")</f>
        <v>Profit</v>
      </c>
    </row>
    <row r="780" spans="1:14" x14ac:dyDescent="0.3">
      <c r="A780" t="s">
        <v>3263</v>
      </c>
      <c r="B780" s="3">
        <v>42928</v>
      </c>
      <c r="C780" t="s">
        <v>46</v>
      </c>
      <c r="D780" t="s">
        <v>14</v>
      </c>
      <c r="E780" t="s">
        <v>967</v>
      </c>
      <c r="F780" s="1">
        <v>82.38</v>
      </c>
      <c r="G780">
        <v>6</v>
      </c>
      <c r="H780" s="1">
        <v>25.537800000000001</v>
      </c>
      <c r="I780" s="4">
        <f>SalesData[[#This Row],[Profit]]/SalesData[[#This Row],[Sales]]</f>
        <v>0.31000000000000005</v>
      </c>
      <c r="J780">
        <f>YEAR(SalesData[[#This Row],[Order Date]])</f>
        <v>2017</v>
      </c>
      <c r="K780" t="str">
        <f>TEXT(SalesData[[#This Row],[Order Date]],"mmm")</f>
        <v>Jul</v>
      </c>
      <c r="L780">
        <f>MONTH(SalesData[[#This Row],[Order Date]])</f>
        <v>7</v>
      </c>
      <c r="M780">
        <f>SalesData[[#This Row],[Sales]]/SalesData[[#This Row],[Quantity]]</f>
        <v>13.729999999999999</v>
      </c>
      <c r="N780" t="str">
        <f>IF(SalesData[[#This Row],[Profit]]&gt;0,"Profit","Loss")</f>
        <v>Profit</v>
      </c>
    </row>
    <row r="781" spans="1:14" x14ac:dyDescent="0.3">
      <c r="A781" t="s">
        <v>3264</v>
      </c>
      <c r="B781" s="3">
        <v>42928</v>
      </c>
      <c r="C781" t="s">
        <v>9</v>
      </c>
      <c r="D781" t="s">
        <v>21</v>
      </c>
      <c r="E781" t="s">
        <v>3265</v>
      </c>
      <c r="F781" s="1">
        <v>1889.99</v>
      </c>
      <c r="G781">
        <v>5</v>
      </c>
      <c r="H781" s="1">
        <v>-2929.4845</v>
      </c>
      <c r="I781" s="4">
        <f>SalesData[[#This Row],[Profit]]/SalesData[[#This Row],[Sales]]</f>
        <v>-1.55</v>
      </c>
      <c r="J781">
        <f>YEAR(SalesData[[#This Row],[Order Date]])</f>
        <v>2017</v>
      </c>
      <c r="K781" t="str">
        <f>TEXT(SalesData[[#This Row],[Order Date]],"mmm")</f>
        <v>Jul</v>
      </c>
      <c r="L781">
        <f>MONTH(SalesData[[#This Row],[Order Date]])</f>
        <v>7</v>
      </c>
      <c r="M781">
        <f>SalesData[[#This Row],[Sales]]/SalesData[[#This Row],[Quantity]]</f>
        <v>377.99799999999999</v>
      </c>
      <c r="N781" t="str">
        <f>IF(SalesData[[#This Row],[Profit]]&gt;0,"Profit","Loss")</f>
        <v>Loss</v>
      </c>
    </row>
    <row r="782" spans="1:14" x14ac:dyDescent="0.3">
      <c r="A782" t="s">
        <v>3266</v>
      </c>
      <c r="B782" s="3">
        <v>42928</v>
      </c>
      <c r="C782" t="s">
        <v>46</v>
      </c>
      <c r="D782" t="s">
        <v>21</v>
      </c>
      <c r="E782" t="s">
        <v>3267</v>
      </c>
      <c r="F782" s="1">
        <v>320.64</v>
      </c>
      <c r="G782">
        <v>4</v>
      </c>
      <c r="H782" s="1">
        <v>89.779200000000003</v>
      </c>
      <c r="I782" s="4">
        <f>SalesData[[#This Row],[Profit]]/SalesData[[#This Row],[Sales]]</f>
        <v>0.28000000000000003</v>
      </c>
      <c r="J782">
        <f>YEAR(SalesData[[#This Row],[Order Date]])</f>
        <v>2017</v>
      </c>
      <c r="K782" t="str">
        <f>TEXT(SalesData[[#This Row],[Order Date]],"mmm")</f>
        <v>Jul</v>
      </c>
      <c r="L782">
        <f>MONTH(SalesData[[#This Row],[Order Date]])</f>
        <v>7</v>
      </c>
      <c r="M782">
        <f>SalesData[[#This Row],[Sales]]/SalesData[[#This Row],[Quantity]]</f>
        <v>80.16</v>
      </c>
      <c r="N782" t="str">
        <f>IF(SalesData[[#This Row],[Profit]]&gt;0,"Profit","Loss")</f>
        <v>Profit</v>
      </c>
    </row>
    <row r="783" spans="1:14" x14ac:dyDescent="0.3">
      <c r="A783" t="s">
        <v>3266</v>
      </c>
      <c r="B783" s="3">
        <v>42928</v>
      </c>
      <c r="C783" t="s">
        <v>46</v>
      </c>
      <c r="D783" t="s">
        <v>10</v>
      </c>
      <c r="E783" t="s">
        <v>732</v>
      </c>
      <c r="F783" s="1">
        <v>52</v>
      </c>
      <c r="G783">
        <v>4</v>
      </c>
      <c r="H783" s="1">
        <v>23.4</v>
      </c>
      <c r="I783" s="4">
        <f>SalesData[[#This Row],[Profit]]/SalesData[[#This Row],[Sales]]</f>
        <v>0.44999999999999996</v>
      </c>
      <c r="J783">
        <f>YEAR(SalesData[[#This Row],[Order Date]])</f>
        <v>2017</v>
      </c>
      <c r="K783" t="str">
        <f>TEXT(SalesData[[#This Row],[Order Date]],"mmm")</f>
        <v>Jul</v>
      </c>
      <c r="L783">
        <f>MONTH(SalesData[[#This Row],[Order Date]])</f>
        <v>7</v>
      </c>
      <c r="M783">
        <f>SalesData[[#This Row],[Sales]]/SalesData[[#This Row],[Quantity]]</f>
        <v>13</v>
      </c>
      <c r="N783" t="str">
        <f>IF(SalesData[[#This Row],[Profit]]&gt;0,"Profit","Loss")</f>
        <v>Profit</v>
      </c>
    </row>
    <row r="784" spans="1:14" x14ac:dyDescent="0.3">
      <c r="A784" t="s">
        <v>3268</v>
      </c>
      <c r="B784" s="3">
        <v>42928</v>
      </c>
      <c r="C784" t="s">
        <v>13</v>
      </c>
      <c r="D784" t="s">
        <v>21</v>
      </c>
      <c r="E784" t="s">
        <v>3269</v>
      </c>
      <c r="F784" s="1">
        <v>50.04</v>
      </c>
      <c r="G784">
        <v>6</v>
      </c>
      <c r="H784" s="1">
        <v>25.02</v>
      </c>
      <c r="I784" s="4">
        <f>SalesData[[#This Row],[Profit]]/SalesData[[#This Row],[Sales]]</f>
        <v>0.5</v>
      </c>
      <c r="J784">
        <f>YEAR(SalesData[[#This Row],[Order Date]])</f>
        <v>2017</v>
      </c>
      <c r="K784" t="str">
        <f>TEXT(SalesData[[#This Row],[Order Date]],"mmm")</f>
        <v>Jul</v>
      </c>
      <c r="L784">
        <f>MONTH(SalesData[[#This Row],[Order Date]])</f>
        <v>7</v>
      </c>
      <c r="M784">
        <f>SalesData[[#This Row],[Sales]]/SalesData[[#This Row],[Quantity]]</f>
        <v>8.34</v>
      </c>
      <c r="N784" t="str">
        <f>IF(SalesData[[#This Row],[Profit]]&gt;0,"Profit","Loss")</f>
        <v>Profit</v>
      </c>
    </row>
    <row r="785" spans="1:14" x14ac:dyDescent="0.3">
      <c r="A785" t="s">
        <v>3270</v>
      </c>
      <c r="B785" s="3">
        <v>42948</v>
      </c>
      <c r="C785" t="s">
        <v>13</v>
      </c>
      <c r="D785" t="s">
        <v>14</v>
      </c>
      <c r="E785" t="s">
        <v>2640</v>
      </c>
      <c r="F785" s="1">
        <v>892.98</v>
      </c>
      <c r="G785">
        <v>2</v>
      </c>
      <c r="H785" s="1">
        <v>80.368200000000002</v>
      </c>
      <c r="I785" s="4">
        <f>SalesData[[#This Row],[Profit]]/SalesData[[#This Row],[Sales]]</f>
        <v>0.09</v>
      </c>
      <c r="J785">
        <f>YEAR(SalesData[[#This Row],[Order Date]])</f>
        <v>2017</v>
      </c>
      <c r="K785" t="str">
        <f>TEXT(SalesData[[#This Row],[Order Date]],"mmm")</f>
        <v>Aug</v>
      </c>
      <c r="L785">
        <f>MONTH(SalesData[[#This Row],[Order Date]])</f>
        <v>8</v>
      </c>
      <c r="M785">
        <f>SalesData[[#This Row],[Sales]]/SalesData[[#This Row],[Quantity]]</f>
        <v>446.49</v>
      </c>
      <c r="N785" t="str">
        <f>IF(SalesData[[#This Row],[Profit]]&gt;0,"Profit","Loss")</f>
        <v>Profit</v>
      </c>
    </row>
    <row r="786" spans="1:14" x14ac:dyDescent="0.3">
      <c r="A786" t="s">
        <v>3271</v>
      </c>
      <c r="B786" s="3">
        <v>42950</v>
      </c>
      <c r="C786" t="s">
        <v>46</v>
      </c>
      <c r="D786" t="s">
        <v>21</v>
      </c>
      <c r="E786" t="s">
        <v>3272</v>
      </c>
      <c r="F786" s="1">
        <v>647.84</v>
      </c>
      <c r="G786">
        <v>8</v>
      </c>
      <c r="H786" s="1">
        <v>168.4384</v>
      </c>
      <c r="I786" s="4">
        <f>SalesData[[#This Row],[Profit]]/SalesData[[#This Row],[Sales]]</f>
        <v>0.26</v>
      </c>
      <c r="J786">
        <f>YEAR(SalesData[[#This Row],[Order Date]])</f>
        <v>2017</v>
      </c>
      <c r="K786" t="str">
        <f>TEXT(SalesData[[#This Row],[Order Date]],"mmm")</f>
        <v>Aug</v>
      </c>
      <c r="L786">
        <f>MONTH(SalesData[[#This Row],[Order Date]])</f>
        <v>8</v>
      </c>
      <c r="M786">
        <f>SalesData[[#This Row],[Sales]]/SalesData[[#This Row],[Quantity]]</f>
        <v>80.98</v>
      </c>
      <c r="N786" t="str">
        <f>IF(SalesData[[#This Row],[Profit]]&gt;0,"Profit","Loss")</f>
        <v>Profit</v>
      </c>
    </row>
    <row r="787" spans="1:14" x14ac:dyDescent="0.3">
      <c r="A787" t="s">
        <v>3271</v>
      </c>
      <c r="B787" s="3">
        <v>42950</v>
      </c>
      <c r="C787" t="s">
        <v>46</v>
      </c>
      <c r="D787" t="s">
        <v>21</v>
      </c>
      <c r="E787" t="s">
        <v>3273</v>
      </c>
      <c r="F787" s="1">
        <v>20.7</v>
      </c>
      <c r="G787">
        <v>2</v>
      </c>
      <c r="H787" s="1">
        <v>9.9359999999999999</v>
      </c>
      <c r="I787" s="4">
        <f>SalesData[[#This Row],[Profit]]/SalesData[[#This Row],[Sales]]</f>
        <v>0.48000000000000004</v>
      </c>
      <c r="J787">
        <f>YEAR(SalesData[[#This Row],[Order Date]])</f>
        <v>2017</v>
      </c>
      <c r="K787" t="str">
        <f>TEXT(SalesData[[#This Row],[Order Date]],"mmm")</f>
        <v>Aug</v>
      </c>
      <c r="L787">
        <f>MONTH(SalesData[[#This Row],[Order Date]])</f>
        <v>8</v>
      </c>
      <c r="M787">
        <f>SalesData[[#This Row],[Sales]]/SalesData[[#This Row],[Quantity]]</f>
        <v>10.35</v>
      </c>
      <c r="N787" t="str">
        <f>IF(SalesData[[#This Row],[Profit]]&gt;0,"Profit","Loss")</f>
        <v>Profit</v>
      </c>
    </row>
    <row r="788" spans="1:14" x14ac:dyDescent="0.3">
      <c r="A788" t="s">
        <v>3274</v>
      </c>
      <c r="B788" s="3">
        <v>42950</v>
      </c>
      <c r="C788" t="s">
        <v>13</v>
      </c>
      <c r="D788" t="s">
        <v>21</v>
      </c>
      <c r="E788" t="s">
        <v>661</v>
      </c>
      <c r="F788" s="1">
        <v>171.2</v>
      </c>
      <c r="G788">
        <v>5</v>
      </c>
      <c r="H788" s="1">
        <v>64.2</v>
      </c>
      <c r="I788" s="4">
        <f>SalesData[[#This Row],[Profit]]/SalesData[[#This Row],[Sales]]</f>
        <v>0.37500000000000006</v>
      </c>
      <c r="J788">
        <f>YEAR(SalesData[[#This Row],[Order Date]])</f>
        <v>2017</v>
      </c>
      <c r="K788" t="str">
        <f>TEXT(SalesData[[#This Row],[Order Date]],"mmm")</f>
        <v>Aug</v>
      </c>
      <c r="L788">
        <f>MONTH(SalesData[[#This Row],[Order Date]])</f>
        <v>8</v>
      </c>
      <c r="M788">
        <f>SalesData[[#This Row],[Sales]]/SalesData[[#This Row],[Quantity]]</f>
        <v>34.239999999999995</v>
      </c>
      <c r="N788" t="str">
        <f>IF(SalesData[[#This Row],[Profit]]&gt;0,"Profit","Loss")</f>
        <v>Profit</v>
      </c>
    </row>
    <row r="789" spans="1:14" x14ac:dyDescent="0.3">
      <c r="A789" t="s">
        <v>3274</v>
      </c>
      <c r="B789" s="3">
        <v>42950</v>
      </c>
      <c r="C789" t="s">
        <v>13</v>
      </c>
      <c r="D789" t="s">
        <v>21</v>
      </c>
      <c r="E789" t="s">
        <v>3275</v>
      </c>
      <c r="F789" s="1">
        <v>3.36</v>
      </c>
      <c r="G789">
        <v>2</v>
      </c>
      <c r="H789" s="1">
        <v>0.87360000000000004</v>
      </c>
      <c r="I789" s="4">
        <f>SalesData[[#This Row],[Profit]]/SalesData[[#This Row],[Sales]]</f>
        <v>0.26</v>
      </c>
      <c r="J789">
        <f>YEAR(SalesData[[#This Row],[Order Date]])</f>
        <v>2017</v>
      </c>
      <c r="K789" t="str">
        <f>TEXT(SalesData[[#This Row],[Order Date]],"mmm")</f>
        <v>Aug</v>
      </c>
      <c r="L789">
        <f>MONTH(SalesData[[#This Row],[Order Date]])</f>
        <v>8</v>
      </c>
      <c r="M789">
        <f>SalesData[[#This Row],[Sales]]/SalesData[[#This Row],[Quantity]]</f>
        <v>1.68</v>
      </c>
      <c r="N789" t="str">
        <f>IF(SalesData[[#This Row],[Profit]]&gt;0,"Profit","Loss")</f>
        <v>Profit</v>
      </c>
    </row>
    <row r="790" spans="1:14" x14ac:dyDescent="0.3">
      <c r="A790" t="s">
        <v>3276</v>
      </c>
      <c r="B790" s="3">
        <v>42951</v>
      </c>
      <c r="C790" t="s">
        <v>46</v>
      </c>
      <c r="D790" t="s">
        <v>14</v>
      </c>
      <c r="E790" t="s">
        <v>2500</v>
      </c>
      <c r="F790" s="1">
        <v>56.28</v>
      </c>
      <c r="G790">
        <v>6</v>
      </c>
      <c r="H790" s="1">
        <v>15.7584</v>
      </c>
      <c r="I790" s="4">
        <f>SalesData[[#This Row],[Profit]]/SalesData[[#This Row],[Sales]]</f>
        <v>0.27999999999999997</v>
      </c>
      <c r="J790">
        <f>YEAR(SalesData[[#This Row],[Order Date]])</f>
        <v>2017</v>
      </c>
      <c r="K790" t="str">
        <f>TEXT(SalesData[[#This Row],[Order Date]],"mmm")</f>
        <v>Aug</v>
      </c>
      <c r="L790">
        <f>MONTH(SalesData[[#This Row],[Order Date]])</f>
        <v>8</v>
      </c>
      <c r="M790">
        <f>SalesData[[#This Row],[Sales]]/SalesData[[#This Row],[Quantity]]</f>
        <v>9.3800000000000008</v>
      </c>
      <c r="N790" t="str">
        <f>IF(SalesData[[#This Row],[Profit]]&gt;0,"Profit","Loss")</f>
        <v>Profit</v>
      </c>
    </row>
    <row r="791" spans="1:14" x14ac:dyDescent="0.3">
      <c r="A791" t="s">
        <v>3276</v>
      </c>
      <c r="B791" s="3">
        <v>42951</v>
      </c>
      <c r="C791" t="s">
        <v>46</v>
      </c>
      <c r="D791" t="s">
        <v>21</v>
      </c>
      <c r="E791" t="s">
        <v>170</v>
      </c>
      <c r="F791" s="1">
        <v>2690.97</v>
      </c>
      <c r="G791">
        <v>3</v>
      </c>
      <c r="H791" s="1">
        <v>1264.7559000000001</v>
      </c>
      <c r="I791" s="4">
        <f>SalesData[[#This Row],[Profit]]/SalesData[[#This Row],[Sales]]</f>
        <v>0.47000000000000008</v>
      </c>
      <c r="J791">
        <f>YEAR(SalesData[[#This Row],[Order Date]])</f>
        <v>2017</v>
      </c>
      <c r="K791" t="str">
        <f>TEXT(SalesData[[#This Row],[Order Date]],"mmm")</f>
        <v>Aug</v>
      </c>
      <c r="L791">
        <f>MONTH(SalesData[[#This Row],[Order Date]])</f>
        <v>8</v>
      </c>
      <c r="M791">
        <f>SalesData[[#This Row],[Sales]]/SalesData[[#This Row],[Quantity]]</f>
        <v>896.9899999999999</v>
      </c>
      <c r="N791" t="str">
        <f>IF(SalesData[[#This Row],[Profit]]&gt;0,"Profit","Loss")</f>
        <v>Profit</v>
      </c>
    </row>
    <row r="792" spans="1:14" x14ac:dyDescent="0.3">
      <c r="A792" t="s">
        <v>3277</v>
      </c>
      <c r="B792" s="3">
        <v>42951</v>
      </c>
      <c r="C792" t="s">
        <v>17</v>
      </c>
      <c r="D792" t="s">
        <v>21</v>
      </c>
      <c r="E792" t="s">
        <v>1759</v>
      </c>
      <c r="F792" s="1">
        <v>2591.56</v>
      </c>
      <c r="G792">
        <v>4</v>
      </c>
      <c r="H792" s="1">
        <v>621.97439999999995</v>
      </c>
      <c r="I792" s="4">
        <f>SalesData[[#This Row],[Profit]]/SalesData[[#This Row],[Sales]]</f>
        <v>0.24</v>
      </c>
      <c r="J792">
        <f>YEAR(SalesData[[#This Row],[Order Date]])</f>
        <v>2017</v>
      </c>
      <c r="K792" t="str">
        <f>TEXT(SalesData[[#This Row],[Order Date]],"mmm")</f>
        <v>Aug</v>
      </c>
      <c r="L792">
        <f>MONTH(SalesData[[#This Row],[Order Date]])</f>
        <v>8</v>
      </c>
      <c r="M792">
        <f>SalesData[[#This Row],[Sales]]/SalesData[[#This Row],[Quantity]]</f>
        <v>647.89</v>
      </c>
      <c r="N792" t="str">
        <f>IF(SalesData[[#This Row],[Profit]]&gt;0,"Profit","Loss")</f>
        <v>Profit</v>
      </c>
    </row>
    <row r="793" spans="1:14" x14ac:dyDescent="0.3">
      <c r="A793" t="s">
        <v>3277</v>
      </c>
      <c r="B793" s="3">
        <v>42951</v>
      </c>
      <c r="C793" t="s">
        <v>17</v>
      </c>
      <c r="D793" t="s">
        <v>21</v>
      </c>
      <c r="E793" t="s">
        <v>698</v>
      </c>
      <c r="F793" s="1">
        <v>41.95</v>
      </c>
      <c r="G793">
        <v>5</v>
      </c>
      <c r="H793" s="1">
        <v>10.487500000000001</v>
      </c>
      <c r="I793" s="4">
        <f>SalesData[[#This Row],[Profit]]/SalesData[[#This Row],[Sales]]</f>
        <v>0.25</v>
      </c>
      <c r="J793">
        <f>YEAR(SalesData[[#This Row],[Order Date]])</f>
        <v>2017</v>
      </c>
      <c r="K793" t="str">
        <f>TEXT(SalesData[[#This Row],[Order Date]],"mmm")</f>
        <v>Aug</v>
      </c>
      <c r="L793">
        <f>MONTH(SalesData[[#This Row],[Order Date]])</f>
        <v>8</v>
      </c>
      <c r="M793">
        <f>SalesData[[#This Row],[Sales]]/SalesData[[#This Row],[Quantity]]</f>
        <v>8.39</v>
      </c>
      <c r="N793" t="str">
        <f>IF(SalesData[[#This Row],[Profit]]&gt;0,"Profit","Loss")</f>
        <v>Profit</v>
      </c>
    </row>
    <row r="794" spans="1:14" x14ac:dyDescent="0.3">
      <c r="A794" t="s">
        <v>3278</v>
      </c>
      <c r="B794" s="3">
        <v>42951</v>
      </c>
      <c r="C794" t="s">
        <v>13</v>
      </c>
      <c r="D794" t="s">
        <v>21</v>
      </c>
      <c r="E794" t="s">
        <v>389</v>
      </c>
      <c r="F794" s="1">
        <v>244.55</v>
      </c>
      <c r="G794">
        <v>5</v>
      </c>
      <c r="H794" s="1">
        <v>114.9385</v>
      </c>
      <c r="I794" s="4">
        <f>SalesData[[#This Row],[Profit]]/SalesData[[#This Row],[Sales]]</f>
        <v>0.47</v>
      </c>
      <c r="J794">
        <f>YEAR(SalesData[[#This Row],[Order Date]])</f>
        <v>2017</v>
      </c>
      <c r="K794" t="str">
        <f>TEXT(SalesData[[#This Row],[Order Date]],"mmm")</f>
        <v>Aug</v>
      </c>
      <c r="L794">
        <f>MONTH(SalesData[[#This Row],[Order Date]])</f>
        <v>8</v>
      </c>
      <c r="M794">
        <f>SalesData[[#This Row],[Sales]]/SalesData[[#This Row],[Quantity]]</f>
        <v>48.910000000000004</v>
      </c>
      <c r="N794" t="str">
        <f>IF(SalesData[[#This Row],[Profit]]&gt;0,"Profit","Loss")</f>
        <v>Profit</v>
      </c>
    </row>
    <row r="795" spans="1:14" x14ac:dyDescent="0.3">
      <c r="A795" t="s">
        <v>3278</v>
      </c>
      <c r="B795" s="3">
        <v>42951</v>
      </c>
      <c r="C795" t="s">
        <v>13</v>
      </c>
      <c r="D795" t="s">
        <v>21</v>
      </c>
      <c r="E795" t="s">
        <v>210</v>
      </c>
      <c r="F795" s="1">
        <v>195.76</v>
      </c>
      <c r="G795">
        <v>4</v>
      </c>
      <c r="H795" s="1">
        <v>97.88</v>
      </c>
      <c r="I795" s="4">
        <f>SalesData[[#This Row],[Profit]]/SalesData[[#This Row],[Sales]]</f>
        <v>0.5</v>
      </c>
      <c r="J795">
        <f>YEAR(SalesData[[#This Row],[Order Date]])</f>
        <v>2017</v>
      </c>
      <c r="K795" t="str">
        <f>TEXT(SalesData[[#This Row],[Order Date]],"mmm")</f>
        <v>Aug</v>
      </c>
      <c r="L795">
        <f>MONTH(SalesData[[#This Row],[Order Date]])</f>
        <v>8</v>
      </c>
      <c r="M795">
        <f>SalesData[[#This Row],[Sales]]/SalesData[[#This Row],[Quantity]]</f>
        <v>48.94</v>
      </c>
      <c r="N795" t="str">
        <f>IF(SalesData[[#This Row],[Profit]]&gt;0,"Profit","Loss")</f>
        <v>Profit</v>
      </c>
    </row>
    <row r="796" spans="1:14" x14ac:dyDescent="0.3">
      <c r="A796" t="s">
        <v>3279</v>
      </c>
      <c r="B796" s="3">
        <v>42951</v>
      </c>
      <c r="C796" t="s">
        <v>9</v>
      </c>
      <c r="D796" t="s">
        <v>14</v>
      </c>
      <c r="E796" t="s">
        <v>597</v>
      </c>
      <c r="F796" s="1">
        <v>273.95999999999998</v>
      </c>
      <c r="G796">
        <v>2</v>
      </c>
      <c r="H796" s="1">
        <v>71.229600000000005</v>
      </c>
      <c r="I796" s="4">
        <f>SalesData[[#This Row],[Profit]]/SalesData[[#This Row],[Sales]]</f>
        <v>0.26000000000000006</v>
      </c>
      <c r="J796">
        <f>YEAR(SalesData[[#This Row],[Order Date]])</f>
        <v>2017</v>
      </c>
      <c r="K796" t="str">
        <f>TEXT(SalesData[[#This Row],[Order Date]],"mmm")</f>
        <v>Aug</v>
      </c>
      <c r="L796">
        <f>MONTH(SalesData[[#This Row],[Order Date]])</f>
        <v>8</v>
      </c>
      <c r="M796">
        <f>SalesData[[#This Row],[Sales]]/SalesData[[#This Row],[Quantity]]</f>
        <v>136.97999999999999</v>
      </c>
      <c r="N796" t="str">
        <f>IF(SalesData[[#This Row],[Profit]]&gt;0,"Profit","Loss")</f>
        <v>Profit</v>
      </c>
    </row>
    <row r="797" spans="1:14" x14ac:dyDescent="0.3">
      <c r="A797" t="s">
        <v>3279</v>
      </c>
      <c r="B797" s="3">
        <v>42951</v>
      </c>
      <c r="C797" t="s">
        <v>9</v>
      </c>
      <c r="D797" t="s">
        <v>14</v>
      </c>
      <c r="E797" t="s">
        <v>2845</v>
      </c>
      <c r="F797" s="1">
        <v>306.89999999999998</v>
      </c>
      <c r="G797">
        <v>3</v>
      </c>
      <c r="H797" s="1">
        <v>79.793999999999997</v>
      </c>
      <c r="I797" s="4">
        <f>SalesData[[#This Row],[Profit]]/SalesData[[#This Row],[Sales]]</f>
        <v>0.26</v>
      </c>
      <c r="J797">
        <f>YEAR(SalesData[[#This Row],[Order Date]])</f>
        <v>2017</v>
      </c>
      <c r="K797" t="str">
        <f>TEXT(SalesData[[#This Row],[Order Date]],"mmm")</f>
        <v>Aug</v>
      </c>
      <c r="L797">
        <f>MONTH(SalesData[[#This Row],[Order Date]])</f>
        <v>8</v>
      </c>
      <c r="M797">
        <f>SalesData[[#This Row],[Sales]]/SalesData[[#This Row],[Quantity]]</f>
        <v>102.3</v>
      </c>
      <c r="N797" t="str">
        <f>IF(SalesData[[#This Row],[Profit]]&gt;0,"Profit","Loss")</f>
        <v>Profit</v>
      </c>
    </row>
    <row r="798" spans="1:14" x14ac:dyDescent="0.3">
      <c r="A798" t="s">
        <v>3280</v>
      </c>
      <c r="B798" s="3">
        <v>42952</v>
      </c>
      <c r="C798" t="s">
        <v>17</v>
      </c>
      <c r="D798" t="s">
        <v>14</v>
      </c>
      <c r="E798" t="s">
        <v>1752</v>
      </c>
      <c r="F798" s="1">
        <v>47.991999999999997</v>
      </c>
      <c r="G798">
        <v>2</v>
      </c>
      <c r="H798" s="1">
        <v>-2.0568</v>
      </c>
      <c r="I798" s="4">
        <f>SalesData[[#This Row],[Profit]]/SalesData[[#This Row],[Sales]]</f>
        <v>-4.2857142857142858E-2</v>
      </c>
      <c r="J798">
        <f>YEAR(SalesData[[#This Row],[Order Date]])</f>
        <v>2017</v>
      </c>
      <c r="K798" t="str">
        <f>TEXT(SalesData[[#This Row],[Order Date]],"mmm")</f>
        <v>Aug</v>
      </c>
      <c r="L798">
        <f>MONTH(SalesData[[#This Row],[Order Date]])</f>
        <v>8</v>
      </c>
      <c r="M798">
        <f>SalesData[[#This Row],[Sales]]/SalesData[[#This Row],[Quantity]]</f>
        <v>23.995999999999999</v>
      </c>
      <c r="N798" t="str">
        <f>IF(SalesData[[#This Row],[Profit]]&gt;0,"Profit","Loss")</f>
        <v>Loss</v>
      </c>
    </row>
    <row r="799" spans="1:14" x14ac:dyDescent="0.3">
      <c r="A799" t="s">
        <v>3281</v>
      </c>
      <c r="B799" s="3">
        <v>42952</v>
      </c>
      <c r="C799" t="s">
        <v>13</v>
      </c>
      <c r="D799" t="s">
        <v>10</v>
      </c>
      <c r="E799" t="s">
        <v>528</v>
      </c>
      <c r="F799" s="1">
        <v>3359.9520000000002</v>
      </c>
      <c r="G799">
        <v>6</v>
      </c>
      <c r="H799" s="1">
        <v>1049.9849999999999</v>
      </c>
      <c r="I799" s="4">
        <f>SalesData[[#This Row],[Profit]]/SalesData[[#This Row],[Sales]]</f>
        <v>0.31249999999999994</v>
      </c>
      <c r="J799">
        <f>YEAR(SalesData[[#This Row],[Order Date]])</f>
        <v>2017</v>
      </c>
      <c r="K799" t="str">
        <f>TEXT(SalesData[[#This Row],[Order Date]],"mmm")</f>
        <v>Aug</v>
      </c>
      <c r="L799">
        <f>MONTH(SalesData[[#This Row],[Order Date]])</f>
        <v>8</v>
      </c>
      <c r="M799">
        <f>SalesData[[#This Row],[Sales]]/SalesData[[#This Row],[Quantity]]</f>
        <v>559.99200000000008</v>
      </c>
      <c r="N799" t="str">
        <f>IF(SalesData[[#This Row],[Profit]]&gt;0,"Profit","Loss")</f>
        <v>Profit</v>
      </c>
    </row>
    <row r="800" spans="1:14" x14ac:dyDescent="0.3">
      <c r="A800" t="s">
        <v>3282</v>
      </c>
      <c r="B800" s="3">
        <v>42952</v>
      </c>
      <c r="C800" t="s">
        <v>17</v>
      </c>
      <c r="D800" t="s">
        <v>14</v>
      </c>
      <c r="E800" t="s">
        <v>1178</v>
      </c>
      <c r="F800" s="1">
        <v>128.05799999999999</v>
      </c>
      <c r="G800">
        <v>3</v>
      </c>
      <c r="H800" s="1">
        <v>-23.7822</v>
      </c>
      <c r="I800" s="4">
        <f>SalesData[[#This Row],[Profit]]/SalesData[[#This Row],[Sales]]</f>
        <v>-0.18571428571428572</v>
      </c>
      <c r="J800">
        <f>YEAR(SalesData[[#This Row],[Order Date]])</f>
        <v>2017</v>
      </c>
      <c r="K800" t="str">
        <f>TEXT(SalesData[[#This Row],[Order Date]],"mmm")</f>
        <v>Aug</v>
      </c>
      <c r="L800">
        <f>MONTH(SalesData[[#This Row],[Order Date]])</f>
        <v>8</v>
      </c>
      <c r="M800">
        <f>SalesData[[#This Row],[Sales]]/SalesData[[#This Row],[Quantity]]</f>
        <v>42.686</v>
      </c>
      <c r="N800" t="str">
        <f>IF(SalesData[[#This Row],[Profit]]&gt;0,"Profit","Loss")</f>
        <v>Loss</v>
      </c>
    </row>
    <row r="801" spans="1:14" x14ac:dyDescent="0.3">
      <c r="A801" t="s">
        <v>3283</v>
      </c>
      <c r="B801" s="3">
        <v>42952</v>
      </c>
      <c r="C801" t="s">
        <v>13</v>
      </c>
      <c r="D801" t="s">
        <v>21</v>
      </c>
      <c r="E801" t="s">
        <v>342</v>
      </c>
      <c r="F801" s="1">
        <v>81.08</v>
      </c>
      <c r="G801">
        <v>4</v>
      </c>
      <c r="H801" s="1">
        <v>22.702400000000001</v>
      </c>
      <c r="I801" s="4">
        <f>SalesData[[#This Row],[Profit]]/SalesData[[#This Row],[Sales]]</f>
        <v>0.28000000000000003</v>
      </c>
      <c r="J801">
        <f>YEAR(SalesData[[#This Row],[Order Date]])</f>
        <v>2017</v>
      </c>
      <c r="K801" t="str">
        <f>TEXT(SalesData[[#This Row],[Order Date]],"mmm")</f>
        <v>Aug</v>
      </c>
      <c r="L801">
        <f>MONTH(SalesData[[#This Row],[Order Date]])</f>
        <v>8</v>
      </c>
      <c r="M801">
        <f>SalesData[[#This Row],[Sales]]/SalesData[[#This Row],[Quantity]]</f>
        <v>20.27</v>
      </c>
      <c r="N801" t="str">
        <f>IF(SalesData[[#This Row],[Profit]]&gt;0,"Profit","Loss")</f>
        <v>Profit</v>
      </c>
    </row>
    <row r="802" spans="1:14" x14ac:dyDescent="0.3">
      <c r="A802" t="s">
        <v>3284</v>
      </c>
      <c r="B802" s="3">
        <v>42952</v>
      </c>
      <c r="C802" t="s">
        <v>9</v>
      </c>
      <c r="D802" t="s">
        <v>21</v>
      </c>
      <c r="E802" t="s">
        <v>1547</v>
      </c>
      <c r="F802" s="1">
        <v>41.472000000000001</v>
      </c>
      <c r="G802">
        <v>8</v>
      </c>
      <c r="H802" s="1">
        <v>14.5152</v>
      </c>
      <c r="I802" s="4">
        <f>SalesData[[#This Row],[Profit]]/SalesData[[#This Row],[Sales]]</f>
        <v>0.35</v>
      </c>
      <c r="J802">
        <f>YEAR(SalesData[[#This Row],[Order Date]])</f>
        <v>2017</v>
      </c>
      <c r="K802" t="str">
        <f>TEXT(SalesData[[#This Row],[Order Date]],"mmm")</f>
        <v>Aug</v>
      </c>
      <c r="L802">
        <f>MONTH(SalesData[[#This Row],[Order Date]])</f>
        <v>8</v>
      </c>
      <c r="M802">
        <f>SalesData[[#This Row],[Sales]]/SalesData[[#This Row],[Quantity]]</f>
        <v>5.1840000000000002</v>
      </c>
      <c r="N802" t="str">
        <f>IF(SalesData[[#This Row],[Profit]]&gt;0,"Profit","Loss")</f>
        <v>Profit</v>
      </c>
    </row>
    <row r="803" spans="1:14" x14ac:dyDescent="0.3">
      <c r="A803" t="s">
        <v>3285</v>
      </c>
      <c r="B803" s="3">
        <v>42953</v>
      </c>
      <c r="C803" t="s">
        <v>9</v>
      </c>
      <c r="D803" t="s">
        <v>21</v>
      </c>
      <c r="E803" t="s">
        <v>3286</v>
      </c>
      <c r="F803" s="1">
        <v>1.6240000000000001</v>
      </c>
      <c r="G803">
        <v>2</v>
      </c>
      <c r="H803" s="1">
        <v>-4.4660000000000002</v>
      </c>
      <c r="I803" s="4">
        <f>SalesData[[#This Row],[Profit]]/SalesData[[#This Row],[Sales]]</f>
        <v>-2.75</v>
      </c>
      <c r="J803">
        <f>YEAR(SalesData[[#This Row],[Order Date]])</f>
        <v>2017</v>
      </c>
      <c r="K803" t="str">
        <f>TEXT(SalesData[[#This Row],[Order Date]],"mmm")</f>
        <v>Aug</v>
      </c>
      <c r="L803">
        <f>MONTH(SalesData[[#This Row],[Order Date]])</f>
        <v>8</v>
      </c>
      <c r="M803">
        <f>SalesData[[#This Row],[Sales]]/SalesData[[#This Row],[Quantity]]</f>
        <v>0.81200000000000006</v>
      </c>
      <c r="N803" t="str">
        <f>IF(SalesData[[#This Row],[Profit]]&gt;0,"Profit","Loss")</f>
        <v>Loss</v>
      </c>
    </row>
    <row r="804" spans="1:14" x14ac:dyDescent="0.3">
      <c r="A804" t="s">
        <v>3287</v>
      </c>
      <c r="B804" s="3">
        <v>42953</v>
      </c>
      <c r="C804" t="s">
        <v>9</v>
      </c>
      <c r="D804" t="s">
        <v>21</v>
      </c>
      <c r="E804" t="s">
        <v>3288</v>
      </c>
      <c r="F804" s="1">
        <v>23.76</v>
      </c>
      <c r="G804">
        <v>3</v>
      </c>
      <c r="H804" s="1">
        <v>2.0790000000000002</v>
      </c>
      <c r="I804" s="4">
        <f>SalesData[[#This Row],[Profit]]/SalesData[[#This Row],[Sales]]</f>
        <v>8.7500000000000008E-2</v>
      </c>
      <c r="J804">
        <f>YEAR(SalesData[[#This Row],[Order Date]])</f>
        <v>2017</v>
      </c>
      <c r="K804" t="str">
        <f>TEXT(SalesData[[#This Row],[Order Date]],"mmm")</f>
        <v>Aug</v>
      </c>
      <c r="L804">
        <f>MONTH(SalesData[[#This Row],[Order Date]])</f>
        <v>8</v>
      </c>
      <c r="M804">
        <f>SalesData[[#This Row],[Sales]]/SalesData[[#This Row],[Quantity]]</f>
        <v>7.9200000000000008</v>
      </c>
      <c r="N804" t="str">
        <f>IF(SalesData[[#This Row],[Profit]]&gt;0,"Profit","Loss")</f>
        <v>Profit</v>
      </c>
    </row>
    <row r="805" spans="1:14" x14ac:dyDescent="0.3">
      <c r="A805" t="s">
        <v>3287</v>
      </c>
      <c r="B805" s="3">
        <v>42953</v>
      </c>
      <c r="C805" t="s">
        <v>9</v>
      </c>
      <c r="D805" t="s">
        <v>21</v>
      </c>
      <c r="E805" t="s">
        <v>94</v>
      </c>
      <c r="F805" s="1">
        <v>85.055999999999997</v>
      </c>
      <c r="G805">
        <v>3</v>
      </c>
      <c r="H805" s="1">
        <v>28.706399999999999</v>
      </c>
      <c r="I805" s="4">
        <f>SalesData[[#This Row],[Profit]]/SalesData[[#This Row],[Sales]]</f>
        <v>0.33749999999999997</v>
      </c>
      <c r="J805">
        <f>YEAR(SalesData[[#This Row],[Order Date]])</f>
        <v>2017</v>
      </c>
      <c r="K805" t="str">
        <f>TEXT(SalesData[[#This Row],[Order Date]],"mmm")</f>
        <v>Aug</v>
      </c>
      <c r="L805">
        <f>MONTH(SalesData[[#This Row],[Order Date]])</f>
        <v>8</v>
      </c>
      <c r="M805">
        <f>SalesData[[#This Row],[Sales]]/SalesData[[#This Row],[Quantity]]</f>
        <v>28.352</v>
      </c>
      <c r="N805" t="str">
        <f>IF(SalesData[[#This Row],[Profit]]&gt;0,"Profit","Loss")</f>
        <v>Profit</v>
      </c>
    </row>
    <row r="806" spans="1:14" x14ac:dyDescent="0.3">
      <c r="A806" t="s">
        <v>3287</v>
      </c>
      <c r="B806" s="3">
        <v>42953</v>
      </c>
      <c r="C806" t="s">
        <v>9</v>
      </c>
      <c r="D806" t="s">
        <v>10</v>
      </c>
      <c r="E806" t="s">
        <v>3289</v>
      </c>
      <c r="F806" s="1">
        <v>381.57600000000002</v>
      </c>
      <c r="G806">
        <v>3</v>
      </c>
      <c r="H806" s="1">
        <v>28.618200000000002</v>
      </c>
      <c r="I806" s="4">
        <f>SalesData[[#This Row],[Profit]]/SalesData[[#This Row],[Sales]]</f>
        <v>7.4999999999999997E-2</v>
      </c>
      <c r="J806">
        <f>YEAR(SalesData[[#This Row],[Order Date]])</f>
        <v>2017</v>
      </c>
      <c r="K806" t="str">
        <f>TEXT(SalesData[[#This Row],[Order Date]],"mmm")</f>
        <v>Aug</v>
      </c>
      <c r="L806">
        <f>MONTH(SalesData[[#This Row],[Order Date]])</f>
        <v>8</v>
      </c>
      <c r="M806">
        <f>SalesData[[#This Row],[Sales]]/SalesData[[#This Row],[Quantity]]</f>
        <v>127.19200000000001</v>
      </c>
      <c r="N806" t="str">
        <f>IF(SalesData[[#This Row],[Profit]]&gt;0,"Profit","Loss")</f>
        <v>Profit</v>
      </c>
    </row>
    <row r="807" spans="1:14" x14ac:dyDescent="0.3">
      <c r="A807" t="s">
        <v>3290</v>
      </c>
      <c r="B807" s="3">
        <v>42953</v>
      </c>
      <c r="C807" t="s">
        <v>17</v>
      </c>
      <c r="D807" t="s">
        <v>21</v>
      </c>
      <c r="E807" t="s">
        <v>1014</v>
      </c>
      <c r="F807" s="1">
        <v>10.36</v>
      </c>
      <c r="G807">
        <v>2</v>
      </c>
      <c r="H807" s="1">
        <v>5.0763999999999996</v>
      </c>
      <c r="I807" s="4">
        <f>SalesData[[#This Row],[Profit]]/SalesData[[#This Row],[Sales]]</f>
        <v>0.49</v>
      </c>
      <c r="J807">
        <f>YEAR(SalesData[[#This Row],[Order Date]])</f>
        <v>2017</v>
      </c>
      <c r="K807" t="str">
        <f>TEXT(SalesData[[#This Row],[Order Date]],"mmm")</f>
        <v>Aug</v>
      </c>
      <c r="L807">
        <f>MONTH(SalesData[[#This Row],[Order Date]])</f>
        <v>8</v>
      </c>
      <c r="M807">
        <f>SalesData[[#This Row],[Sales]]/SalesData[[#This Row],[Quantity]]</f>
        <v>5.18</v>
      </c>
      <c r="N807" t="str">
        <f>IF(SalesData[[#This Row],[Profit]]&gt;0,"Profit","Loss")</f>
        <v>Profit</v>
      </c>
    </row>
    <row r="808" spans="1:14" x14ac:dyDescent="0.3">
      <c r="A808" t="s">
        <v>3291</v>
      </c>
      <c r="B808" s="3">
        <v>42953</v>
      </c>
      <c r="C808" t="s">
        <v>9</v>
      </c>
      <c r="D808" t="s">
        <v>21</v>
      </c>
      <c r="E808" t="s">
        <v>1068</v>
      </c>
      <c r="F808" s="1">
        <v>12.176</v>
      </c>
      <c r="G808">
        <v>4</v>
      </c>
      <c r="H808" s="1">
        <v>-18.872800000000002</v>
      </c>
      <c r="I808" s="4">
        <f>SalesData[[#This Row],[Profit]]/SalesData[[#This Row],[Sales]]</f>
        <v>-1.55</v>
      </c>
      <c r="J808">
        <f>YEAR(SalesData[[#This Row],[Order Date]])</f>
        <v>2017</v>
      </c>
      <c r="K808" t="str">
        <f>TEXT(SalesData[[#This Row],[Order Date]],"mmm")</f>
        <v>Aug</v>
      </c>
      <c r="L808">
        <f>MONTH(SalesData[[#This Row],[Order Date]])</f>
        <v>8</v>
      </c>
      <c r="M808">
        <f>SalesData[[#This Row],[Sales]]/SalesData[[#This Row],[Quantity]]</f>
        <v>3.044</v>
      </c>
      <c r="N808" t="str">
        <f>IF(SalesData[[#This Row],[Profit]]&gt;0,"Profit","Loss")</f>
        <v>Loss</v>
      </c>
    </row>
    <row r="809" spans="1:14" x14ac:dyDescent="0.3">
      <c r="A809" t="s">
        <v>3292</v>
      </c>
      <c r="B809" s="3">
        <v>42953</v>
      </c>
      <c r="C809" t="s">
        <v>13</v>
      </c>
      <c r="D809" t="s">
        <v>14</v>
      </c>
      <c r="E809" t="s">
        <v>1601</v>
      </c>
      <c r="F809" s="1">
        <v>1497.6659999999999</v>
      </c>
      <c r="G809">
        <v>2</v>
      </c>
      <c r="H809" s="1">
        <v>140.95679999999999</v>
      </c>
      <c r="I809" s="4">
        <f>SalesData[[#This Row],[Profit]]/SalesData[[#This Row],[Sales]]</f>
        <v>9.4117647058823528E-2</v>
      </c>
      <c r="J809">
        <f>YEAR(SalesData[[#This Row],[Order Date]])</f>
        <v>2017</v>
      </c>
      <c r="K809" t="str">
        <f>TEXT(SalesData[[#This Row],[Order Date]],"mmm")</f>
        <v>Aug</v>
      </c>
      <c r="L809">
        <f>MONTH(SalesData[[#This Row],[Order Date]])</f>
        <v>8</v>
      </c>
      <c r="M809">
        <f>SalesData[[#This Row],[Sales]]/SalesData[[#This Row],[Quantity]]</f>
        <v>748.83299999999997</v>
      </c>
      <c r="N809" t="str">
        <f>IF(SalesData[[#This Row],[Profit]]&gt;0,"Profit","Loss")</f>
        <v>Profit</v>
      </c>
    </row>
    <row r="810" spans="1:14" x14ac:dyDescent="0.3">
      <c r="A810" t="s">
        <v>3292</v>
      </c>
      <c r="B810" s="3">
        <v>42953</v>
      </c>
      <c r="C810" t="s">
        <v>13</v>
      </c>
      <c r="D810" t="s">
        <v>10</v>
      </c>
      <c r="E810" t="s">
        <v>549</v>
      </c>
      <c r="F810" s="1">
        <v>17.52</v>
      </c>
      <c r="G810">
        <v>2</v>
      </c>
      <c r="H810" s="1">
        <v>-3.504</v>
      </c>
      <c r="I810" s="4">
        <f>SalesData[[#This Row],[Profit]]/SalesData[[#This Row],[Sales]]</f>
        <v>-0.2</v>
      </c>
      <c r="J810">
        <f>YEAR(SalesData[[#This Row],[Order Date]])</f>
        <v>2017</v>
      </c>
      <c r="K810" t="str">
        <f>TEXT(SalesData[[#This Row],[Order Date]],"mmm")</f>
        <v>Aug</v>
      </c>
      <c r="L810">
        <f>MONTH(SalesData[[#This Row],[Order Date]])</f>
        <v>8</v>
      </c>
      <c r="M810">
        <f>SalesData[[#This Row],[Sales]]/SalesData[[#This Row],[Quantity]]</f>
        <v>8.76</v>
      </c>
      <c r="N810" t="str">
        <f>IF(SalesData[[#This Row],[Profit]]&gt;0,"Profit","Loss")</f>
        <v>Loss</v>
      </c>
    </row>
    <row r="811" spans="1:14" x14ac:dyDescent="0.3">
      <c r="A811" t="s">
        <v>3293</v>
      </c>
      <c r="B811" s="3">
        <v>42953</v>
      </c>
      <c r="C811" t="s">
        <v>13</v>
      </c>
      <c r="D811" t="s">
        <v>10</v>
      </c>
      <c r="E811" t="s">
        <v>3004</v>
      </c>
      <c r="F811" s="1">
        <v>89.543999999999997</v>
      </c>
      <c r="G811">
        <v>7</v>
      </c>
      <c r="H811" s="1">
        <v>12.3123</v>
      </c>
      <c r="I811" s="4">
        <f>SalesData[[#This Row],[Profit]]/SalesData[[#This Row],[Sales]]</f>
        <v>0.13750000000000001</v>
      </c>
      <c r="J811">
        <f>YEAR(SalesData[[#This Row],[Order Date]])</f>
        <v>2017</v>
      </c>
      <c r="K811" t="str">
        <f>TEXT(SalesData[[#This Row],[Order Date]],"mmm")</f>
        <v>Aug</v>
      </c>
      <c r="L811">
        <f>MONTH(SalesData[[#This Row],[Order Date]])</f>
        <v>8</v>
      </c>
      <c r="M811">
        <f>SalesData[[#This Row],[Sales]]/SalesData[[#This Row],[Quantity]]</f>
        <v>12.792</v>
      </c>
      <c r="N811" t="str">
        <f>IF(SalesData[[#This Row],[Profit]]&gt;0,"Profit","Loss")</f>
        <v>Profit</v>
      </c>
    </row>
    <row r="812" spans="1:14" x14ac:dyDescent="0.3">
      <c r="A812" t="s">
        <v>3293</v>
      </c>
      <c r="B812" s="3">
        <v>42953</v>
      </c>
      <c r="C812" t="s">
        <v>13</v>
      </c>
      <c r="D812" t="s">
        <v>21</v>
      </c>
      <c r="E812" t="s">
        <v>552</v>
      </c>
      <c r="F812" s="1">
        <v>35.167999999999999</v>
      </c>
      <c r="G812">
        <v>2</v>
      </c>
      <c r="H812" s="1">
        <v>-8.3523999999999994</v>
      </c>
      <c r="I812" s="4">
        <f>SalesData[[#This Row],[Profit]]/SalesData[[#This Row],[Sales]]</f>
        <v>-0.23749999999999999</v>
      </c>
      <c r="J812">
        <f>YEAR(SalesData[[#This Row],[Order Date]])</f>
        <v>2017</v>
      </c>
      <c r="K812" t="str">
        <f>TEXT(SalesData[[#This Row],[Order Date]],"mmm")</f>
        <v>Aug</v>
      </c>
      <c r="L812">
        <f>MONTH(SalesData[[#This Row],[Order Date]])</f>
        <v>8</v>
      </c>
      <c r="M812">
        <f>SalesData[[#This Row],[Sales]]/SalesData[[#This Row],[Quantity]]</f>
        <v>17.584</v>
      </c>
      <c r="N812" t="str">
        <f>IF(SalesData[[#This Row],[Profit]]&gt;0,"Profit","Loss")</f>
        <v>Loss</v>
      </c>
    </row>
    <row r="813" spans="1:14" x14ac:dyDescent="0.3">
      <c r="A813" t="s">
        <v>3293</v>
      </c>
      <c r="B813" s="3">
        <v>42953</v>
      </c>
      <c r="C813" t="s">
        <v>13</v>
      </c>
      <c r="D813" t="s">
        <v>21</v>
      </c>
      <c r="E813" t="s">
        <v>3294</v>
      </c>
      <c r="F813" s="1">
        <v>72.587999999999994</v>
      </c>
      <c r="G813">
        <v>2</v>
      </c>
      <c r="H813" s="1">
        <v>-48.392000000000003</v>
      </c>
      <c r="I813" s="4">
        <f>SalesData[[#This Row],[Profit]]/SalesData[[#This Row],[Sales]]</f>
        <v>-0.66666666666666674</v>
      </c>
      <c r="J813">
        <f>YEAR(SalesData[[#This Row],[Order Date]])</f>
        <v>2017</v>
      </c>
      <c r="K813" t="str">
        <f>TEXT(SalesData[[#This Row],[Order Date]],"mmm")</f>
        <v>Aug</v>
      </c>
      <c r="L813">
        <f>MONTH(SalesData[[#This Row],[Order Date]])</f>
        <v>8</v>
      </c>
      <c r="M813">
        <f>SalesData[[#This Row],[Sales]]/SalesData[[#This Row],[Quantity]]</f>
        <v>36.293999999999997</v>
      </c>
      <c r="N813" t="str">
        <f>IF(SalesData[[#This Row],[Profit]]&gt;0,"Profit","Loss")</f>
        <v>Loss</v>
      </c>
    </row>
    <row r="814" spans="1:14" x14ac:dyDescent="0.3">
      <c r="A814" t="s">
        <v>3295</v>
      </c>
      <c r="B814" s="3">
        <v>42954</v>
      </c>
      <c r="C814" t="s">
        <v>17</v>
      </c>
      <c r="D814" t="s">
        <v>21</v>
      </c>
      <c r="E814" t="s">
        <v>3296</v>
      </c>
      <c r="F814" s="1">
        <v>7.56</v>
      </c>
      <c r="G814">
        <v>3</v>
      </c>
      <c r="H814" s="1">
        <v>3.0996000000000001</v>
      </c>
      <c r="I814" s="4">
        <f>SalesData[[#This Row],[Profit]]/SalesData[[#This Row],[Sales]]</f>
        <v>0.41000000000000003</v>
      </c>
      <c r="J814">
        <f>YEAR(SalesData[[#This Row],[Order Date]])</f>
        <v>2017</v>
      </c>
      <c r="K814" t="str">
        <f>TEXT(SalesData[[#This Row],[Order Date]],"mmm")</f>
        <v>Aug</v>
      </c>
      <c r="L814">
        <f>MONTH(SalesData[[#This Row],[Order Date]])</f>
        <v>8</v>
      </c>
      <c r="M814">
        <f>SalesData[[#This Row],[Sales]]/SalesData[[#This Row],[Quantity]]</f>
        <v>2.52</v>
      </c>
      <c r="N814" t="str">
        <f>IF(SalesData[[#This Row],[Profit]]&gt;0,"Profit","Loss")</f>
        <v>Profit</v>
      </c>
    </row>
    <row r="815" spans="1:14" x14ac:dyDescent="0.3">
      <c r="A815" t="s">
        <v>3295</v>
      </c>
      <c r="B815" s="3">
        <v>42954</v>
      </c>
      <c r="C815" t="s">
        <v>17</v>
      </c>
      <c r="D815" t="s">
        <v>21</v>
      </c>
      <c r="E815" t="s">
        <v>94</v>
      </c>
      <c r="F815" s="1">
        <v>24.56</v>
      </c>
      <c r="G815">
        <v>2</v>
      </c>
      <c r="H815" s="1">
        <v>11.543200000000001</v>
      </c>
      <c r="I815" s="4">
        <f>SalesData[[#This Row],[Profit]]/SalesData[[#This Row],[Sales]]</f>
        <v>0.47000000000000003</v>
      </c>
      <c r="J815">
        <f>YEAR(SalesData[[#This Row],[Order Date]])</f>
        <v>2017</v>
      </c>
      <c r="K815" t="str">
        <f>TEXT(SalesData[[#This Row],[Order Date]],"mmm")</f>
        <v>Aug</v>
      </c>
      <c r="L815">
        <f>MONTH(SalesData[[#This Row],[Order Date]])</f>
        <v>8</v>
      </c>
      <c r="M815">
        <f>SalesData[[#This Row],[Sales]]/SalesData[[#This Row],[Quantity]]</f>
        <v>12.28</v>
      </c>
      <c r="N815" t="str">
        <f>IF(SalesData[[#This Row],[Profit]]&gt;0,"Profit","Loss")</f>
        <v>Profit</v>
      </c>
    </row>
    <row r="816" spans="1:14" x14ac:dyDescent="0.3">
      <c r="A816" t="s">
        <v>3295</v>
      </c>
      <c r="B816" s="3">
        <v>42954</v>
      </c>
      <c r="C816" t="s">
        <v>17</v>
      </c>
      <c r="D816" t="s">
        <v>21</v>
      </c>
      <c r="E816" t="s">
        <v>312</v>
      </c>
      <c r="F816" s="1">
        <v>12.96</v>
      </c>
      <c r="G816">
        <v>2</v>
      </c>
      <c r="H816" s="1">
        <v>4.1471999999999998</v>
      </c>
      <c r="I816" s="4">
        <f>SalesData[[#This Row],[Profit]]/SalesData[[#This Row],[Sales]]</f>
        <v>0.31999999999999995</v>
      </c>
      <c r="J816">
        <f>YEAR(SalesData[[#This Row],[Order Date]])</f>
        <v>2017</v>
      </c>
      <c r="K816" t="str">
        <f>TEXT(SalesData[[#This Row],[Order Date]],"mmm")</f>
        <v>Aug</v>
      </c>
      <c r="L816">
        <f>MONTH(SalesData[[#This Row],[Order Date]])</f>
        <v>8</v>
      </c>
      <c r="M816">
        <f>SalesData[[#This Row],[Sales]]/SalesData[[#This Row],[Quantity]]</f>
        <v>6.48</v>
      </c>
      <c r="N816" t="str">
        <f>IF(SalesData[[#This Row],[Profit]]&gt;0,"Profit","Loss")</f>
        <v>Profit</v>
      </c>
    </row>
    <row r="817" spans="1:14" x14ac:dyDescent="0.3">
      <c r="A817" t="s">
        <v>3297</v>
      </c>
      <c r="B817" s="3">
        <v>42954</v>
      </c>
      <c r="C817" t="s">
        <v>13</v>
      </c>
      <c r="D817" t="s">
        <v>14</v>
      </c>
      <c r="E817" t="s">
        <v>201</v>
      </c>
      <c r="F817" s="1">
        <v>145.9</v>
      </c>
      <c r="G817">
        <v>5</v>
      </c>
      <c r="H817" s="1">
        <v>62.737000000000002</v>
      </c>
      <c r="I817" s="4">
        <f>SalesData[[#This Row],[Profit]]/SalesData[[#This Row],[Sales]]</f>
        <v>0.43</v>
      </c>
      <c r="J817">
        <f>YEAR(SalesData[[#This Row],[Order Date]])</f>
        <v>2017</v>
      </c>
      <c r="K817" t="str">
        <f>TEXT(SalesData[[#This Row],[Order Date]],"mmm")</f>
        <v>Aug</v>
      </c>
      <c r="L817">
        <f>MONTH(SalesData[[#This Row],[Order Date]])</f>
        <v>8</v>
      </c>
      <c r="M817">
        <f>SalesData[[#This Row],[Sales]]/SalesData[[#This Row],[Quantity]]</f>
        <v>29.18</v>
      </c>
      <c r="N817" t="str">
        <f>IF(SalesData[[#This Row],[Profit]]&gt;0,"Profit","Loss")</f>
        <v>Profit</v>
      </c>
    </row>
    <row r="818" spans="1:14" x14ac:dyDescent="0.3">
      <c r="A818" t="s">
        <v>3298</v>
      </c>
      <c r="B818" s="3">
        <v>42954</v>
      </c>
      <c r="C818" t="s">
        <v>13</v>
      </c>
      <c r="D818" t="s">
        <v>14</v>
      </c>
      <c r="E818" t="s">
        <v>1235</v>
      </c>
      <c r="F818" s="1">
        <v>198.46</v>
      </c>
      <c r="G818">
        <v>2</v>
      </c>
      <c r="H818" s="1">
        <v>99.23</v>
      </c>
      <c r="I818" s="4">
        <f>SalesData[[#This Row],[Profit]]/SalesData[[#This Row],[Sales]]</f>
        <v>0.5</v>
      </c>
      <c r="J818">
        <f>YEAR(SalesData[[#This Row],[Order Date]])</f>
        <v>2017</v>
      </c>
      <c r="K818" t="str">
        <f>TEXT(SalesData[[#This Row],[Order Date]],"mmm")</f>
        <v>Aug</v>
      </c>
      <c r="L818">
        <f>MONTH(SalesData[[#This Row],[Order Date]])</f>
        <v>8</v>
      </c>
      <c r="M818">
        <f>SalesData[[#This Row],[Sales]]/SalesData[[#This Row],[Quantity]]</f>
        <v>99.23</v>
      </c>
      <c r="N818" t="str">
        <f>IF(SalesData[[#This Row],[Profit]]&gt;0,"Profit","Loss")</f>
        <v>Profit</v>
      </c>
    </row>
    <row r="819" spans="1:14" x14ac:dyDescent="0.3">
      <c r="A819" t="s">
        <v>3298</v>
      </c>
      <c r="B819" s="3">
        <v>42954</v>
      </c>
      <c r="C819" t="s">
        <v>13</v>
      </c>
      <c r="D819" t="s">
        <v>21</v>
      </c>
      <c r="E819" t="s">
        <v>836</v>
      </c>
      <c r="F819" s="1">
        <v>786.48</v>
      </c>
      <c r="G819">
        <v>8</v>
      </c>
      <c r="H819" s="1">
        <v>385.37520000000001</v>
      </c>
      <c r="I819" s="4">
        <f>SalesData[[#This Row],[Profit]]/SalesData[[#This Row],[Sales]]</f>
        <v>0.49</v>
      </c>
      <c r="J819">
        <f>YEAR(SalesData[[#This Row],[Order Date]])</f>
        <v>2017</v>
      </c>
      <c r="K819" t="str">
        <f>TEXT(SalesData[[#This Row],[Order Date]],"mmm")</f>
        <v>Aug</v>
      </c>
      <c r="L819">
        <f>MONTH(SalesData[[#This Row],[Order Date]])</f>
        <v>8</v>
      </c>
      <c r="M819">
        <f>SalesData[[#This Row],[Sales]]/SalesData[[#This Row],[Quantity]]</f>
        <v>98.31</v>
      </c>
      <c r="N819" t="str">
        <f>IF(SalesData[[#This Row],[Profit]]&gt;0,"Profit","Loss")</f>
        <v>Profit</v>
      </c>
    </row>
    <row r="820" spans="1:14" x14ac:dyDescent="0.3">
      <c r="A820" t="s">
        <v>3298</v>
      </c>
      <c r="B820" s="3">
        <v>42954</v>
      </c>
      <c r="C820" t="s">
        <v>13</v>
      </c>
      <c r="D820" t="s">
        <v>21</v>
      </c>
      <c r="E820" t="s">
        <v>1387</v>
      </c>
      <c r="F820" s="1">
        <v>23.167999999999999</v>
      </c>
      <c r="G820">
        <v>2</v>
      </c>
      <c r="H820" s="1">
        <v>7.8192000000000004</v>
      </c>
      <c r="I820" s="4">
        <f>SalesData[[#This Row],[Profit]]/SalesData[[#This Row],[Sales]]</f>
        <v>0.33750000000000002</v>
      </c>
      <c r="J820">
        <f>YEAR(SalesData[[#This Row],[Order Date]])</f>
        <v>2017</v>
      </c>
      <c r="K820" t="str">
        <f>TEXT(SalesData[[#This Row],[Order Date]],"mmm")</f>
        <v>Aug</v>
      </c>
      <c r="L820">
        <f>MONTH(SalesData[[#This Row],[Order Date]])</f>
        <v>8</v>
      </c>
      <c r="M820">
        <f>SalesData[[#This Row],[Sales]]/SalesData[[#This Row],[Quantity]]</f>
        <v>11.584</v>
      </c>
      <c r="N820" t="str">
        <f>IF(SalesData[[#This Row],[Profit]]&gt;0,"Profit","Loss")</f>
        <v>Profit</v>
      </c>
    </row>
    <row r="821" spans="1:14" x14ac:dyDescent="0.3">
      <c r="A821" t="s">
        <v>3298</v>
      </c>
      <c r="B821" s="3">
        <v>42954</v>
      </c>
      <c r="C821" t="s">
        <v>13</v>
      </c>
      <c r="D821" t="s">
        <v>10</v>
      </c>
      <c r="E821" t="s">
        <v>2323</v>
      </c>
      <c r="F821" s="1">
        <v>50</v>
      </c>
      <c r="G821">
        <v>2</v>
      </c>
      <c r="H821" s="1">
        <v>10.5</v>
      </c>
      <c r="I821" s="4">
        <f>SalesData[[#This Row],[Profit]]/SalesData[[#This Row],[Sales]]</f>
        <v>0.21</v>
      </c>
      <c r="J821">
        <f>YEAR(SalesData[[#This Row],[Order Date]])</f>
        <v>2017</v>
      </c>
      <c r="K821" t="str">
        <f>TEXT(SalesData[[#This Row],[Order Date]],"mmm")</f>
        <v>Aug</v>
      </c>
      <c r="L821">
        <f>MONTH(SalesData[[#This Row],[Order Date]])</f>
        <v>8</v>
      </c>
      <c r="M821">
        <f>SalesData[[#This Row],[Sales]]/SalesData[[#This Row],[Quantity]]</f>
        <v>25</v>
      </c>
      <c r="N821" t="str">
        <f>IF(SalesData[[#This Row],[Profit]]&gt;0,"Profit","Loss")</f>
        <v>Profit</v>
      </c>
    </row>
    <row r="822" spans="1:14" x14ac:dyDescent="0.3">
      <c r="A822" t="s">
        <v>3299</v>
      </c>
      <c r="B822" s="3">
        <v>42954</v>
      </c>
      <c r="C822" t="s">
        <v>13</v>
      </c>
      <c r="D822" t="s">
        <v>21</v>
      </c>
      <c r="E822" t="s">
        <v>3300</v>
      </c>
      <c r="F822" s="1">
        <v>75.180000000000007</v>
      </c>
      <c r="G822">
        <v>6</v>
      </c>
      <c r="H822" s="1">
        <v>35.334600000000002</v>
      </c>
      <c r="I822" s="4">
        <f>SalesData[[#This Row],[Profit]]/SalesData[[#This Row],[Sales]]</f>
        <v>0.47</v>
      </c>
      <c r="J822">
        <f>YEAR(SalesData[[#This Row],[Order Date]])</f>
        <v>2017</v>
      </c>
      <c r="K822" t="str">
        <f>TEXT(SalesData[[#This Row],[Order Date]],"mmm")</f>
        <v>Aug</v>
      </c>
      <c r="L822">
        <f>MONTH(SalesData[[#This Row],[Order Date]])</f>
        <v>8</v>
      </c>
      <c r="M822">
        <f>SalesData[[#This Row],[Sales]]/SalesData[[#This Row],[Quantity]]</f>
        <v>12.530000000000001</v>
      </c>
      <c r="N822" t="str">
        <f>IF(SalesData[[#This Row],[Profit]]&gt;0,"Profit","Loss")</f>
        <v>Profit</v>
      </c>
    </row>
    <row r="823" spans="1:14" x14ac:dyDescent="0.3">
      <c r="A823" t="s">
        <v>3301</v>
      </c>
      <c r="B823" s="3">
        <v>42954</v>
      </c>
      <c r="C823" t="s">
        <v>13</v>
      </c>
      <c r="D823" t="s">
        <v>14</v>
      </c>
      <c r="E823" t="s">
        <v>98</v>
      </c>
      <c r="F823" s="1">
        <v>15.84</v>
      </c>
      <c r="G823">
        <v>3</v>
      </c>
      <c r="H823" s="1">
        <v>4.9104000000000001</v>
      </c>
      <c r="I823" s="4">
        <f>SalesData[[#This Row],[Profit]]/SalesData[[#This Row],[Sales]]</f>
        <v>0.31</v>
      </c>
      <c r="J823">
        <f>YEAR(SalesData[[#This Row],[Order Date]])</f>
        <v>2017</v>
      </c>
      <c r="K823" t="str">
        <f>TEXT(SalesData[[#This Row],[Order Date]],"mmm")</f>
        <v>Aug</v>
      </c>
      <c r="L823">
        <f>MONTH(SalesData[[#This Row],[Order Date]])</f>
        <v>8</v>
      </c>
      <c r="M823">
        <f>SalesData[[#This Row],[Sales]]/SalesData[[#This Row],[Quantity]]</f>
        <v>5.28</v>
      </c>
      <c r="N823" t="str">
        <f>IF(SalesData[[#This Row],[Profit]]&gt;0,"Profit","Loss")</f>
        <v>Profit</v>
      </c>
    </row>
    <row r="824" spans="1:14" x14ac:dyDescent="0.3">
      <c r="A824" t="s">
        <v>3301</v>
      </c>
      <c r="B824" s="3">
        <v>42954</v>
      </c>
      <c r="C824" t="s">
        <v>13</v>
      </c>
      <c r="D824" t="s">
        <v>21</v>
      </c>
      <c r="E824" t="s">
        <v>2373</v>
      </c>
      <c r="F824" s="1">
        <v>86.376000000000005</v>
      </c>
      <c r="G824">
        <v>3</v>
      </c>
      <c r="H824" s="1">
        <v>30.2316</v>
      </c>
      <c r="I824" s="4">
        <f>SalesData[[#This Row],[Profit]]/SalesData[[#This Row],[Sales]]</f>
        <v>0.35</v>
      </c>
      <c r="J824">
        <f>YEAR(SalesData[[#This Row],[Order Date]])</f>
        <v>2017</v>
      </c>
      <c r="K824" t="str">
        <f>TEXT(SalesData[[#This Row],[Order Date]],"mmm")</f>
        <v>Aug</v>
      </c>
      <c r="L824">
        <f>MONTH(SalesData[[#This Row],[Order Date]])</f>
        <v>8</v>
      </c>
      <c r="M824">
        <f>SalesData[[#This Row],[Sales]]/SalesData[[#This Row],[Quantity]]</f>
        <v>28.792000000000002</v>
      </c>
      <c r="N824" t="str">
        <f>IF(SalesData[[#This Row],[Profit]]&gt;0,"Profit","Loss")</f>
        <v>Profit</v>
      </c>
    </row>
    <row r="825" spans="1:14" x14ac:dyDescent="0.3">
      <c r="A825" t="s">
        <v>3301</v>
      </c>
      <c r="B825" s="3">
        <v>42954</v>
      </c>
      <c r="C825" t="s">
        <v>13</v>
      </c>
      <c r="D825" t="s">
        <v>21</v>
      </c>
      <c r="E825" t="s">
        <v>222</v>
      </c>
      <c r="F825" s="1">
        <v>18.239999999999998</v>
      </c>
      <c r="G825">
        <v>3</v>
      </c>
      <c r="H825" s="1">
        <v>6.2016</v>
      </c>
      <c r="I825" s="4">
        <f>SalesData[[#This Row],[Profit]]/SalesData[[#This Row],[Sales]]</f>
        <v>0.34</v>
      </c>
      <c r="J825">
        <f>YEAR(SalesData[[#This Row],[Order Date]])</f>
        <v>2017</v>
      </c>
      <c r="K825" t="str">
        <f>TEXT(SalesData[[#This Row],[Order Date]],"mmm")</f>
        <v>Aug</v>
      </c>
      <c r="L825">
        <f>MONTH(SalesData[[#This Row],[Order Date]])</f>
        <v>8</v>
      </c>
      <c r="M825">
        <f>SalesData[[#This Row],[Sales]]/SalesData[[#This Row],[Quantity]]</f>
        <v>6.0799999999999992</v>
      </c>
      <c r="N825" t="str">
        <f>IF(SalesData[[#This Row],[Profit]]&gt;0,"Profit","Loss")</f>
        <v>Profit</v>
      </c>
    </row>
    <row r="826" spans="1:14" x14ac:dyDescent="0.3">
      <c r="A826" t="s">
        <v>3301</v>
      </c>
      <c r="B826" s="3">
        <v>42954</v>
      </c>
      <c r="C826" t="s">
        <v>13</v>
      </c>
      <c r="D826" t="s">
        <v>21</v>
      </c>
      <c r="E826" t="s">
        <v>393</v>
      </c>
      <c r="F826" s="1">
        <v>13.12</v>
      </c>
      <c r="G826">
        <v>4</v>
      </c>
      <c r="H826" s="1">
        <v>4.3296000000000001</v>
      </c>
      <c r="I826" s="4">
        <f>SalesData[[#This Row],[Profit]]/SalesData[[#This Row],[Sales]]</f>
        <v>0.33</v>
      </c>
      <c r="J826">
        <f>YEAR(SalesData[[#This Row],[Order Date]])</f>
        <v>2017</v>
      </c>
      <c r="K826" t="str">
        <f>TEXT(SalesData[[#This Row],[Order Date]],"mmm")</f>
        <v>Aug</v>
      </c>
      <c r="L826">
        <f>MONTH(SalesData[[#This Row],[Order Date]])</f>
        <v>8</v>
      </c>
      <c r="M826">
        <f>SalesData[[#This Row],[Sales]]/SalesData[[#This Row],[Quantity]]</f>
        <v>3.28</v>
      </c>
      <c r="N826" t="str">
        <f>IF(SalesData[[#This Row],[Profit]]&gt;0,"Profit","Loss")</f>
        <v>Profit</v>
      </c>
    </row>
    <row r="827" spans="1:14" x14ac:dyDescent="0.3">
      <c r="A827" t="s">
        <v>3302</v>
      </c>
      <c r="B827" s="3">
        <v>42954</v>
      </c>
      <c r="C827" t="s">
        <v>17</v>
      </c>
      <c r="D827" t="s">
        <v>14</v>
      </c>
      <c r="E827" t="s">
        <v>1331</v>
      </c>
      <c r="F827" s="1">
        <v>83.92</v>
      </c>
      <c r="G827">
        <v>4</v>
      </c>
      <c r="H827" s="1">
        <v>5.8743999999999996</v>
      </c>
      <c r="I827" s="4">
        <f>SalesData[[#This Row],[Profit]]/SalesData[[#This Row],[Sales]]</f>
        <v>6.9999999999999993E-2</v>
      </c>
      <c r="J827">
        <f>YEAR(SalesData[[#This Row],[Order Date]])</f>
        <v>2017</v>
      </c>
      <c r="K827" t="str">
        <f>TEXT(SalesData[[#This Row],[Order Date]],"mmm")</f>
        <v>Aug</v>
      </c>
      <c r="L827">
        <f>MONTH(SalesData[[#This Row],[Order Date]])</f>
        <v>8</v>
      </c>
      <c r="M827">
        <f>SalesData[[#This Row],[Sales]]/SalesData[[#This Row],[Quantity]]</f>
        <v>20.98</v>
      </c>
      <c r="N827" t="str">
        <f>IF(SalesData[[#This Row],[Profit]]&gt;0,"Profit","Loss")</f>
        <v>Profit</v>
      </c>
    </row>
    <row r="828" spans="1:14" x14ac:dyDescent="0.3">
      <c r="A828" t="s">
        <v>3302</v>
      </c>
      <c r="B828" s="3">
        <v>42954</v>
      </c>
      <c r="C828" t="s">
        <v>17</v>
      </c>
      <c r="D828" t="s">
        <v>10</v>
      </c>
      <c r="E828" t="s">
        <v>354</v>
      </c>
      <c r="F828" s="1">
        <v>141.9</v>
      </c>
      <c r="G828">
        <v>5</v>
      </c>
      <c r="H828" s="1">
        <v>58.179000000000002</v>
      </c>
      <c r="I828" s="4">
        <f>SalesData[[#This Row],[Profit]]/SalesData[[#This Row],[Sales]]</f>
        <v>0.41</v>
      </c>
      <c r="J828">
        <f>YEAR(SalesData[[#This Row],[Order Date]])</f>
        <v>2017</v>
      </c>
      <c r="K828" t="str">
        <f>TEXT(SalesData[[#This Row],[Order Date]],"mmm")</f>
        <v>Aug</v>
      </c>
      <c r="L828">
        <f>MONTH(SalesData[[#This Row],[Order Date]])</f>
        <v>8</v>
      </c>
      <c r="M828">
        <f>SalesData[[#This Row],[Sales]]/SalesData[[#This Row],[Quantity]]</f>
        <v>28.380000000000003</v>
      </c>
      <c r="N828" t="str">
        <f>IF(SalesData[[#This Row],[Profit]]&gt;0,"Profit","Loss")</f>
        <v>Profit</v>
      </c>
    </row>
    <row r="829" spans="1:14" x14ac:dyDescent="0.3">
      <c r="A829" t="s">
        <v>3302</v>
      </c>
      <c r="B829" s="3">
        <v>42954</v>
      </c>
      <c r="C829" t="s">
        <v>17</v>
      </c>
      <c r="D829" t="s">
        <v>14</v>
      </c>
      <c r="E829" t="s">
        <v>3303</v>
      </c>
      <c r="F829" s="1">
        <v>39.979999999999997</v>
      </c>
      <c r="G829">
        <v>2</v>
      </c>
      <c r="H829" s="1">
        <v>9.1953999999999994</v>
      </c>
      <c r="I829" s="4">
        <f>SalesData[[#This Row],[Profit]]/SalesData[[#This Row],[Sales]]</f>
        <v>0.23</v>
      </c>
      <c r="J829">
        <f>YEAR(SalesData[[#This Row],[Order Date]])</f>
        <v>2017</v>
      </c>
      <c r="K829" t="str">
        <f>TEXT(SalesData[[#This Row],[Order Date]],"mmm")</f>
        <v>Aug</v>
      </c>
      <c r="L829">
        <f>MONTH(SalesData[[#This Row],[Order Date]])</f>
        <v>8</v>
      </c>
      <c r="M829">
        <f>SalesData[[#This Row],[Sales]]/SalesData[[#This Row],[Quantity]]</f>
        <v>19.989999999999998</v>
      </c>
      <c r="N829" t="str">
        <f>IF(SalesData[[#This Row],[Profit]]&gt;0,"Profit","Loss")</f>
        <v>Profit</v>
      </c>
    </row>
    <row r="830" spans="1:14" x14ac:dyDescent="0.3">
      <c r="A830" t="s">
        <v>3302</v>
      </c>
      <c r="B830" s="3">
        <v>42954</v>
      </c>
      <c r="C830" t="s">
        <v>17</v>
      </c>
      <c r="D830" t="s">
        <v>21</v>
      </c>
      <c r="E830" t="s">
        <v>3304</v>
      </c>
      <c r="F830" s="1">
        <v>28.91</v>
      </c>
      <c r="G830">
        <v>7</v>
      </c>
      <c r="H830" s="1">
        <v>8.673</v>
      </c>
      <c r="I830" s="4">
        <f>SalesData[[#This Row],[Profit]]/SalesData[[#This Row],[Sales]]</f>
        <v>0.3</v>
      </c>
      <c r="J830">
        <f>YEAR(SalesData[[#This Row],[Order Date]])</f>
        <v>2017</v>
      </c>
      <c r="K830" t="str">
        <f>TEXT(SalesData[[#This Row],[Order Date]],"mmm")</f>
        <v>Aug</v>
      </c>
      <c r="L830">
        <f>MONTH(SalesData[[#This Row],[Order Date]])</f>
        <v>8</v>
      </c>
      <c r="M830">
        <f>SalesData[[#This Row],[Sales]]/SalesData[[#This Row],[Quantity]]</f>
        <v>4.13</v>
      </c>
      <c r="N830" t="str">
        <f>IF(SalesData[[#This Row],[Profit]]&gt;0,"Profit","Loss")</f>
        <v>Profit</v>
      </c>
    </row>
    <row r="831" spans="1:14" x14ac:dyDescent="0.3">
      <c r="A831" t="s">
        <v>3302</v>
      </c>
      <c r="B831" s="3">
        <v>42954</v>
      </c>
      <c r="C831" t="s">
        <v>17</v>
      </c>
      <c r="D831" t="s">
        <v>21</v>
      </c>
      <c r="E831" t="s">
        <v>270</v>
      </c>
      <c r="F831" s="1">
        <v>174.95</v>
      </c>
      <c r="G831">
        <v>5</v>
      </c>
      <c r="H831" s="1">
        <v>45.487000000000002</v>
      </c>
      <c r="I831" s="4">
        <f>SalesData[[#This Row],[Profit]]/SalesData[[#This Row],[Sales]]</f>
        <v>0.26</v>
      </c>
      <c r="J831">
        <f>YEAR(SalesData[[#This Row],[Order Date]])</f>
        <v>2017</v>
      </c>
      <c r="K831" t="str">
        <f>TEXT(SalesData[[#This Row],[Order Date]],"mmm")</f>
        <v>Aug</v>
      </c>
      <c r="L831">
        <f>MONTH(SalesData[[#This Row],[Order Date]])</f>
        <v>8</v>
      </c>
      <c r="M831">
        <f>SalesData[[#This Row],[Sales]]/SalesData[[#This Row],[Quantity]]</f>
        <v>34.989999999999995</v>
      </c>
      <c r="N831" t="str">
        <f>IF(SalesData[[#This Row],[Profit]]&gt;0,"Profit","Loss")</f>
        <v>Profit</v>
      </c>
    </row>
    <row r="832" spans="1:14" x14ac:dyDescent="0.3">
      <c r="A832" t="s">
        <v>3305</v>
      </c>
      <c r="B832" s="3">
        <v>42954</v>
      </c>
      <c r="C832" t="s">
        <v>13</v>
      </c>
      <c r="D832" t="s">
        <v>21</v>
      </c>
      <c r="E832" t="s">
        <v>94</v>
      </c>
      <c r="F832" s="1">
        <v>52.76</v>
      </c>
      <c r="G832">
        <v>2</v>
      </c>
      <c r="H832" s="1">
        <v>24.269600000000001</v>
      </c>
      <c r="I832" s="4">
        <f>SalesData[[#This Row],[Profit]]/SalesData[[#This Row],[Sales]]</f>
        <v>0.46</v>
      </c>
      <c r="J832">
        <f>YEAR(SalesData[[#This Row],[Order Date]])</f>
        <v>2017</v>
      </c>
      <c r="K832" t="str">
        <f>TEXT(SalesData[[#This Row],[Order Date]],"mmm")</f>
        <v>Aug</v>
      </c>
      <c r="L832">
        <f>MONTH(SalesData[[#This Row],[Order Date]])</f>
        <v>8</v>
      </c>
      <c r="M832">
        <f>SalesData[[#This Row],[Sales]]/SalesData[[#This Row],[Quantity]]</f>
        <v>26.38</v>
      </c>
      <c r="N832" t="str">
        <f>IF(SalesData[[#This Row],[Profit]]&gt;0,"Profit","Loss")</f>
        <v>Profit</v>
      </c>
    </row>
    <row r="833" spans="1:14" x14ac:dyDescent="0.3">
      <c r="A833" t="s">
        <v>3306</v>
      </c>
      <c r="B833" s="3">
        <v>42956</v>
      </c>
      <c r="C833" t="s">
        <v>9</v>
      </c>
      <c r="D833" t="s">
        <v>14</v>
      </c>
      <c r="E833" t="s">
        <v>250</v>
      </c>
      <c r="F833" s="1">
        <v>765.625</v>
      </c>
      <c r="G833">
        <v>7</v>
      </c>
      <c r="H833" s="1">
        <v>-566.5625</v>
      </c>
      <c r="I833" s="4">
        <f>SalesData[[#This Row],[Profit]]/SalesData[[#This Row],[Sales]]</f>
        <v>-0.74</v>
      </c>
      <c r="J833">
        <f>YEAR(SalesData[[#This Row],[Order Date]])</f>
        <v>2017</v>
      </c>
      <c r="K833" t="str">
        <f>TEXT(SalesData[[#This Row],[Order Date]],"mmm")</f>
        <v>Aug</v>
      </c>
      <c r="L833">
        <f>MONTH(SalesData[[#This Row],[Order Date]])</f>
        <v>8</v>
      </c>
      <c r="M833">
        <f>SalesData[[#This Row],[Sales]]/SalesData[[#This Row],[Quantity]]</f>
        <v>109.375</v>
      </c>
      <c r="N833" t="str">
        <f>IF(SalesData[[#This Row],[Profit]]&gt;0,"Profit","Loss")</f>
        <v>Loss</v>
      </c>
    </row>
    <row r="834" spans="1:14" x14ac:dyDescent="0.3">
      <c r="A834" t="s">
        <v>3307</v>
      </c>
      <c r="B834" s="3">
        <v>42956</v>
      </c>
      <c r="C834" t="s">
        <v>17</v>
      </c>
      <c r="D834" t="s">
        <v>10</v>
      </c>
      <c r="E834" t="s">
        <v>1186</v>
      </c>
      <c r="F834" s="1">
        <v>258.52800000000002</v>
      </c>
      <c r="G834">
        <v>2</v>
      </c>
      <c r="H834" s="1">
        <v>-47.396799999999999</v>
      </c>
      <c r="I834" s="4">
        <f>SalesData[[#This Row],[Profit]]/SalesData[[#This Row],[Sales]]</f>
        <v>-0.18333333333333332</v>
      </c>
      <c r="J834">
        <f>YEAR(SalesData[[#This Row],[Order Date]])</f>
        <v>2017</v>
      </c>
      <c r="K834" t="str">
        <f>TEXT(SalesData[[#This Row],[Order Date]],"mmm")</f>
        <v>Aug</v>
      </c>
      <c r="L834">
        <f>MONTH(SalesData[[#This Row],[Order Date]])</f>
        <v>8</v>
      </c>
      <c r="M834">
        <f>SalesData[[#This Row],[Sales]]/SalesData[[#This Row],[Quantity]]</f>
        <v>129.26400000000001</v>
      </c>
      <c r="N834" t="str">
        <f>IF(SalesData[[#This Row],[Profit]]&gt;0,"Profit","Loss")</f>
        <v>Loss</v>
      </c>
    </row>
    <row r="835" spans="1:14" x14ac:dyDescent="0.3">
      <c r="A835" t="s">
        <v>3308</v>
      </c>
      <c r="B835" s="3">
        <v>42956</v>
      </c>
      <c r="C835" t="s">
        <v>17</v>
      </c>
      <c r="D835" t="s">
        <v>10</v>
      </c>
      <c r="E835" t="s">
        <v>3309</v>
      </c>
      <c r="F835" s="1">
        <v>9.0960000000000001</v>
      </c>
      <c r="G835">
        <v>1</v>
      </c>
      <c r="H835" s="1">
        <v>1.7055</v>
      </c>
      <c r="I835" s="4">
        <f>SalesData[[#This Row],[Profit]]/SalesData[[#This Row],[Sales]]</f>
        <v>0.1875</v>
      </c>
      <c r="J835">
        <f>YEAR(SalesData[[#This Row],[Order Date]])</f>
        <v>2017</v>
      </c>
      <c r="K835" t="str">
        <f>TEXT(SalesData[[#This Row],[Order Date]],"mmm")</f>
        <v>Aug</v>
      </c>
      <c r="L835">
        <f>MONTH(SalesData[[#This Row],[Order Date]])</f>
        <v>8</v>
      </c>
      <c r="M835">
        <f>SalesData[[#This Row],[Sales]]/SalesData[[#This Row],[Quantity]]</f>
        <v>9.0960000000000001</v>
      </c>
      <c r="N835" t="str">
        <f>IF(SalesData[[#This Row],[Profit]]&gt;0,"Profit","Loss")</f>
        <v>Profit</v>
      </c>
    </row>
    <row r="836" spans="1:14" x14ac:dyDescent="0.3">
      <c r="A836" t="s">
        <v>3310</v>
      </c>
      <c r="B836" s="3">
        <v>42956</v>
      </c>
      <c r="C836" t="s">
        <v>17</v>
      </c>
      <c r="D836" t="s">
        <v>10</v>
      </c>
      <c r="E836" t="s">
        <v>462</v>
      </c>
      <c r="F836" s="1">
        <v>116.83199999999999</v>
      </c>
      <c r="G836">
        <v>4</v>
      </c>
      <c r="H836" s="1">
        <v>33.589199999999998</v>
      </c>
      <c r="I836" s="4">
        <f>SalesData[[#This Row],[Profit]]/SalesData[[#This Row],[Sales]]</f>
        <v>0.28749999999999998</v>
      </c>
      <c r="J836">
        <f>YEAR(SalesData[[#This Row],[Order Date]])</f>
        <v>2017</v>
      </c>
      <c r="K836" t="str">
        <f>TEXT(SalesData[[#This Row],[Order Date]],"mmm")</f>
        <v>Aug</v>
      </c>
      <c r="L836">
        <f>MONTH(SalesData[[#This Row],[Order Date]])</f>
        <v>8</v>
      </c>
      <c r="M836">
        <f>SalesData[[#This Row],[Sales]]/SalesData[[#This Row],[Quantity]]</f>
        <v>29.207999999999998</v>
      </c>
      <c r="N836" t="str">
        <f>IF(SalesData[[#This Row],[Profit]]&gt;0,"Profit","Loss")</f>
        <v>Profit</v>
      </c>
    </row>
    <row r="837" spans="1:14" x14ac:dyDescent="0.3">
      <c r="A837" t="s">
        <v>3311</v>
      </c>
      <c r="B837" s="3">
        <v>42956</v>
      </c>
      <c r="C837" t="s">
        <v>9</v>
      </c>
      <c r="D837" t="s">
        <v>10</v>
      </c>
      <c r="E837" t="s">
        <v>3312</v>
      </c>
      <c r="F837" s="1">
        <v>85.2</v>
      </c>
      <c r="G837">
        <v>6</v>
      </c>
      <c r="H837" s="1">
        <v>20.234999999999999</v>
      </c>
      <c r="I837" s="4">
        <f>SalesData[[#This Row],[Profit]]/SalesData[[#This Row],[Sales]]</f>
        <v>0.23749999999999999</v>
      </c>
      <c r="J837">
        <f>YEAR(SalesData[[#This Row],[Order Date]])</f>
        <v>2017</v>
      </c>
      <c r="K837" t="str">
        <f>TEXT(SalesData[[#This Row],[Order Date]],"mmm")</f>
        <v>Aug</v>
      </c>
      <c r="L837">
        <f>MONTH(SalesData[[#This Row],[Order Date]])</f>
        <v>8</v>
      </c>
      <c r="M837">
        <f>SalesData[[#This Row],[Sales]]/SalesData[[#This Row],[Quantity]]</f>
        <v>14.200000000000001</v>
      </c>
      <c r="N837" t="str">
        <f>IF(SalesData[[#This Row],[Profit]]&gt;0,"Profit","Loss")</f>
        <v>Profit</v>
      </c>
    </row>
    <row r="838" spans="1:14" x14ac:dyDescent="0.3">
      <c r="A838" t="s">
        <v>3313</v>
      </c>
      <c r="B838" s="3">
        <v>42956</v>
      </c>
      <c r="C838" t="s">
        <v>9</v>
      </c>
      <c r="D838" t="s">
        <v>21</v>
      </c>
      <c r="E838" t="s">
        <v>854</v>
      </c>
      <c r="F838" s="1">
        <v>42.616</v>
      </c>
      <c r="G838">
        <v>7</v>
      </c>
      <c r="H838" s="1">
        <v>-68.185599999999994</v>
      </c>
      <c r="I838" s="4">
        <f>SalesData[[#This Row],[Profit]]/SalesData[[#This Row],[Sales]]</f>
        <v>-1.5999999999999999</v>
      </c>
      <c r="J838">
        <f>YEAR(SalesData[[#This Row],[Order Date]])</f>
        <v>2017</v>
      </c>
      <c r="K838" t="str">
        <f>TEXT(SalesData[[#This Row],[Order Date]],"mmm")</f>
        <v>Aug</v>
      </c>
      <c r="L838">
        <f>MONTH(SalesData[[#This Row],[Order Date]])</f>
        <v>8</v>
      </c>
      <c r="M838">
        <f>SalesData[[#This Row],[Sales]]/SalesData[[#This Row],[Quantity]]</f>
        <v>6.0880000000000001</v>
      </c>
      <c r="N838" t="str">
        <f>IF(SalesData[[#This Row],[Profit]]&gt;0,"Profit","Loss")</f>
        <v>Loss</v>
      </c>
    </row>
    <row r="839" spans="1:14" x14ac:dyDescent="0.3">
      <c r="A839" t="s">
        <v>3313</v>
      </c>
      <c r="B839" s="3">
        <v>42956</v>
      </c>
      <c r="C839" t="s">
        <v>9</v>
      </c>
      <c r="D839" t="s">
        <v>10</v>
      </c>
      <c r="E839" t="s">
        <v>1750</v>
      </c>
      <c r="F839" s="1">
        <v>319.98399999999998</v>
      </c>
      <c r="G839">
        <v>2</v>
      </c>
      <c r="H839" s="1">
        <v>107.99460000000001</v>
      </c>
      <c r="I839" s="4">
        <f>SalesData[[#This Row],[Profit]]/SalesData[[#This Row],[Sales]]</f>
        <v>0.33750000000000002</v>
      </c>
      <c r="J839">
        <f>YEAR(SalesData[[#This Row],[Order Date]])</f>
        <v>2017</v>
      </c>
      <c r="K839" t="str">
        <f>TEXT(SalesData[[#This Row],[Order Date]],"mmm")</f>
        <v>Aug</v>
      </c>
      <c r="L839">
        <f>MONTH(SalesData[[#This Row],[Order Date]])</f>
        <v>8</v>
      </c>
      <c r="M839">
        <f>SalesData[[#This Row],[Sales]]/SalesData[[#This Row],[Quantity]]</f>
        <v>159.99199999999999</v>
      </c>
      <c r="N839" t="str">
        <f>IF(SalesData[[#This Row],[Profit]]&gt;0,"Profit","Loss")</f>
        <v>Profit</v>
      </c>
    </row>
    <row r="840" spans="1:14" x14ac:dyDescent="0.3">
      <c r="A840" t="s">
        <v>3313</v>
      </c>
      <c r="B840" s="3">
        <v>42956</v>
      </c>
      <c r="C840" t="s">
        <v>9</v>
      </c>
      <c r="D840" t="s">
        <v>21</v>
      </c>
      <c r="E840" t="s">
        <v>927</v>
      </c>
      <c r="F840" s="1">
        <v>45.92</v>
      </c>
      <c r="G840">
        <v>5</v>
      </c>
      <c r="H840" s="1">
        <v>15.497999999999999</v>
      </c>
      <c r="I840" s="4">
        <f>SalesData[[#This Row],[Profit]]/SalesData[[#This Row],[Sales]]</f>
        <v>0.33749999999999997</v>
      </c>
      <c r="J840">
        <f>YEAR(SalesData[[#This Row],[Order Date]])</f>
        <v>2017</v>
      </c>
      <c r="K840" t="str">
        <f>TEXT(SalesData[[#This Row],[Order Date]],"mmm")</f>
        <v>Aug</v>
      </c>
      <c r="L840">
        <f>MONTH(SalesData[[#This Row],[Order Date]])</f>
        <v>8</v>
      </c>
      <c r="M840">
        <f>SalesData[[#This Row],[Sales]]/SalesData[[#This Row],[Quantity]]</f>
        <v>9.1840000000000011</v>
      </c>
      <c r="N840" t="str">
        <f>IF(SalesData[[#This Row],[Profit]]&gt;0,"Profit","Loss")</f>
        <v>Profit</v>
      </c>
    </row>
    <row r="841" spans="1:14" x14ac:dyDescent="0.3">
      <c r="A841" t="s">
        <v>3313</v>
      </c>
      <c r="B841" s="3">
        <v>42956</v>
      </c>
      <c r="C841" t="s">
        <v>9</v>
      </c>
      <c r="D841" t="s">
        <v>14</v>
      </c>
      <c r="E841" t="s">
        <v>26</v>
      </c>
      <c r="F841" s="1">
        <v>21.184000000000001</v>
      </c>
      <c r="G841">
        <v>2</v>
      </c>
      <c r="H841" s="1">
        <v>-11.651199999999999</v>
      </c>
      <c r="I841" s="4">
        <f>SalesData[[#This Row],[Profit]]/SalesData[[#This Row],[Sales]]</f>
        <v>-0.54999999999999993</v>
      </c>
      <c r="J841">
        <f>YEAR(SalesData[[#This Row],[Order Date]])</f>
        <v>2017</v>
      </c>
      <c r="K841" t="str">
        <f>TEXT(SalesData[[#This Row],[Order Date]],"mmm")</f>
        <v>Aug</v>
      </c>
      <c r="L841">
        <f>MONTH(SalesData[[#This Row],[Order Date]])</f>
        <v>8</v>
      </c>
      <c r="M841">
        <f>SalesData[[#This Row],[Sales]]/SalesData[[#This Row],[Quantity]]</f>
        <v>10.592000000000001</v>
      </c>
      <c r="N841" t="str">
        <f>IF(SalesData[[#This Row],[Profit]]&gt;0,"Profit","Loss")</f>
        <v>Loss</v>
      </c>
    </row>
    <row r="842" spans="1:14" x14ac:dyDescent="0.3">
      <c r="A842" t="s">
        <v>3313</v>
      </c>
      <c r="B842" s="3">
        <v>42956</v>
      </c>
      <c r="C842" t="s">
        <v>9</v>
      </c>
      <c r="D842" t="s">
        <v>21</v>
      </c>
      <c r="E842" t="s">
        <v>41</v>
      </c>
      <c r="F842" s="1">
        <v>20.736000000000001</v>
      </c>
      <c r="G842">
        <v>4</v>
      </c>
      <c r="H842" s="1">
        <v>7.2576000000000001</v>
      </c>
      <c r="I842" s="4">
        <f>SalesData[[#This Row],[Profit]]/SalesData[[#This Row],[Sales]]</f>
        <v>0.35</v>
      </c>
      <c r="J842">
        <f>YEAR(SalesData[[#This Row],[Order Date]])</f>
        <v>2017</v>
      </c>
      <c r="K842" t="str">
        <f>TEXT(SalesData[[#This Row],[Order Date]],"mmm")</f>
        <v>Aug</v>
      </c>
      <c r="L842">
        <f>MONTH(SalesData[[#This Row],[Order Date]])</f>
        <v>8</v>
      </c>
      <c r="M842">
        <f>SalesData[[#This Row],[Sales]]/SalesData[[#This Row],[Quantity]]</f>
        <v>5.1840000000000002</v>
      </c>
      <c r="N842" t="str">
        <f>IF(SalesData[[#This Row],[Profit]]&gt;0,"Profit","Loss")</f>
        <v>Profit</v>
      </c>
    </row>
    <row r="843" spans="1:14" x14ac:dyDescent="0.3">
      <c r="A843" t="s">
        <v>3313</v>
      </c>
      <c r="B843" s="3">
        <v>42956</v>
      </c>
      <c r="C843" t="s">
        <v>9</v>
      </c>
      <c r="D843" t="s">
        <v>14</v>
      </c>
      <c r="E843" t="s">
        <v>1178</v>
      </c>
      <c r="F843" s="1">
        <v>213.43</v>
      </c>
      <c r="G843">
        <v>5</v>
      </c>
      <c r="H843" s="1">
        <v>-39.637</v>
      </c>
      <c r="I843" s="4">
        <f>SalesData[[#This Row],[Profit]]/SalesData[[#This Row],[Sales]]</f>
        <v>-0.18571428571428572</v>
      </c>
      <c r="J843">
        <f>YEAR(SalesData[[#This Row],[Order Date]])</f>
        <v>2017</v>
      </c>
      <c r="K843" t="str">
        <f>TEXT(SalesData[[#This Row],[Order Date]],"mmm")</f>
        <v>Aug</v>
      </c>
      <c r="L843">
        <f>MONTH(SalesData[[#This Row],[Order Date]])</f>
        <v>8</v>
      </c>
      <c r="M843">
        <f>SalesData[[#This Row],[Sales]]/SalesData[[#This Row],[Quantity]]</f>
        <v>42.686</v>
      </c>
      <c r="N843" t="str">
        <f>IF(SalesData[[#This Row],[Profit]]&gt;0,"Profit","Loss")</f>
        <v>Loss</v>
      </c>
    </row>
    <row r="844" spans="1:14" x14ac:dyDescent="0.3">
      <c r="A844" t="s">
        <v>3314</v>
      </c>
      <c r="B844" s="3">
        <v>42956</v>
      </c>
      <c r="C844" t="s">
        <v>46</v>
      </c>
      <c r="D844" t="s">
        <v>21</v>
      </c>
      <c r="E844" t="s">
        <v>803</v>
      </c>
      <c r="F844" s="1">
        <v>61.68</v>
      </c>
      <c r="G844">
        <v>5</v>
      </c>
      <c r="H844" s="1">
        <v>5.3970000000000002</v>
      </c>
      <c r="I844" s="4">
        <f>SalesData[[#This Row],[Profit]]/SalesData[[#This Row],[Sales]]</f>
        <v>8.7500000000000008E-2</v>
      </c>
      <c r="J844">
        <f>YEAR(SalesData[[#This Row],[Order Date]])</f>
        <v>2017</v>
      </c>
      <c r="K844" t="str">
        <f>TEXT(SalesData[[#This Row],[Order Date]],"mmm")</f>
        <v>Aug</v>
      </c>
      <c r="L844">
        <f>MONTH(SalesData[[#This Row],[Order Date]])</f>
        <v>8</v>
      </c>
      <c r="M844">
        <f>SalesData[[#This Row],[Sales]]/SalesData[[#This Row],[Quantity]]</f>
        <v>12.336</v>
      </c>
      <c r="N844" t="str">
        <f>IF(SalesData[[#This Row],[Profit]]&gt;0,"Profit","Loss")</f>
        <v>Profit</v>
      </c>
    </row>
    <row r="845" spans="1:14" x14ac:dyDescent="0.3">
      <c r="A845" t="s">
        <v>3314</v>
      </c>
      <c r="B845" s="3">
        <v>42956</v>
      </c>
      <c r="C845" t="s">
        <v>46</v>
      </c>
      <c r="D845" t="s">
        <v>10</v>
      </c>
      <c r="E845" t="s">
        <v>195</v>
      </c>
      <c r="F845" s="1">
        <v>158.376</v>
      </c>
      <c r="G845">
        <v>3</v>
      </c>
      <c r="H845" s="1">
        <v>13.857900000000001</v>
      </c>
      <c r="I845" s="4">
        <f>SalesData[[#This Row],[Profit]]/SalesData[[#This Row],[Sales]]</f>
        <v>8.7500000000000008E-2</v>
      </c>
      <c r="J845">
        <f>YEAR(SalesData[[#This Row],[Order Date]])</f>
        <v>2017</v>
      </c>
      <c r="K845" t="str">
        <f>TEXT(SalesData[[#This Row],[Order Date]],"mmm")</f>
        <v>Aug</v>
      </c>
      <c r="L845">
        <f>MONTH(SalesData[[#This Row],[Order Date]])</f>
        <v>8</v>
      </c>
      <c r="M845">
        <f>SalesData[[#This Row],[Sales]]/SalesData[[#This Row],[Quantity]]</f>
        <v>52.792000000000002</v>
      </c>
      <c r="N845" t="str">
        <f>IF(SalesData[[#This Row],[Profit]]&gt;0,"Profit","Loss")</f>
        <v>Profit</v>
      </c>
    </row>
    <row r="846" spans="1:14" x14ac:dyDescent="0.3">
      <c r="A846" t="s">
        <v>3315</v>
      </c>
      <c r="B846" s="3">
        <v>42956</v>
      </c>
      <c r="C846" t="s">
        <v>17</v>
      </c>
      <c r="D846" t="s">
        <v>21</v>
      </c>
      <c r="E846" t="s">
        <v>399</v>
      </c>
      <c r="F846" s="1">
        <v>65.12</v>
      </c>
      <c r="G846">
        <v>4</v>
      </c>
      <c r="H846" s="1">
        <v>16.9312</v>
      </c>
      <c r="I846" s="4">
        <f>SalesData[[#This Row],[Profit]]/SalesData[[#This Row],[Sales]]</f>
        <v>0.26</v>
      </c>
      <c r="J846">
        <f>YEAR(SalesData[[#This Row],[Order Date]])</f>
        <v>2017</v>
      </c>
      <c r="K846" t="str">
        <f>TEXT(SalesData[[#This Row],[Order Date]],"mmm")</f>
        <v>Aug</v>
      </c>
      <c r="L846">
        <f>MONTH(SalesData[[#This Row],[Order Date]])</f>
        <v>8</v>
      </c>
      <c r="M846">
        <f>SalesData[[#This Row],[Sales]]/SalesData[[#This Row],[Quantity]]</f>
        <v>16.28</v>
      </c>
      <c r="N846" t="str">
        <f>IF(SalesData[[#This Row],[Profit]]&gt;0,"Profit","Loss")</f>
        <v>Profit</v>
      </c>
    </row>
    <row r="847" spans="1:14" x14ac:dyDescent="0.3">
      <c r="A847" t="s">
        <v>3316</v>
      </c>
      <c r="B847" s="3">
        <v>42957</v>
      </c>
      <c r="C847" t="s">
        <v>13</v>
      </c>
      <c r="D847" t="s">
        <v>10</v>
      </c>
      <c r="E847" t="s">
        <v>1533</v>
      </c>
      <c r="F847" s="1">
        <v>103.19199999999999</v>
      </c>
      <c r="G847">
        <v>1</v>
      </c>
      <c r="H847" s="1">
        <v>11.6091</v>
      </c>
      <c r="I847" s="4">
        <f>SalesData[[#This Row],[Profit]]/SalesData[[#This Row],[Sales]]</f>
        <v>0.1125</v>
      </c>
      <c r="J847">
        <f>YEAR(SalesData[[#This Row],[Order Date]])</f>
        <v>2017</v>
      </c>
      <c r="K847" t="str">
        <f>TEXT(SalesData[[#This Row],[Order Date]],"mmm")</f>
        <v>Aug</v>
      </c>
      <c r="L847">
        <f>MONTH(SalesData[[#This Row],[Order Date]])</f>
        <v>8</v>
      </c>
      <c r="M847">
        <f>SalesData[[#This Row],[Sales]]/SalesData[[#This Row],[Quantity]]</f>
        <v>103.19199999999999</v>
      </c>
      <c r="N847" t="str">
        <f>IF(SalesData[[#This Row],[Profit]]&gt;0,"Profit","Loss")</f>
        <v>Profit</v>
      </c>
    </row>
    <row r="848" spans="1:14" x14ac:dyDescent="0.3">
      <c r="A848" t="s">
        <v>3316</v>
      </c>
      <c r="B848" s="3">
        <v>42957</v>
      </c>
      <c r="C848" t="s">
        <v>13</v>
      </c>
      <c r="D848" t="s">
        <v>10</v>
      </c>
      <c r="E848" t="s">
        <v>1506</v>
      </c>
      <c r="F848" s="1">
        <v>36</v>
      </c>
      <c r="G848">
        <v>2</v>
      </c>
      <c r="H848" s="1">
        <v>6.48</v>
      </c>
      <c r="I848" s="4">
        <f>SalesData[[#This Row],[Profit]]/SalesData[[#This Row],[Sales]]</f>
        <v>0.18000000000000002</v>
      </c>
      <c r="J848">
        <f>YEAR(SalesData[[#This Row],[Order Date]])</f>
        <v>2017</v>
      </c>
      <c r="K848" t="str">
        <f>TEXT(SalesData[[#This Row],[Order Date]],"mmm")</f>
        <v>Aug</v>
      </c>
      <c r="L848">
        <f>MONTH(SalesData[[#This Row],[Order Date]])</f>
        <v>8</v>
      </c>
      <c r="M848">
        <f>SalesData[[#This Row],[Sales]]/SalesData[[#This Row],[Quantity]]</f>
        <v>18</v>
      </c>
      <c r="N848" t="str">
        <f>IF(SalesData[[#This Row],[Profit]]&gt;0,"Profit","Loss")</f>
        <v>Profit</v>
      </c>
    </row>
    <row r="849" spans="1:14" x14ac:dyDescent="0.3">
      <c r="A849" t="s">
        <v>3316</v>
      </c>
      <c r="B849" s="3">
        <v>42957</v>
      </c>
      <c r="C849" t="s">
        <v>13</v>
      </c>
      <c r="D849" t="s">
        <v>10</v>
      </c>
      <c r="E849" t="s">
        <v>2350</v>
      </c>
      <c r="F849" s="1">
        <v>239.96</v>
      </c>
      <c r="G849">
        <v>4</v>
      </c>
      <c r="H849" s="1">
        <v>115.1808</v>
      </c>
      <c r="I849" s="4">
        <f>SalesData[[#This Row],[Profit]]/SalesData[[#This Row],[Sales]]</f>
        <v>0.48</v>
      </c>
      <c r="J849">
        <f>YEAR(SalesData[[#This Row],[Order Date]])</f>
        <v>2017</v>
      </c>
      <c r="K849" t="str">
        <f>TEXT(SalesData[[#This Row],[Order Date]],"mmm")</f>
        <v>Aug</v>
      </c>
      <c r="L849">
        <f>MONTH(SalesData[[#This Row],[Order Date]])</f>
        <v>8</v>
      </c>
      <c r="M849">
        <f>SalesData[[#This Row],[Sales]]/SalesData[[#This Row],[Quantity]]</f>
        <v>59.99</v>
      </c>
      <c r="N849" t="str">
        <f>IF(SalesData[[#This Row],[Profit]]&gt;0,"Profit","Loss")</f>
        <v>Profit</v>
      </c>
    </row>
    <row r="850" spans="1:14" x14ac:dyDescent="0.3">
      <c r="A850" t="s">
        <v>3316</v>
      </c>
      <c r="B850" s="3">
        <v>42957</v>
      </c>
      <c r="C850" t="s">
        <v>13</v>
      </c>
      <c r="D850" t="s">
        <v>21</v>
      </c>
      <c r="E850" t="s">
        <v>3195</v>
      </c>
      <c r="F850" s="1">
        <v>40.68</v>
      </c>
      <c r="G850">
        <v>2</v>
      </c>
      <c r="H850" s="1">
        <v>0.40679999999999999</v>
      </c>
      <c r="I850" s="4">
        <f>SalesData[[#This Row],[Profit]]/SalesData[[#This Row],[Sales]]</f>
        <v>0.01</v>
      </c>
      <c r="J850">
        <f>YEAR(SalesData[[#This Row],[Order Date]])</f>
        <v>2017</v>
      </c>
      <c r="K850" t="str">
        <f>TEXT(SalesData[[#This Row],[Order Date]],"mmm")</f>
        <v>Aug</v>
      </c>
      <c r="L850">
        <f>MONTH(SalesData[[#This Row],[Order Date]])</f>
        <v>8</v>
      </c>
      <c r="M850">
        <f>SalesData[[#This Row],[Sales]]/SalesData[[#This Row],[Quantity]]</f>
        <v>20.34</v>
      </c>
      <c r="N850" t="str">
        <f>IF(SalesData[[#This Row],[Profit]]&gt;0,"Profit","Loss")</f>
        <v>Profit</v>
      </c>
    </row>
    <row r="851" spans="1:14" x14ac:dyDescent="0.3">
      <c r="A851" t="s">
        <v>3317</v>
      </c>
      <c r="B851" s="3">
        <v>42957</v>
      </c>
      <c r="C851" t="s">
        <v>17</v>
      </c>
      <c r="D851" t="s">
        <v>21</v>
      </c>
      <c r="E851" t="s">
        <v>1126</v>
      </c>
      <c r="F851" s="1">
        <v>42.76</v>
      </c>
      <c r="G851">
        <v>1</v>
      </c>
      <c r="H851" s="1">
        <v>11.117599999999999</v>
      </c>
      <c r="I851" s="4">
        <f>SalesData[[#This Row],[Profit]]/SalesData[[#This Row],[Sales]]</f>
        <v>0.26</v>
      </c>
      <c r="J851">
        <f>YEAR(SalesData[[#This Row],[Order Date]])</f>
        <v>2017</v>
      </c>
      <c r="K851" t="str">
        <f>TEXT(SalesData[[#This Row],[Order Date]],"mmm")</f>
        <v>Aug</v>
      </c>
      <c r="L851">
        <f>MONTH(SalesData[[#This Row],[Order Date]])</f>
        <v>8</v>
      </c>
      <c r="M851">
        <f>SalesData[[#This Row],[Sales]]/SalesData[[#This Row],[Quantity]]</f>
        <v>42.76</v>
      </c>
      <c r="N851" t="str">
        <f>IF(SalesData[[#This Row],[Profit]]&gt;0,"Profit","Loss")</f>
        <v>Profit</v>
      </c>
    </row>
    <row r="852" spans="1:14" x14ac:dyDescent="0.3">
      <c r="A852" t="s">
        <v>3318</v>
      </c>
      <c r="B852" s="3">
        <v>42957</v>
      </c>
      <c r="C852" t="s">
        <v>17</v>
      </c>
      <c r="D852" t="s">
        <v>14</v>
      </c>
      <c r="E852" t="s">
        <v>1232</v>
      </c>
      <c r="F852" s="1">
        <v>145.76400000000001</v>
      </c>
      <c r="G852">
        <v>2</v>
      </c>
      <c r="H852" s="1">
        <v>3.2391999999999999</v>
      </c>
      <c r="I852" s="4">
        <f>SalesData[[#This Row],[Profit]]/SalesData[[#This Row],[Sales]]</f>
        <v>2.222222222222222E-2</v>
      </c>
      <c r="J852">
        <f>YEAR(SalesData[[#This Row],[Order Date]])</f>
        <v>2017</v>
      </c>
      <c r="K852" t="str">
        <f>TEXT(SalesData[[#This Row],[Order Date]],"mmm")</f>
        <v>Aug</v>
      </c>
      <c r="L852">
        <f>MONTH(SalesData[[#This Row],[Order Date]])</f>
        <v>8</v>
      </c>
      <c r="M852">
        <f>SalesData[[#This Row],[Sales]]/SalesData[[#This Row],[Quantity]]</f>
        <v>72.882000000000005</v>
      </c>
      <c r="N852" t="str">
        <f>IF(SalesData[[#This Row],[Profit]]&gt;0,"Profit","Loss")</f>
        <v>Profit</v>
      </c>
    </row>
    <row r="853" spans="1:14" x14ac:dyDescent="0.3">
      <c r="A853" t="s">
        <v>3319</v>
      </c>
      <c r="B853" s="3">
        <v>42958</v>
      </c>
      <c r="C853" t="s">
        <v>17</v>
      </c>
      <c r="D853" t="s">
        <v>21</v>
      </c>
      <c r="E853" t="s">
        <v>3320</v>
      </c>
      <c r="F853" s="1">
        <v>109.9</v>
      </c>
      <c r="G853">
        <v>5</v>
      </c>
      <c r="H853" s="1">
        <v>32.97</v>
      </c>
      <c r="I853" s="4">
        <f>SalesData[[#This Row],[Profit]]/SalesData[[#This Row],[Sales]]</f>
        <v>0.3</v>
      </c>
      <c r="J853">
        <f>YEAR(SalesData[[#This Row],[Order Date]])</f>
        <v>2017</v>
      </c>
      <c r="K853" t="str">
        <f>TEXT(SalesData[[#This Row],[Order Date]],"mmm")</f>
        <v>Aug</v>
      </c>
      <c r="L853">
        <f>MONTH(SalesData[[#This Row],[Order Date]])</f>
        <v>8</v>
      </c>
      <c r="M853">
        <f>SalesData[[#This Row],[Sales]]/SalesData[[#This Row],[Quantity]]</f>
        <v>21.98</v>
      </c>
      <c r="N853" t="str">
        <f>IF(SalesData[[#This Row],[Profit]]&gt;0,"Profit","Loss")</f>
        <v>Profit</v>
      </c>
    </row>
    <row r="854" spans="1:14" x14ac:dyDescent="0.3">
      <c r="A854" t="s">
        <v>3321</v>
      </c>
      <c r="B854" s="3">
        <v>42958</v>
      </c>
      <c r="C854" t="s">
        <v>17</v>
      </c>
      <c r="D854" t="s">
        <v>14</v>
      </c>
      <c r="E854" t="s">
        <v>3322</v>
      </c>
      <c r="F854" s="1">
        <v>274.2</v>
      </c>
      <c r="G854">
        <v>10</v>
      </c>
      <c r="H854" s="1">
        <v>112.422</v>
      </c>
      <c r="I854" s="4">
        <f>SalesData[[#This Row],[Profit]]/SalesData[[#This Row],[Sales]]</f>
        <v>0.41000000000000003</v>
      </c>
      <c r="J854">
        <f>YEAR(SalesData[[#This Row],[Order Date]])</f>
        <v>2017</v>
      </c>
      <c r="K854" t="str">
        <f>TEXT(SalesData[[#This Row],[Order Date]],"mmm")</f>
        <v>Aug</v>
      </c>
      <c r="L854">
        <f>MONTH(SalesData[[#This Row],[Order Date]])</f>
        <v>8</v>
      </c>
      <c r="M854">
        <f>SalesData[[#This Row],[Sales]]/SalesData[[#This Row],[Quantity]]</f>
        <v>27.419999999999998</v>
      </c>
      <c r="N854" t="str">
        <f>IF(SalesData[[#This Row],[Profit]]&gt;0,"Profit","Loss")</f>
        <v>Profit</v>
      </c>
    </row>
    <row r="855" spans="1:14" x14ac:dyDescent="0.3">
      <c r="A855" t="s">
        <v>3323</v>
      </c>
      <c r="B855" s="3">
        <v>42959</v>
      </c>
      <c r="C855" t="s">
        <v>13</v>
      </c>
      <c r="D855" t="s">
        <v>10</v>
      </c>
      <c r="E855" t="s">
        <v>2425</v>
      </c>
      <c r="F855" s="1">
        <v>179.95</v>
      </c>
      <c r="G855">
        <v>5</v>
      </c>
      <c r="H855" s="1">
        <v>37.789499999999997</v>
      </c>
      <c r="I855" s="4">
        <f>SalesData[[#This Row],[Profit]]/SalesData[[#This Row],[Sales]]</f>
        <v>0.21</v>
      </c>
      <c r="J855">
        <f>YEAR(SalesData[[#This Row],[Order Date]])</f>
        <v>2017</v>
      </c>
      <c r="K855" t="str">
        <f>TEXT(SalesData[[#This Row],[Order Date]],"mmm")</f>
        <v>Aug</v>
      </c>
      <c r="L855">
        <f>MONTH(SalesData[[#This Row],[Order Date]])</f>
        <v>8</v>
      </c>
      <c r="M855">
        <f>SalesData[[#This Row],[Sales]]/SalesData[[#This Row],[Quantity]]</f>
        <v>35.989999999999995</v>
      </c>
      <c r="N855" t="str">
        <f>IF(SalesData[[#This Row],[Profit]]&gt;0,"Profit","Loss")</f>
        <v>Profit</v>
      </c>
    </row>
    <row r="856" spans="1:14" x14ac:dyDescent="0.3">
      <c r="A856" t="s">
        <v>3323</v>
      </c>
      <c r="B856" s="3">
        <v>42959</v>
      </c>
      <c r="C856" t="s">
        <v>13</v>
      </c>
      <c r="D856" t="s">
        <v>10</v>
      </c>
      <c r="E856" t="s">
        <v>668</v>
      </c>
      <c r="F856" s="1">
        <v>1199.9760000000001</v>
      </c>
      <c r="G856">
        <v>3</v>
      </c>
      <c r="H856" s="1">
        <v>434.99130000000002</v>
      </c>
      <c r="I856" s="4">
        <f>SalesData[[#This Row],[Profit]]/SalesData[[#This Row],[Sales]]</f>
        <v>0.36249999999999999</v>
      </c>
      <c r="J856">
        <f>YEAR(SalesData[[#This Row],[Order Date]])</f>
        <v>2017</v>
      </c>
      <c r="K856" t="str">
        <f>TEXT(SalesData[[#This Row],[Order Date]],"mmm")</f>
        <v>Aug</v>
      </c>
      <c r="L856">
        <f>MONTH(SalesData[[#This Row],[Order Date]])</f>
        <v>8</v>
      </c>
      <c r="M856">
        <f>SalesData[[#This Row],[Sales]]/SalesData[[#This Row],[Quantity]]</f>
        <v>399.99200000000002</v>
      </c>
      <c r="N856" t="str">
        <f>IF(SalesData[[#This Row],[Profit]]&gt;0,"Profit","Loss")</f>
        <v>Profit</v>
      </c>
    </row>
    <row r="857" spans="1:14" x14ac:dyDescent="0.3">
      <c r="A857" t="s">
        <v>3323</v>
      </c>
      <c r="B857" s="3">
        <v>42959</v>
      </c>
      <c r="C857" t="s">
        <v>13</v>
      </c>
      <c r="D857" t="s">
        <v>21</v>
      </c>
      <c r="E857" t="s">
        <v>953</v>
      </c>
      <c r="F857" s="1">
        <v>27.15</v>
      </c>
      <c r="G857">
        <v>5</v>
      </c>
      <c r="H857" s="1">
        <v>13.3035</v>
      </c>
      <c r="I857" s="4">
        <f>SalesData[[#This Row],[Profit]]/SalesData[[#This Row],[Sales]]</f>
        <v>0.49</v>
      </c>
      <c r="J857">
        <f>YEAR(SalesData[[#This Row],[Order Date]])</f>
        <v>2017</v>
      </c>
      <c r="K857" t="str">
        <f>TEXT(SalesData[[#This Row],[Order Date]],"mmm")</f>
        <v>Aug</v>
      </c>
      <c r="L857">
        <f>MONTH(SalesData[[#This Row],[Order Date]])</f>
        <v>8</v>
      </c>
      <c r="M857">
        <f>SalesData[[#This Row],[Sales]]/SalesData[[#This Row],[Quantity]]</f>
        <v>5.43</v>
      </c>
      <c r="N857" t="str">
        <f>IF(SalesData[[#This Row],[Profit]]&gt;0,"Profit","Loss")</f>
        <v>Profit</v>
      </c>
    </row>
    <row r="858" spans="1:14" x14ac:dyDescent="0.3">
      <c r="A858" t="s">
        <v>3323</v>
      </c>
      <c r="B858" s="3">
        <v>42959</v>
      </c>
      <c r="C858" t="s">
        <v>13</v>
      </c>
      <c r="D858" t="s">
        <v>14</v>
      </c>
      <c r="E858" t="s">
        <v>374</v>
      </c>
      <c r="F858" s="1">
        <v>1004.024</v>
      </c>
      <c r="G858">
        <v>7</v>
      </c>
      <c r="H858" s="1">
        <v>-112.95269999999999</v>
      </c>
      <c r="I858" s="4">
        <f>SalesData[[#This Row],[Profit]]/SalesData[[#This Row],[Sales]]</f>
        <v>-0.11249999999999999</v>
      </c>
      <c r="J858">
        <f>YEAR(SalesData[[#This Row],[Order Date]])</f>
        <v>2017</v>
      </c>
      <c r="K858" t="str">
        <f>TEXT(SalesData[[#This Row],[Order Date]],"mmm")</f>
        <v>Aug</v>
      </c>
      <c r="L858">
        <f>MONTH(SalesData[[#This Row],[Order Date]])</f>
        <v>8</v>
      </c>
      <c r="M858">
        <f>SalesData[[#This Row],[Sales]]/SalesData[[#This Row],[Quantity]]</f>
        <v>143.43199999999999</v>
      </c>
      <c r="N858" t="str">
        <f>IF(SalesData[[#This Row],[Profit]]&gt;0,"Profit","Loss")</f>
        <v>Loss</v>
      </c>
    </row>
    <row r="859" spans="1:14" x14ac:dyDescent="0.3">
      <c r="A859" t="s">
        <v>3323</v>
      </c>
      <c r="B859" s="3">
        <v>42959</v>
      </c>
      <c r="C859" t="s">
        <v>13</v>
      </c>
      <c r="D859" t="s">
        <v>21</v>
      </c>
      <c r="E859" t="s">
        <v>3324</v>
      </c>
      <c r="F859" s="1">
        <v>9.68</v>
      </c>
      <c r="G859">
        <v>1</v>
      </c>
      <c r="H859" s="1">
        <v>4.6463999999999999</v>
      </c>
      <c r="I859" s="4">
        <f>SalesData[[#This Row],[Profit]]/SalesData[[#This Row],[Sales]]</f>
        <v>0.48</v>
      </c>
      <c r="J859">
        <f>YEAR(SalesData[[#This Row],[Order Date]])</f>
        <v>2017</v>
      </c>
      <c r="K859" t="str">
        <f>TEXT(SalesData[[#This Row],[Order Date]],"mmm")</f>
        <v>Aug</v>
      </c>
      <c r="L859">
        <f>MONTH(SalesData[[#This Row],[Order Date]])</f>
        <v>8</v>
      </c>
      <c r="M859">
        <f>SalesData[[#This Row],[Sales]]/SalesData[[#This Row],[Quantity]]</f>
        <v>9.68</v>
      </c>
      <c r="N859" t="str">
        <f>IF(SalesData[[#This Row],[Profit]]&gt;0,"Profit","Loss")</f>
        <v>Profit</v>
      </c>
    </row>
    <row r="860" spans="1:14" x14ac:dyDescent="0.3">
      <c r="A860" t="s">
        <v>3323</v>
      </c>
      <c r="B860" s="3">
        <v>42959</v>
      </c>
      <c r="C860" t="s">
        <v>13</v>
      </c>
      <c r="D860" t="s">
        <v>21</v>
      </c>
      <c r="E860" t="s">
        <v>3130</v>
      </c>
      <c r="F860" s="1">
        <v>28.35</v>
      </c>
      <c r="G860">
        <v>9</v>
      </c>
      <c r="H860" s="1">
        <v>13.608000000000001</v>
      </c>
      <c r="I860" s="4">
        <f>SalesData[[#This Row],[Profit]]/SalesData[[#This Row],[Sales]]</f>
        <v>0.48</v>
      </c>
      <c r="J860">
        <f>YEAR(SalesData[[#This Row],[Order Date]])</f>
        <v>2017</v>
      </c>
      <c r="K860" t="str">
        <f>TEXT(SalesData[[#This Row],[Order Date]],"mmm")</f>
        <v>Aug</v>
      </c>
      <c r="L860">
        <f>MONTH(SalesData[[#This Row],[Order Date]])</f>
        <v>8</v>
      </c>
      <c r="M860">
        <f>SalesData[[#This Row],[Sales]]/SalesData[[#This Row],[Quantity]]</f>
        <v>3.1500000000000004</v>
      </c>
      <c r="N860" t="str">
        <f>IF(SalesData[[#This Row],[Profit]]&gt;0,"Profit","Loss")</f>
        <v>Profit</v>
      </c>
    </row>
    <row r="861" spans="1:14" x14ac:dyDescent="0.3">
      <c r="A861" t="s">
        <v>3323</v>
      </c>
      <c r="B861" s="3">
        <v>42959</v>
      </c>
      <c r="C861" t="s">
        <v>13</v>
      </c>
      <c r="D861" t="s">
        <v>21</v>
      </c>
      <c r="E861" t="s">
        <v>1295</v>
      </c>
      <c r="F861" s="1">
        <v>55.98</v>
      </c>
      <c r="G861">
        <v>1</v>
      </c>
      <c r="H861" s="1">
        <v>27.430199999999999</v>
      </c>
      <c r="I861" s="4">
        <f>SalesData[[#This Row],[Profit]]/SalesData[[#This Row],[Sales]]</f>
        <v>0.49</v>
      </c>
      <c r="J861">
        <f>YEAR(SalesData[[#This Row],[Order Date]])</f>
        <v>2017</v>
      </c>
      <c r="K861" t="str">
        <f>TEXT(SalesData[[#This Row],[Order Date]],"mmm")</f>
        <v>Aug</v>
      </c>
      <c r="L861">
        <f>MONTH(SalesData[[#This Row],[Order Date]])</f>
        <v>8</v>
      </c>
      <c r="M861">
        <f>SalesData[[#This Row],[Sales]]/SalesData[[#This Row],[Quantity]]</f>
        <v>55.98</v>
      </c>
      <c r="N861" t="str">
        <f>IF(SalesData[[#This Row],[Profit]]&gt;0,"Profit","Loss")</f>
        <v>Profit</v>
      </c>
    </row>
    <row r="862" spans="1:14" x14ac:dyDescent="0.3">
      <c r="A862" t="s">
        <v>3323</v>
      </c>
      <c r="B862" s="3">
        <v>42959</v>
      </c>
      <c r="C862" t="s">
        <v>13</v>
      </c>
      <c r="D862" t="s">
        <v>14</v>
      </c>
      <c r="E862" t="s">
        <v>228</v>
      </c>
      <c r="F862" s="1">
        <v>1336.829</v>
      </c>
      <c r="G862">
        <v>13</v>
      </c>
      <c r="H862" s="1">
        <v>31.454799999999999</v>
      </c>
      <c r="I862" s="4">
        <f>SalesData[[#This Row],[Profit]]/SalesData[[#This Row],[Sales]]</f>
        <v>2.3529411764705882E-2</v>
      </c>
      <c r="J862">
        <f>YEAR(SalesData[[#This Row],[Order Date]])</f>
        <v>2017</v>
      </c>
      <c r="K862" t="str">
        <f>TEXT(SalesData[[#This Row],[Order Date]],"mmm")</f>
        <v>Aug</v>
      </c>
      <c r="L862">
        <f>MONTH(SalesData[[#This Row],[Order Date]])</f>
        <v>8</v>
      </c>
      <c r="M862">
        <f>SalesData[[#This Row],[Sales]]/SalesData[[#This Row],[Quantity]]</f>
        <v>102.833</v>
      </c>
      <c r="N862" t="str">
        <f>IF(SalesData[[#This Row],[Profit]]&gt;0,"Profit","Loss")</f>
        <v>Profit</v>
      </c>
    </row>
    <row r="863" spans="1:14" x14ac:dyDescent="0.3">
      <c r="A863" t="s">
        <v>3323</v>
      </c>
      <c r="B863" s="3">
        <v>42959</v>
      </c>
      <c r="C863" t="s">
        <v>13</v>
      </c>
      <c r="D863" t="s">
        <v>14</v>
      </c>
      <c r="E863" t="s">
        <v>1215</v>
      </c>
      <c r="F863" s="1">
        <v>113.568</v>
      </c>
      <c r="G863">
        <v>2</v>
      </c>
      <c r="H863" s="1">
        <v>-18.454799999999999</v>
      </c>
      <c r="I863" s="4">
        <f>SalesData[[#This Row],[Profit]]/SalesData[[#This Row],[Sales]]</f>
        <v>-0.16250000000000001</v>
      </c>
      <c r="J863">
        <f>YEAR(SalesData[[#This Row],[Order Date]])</f>
        <v>2017</v>
      </c>
      <c r="K863" t="str">
        <f>TEXT(SalesData[[#This Row],[Order Date]],"mmm")</f>
        <v>Aug</v>
      </c>
      <c r="L863">
        <f>MONTH(SalesData[[#This Row],[Order Date]])</f>
        <v>8</v>
      </c>
      <c r="M863">
        <f>SalesData[[#This Row],[Sales]]/SalesData[[#This Row],[Quantity]]</f>
        <v>56.783999999999999</v>
      </c>
      <c r="N863" t="str">
        <f>IF(SalesData[[#This Row],[Profit]]&gt;0,"Profit","Loss")</f>
        <v>Loss</v>
      </c>
    </row>
    <row r="864" spans="1:14" x14ac:dyDescent="0.3">
      <c r="A864" t="s">
        <v>3325</v>
      </c>
      <c r="B864" s="3">
        <v>42959</v>
      </c>
      <c r="C864" t="s">
        <v>17</v>
      </c>
      <c r="D864" t="s">
        <v>14</v>
      </c>
      <c r="E864" t="s">
        <v>3326</v>
      </c>
      <c r="F864" s="1">
        <v>109.48</v>
      </c>
      <c r="G864">
        <v>2</v>
      </c>
      <c r="H864" s="1">
        <v>33.938800000000001</v>
      </c>
      <c r="I864" s="4">
        <f>SalesData[[#This Row],[Profit]]/SalesData[[#This Row],[Sales]]</f>
        <v>0.31</v>
      </c>
      <c r="J864">
        <f>YEAR(SalesData[[#This Row],[Order Date]])</f>
        <v>2017</v>
      </c>
      <c r="K864" t="str">
        <f>TEXT(SalesData[[#This Row],[Order Date]],"mmm")</f>
        <v>Aug</v>
      </c>
      <c r="L864">
        <f>MONTH(SalesData[[#This Row],[Order Date]])</f>
        <v>8</v>
      </c>
      <c r="M864">
        <f>SalesData[[#This Row],[Sales]]/SalesData[[#This Row],[Quantity]]</f>
        <v>54.74</v>
      </c>
      <c r="N864" t="str">
        <f>IF(SalesData[[#This Row],[Profit]]&gt;0,"Profit","Loss")</f>
        <v>Profit</v>
      </c>
    </row>
    <row r="865" spans="1:14" x14ac:dyDescent="0.3">
      <c r="A865" t="s">
        <v>3325</v>
      </c>
      <c r="B865" s="3">
        <v>42959</v>
      </c>
      <c r="C865" t="s">
        <v>17</v>
      </c>
      <c r="D865" t="s">
        <v>21</v>
      </c>
      <c r="E865" t="s">
        <v>3327</v>
      </c>
      <c r="F865" s="1">
        <v>272.94</v>
      </c>
      <c r="G865">
        <v>3</v>
      </c>
      <c r="H865" s="1">
        <v>0</v>
      </c>
      <c r="I865" s="4">
        <f>SalesData[[#This Row],[Profit]]/SalesData[[#This Row],[Sales]]</f>
        <v>0</v>
      </c>
      <c r="J865">
        <f>YEAR(SalesData[[#This Row],[Order Date]])</f>
        <v>2017</v>
      </c>
      <c r="K865" t="str">
        <f>TEXT(SalesData[[#This Row],[Order Date]],"mmm")</f>
        <v>Aug</v>
      </c>
      <c r="L865">
        <f>MONTH(SalesData[[#This Row],[Order Date]])</f>
        <v>8</v>
      </c>
      <c r="M865">
        <f>SalesData[[#This Row],[Sales]]/SalesData[[#This Row],[Quantity]]</f>
        <v>90.98</v>
      </c>
      <c r="N865" t="str">
        <f>IF(SalesData[[#This Row],[Profit]]&gt;0,"Profit","Loss")</f>
        <v>Loss</v>
      </c>
    </row>
    <row r="866" spans="1:14" x14ac:dyDescent="0.3">
      <c r="A866" t="s">
        <v>3325</v>
      </c>
      <c r="B866" s="3">
        <v>42959</v>
      </c>
      <c r="C866" t="s">
        <v>17</v>
      </c>
      <c r="D866" t="s">
        <v>21</v>
      </c>
      <c r="E866" t="s">
        <v>2566</v>
      </c>
      <c r="F866" s="1">
        <v>19.440000000000001</v>
      </c>
      <c r="G866">
        <v>3</v>
      </c>
      <c r="H866" s="1">
        <v>9.3312000000000008</v>
      </c>
      <c r="I866" s="4">
        <f>SalesData[[#This Row],[Profit]]/SalesData[[#This Row],[Sales]]</f>
        <v>0.48000000000000004</v>
      </c>
      <c r="J866">
        <f>YEAR(SalesData[[#This Row],[Order Date]])</f>
        <v>2017</v>
      </c>
      <c r="K866" t="str">
        <f>TEXT(SalesData[[#This Row],[Order Date]],"mmm")</f>
        <v>Aug</v>
      </c>
      <c r="L866">
        <f>MONTH(SalesData[[#This Row],[Order Date]])</f>
        <v>8</v>
      </c>
      <c r="M866">
        <f>SalesData[[#This Row],[Sales]]/SalesData[[#This Row],[Quantity]]</f>
        <v>6.48</v>
      </c>
      <c r="N866" t="str">
        <f>IF(SalesData[[#This Row],[Profit]]&gt;0,"Profit","Loss")</f>
        <v>Profit</v>
      </c>
    </row>
    <row r="867" spans="1:14" x14ac:dyDescent="0.3">
      <c r="A867" t="s">
        <v>3325</v>
      </c>
      <c r="B867" s="3">
        <v>42959</v>
      </c>
      <c r="C867" t="s">
        <v>17</v>
      </c>
      <c r="D867" t="s">
        <v>21</v>
      </c>
      <c r="E867" t="s">
        <v>939</v>
      </c>
      <c r="F867" s="1">
        <v>31.92</v>
      </c>
      <c r="G867">
        <v>4</v>
      </c>
      <c r="H867" s="1">
        <v>8.2992000000000008</v>
      </c>
      <c r="I867" s="4">
        <f>SalesData[[#This Row],[Profit]]/SalesData[[#This Row],[Sales]]</f>
        <v>0.26</v>
      </c>
      <c r="J867">
        <f>YEAR(SalesData[[#This Row],[Order Date]])</f>
        <v>2017</v>
      </c>
      <c r="K867" t="str">
        <f>TEXT(SalesData[[#This Row],[Order Date]],"mmm")</f>
        <v>Aug</v>
      </c>
      <c r="L867">
        <f>MONTH(SalesData[[#This Row],[Order Date]])</f>
        <v>8</v>
      </c>
      <c r="M867">
        <f>SalesData[[#This Row],[Sales]]/SalesData[[#This Row],[Quantity]]</f>
        <v>7.98</v>
      </c>
      <c r="N867" t="str">
        <f>IF(SalesData[[#This Row],[Profit]]&gt;0,"Profit","Loss")</f>
        <v>Profit</v>
      </c>
    </row>
    <row r="868" spans="1:14" x14ac:dyDescent="0.3">
      <c r="A868" t="s">
        <v>3328</v>
      </c>
      <c r="B868" s="3">
        <v>42959</v>
      </c>
      <c r="C868" t="s">
        <v>13</v>
      </c>
      <c r="D868" t="s">
        <v>21</v>
      </c>
      <c r="E868" t="s">
        <v>609</v>
      </c>
      <c r="F868" s="1">
        <v>29.79</v>
      </c>
      <c r="G868">
        <v>3</v>
      </c>
      <c r="H868" s="1">
        <v>8.6390999999999991</v>
      </c>
      <c r="I868" s="4">
        <f>SalesData[[#This Row],[Profit]]/SalesData[[#This Row],[Sales]]</f>
        <v>0.28999999999999998</v>
      </c>
      <c r="J868">
        <f>YEAR(SalesData[[#This Row],[Order Date]])</f>
        <v>2017</v>
      </c>
      <c r="K868" t="str">
        <f>TEXT(SalesData[[#This Row],[Order Date]],"mmm")</f>
        <v>Aug</v>
      </c>
      <c r="L868">
        <f>MONTH(SalesData[[#This Row],[Order Date]])</f>
        <v>8</v>
      </c>
      <c r="M868">
        <f>SalesData[[#This Row],[Sales]]/SalesData[[#This Row],[Quantity]]</f>
        <v>9.93</v>
      </c>
      <c r="N868" t="str">
        <f>IF(SalesData[[#This Row],[Profit]]&gt;0,"Profit","Loss")</f>
        <v>Profit</v>
      </c>
    </row>
    <row r="869" spans="1:14" x14ac:dyDescent="0.3">
      <c r="A869" t="s">
        <v>3328</v>
      </c>
      <c r="B869" s="3">
        <v>42959</v>
      </c>
      <c r="C869" t="s">
        <v>13</v>
      </c>
      <c r="D869" t="s">
        <v>14</v>
      </c>
      <c r="E869" t="s">
        <v>3329</v>
      </c>
      <c r="F869" s="1">
        <v>128.9</v>
      </c>
      <c r="G869">
        <v>2</v>
      </c>
      <c r="H869" s="1">
        <v>15.468</v>
      </c>
      <c r="I869" s="4">
        <f>SalesData[[#This Row],[Profit]]/SalesData[[#This Row],[Sales]]</f>
        <v>0.12</v>
      </c>
      <c r="J869">
        <f>YEAR(SalesData[[#This Row],[Order Date]])</f>
        <v>2017</v>
      </c>
      <c r="K869" t="str">
        <f>TEXT(SalesData[[#This Row],[Order Date]],"mmm")</f>
        <v>Aug</v>
      </c>
      <c r="L869">
        <f>MONTH(SalesData[[#This Row],[Order Date]])</f>
        <v>8</v>
      </c>
      <c r="M869">
        <f>SalesData[[#This Row],[Sales]]/SalesData[[#This Row],[Quantity]]</f>
        <v>64.45</v>
      </c>
      <c r="N869" t="str">
        <f>IF(SalesData[[#This Row],[Profit]]&gt;0,"Profit","Loss")</f>
        <v>Profit</v>
      </c>
    </row>
    <row r="870" spans="1:14" x14ac:dyDescent="0.3">
      <c r="A870" t="s">
        <v>3328</v>
      </c>
      <c r="B870" s="3">
        <v>42959</v>
      </c>
      <c r="C870" t="s">
        <v>13</v>
      </c>
      <c r="D870" t="s">
        <v>21</v>
      </c>
      <c r="E870" t="s">
        <v>3330</v>
      </c>
      <c r="F870" s="1">
        <v>60.12</v>
      </c>
      <c r="G870">
        <v>9</v>
      </c>
      <c r="H870" s="1">
        <v>28.857600000000001</v>
      </c>
      <c r="I870" s="4">
        <f>SalesData[[#This Row],[Profit]]/SalesData[[#This Row],[Sales]]</f>
        <v>0.48000000000000004</v>
      </c>
      <c r="J870">
        <f>YEAR(SalesData[[#This Row],[Order Date]])</f>
        <v>2017</v>
      </c>
      <c r="K870" t="str">
        <f>TEXT(SalesData[[#This Row],[Order Date]],"mmm")</f>
        <v>Aug</v>
      </c>
      <c r="L870">
        <f>MONTH(SalesData[[#This Row],[Order Date]])</f>
        <v>8</v>
      </c>
      <c r="M870">
        <f>SalesData[[#This Row],[Sales]]/SalesData[[#This Row],[Quantity]]</f>
        <v>6.68</v>
      </c>
      <c r="N870" t="str">
        <f>IF(SalesData[[#This Row],[Profit]]&gt;0,"Profit","Loss")</f>
        <v>Profit</v>
      </c>
    </row>
    <row r="871" spans="1:14" x14ac:dyDescent="0.3">
      <c r="A871" t="s">
        <v>3331</v>
      </c>
      <c r="B871" s="3">
        <v>42959</v>
      </c>
      <c r="C871" t="s">
        <v>13</v>
      </c>
      <c r="D871" t="s">
        <v>21</v>
      </c>
      <c r="E871" t="s">
        <v>3332</v>
      </c>
      <c r="F871" s="1">
        <v>69.48</v>
      </c>
      <c r="G871">
        <v>1</v>
      </c>
      <c r="H871" s="1">
        <v>20.844000000000001</v>
      </c>
      <c r="I871" s="4">
        <f>SalesData[[#This Row],[Profit]]/SalesData[[#This Row],[Sales]]</f>
        <v>0.3</v>
      </c>
      <c r="J871">
        <f>YEAR(SalesData[[#This Row],[Order Date]])</f>
        <v>2017</v>
      </c>
      <c r="K871" t="str">
        <f>TEXT(SalesData[[#This Row],[Order Date]],"mmm")</f>
        <v>Aug</v>
      </c>
      <c r="L871">
        <f>MONTH(SalesData[[#This Row],[Order Date]])</f>
        <v>8</v>
      </c>
      <c r="M871">
        <f>SalesData[[#This Row],[Sales]]/SalesData[[#This Row],[Quantity]]</f>
        <v>69.48</v>
      </c>
      <c r="N871" t="str">
        <f>IF(SalesData[[#This Row],[Profit]]&gt;0,"Profit","Loss")</f>
        <v>Profit</v>
      </c>
    </row>
    <row r="872" spans="1:14" x14ac:dyDescent="0.3">
      <c r="A872" t="s">
        <v>3333</v>
      </c>
      <c r="B872" s="3">
        <v>42959</v>
      </c>
      <c r="C872" t="s">
        <v>13</v>
      </c>
      <c r="D872" t="s">
        <v>21</v>
      </c>
      <c r="E872" t="s">
        <v>3334</v>
      </c>
      <c r="F872" s="1">
        <v>87.92</v>
      </c>
      <c r="G872">
        <v>4</v>
      </c>
      <c r="H872" s="1">
        <v>40.443199999999997</v>
      </c>
      <c r="I872" s="4">
        <f>SalesData[[#This Row],[Profit]]/SalesData[[#This Row],[Sales]]</f>
        <v>0.45999999999999996</v>
      </c>
      <c r="J872">
        <f>YEAR(SalesData[[#This Row],[Order Date]])</f>
        <v>2017</v>
      </c>
      <c r="K872" t="str">
        <f>TEXT(SalesData[[#This Row],[Order Date]],"mmm")</f>
        <v>Aug</v>
      </c>
      <c r="L872">
        <f>MONTH(SalesData[[#This Row],[Order Date]])</f>
        <v>8</v>
      </c>
      <c r="M872">
        <f>SalesData[[#This Row],[Sales]]/SalesData[[#This Row],[Quantity]]</f>
        <v>21.98</v>
      </c>
      <c r="N872" t="str">
        <f>IF(SalesData[[#This Row],[Profit]]&gt;0,"Profit","Loss")</f>
        <v>Profit</v>
      </c>
    </row>
    <row r="873" spans="1:14" x14ac:dyDescent="0.3">
      <c r="A873" t="s">
        <v>3333</v>
      </c>
      <c r="B873" s="3">
        <v>42959</v>
      </c>
      <c r="C873" t="s">
        <v>13</v>
      </c>
      <c r="D873" t="s">
        <v>21</v>
      </c>
      <c r="E873" t="s">
        <v>999</v>
      </c>
      <c r="F873" s="1">
        <v>22.423999999999999</v>
      </c>
      <c r="G873">
        <v>1</v>
      </c>
      <c r="H873" s="1">
        <v>8.4090000000000007</v>
      </c>
      <c r="I873" s="4">
        <f>SalesData[[#This Row],[Profit]]/SalesData[[#This Row],[Sales]]</f>
        <v>0.37500000000000006</v>
      </c>
      <c r="J873">
        <f>YEAR(SalesData[[#This Row],[Order Date]])</f>
        <v>2017</v>
      </c>
      <c r="K873" t="str">
        <f>TEXT(SalesData[[#This Row],[Order Date]],"mmm")</f>
        <v>Aug</v>
      </c>
      <c r="L873">
        <f>MONTH(SalesData[[#This Row],[Order Date]])</f>
        <v>8</v>
      </c>
      <c r="M873">
        <f>SalesData[[#This Row],[Sales]]/SalesData[[#This Row],[Quantity]]</f>
        <v>22.423999999999999</v>
      </c>
      <c r="N873" t="str">
        <f>IF(SalesData[[#This Row],[Profit]]&gt;0,"Profit","Loss")</f>
        <v>Profit</v>
      </c>
    </row>
    <row r="874" spans="1:14" x14ac:dyDescent="0.3">
      <c r="A874" t="s">
        <v>3333</v>
      </c>
      <c r="B874" s="3">
        <v>42959</v>
      </c>
      <c r="C874" t="s">
        <v>13</v>
      </c>
      <c r="D874" t="s">
        <v>21</v>
      </c>
      <c r="E874" t="s">
        <v>424</v>
      </c>
      <c r="F874" s="1">
        <v>90.48</v>
      </c>
      <c r="G874">
        <v>3</v>
      </c>
      <c r="H874" s="1">
        <v>33.93</v>
      </c>
      <c r="I874" s="4">
        <f>SalesData[[#This Row],[Profit]]/SalesData[[#This Row],[Sales]]</f>
        <v>0.375</v>
      </c>
      <c r="J874">
        <f>YEAR(SalesData[[#This Row],[Order Date]])</f>
        <v>2017</v>
      </c>
      <c r="K874" t="str">
        <f>TEXT(SalesData[[#This Row],[Order Date]],"mmm")</f>
        <v>Aug</v>
      </c>
      <c r="L874">
        <f>MONTH(SalesData[[#This Row],[Order Date]])</f>
        <v>8</v>
      </c>
      <c r="M874">
        <f>SalesData[[#This Row],[Sales]]/SalesData[[#This Row],[Quantity]]</f>
        <v>30.16</v>
      </c>
      <c r="N874" t="str">
        <f>IF(SalesData[[#This Row],[Profit]]&gt;0,"Profit","Loss")</f>
        <v>Profit</v>
      </c>
    </row>
    <row r="875" spans="1:14" x14ac:dyDescent="0.3">
      <c r="A875" t="s">
        <v>3333</v>
      </c>
      <c r="B875" s="3">
        <v>42959</v>
      </c>
      <c r="C875" t="s">
        <v>13</v>
      </c>
      <c r="D875" t="s">
        <v>21</v>
      </c>
      <c r="E875" t="s">
        <v>1126</v>
      </c>
      <c r="F875" s="1">
        <v>42.76</v>
      </c>
      <c r="G875">
        <v>1</v>
      </c>
      <c r="H875" s="1">
        <v>11.117599999999999</v>
      </c>
      <c r="I875" s="4">
        <f>SalesData[[#This Row],[Profit]]/SalesData[[#This Row],[Sales]]</f>
        <v>0.26</v>
      </c>
      <c r="J875">
        <f>YEAR(SalesData[[#This Row],[Order Date]])</f>
        <v>2017</v>
      </c>
      <c r="K875" t="str">
        <f>TEXT(SalesData[[#This Row],[Order Date]],"mmm")</f>
        <v>Aug</v>
      </c>
      <c r="L875">
        <f>MONTH(SalesData[[#This Row],[Order Date]])</f>
        <v>8</v>
      </c>
      <c r="M875">
        <f>SalesData[[#This Row],[Sales]]/SalesData[[#This Row],[Quantity]]</f>
        <v>42.76</v>
      </c>
      <c r="N875" t="str">
        <f>IF(SalesData[[#This Row],[Profit]]&gt;0,"Profit","Loss")</f>
        <v>Profit</v>
      </c>
    </row>
    <row r="876" spans="1:14" x14ac:dyDescent="0.3">
      <c r="A876" t="s">
        <v>3335</v>
      </c>
      <c r="B876" s="3">
        <v>42959</v>
      </c>
      <c r="C876" t="s">
        <v>9</v>
      </c>
      <c r="D876" t="s">
        <v>10</v>
      </c>
      <c r="E876" t="s">
        <v>272</v>
      </c>
      <c r="F876" s="1">
        <v>178.11</v>
      </c>
      <c r="G876">
        <v>3</v>
      </c>
      <c r="H876" s="1">
        <v>32.059800000000003</v>
      </c>
      <c r="I876" s="4">
        <f>SalesData[[#This Row],[Profit]]/SalesData[[#This Row],[Sales]]</f>
        <v>0.18</v>
      </c>
      <c r="J876">
        <f>YEAR(SalesData[[#This Row],[Order Date]])</f>
        <v>2017</v>
      </c>
      <c r="K876" t="str">
        <f>TEXT(SalesData[[#This Row],[Order Date]],"mmm")</f>
        <v>Aug</v>
      </c>
      <c r="L876">
        <f>MONTH(SalesData[[#This Row],[Order Date]])</f>
        <v>8</v>
      </c>
      <c r="M876">
        <f>SalesData[[#This Row],[Sales]]/SalesData[[#This Row],[Quantity]]</f>
        <v>59.370000000000005</v>
      </c>
      <c r="N876" t="str">
        <f>IF(SalesData[[#This Row],[Profit]]&gt;0,"Profit","Loss")</f>
        <v>Profit</v>
      </c>
    </row>
    <row r="877" spans="1:14" x14ac:dyDescent="0.3">
      <c r="A877" t="s">
        <v>3335</v>
      </c>
      <c r="B877" s="3">
        <v>42959</v>
      </c>
      <c r="C877" t="s">
        <v>9</v>
      </c>
      <c r="D877" t="s">
        <v>21</v>
      </c>
      <c r="E877" t="s">
        <v>346</v>
      </c>
      <c r="F877" s="1">
        <v>1089.75</v>
      </c>
      <c r="G877">
        <v>3</v>
      </c>
      <c r="H877" s="1">
        <v>305.13</v>
      </c>
      <c r="I877" s="4">
        <f>SalesData[[#This Row],[Profit]]/SalesData[[#This Row],[Sales]]</f>
        <v>0.27999999999999997</v>
      </c>
      <c r="J877">
        <f>YEAR(SalesData[[#This Row],[Order Date]])</f>
        <v>2017</v>
      </c>
      <c r="K877" t="str">
        <f>TEXT(SalesData[[#This Row],[Order Date]],"mmm")</f>
        <v>Aug</v>
      </c>
      <c r="L877">
        <f>MONTH(SalesData[[#This Row],[Order Date]])</f>
        <v>8</v>
      </c>
      <c r="M877">
        <f>SalesData[[#This Row],[Sales]]/SalesData[[#This Row],[Quantity]]</f>
        <v>363.25</v>
      </c>
      <c r="N877" t="str">
        <f>IF(SalesData[[#This Row],[Profit]]&gt;0,"Profit","Loss")</f>
        <v>Profit</v>
      </c>
    </row>
    <row r="878" spans="1:14" x14ac:dyDescent="0.3">
      <c r="A878" t="s">
        <v>3335</v>
      </c>
      <c r="B878" s="3">
        <v>42959</v>
      </c>
      <c r="C878" t="s">
        <v>9</v>
      </c>
      <c r="D878" t="s">
        <v>21</v>
      </c>
      <c r="E878" t="s">
        <v>3153</v>
      </c>
      <c r="F878" s="1">
        <v>61.06</v>
      </c>
      <c r="G878">
        <v>2</v>
      </c>
      <c r="H878" s="1">
        <v>28.087599999999998</v>
      </c>
      <c r="I878" s="4">
        <f>SalesData[[#This Row],[Profit]]/SalesData[[#This Row],[Sales]]</f>
        <v>0.45999999999999996</v>
      </c>
      <c r="J878">
        <f>YEAR(SalesData[[#This Row],[Order Date]])</f>
        <v>2017</v>
      </c>
      <c r="K878" t="str">
        <f>TEXT(SalesData[[#This Row],[Order Date]],"mmm")</f>
        <v>Aug</v>
      </c>
      <c r="L878">
        <f>MONTH(SalesData[[#This Row],[Order Date]])</f>
        <v>8</v>
      </c>
      <c r="M878">
        <f>SalesData[[#This Row],[Sales]]/SalesData[[#This Row],[Quantity]]</f>
        <v>30.53</v>
      </c>
      <c r="N878" t="str">
        <f>IF(SalesData[[#This Row],[Profit]]&gt;0,"Profit","Loss")</f>
        <v>Profit</v>
      </c>
    </row>
    <row r="879" spans="1:14" x14ac:dyDescent="0.3">
      <c r="A879" t="s">
        <v>3335</v>
      </c>
      <c r="B879" s="3">
        <v>42959</v>
      </c>
      <c r="C879" t="s">
        <v>9</v>
      </c>
      <c r="D879" t="s">
        <v>14</v>
      </c>
      <c r="E879" t="s">
        <v>1360</v>
      </c>
      <c r="F879" s="1">
        <v>459.92</v>
      </c>
      <c r="G879">
        <v>4</v>
      </c>
      <c r="H879" s="1">
        <v>41.392800000000001</v>
      </c>
      <c r="I879" s="4">
        <f>SalesData[[#This Row],[Profit]]/SalesData[[#This Row],[Sales]]</f>
        <v>0.09</v>
      </c>
      <c r="J879">
        <f>YEAR(SalesData[[#This Row],[Order Date]])</f>
        <v>2017</v>
      </c>
      <c r="K879" t="str">
        <f>TEXT(SalesData[[#This Row],[Order Date]],"mmm")</f>
        <v>Aug</v>
      </c>
      <c r="L879">
        <f>MONTH(SalesData[[#This Row],[Order Date]])</f>
        <v>8</v>
      </c>
      <c r="M879">
        <f>SalesData[[#This Row],[Sales]]/SalesData[[#This Row],[Quantity]]</f>
        <v>114.98</v>
      </c>
      <c r="N879" t="str">
        <f>IF(SalesData[[#This Row],[Profit]]&gt;0,"Profit","Loss")</f>
        <v>Profit</v>
      </c>
    </row>
    <row r="880" spans="1:14" x14ac:dyDescent="0.3">
      <c r="A880" t="s">
        <v>3335</v>
      </c>
      <c r="B880" s="3">
        <v>42959</v>
      </c>
      <c r="C880" t="s">
        <v>9</v>
      </c>
      <c r="D880" t="s">
        <v>21</v>
      </c>
      <c r="E880" t="s">
        <v>1735</v>
      </c>
      <c r="F880" s="1">
        <v>27.52</v>
      </c>
      <c r="G880">
        <v>4</v>
      </c>
      <c r="H880" s="1">
        <v>12.6592</v>
      </c>
      <c r="I880" s="4">
        <f>SalesData[[#This Row],[Profit]]/SalesData[[#This Row],[Sales]]</f>
        <v>0.46</v>
      </c>
      <c r="J880">
        <f>YEAR(SalesData[[#This Row],[Order Date]])</f>
        <v>2017</v>
      </c>
      <c r="K880" t="str">
        <f>TEXT(SalesData[[#This Row],[Order Date]],"mmm")</f>
        <v>Aug</v>
      </c>
      <c r="L880">
        <f>MONTH(SalesData[[#This Row],[Order Date]])</f>
        <v>8</v>
      </c>
      <c r="M880">
        <f>SalesData[[#This Row],[Sales]]/SalesData[[#This Row],[Quantity]]</f>
        <v>6.88</v>
      </c>
      <c r="N880" t="str">
        <f>IF(SalesData[[#This Row],[Profit]]&gt;0,"Profit","Loss")</f>
        <v>Profit</v>
      </c>
    </row>
    <row r="881" spans="1:14" x14ac:dyDescent="0.3">
      <c r="A881" t="s">
        <v>3336</v>
      </c>
      <c r="B881" s="3">
        <v>42959</v>
      </c>
      <c r="C881" t="s">
        <v>17</v>
      </c>
      <c r="D881" t="s">
        <v>21</v>
      </c>
      <c r="E881" t="s">
        <v>814</v>
      </c>
      <c r="F881" s="1">
        <v>592.74</v>
      </c>
      <c r="G881">
        <v>6</v>
      </c>
      <c r="H881" s="1">
        <v>160.03980000000001</v>
      </c>
      <c r="I881" s="4">
        <f>SalesData[[#This Row],[Profit]]/SalesData[[#This Row],[Sales]]</f>
        <v>0.27</v>
      </c>
      <c r="J881">
        <f>YEAR(SalesData[[#This Row],[Order Date]])</f>
        <v>2017</v>
      </c>
      <c r="K881" t="str">
        <f>TEXT(SalesData[[#This Row],[Order Date]],"mmm")</f>
        <v>Aug</v>
      </c>
      <c r="L881">
        <f>MONTH(SalesData[[#This Row],[Order Date]])</f>
        <v>8</v>
      </c>
      <c r="M881">
        <f>SalesData[[#This Row],[Sales]]/SalesData[[#This Row],[Quantity]]</f>
        <v>98.79</v>
      </c>
      <c r="N881" t="str">
        <f>IF(SalesData[[#This Row],[Profit]]&gt;0,"Profit","Loss")</f>
        <v>Profit</v>
      </c>
    </row>
    <row r="882" spans="1:14" x14ac:dyDescent="0.3">
      <c r="A882" t="s">
        <v>3337</v>
      </c>
      <c r="B882" s="3">
        <v>42959</v>
      </c>
      <c r="C882" t="s">
        <v>17</v>
      </c>
      <c r="D882" t="s">
        <v>14</v>
      </c>
      <c r="E882" t="s">
        <v>1054</v>
      </c>
      <c r="F882" s="1">
        <v>215.54400000000001</v>
      </c>
      <c r="G882">
        <v>4</v>
      </c>
      <c r="H882" s="1">
        <v>-58.504800000000003</v>
      </c>
      <c r="I882" s="4">
        <f>SalesData[[#This Row],[Profit]]/SalesData[[#This Row],[Sales]]</f>
        <v>-0.27142857142857141</v>
      </c>
      <c r="J882">
        <f>YEAR(SalesData[[#This Row],[Order Date]])</f>
        <v>2017</v>
      </c>
      <c r="K882" t="str">
        <f>TEXT(SalesData[[#This Row],[Order Date]],"mmm")</f>
        <v>Aug</v>
      </c>
      <c r="L882">
        <f>MONTH(SalesData[[#This Row],[Order Date]])</f>
        <v>8</v>
      </c>
      <c r="M882">
        <f>SalesData[[#This Row],[Sales]]/SalesData[[#This Row],[Quantity]]</f>
        <v>53.886000000000003</v>
      </c>
      <c r="N882" t="str">
        <f>IF(SalesData[[#This Row],[Profit]]&gt;0,"Profit","Loss")</f>
        <v>Loss</v>
      </c>
    </row>
    <row r="883" spans="1:14" x14ac:dyDescent="0.3">
      <c r="A883" t="s">
        <v>3338</v>
      </c>
      <c r="B883" s="3">
        <v>42959</v>
      </c>
      <c r="C883" t="s">
        <v>17</v>
      </c>
      <c r="D883" t="s">
        <v>21</v>
      </c>
      <c r="E883" t="s">
        <v>681</v>
      </c>
      <c r="F883" s="1">
        <v>13.247999999999999</v>
      </c>
      <c r="G883">
        <v>4</v>
      </c>
      <c r="H883" s="1">
        <v>3.6432000000000002</v>
      </c>
      <c r="I883" s="4">
        <f>SalesData[[#This Row],[Profit]]/SalesData[[#This Row],[Sales]]</f>
        <v>0.27500000000000002</v>
      </c>
      <c r="J883">
        <f>YEAR(SalesData[[#This Row],[Order Date]])</f>
        <v>2017</v>
      </c>
      <c r="K883" t="str">
        <f>TEXT(SalesData[[#This Row],[Order Date]],"mmm")</f>
        <v>Aug</v>
      </c>
      <c r="L883">
        <f>MONTH(SalesData[[#This Row],[Order Date]])</f>
        <v>8</v>
      </c>
      <c r="M883">
        <f>SalesData[[#This Row],[Sales]]/SalesData[[#This Row],[Quantity]]</f>
        <v>3.3119999999999998</v>
      </c>
      <c r="N883" t="str">
        <f>IF(SalesData[[#This Row],[Profit]]&gt;0,"Profit","Loss")</f>
        <v>Profit</v>
      </c>
    </row>
    <row r="884" spans="1:14" x14ac:dyDescent="0.3">
      <c r="A884" t="s">
        <v>3338</v>
      </c>
      <c r="B884" s="3">
        <v>42959</v>
      </c>
      <c r="C884" t="s">
        <v>17</v>
      </c>
      <c r="D884" t="s">
        <v>10</v>
      </c>
      <c r="E884" t="s">
        <v>3339</v>
      </c>
      <c r="F884" s="1">
        <v>83.988</v>
      </c>
      <c r="G884">
        <v>2</v>
      </c>
      <c r="H884" s="1">
        <v>-20.997</v>
      </c>
      <c r="I884" s="4">
        <f>SalesData[[#This Row],[Profit]]/SalesData[[#This Row],[Sales]]</f>
        <v>-0.25</v>
      </c>
      <c r="J884">
        <f>YEAR(SalesData[[#This Row],[Order Date]])</f>
        <v>2017</v>
      </c>
      <c r="K884" t="str">
        <f>TEXT(SalesData[[#This Row],[Order Date]],"mmm")</f>
        <v>Aug</v>
      </c>
      <c r="L884">
        <f>MONTH(SalesData[[#This Row],[Order Date]])</f>
        <v>8</v>
      </c>
      <c r="M884">
        <f>SalesData[[#This Row],[Sales]]/SalesData[[#This Row],[Quantity]]</f>
        <v>41.994</v>
      </c>
      <c r="N884" t="str">
        <f>IF(SalesData[[#This Row],[Profit]]&gt;0,"Profit","Loss")</f>
        <v>Loss</v>
      </c>
    </row>
    <row r="885" spans="1:14" x14ac:dyDescent="0.3">
      <c r="A885" t="s">
        <v>3340</v>
      </c>
      <c r="B885" s="3">
        <v>42979</v>
      </c>
      <c r="C885" t="s">
        <v>17</v>
      </c>
      <c r="D885" t="s">
        <v>21</v>
      </c>
      <c r="E885" t="s">
        <v>488</v>
      </c>
      <c r="F885" s="1">
        <v>274.49099999999999</v>
      </c>
      <c r="G885">
        <v>3</v>
      </c>
      <c r="H885" s="1">
        <v>-228.74250000000001</v>
      </c>
      <c r="I885" s="4">
        <f>SalesData[[#This Row],[Profit]]/SalesData[[#This Row],[Sales]]</f>
        <v>-0.83333333333333337</v>
      </c>
      <c r="J885">
        <f>YEAR(SalesData[[#This Row],[Order Date]])</f>
        <v>2017</v>
      </c>
      <c r="K885" t="str">
        <f>TEXT(SalesData[[#This Row],[Order Date]],"mmm")</f>
        <v>Sep</v>
      </c>
      <c r="L885">
        <f>MONTH(SalesData[[#This Row],[Order Date]])</f>
        <v>9</v>
      </c>
      <c r="M885">
        <f>SalesData[[#This Row],[Sales]]/SalesData[[#This Row],[Quantity]]</f>
        <v>91.497</v>
      </c>
      <c r="N885" t="str">
        <f>IF(SalesData[[#This Row],[Profit]]&gt;0,"Profit","Loss")</f>
        <v>Loss</v>
      </c>
    </row>
    <row r="886" spans="1:14" x14ac:dyDescent="0.3">
      <c r="A886" t="s">
        <v>3341</v>
      </c>
      <c r="B886" s="3">
        <v>42980</v>
      </c>
      <c r="C886" t="s">
        <v>9</v>
      </c>
      <c r="D886" t="s">
        <v>21</v>
      </c>
      <c r="E886" t="s">
        <v>2904</v>
      </c>
      <c r="F886" s="1">
        <v>252.78399999999999</v>
      </c>
      <c r="G886">
        <v>4</v>
      </c>
      <c r="H886" s="1">
        <v>-417.09359999999998</v>
      </c>
      <c r="I886" s="4">
        <f>SalesData[[#This Row],[Profit]]/SalesData[[#This Row],[Sales]]</f>
        <v>-1.65</v>
      </c>
      <c r="J886">
        <f>YEAR(SalesData[[#This Row],[Order Date]])</f>
        <v>2017</v>
      </c>
      <c r="K886" t="str">
        <f>TEXT(SalesData[[#This Row],[Order Date]],"mmm")</f>
        <v>Sep</v>
      </c>
      <c r="L886">
        <f>MONTH(SalesData[[#This Row],[Order Date]])</f>
        <v>9</v>
      </c>
      <c r="M886">
        <f>SalesData[[#This Row],[Sales]]/SalesData[[#This Row],[Quantity]]</f>
        <v>63.195999999999998</v>
      </c>
      <c r="N886" t="str">
        <f>IF(SalesData[[#This Row],[Profit]]&gt;0,"Profit","Loss")</f>
        <v>Loss</v>
      </c>
    </row>
    <row r="887" spans="1:14" x14ac:dyDescent="0.3">
      <c r="A887" t="s">
        <v>3341</v>
      </c>
      <c r="B887" s="3">
        <v>42980</v>
      </c>
      <c r="C887" t="s">
        <v>9</v>
      </c>
      <c r="D887" t="s">
        <v>10</v>
      </c>
      <c r="E887" t="s">
        <v>1469</v>
      </c>
      <c r="F887" s="1">
        <v>127.98399999999999</v>
      </c>
      <c r="G887">
        <v>2</v>
      </c>
      <c r="H887" s="1">
        <v>15.997999999999999</v>
      </c>
      <c r="I887" s="4">
        <f>SalesData[[#This Row],[Profit]]/SalesData[[#This Row],[Sales]]</f>
        <v>0.125</v>
      </c>
      <c r="J887">
        <f>YEAR(SalesData[[#This Row],[Order Date]])</f>
        <v>2017</v>
      </c>
      <c r="K887" t="str">
        <f>TEXT(SalesData[[#This Row],[Order Date]],"mmm")</f>
        <v>Sep</v>
      </c>
      <c r="L887">
        <f>MONTH(SalesData[[#This Row],[Order Date]])</f>
        <v>9</v>
      </c>
      <c r="M887">
        <f>SalesData[[#This Row],[Sales]]/SalesData[[#This Row],[Quantity]]</f>
        <v>63.991999999999997</v>
      </c>
      <c r="N887" t="str">
        <f>IF(SalesData[[#This Row],[Profit]]&gt;0,"Profit","Loss")</f>
        <v>Profit</v>
      </c>
    </row>
    <row r="888" spans="1:14" x14ac:dyDescent="0.3">
      <c r="A888" t="s">
        <v>3341</v>
      </c>
      <c r="B888" s="3">
        <v>42980</v>
      </c>
      <c r="C888" t="s">
        <v>9</v>
      </c>
      <c r="D888" t="s">
        <v>14</v>
      </c>
      <c r="E888" t="s">
        <v>3342</v>
      </c>
      <c r="F888" s="1">
        <v>3.984</v>
      </c>
      <c r="G888">
        <v>2</v>
      </c>
      <c r="H888" s="1">
        <v>-2.6892</v>
      </c>
      <c r="I888" s="4">
        <f>SalesData[[#This Row],[Profit]]/SalesData[[#This Row],[Sales]]</f>
        <v>-0.67500000000000004</v>
      </c>
      <c r="J888">
        <f>YEAR(SalesData[[#This Row],[Order Date]])</f>
        <v>2017</v>
      </c>
      <c r="K888" t="str">
        <f>TEXT(SalesData[[#This Row],[Order Date]],"mmm")</f>
        <v>Sep</v>
      </c>
      <c r="L888">
        <f>MONTH(SalesData[[#This Row],[Order Date]])</f>
        <v>9</v>
      </c>
      <c r="M888">
        <f>SalesData[[#This Row],[Sales]]/SalesData[[#This Row],[Quantity]]</f>
        <v>1.992</v>
      </c>
      <c r="N888" t="str">
        <f>IF(SalesData[[#This Row],[Profit]]&gt;0,"Profit","Loss")</f>
        <v>Loss</v>
      </c>
    </row>
    <row r="889" spans="1:14" x14ac:dyDescent="0.3">
      <c r="A889" t="s">
        <v>3341</v>
      </c>
      <c r="B889" s="3">
        <v>42980</v>
      </c>
      <c r="C889" t="s">
        <v>9</v>
      </c>
      <c r="D889" t="s">
        <v>21</v>
      </c>
      <c r="E889" t="s">
        <v>2576</v>
      </c>
      <c r="F889" s="1">
        <v>12.992000000000001</v>
      </c>
      <c r="G889">
        <v>2</v>
      </c>
      <c r="H889" s="1">
        <v>-32.479999999999997</v>
      </c>
      <c r="I889" s="4">
        <f>SalesData[[#This Row],[Profit]]/SalesData[[#This Row],[Sales]]</f>
        <v>-2.4999999999999996</v>
      </c>
      <c r="J889">
        <f>YEAR(SalesData[[#This Row],[Order Date]])</f>
        <v>2017</v>
      </c>
      <c r="K889" t="str">
        <f>TEXT(SalesData[[#This Row],[Order Date]],"mmm")</f>
        <v>Sep</v>
      </c>
      <c r="L889">
        <f>MONTH(SalesData[[#This Row],[Order Date]])</f>
        <v>9</v>
      </c>
      <c r="M889">
        <f>SalesData[[#This Row],[Sales]]/SalesData[[#This Row],[Quantity]]</f>
        <v>6.4960000000000004</v>
      </c>
      <c r="N889" t="str">
        <f>IF(SalesData[[#This Row],[Profit]]&gt;0,"Profit","Loss")</f>
        <v>Loss</v>
      </c>
    </row>
    <row r="890" spans="1:14" x14ac:dyDescent="0.3">
      <c r="A890" t="s">
        <v>3343</v>
      </c>
      <c r="B890" s="3">
        <v>42980</v>
      </c>
      <c r="C890" t="s">
        <v>13</v>
      </c>
      <c r="D890" t="s">
        <v>14</v>
      </c>
      <c r="E890" t="s">
        <v>98</v>
      </c>
      <c r="F890" s="1">
        <v>21.12</v>
      </c>
      <c r="G890">
        <v>4</v>
      </c>
      <c r="H890" s="1">
        <v>6.5472000000000001</v>
      </c>
      <c r="I890" s="4">
        <f>SalesData[[#This Row],[Profit]]/SalesData[[#This Row],[Sales]]</f>
        <v>0.31</v>
      </c>
      <c r="J890">
        <f>YEAR(SalesData[[#This Row],[Order Date]])</f>
        <v>2017</v>
      </c>
      <c r="K890" t="str">
        <f>TEXT(SalesData[[#This Row],[Order Date]],"mmm")</f>
        <v>Sep</v>
      </c>
      <c r="L890">
        <f>MONTH(SalesData[[#This Row],[Order Date]])</f>
        <v>9</v>
      </c>
      <c r="M890">
        <f>SalesData[[#This Row],[Sales]]/SalesData[[#This Row],[Quantity]]</f>
        <v>5.28</v>
      </c>
      <c r="N890" t="str">
        <f>IF(SalesData[[#This Row],[Profit]]&gt;0,"Profit","Loss")</f>
        <v>Profit</v>
      </c>
    </row>
    <row r="891" spans="1:14" x14ac:dyDescent="0.3">
      <c r="A891" t="s">
        <v>3344</v>
      </c>
      <c r="B891" s="3">
        <v>42980</v>
      </c>
      <c r="C891" t="s">
        <v>13</v>
      </c>
      <c r="D891" t="s">
        <v>21</v>
      </c>
      <c r="E891" t="s">
        <v>310</v>
      </c>
      <c r="F891" s="1">
        <v>354.9</v>
      </c>
      <c r="G891">
        <v>5</v>
      </c>
      <c r="H891" s="1">
        <v>17.745000000000001</v>
      </c>
      <c r="I891" s="4">
        <f>SalesData[[#This Row],[Profit]]/SalesData[[#This Row],[Sales]]</f>
        <v>0.05</v>
      </c>
      <c r="J891">
        <f>YEAR(SalesData[[#This Row],[Order Date]])</f>
        <v>2017</v>
      </c>
      <c r="K891" t="str">
        <f>TEXT(SalesData[[#This Row],[Order Date]],"mmm")</f>
        <v>Sep</v>
      </c>
      <c r="L891">
        <f>MONTH(SalesData[[#This Row],[Order Date]])</f>
        <v>9</v>
      </c>
      <c r="M891">
        <f>SalesData[[#This Row],[Sales]]/SalesData[[#This Row],[Quantity]]</f>
        <v>70.97999999999999</v>
      </c>
      <c r="N891" t="str">
        <f>IF(SalesData[[#This Row],[Profit]]&gt;0,"Profit","Loss")</f>
        <v>Profit</v>
      </c>
    </row>
    <row r="892" spans="1:14" x14ac:dyDescent="0.3">
      <c r="A892" t="s">
        <v>3345</v>
      </c>
      <c r="B892" s="3">
        <v>42981</v>
      </c>
      <c r="C892" t="s">
        <v>13</v>
      </c>
      <c r="D892" t="s">
        <v>10</v>
      </c>
      <c r="E892" t="s">
        <v>652</v>
      </c>
      <c r="F892" s="1">
        <v>199.98</v>
      </c>
      <c r="G892">
        <v>2</v>
      </c>
      <c r="H892" s="1">
        <v>69.992999999999995</v>
      </c>
      <c r="I892" s="4">
        <f>SalesData[[#This Row],[Profit]]/SalesData[[#This Row],[Sales]]</f>
        <v>0.35</v>
      </c>
      <c r="J892">
        <f>YEAR(SalesData[[#This Row],[Order Date]])</f>
        <v>2017</v>
      </c>
      <c r="K892" t="str">
        <f>TEXT(SalesData[[#This Row],[Order Date]],"mmm")</f>
        <v>Sep</v>
      </c>
      <c r="L892">
        <f>MONTH(SalesData[[#This Row],[Order Date]])</f>
        <v>9</v>
      </c>
      <c r="M892">
        <f>SalesData[[#This Row],[Sales]]/SalesData[[#This Row],[Quantity]]</f>
        <v>99.99</v>
      </c>
      <c r="N892" t="str">
        <f>IF(SalesData[[#This Row],[Profit]]&gt;0,"Profit","Loss")</f>
        <v>Profit</v>
      </c>
    </row>
    <row r="893" spans="1:14" x14ac:dyDescent="0.3">
      <c r="A893" t="s">
        <v>3346</v>
      </c>
      <c r="B893" s="3">
        <v>42981</v>
      </c>
      <c r="C893" t="s">
        <v>13</v>
      </c>
      <c r="D893" t="s">
        <v>10</v>
      </c>
      <c r="E893" t="s">
        <v>1832</v>
      </c>
      <c r="F893" s="1">
        <v>479.98399999999998</v>
      </c>
      <c r="G893">
        <v>2</v>
      </c>
      <c r="H893" s="1">
        <v>59.997999999999998</v>
      </c>
      <c r="I893" s="4">
        <f>SalesData[[#This Row],[Profit]]/SalesData[[#This Row],[Sales]]</f>
        <v>0.125</v>
      </c>
      <c r="J893">
        <f>YEAR(SalesData[[#This Row],[Order Date]])</f>
        <v>2017</v>
      </c>
      <c r="K893" t="str">
        <f>TEXT(SalesData[[#This Row],[Order Date]],"mmm")</f>
        <v>Sep</v>
      </c>
      <c r="L893">
        <f>MONTH(SalesData[[#This Row],[Order Date]])</f>
        <v>9</v>
      </c>
      <c r="M893">
        <f>SalesData[[#This Row],[Sales]]/SalesData[[#This Row],[Quantity]]</f>
        <v>239.99199999999999</v>
      </c>
      <c r="N893" t="str">
        <f>IF(SalesData[[#This Row],[Profit]]&gt;0,"Profit","Loss")</f>
        <v>Profit</v>
      </c>
    </row>
    <row r="894" spans="1:14" x14ac:dyDescent="0.3">
      <c r="A894" t="s">
        <v>3346</v>
      </c>
      <c r="B894" s="3">
        <v>42981</v>
      </c>
      <c r="C894" t="s">
        <v>13</v>
      </c>
      <c r="D894" t="s">
        <v>21</v>
      </c>
      <c r="E894" t="s">
        <v>741</v>
      </c>
      <c r="F894" s="1">
        <v>30.84</v>
      </c>
      <c r="G894">
        <v>5</v>
      </c>
      <c r="H894" s="1">
        <v>9.6374999999999993</v>
      </c>
      <c r="I894" s="4">
        <f>SalesData[[#This Row],[Profit]]/SalesData[[#This Row],[Sales]]</f>
        <v>0.3125</v>
      </c>
      <c r="J894">
        <f>YEAR(SalesData[[#This Row],[Order Date]])</f>
        <v>2017</v>
      </c>
      <c r="K894" t="str">
        <f>TEXT(SalesData[[#This Row],[Order Date]],"mmm")</f>
        <v>Sep</v>
      </c>
      <c r="L894">
        <f>MONTH(SalesData[[#This Row],[Order Date]])</f>
        <v>9</v>
      </c>
      <c r="M894">
        <f>SalesData[[#This Row],[Sales]]/SalesData[[#This Row],[Quantity]]</f>
        <v>6.1680000000000001</v>
      </c>
      <c r="N894" t="str">
        <f>IF(SalesData[[#This Row],[Profit]]&gt;0,"Profit","Loss")</f>
        <v>Profit</v>
      </c>
    </row>
    <row r="895" spans="1:14" x14ac:dyDescent="0.3">
      <c r="A895" t="s">
        <v>3347</v>
      </c>
      <c r="B895" s="3">
        <v>42982</v>
      </c>
      <c r="C895" t="s">
        <v>17</v>
      </c>
      <c r="D895" t="s">
        <v>21</v>
      </c>
      <c r="E895" t="s">
        <v>3348</v>
      </c>
      <c r="F895" s="1">
        <v>9.82</v>
      </c>
      <c r="G895">
        <v>2</v>
      </c>
      <c r="H895" s="1">
        <v>4.8117999999999999</v>
      </c>
      <c r="I895" s="4">
        <f>SalesData[[#This Row],[Profit]]/SalesData[[#This Row],[Sales]]</f>
        <v>0.49</v>
      </c>
      <c r="J895">
        <f>YEAR(SalesData[[#This Row],[Order Date]])</f>
        <v>2017</v>
      </c>
      <c r="K895" t="str">
        <f>TEXT(SalesData[[#This Row],[Order Date]],"mmm")</f>
        <v>Sep</v>
      </c>
      <c r="L895">
        <f>MONTH(SalesData[[#This Row],[Order Date]])</f>
        <v>9</v>
      </c>
      <c r="M895">
        <f>SalesData[[#This Row],[Sales]]/SalesData[[#This Row],[Quantity]]</f>
        <v>4.91</v>
      </c>
      <c r="N895" t="str">
        <f>IF(SalesData[[#This Row],[Profit]]&gt;0,"Profit","Loss")</f>
        <v>Profit</v>
      </c>
    </row>
    <row r="896" spans="1:14" x14ac:dyDescent="0.3">
      <c r="A896" t="s">
        <v>3347</v>
      </c>
      <c r="B896" s="3">
        <v>42982</v>
      </c>
      <c r="C896" t="s">
        <v>17</v>
      </c>
      <c r="D896" t="s">
        <v>21</v>
      </c>
      <c r="E896" t="s">
        <v>1004</v>
      </c>
      <c r="F896" s="1">
        <v>35.97</v>
      </c>
      <c r="G896">
        <v>3</v>
      </c>
      <c r="H896" s="1">
        <v>9.7119</v>
      </c>
      <c r="I896" s="4">
        <f>SalesData[[#This Row],[Profit]]/SalesData[[#This Row],[Sales]]</f>
        <v>0.27</v>
      </c>
      <c r="J896">
        <f>YEAR(SalesData[[#This Row],[Order Date]])</f>
        <v>2017</v>
      </c>
      <c r="K896" t="str">
        <f>TEXT(SalesData[[#This Row],[Order Date]],"mmm")</f>
        <v>Sep</v>
      </c>
      <c r="L896">
        <f>MONTH(SalesData[[#This Row],[Order Date]])</f>
        <v>9</v>
      </c>
      <c r="M896">
        <f>SalesData[[#This Row],[Sales]]/SalesData[[#This Row],[Quantity]]</f>
        <v>11.99</v>
      </c>
      <c r="N896" t="str">
        <f>IF(SalesData[[#This Row],[Profit]]&gt;0,"Profit","Loss")</f>
        <v>Profit</v>
      </c>
    </row>
    <row r="897" spans="1:14" x14ac:dyDescent="0.3">
      <c r="A897" t="s">
        <v>3347</v>
      </c>
      <c r="B897" s="3">
        <v>42982</v>
      </c>
      <c r="C897" t="s">
        <v>17</v>
      </c>
      <c r="D897" t="s">
        <v>21</v>
      </c>
      <c r="E897" t="s">
        <v>2321</v>
      </c>
      <c r="F897" s="1">
        <v>12.96</v>
      </c>
      <c r="G897">
        <v>2</v>
      </c>
      <c r="H897" s="1">
        <v>6.2207999999999997</v>
      </c>
      <c r="I897" s="4">
        <f>SalesData[[#This Row],[Profit]]/SalesData[[#This Row],[Sales]]</f>
        <v>0.47999999999999993</v>
      </c>
      <c r="J897">
        <f>YEAR(SalesData[[#This Row],[Order Date]])</f>
        <v>2017</v>
      </c>
      <c r="K897" t="str">
        <f>TEXT(SalesData[[#This Row],[Order Date]],"mmm")</f>
        <v>Sep</v>
      </c>
      <c r="L897">
        <f>MONTH(SalesData[[#This Row],[Order Date]])</f>
        <v>9</v>
      </c>
      <c r="M897">
        <f>SalesData[[#This Row],[Sales]]/SalesData[[#This Row],[Quantity]]</f>
        <v>6.48</v>
      </c>
      <c r="N897" t="str">
        <f>IF(SalesData[[#This Row],[Profit]]&gt;0,"Profit","Loss")</f>
        <v>Profit</v>
      </c>
    </row>
    <row r="898" spans="1:14" x14ac:dyDescent="0.3">
      <c r="A898" t="s">
        <v>3347</v>
      </c>
      <c r="B898" s="3">
        <v>42982</v>
      </c>
      <c r="C898" t="s">
        <v>17</v>
      </c>
      <c r="D898" t="s">
        <v>21</v>
      </c>
      <c r="E898" t="s">
        <v>3349</v>
      </c>
      <c r="F898" s="1">
        <v>191.6</v>
      </c>
      <c r="G898">
        <v>4</v>
      </c>
      <c r="H898" s="1">
        <v>91.968000000000004</v>
      </c>
      <c r="I898" s="4">
        <f>SalesData[[#This Row],[Profit]]/SalesData[[#This Row],[Sales]]</f>
        <v>0.48000000000000004</v>
      </c>
      <c r="J898">
        <f>YEAR(SalesData[[#This Row],[Order Date]])</f>
        <v>2017</v>
      </c>
      <c r="K898" t="str">
        <f>TEXT(SalesData[[#This Row],[Order Date]],"mmm")</f>
        <v>Sep</v>
      </c>
      <c r="L898">
        <f>MONTH(SalesData[[#This Row],[Order Date]])</f>
        <v>9</v>
      </c>
      <c r="M898">
        <f>SalesData[[#This Row],[Sales]]/SalesData[[#This Row],[Quantity]]</f>
        <v>47.9</v>
      </c>
      <c r="N898" t="str">
        <f>IF(SalesData[[#This Row],[Profit]]&gt;0,"Profit","Loss")</f>
        <v>Profit</v>
      </c>
    </row>
    <row r="899" spans="1:14" x14ac:dyDescent="0.3">
      <c r="A899" t="s">
        <v>3347</v>
      </c>
      <c r="B899" s="3">
        <v>42982</v>
      </c>
      <c r="C899" t="s">
        <v>17</v>
      </c>
      <c r="D899" t="s">
        <v>21</v>
      </c>
      <c r="E899" t="s">
        <v>1653</v>
      </c>
      <c r="F899" s="1">
        <v>8.64</v>
      </c>
      <c r="G899">
        <v>3</v>
      </c>
      <c r="H899" s="1">
        <v>4.2336</v>
      </c>
      <c r="I899" s="4">
        <f>SalesData[[#This Row],[Profit]]/SalesData[[#This Row],[Sales]]</f>
        <v>0.49</v>
      </c>
      <c r="J899">
        <f>YEAR(SalesData[[#This Row],[Order Date]])</f>
        <v>2017</v>
      </c>
      <c r="K899" t="str">
        <f>TEXT(SalesData[[#This Row],[Order Date]],"mmm")</f>
        <v>Sep</v>
      </c>
      <c r="L899">
        <f>MONTH(SalesData[[#This Row],[Order Date]])</f>
        <v>9</v>
      </c>
      <c r="M899">
        <f>SalesData[[#This Row],[Sales]]/SalesData[[#This Row],[Quantity]]</f>
        <v>2.8800000000000003</v>
      </c>
      <c r="N899" t="str">
        <f>IF(SalesData[[#This Row],[Profit]]&gt;0,"Profit","Loss")</f>
        <v>Profit</v>
      </c>
    </row>
    <row r="900" spans="1:14" x14ac:dyDescent="0.3">
      <c r="A900" t="s">
        <v>3347</v>
      </c>
      <c r="B900" s="3">
        <v>42982</v>
      </c>
      <c r="C900" t="s">
        <v>17</v>
      </c>
      <c r="D900" t="s">
        <v>21</v>
      </c>
      <c r="E900" t="s">
        <v>3350</v>
      </c>
      <c r="F900" s="1">
        <v>501.81</v>
      </c>
      <c r="G900">
        <v>3</v>
      </c>
      <c r="H900" s="1">
        <v>0</v>
      </c>
      <c r="I900" s="4">
        <f>SalesData[[#This Row],[Profit]]/SalesData[[#This Row],[Sales]]</f>
        <v>0</v>
      </c>
      <c r="J900">
        <f>YEAR(SalesData[[#This Row],[Order Date]])</f>
        <v>2017</v>
      </c>
      <c r="K900" t="str">
        <f>TEXT(SalesData[[#This Row],[Order Date]],"mmm")</f>
        <v>Sep</v>
      </c>
      <c r="L900">
        <f>MONTH(SalesData[[#This Row],[Order Date]])</f>
        <v>9</v>
      </c>
      <c r="M900">
        <f>SalesData[[#This Row],[Sales]]/SalesData[[#This Row],[Quantity]]</f>
        <v>167.27</v>
      </c>
      <c r="N900" t="str">
        <f>IF(SalesData[[#This Row],[Profit]]&gt;0,"Profit","Loss")</f>
        <v>Loss</v>
      </c>
    </row>
    <row r="901" spans="1:14" x14ac:dyDescent="0.3">
      <c r="A901" t="s">
        <v>3351</v>
      </c>
      <c r="B901" s="3">
        <v>42982</v>
      </c>
      <c r="C901" t="s">
        <v>46</v>
      </c>
      <c r="D901" t="s">
        <v>21</v>
      </c>
      <c r="E901" t="s">
        <v>3352</v>
      </c>
      <c r="F901" s="1">
        <v>15.12</v>
      </c>
      <c r="G901">
        <v>3</v>
      </c>
      <c r="H901" s="1">
        <v>4.9139999999999997</v>
      </c>
      <c r="I901" s="4">
        <f>SalesData[[#This Row],[Profit]]/SalesData[[#This Row],[Sales]]</f>
        <v>0.32500000000000001</v>
      </c>
      <c r="J901">
        <f>YEAR(SalesData[[#This Row],[Order Date]])</f>
        <v>2017</v>
      </c>
      <c r="K901" t="str">
        <f>TEXT(SalesData[[#This Row],[Order Date]],"mmm")</f>
        <v>Sep</v>
      </c>
      <c r="L901">
        <f>MONTH(SalesData[[#This Row],[Order Date]])</f>
        <v>9</v>
      </c>
      <c r="M901">
        <f>SalesData[[#This Row],[Sales]]/SalesData[[#This Row],[Quantity]]</f>
        <v>5.04</v>
      </c>
      <c r="N901" t="str">
        <f>IF(SalesData[[#This Row],[Profit]]&gt;0,"Profit","Loss")</f>
        <v>Profit</v>
      </c>
    </row>
    <row r="902" spans="1:14" x14ac:dyDescent="0.3">
      <c r="A902" t="s">
        <v>3351</v>
      </c>
      <c r="B902" s="3">
        <v>42982</v>
      </c>
      <c r="C902" t="s">
        <v>46</v>
      </c>
      <c r="D902" t="s">
        <v>21</v>
      </c>
      <c r="E902" t="s">
        <v>912</v>
      </c>
      <c r="F902" s="1">
        <v>17.43</v>
      </c>
      <c r="G902">
        <v>1</v>
      </c>
      <c r="H902" s="1">
        <v>-13.363</v>
      </c>
      <c r="I902" s="4">
        <f>SalesData[[#This Row],[Profit]]/SalesData[[#This Row],[Sales]]</f>
        <v>-0.76666666666666661</v>
      </c>
      <c r="J902">
        <f>YEAR(SalesData[[#This Row],[Order Date]])</f>
        <v>2017</v>
      </c>
      <c r="K902" t="str">
        <f>TEXT(SalesData[[#This Row],[Order Date]],"mmm")</f>
        <v>Sep</v>
      </c>
      <c r="L902">
        <f>MONTH(SalesData[[#This Row],[Order Date]])</f>
        <v>9</v>
      </c>
      <c r="M902">
        <f>SalesData[[#This Row],[Sales]]/SalesData[[#This Row],[Quantity]]</f>
        <v>17.43</v>
      </c>
      <c r="N902" t="str">
        <f>IF(SalesData[[#This Row],[Profit]]&gt;0,"Profit","Loss")</f>
        <v>Loss</v>
      </c>
    </row>
    <row r="903" spans="1:14" x14ac:dyDescent="0.3">
      <c r="A903" t="s">
        <v>3351</v>
      </c>
      <c r="B903" s="3">
        <v>42982</v>
      </c>
      <c r="C903" t="s">
        <v>46</v>
      </c>
      <c r="D903" t="s">
        <v>21</v>
      </c>
      <c r="E903" t="s">
        <v>2166</v>
      </c>
      <c r="F903" s="1">
        <v>251.64</v>
      </c>
      <c r="G903">
        <v>3</v>
      </c>
      <c r="H903" s="1">
        <v>88.073999999999998</v>
      </c>
      <c r="I903" s="4">
        <f>SalesData[[#This Row],[Profit]]/SalesData[[#This Row],[Sales]]</f>
        <v>0.35000000000000003</v>
      </c>
      <c r="J903">
        <f>YEAR(SalesData[[#This Row],[Order Date]])</f>
        <v>2017</v>
      </c>
      <c r="K903" t="str">
        <f>TEXT(SalesData[[#This Row],[Order Date]],"mmm")</f>
        <v>Sep</v>
      </c>
      <c r="L903">
        <f>MONTH(SalesData[[#This Row],[Order Date]])</f>
        <v>9</v>
      </c>
      <c r="M903">
        <f>SalesData[[#This Row],[Sales]]/SalesData[[#This Row],[Quantity]]</f>
        <v>83.88</v>
      </c>
      <c r="N903" t="str">
        <f>IF(SalesData[[#This Row],[Profit]]&gt;0,"Profit","Loss")</f>
        <v>Profit</v>
      </c>
    </row>
    <row r="904" spans="1:14" x14ac:dyDescent="0.3">
      <c r="A904" t="s">
        <v>3353</v>
      </c>
      <c r="B904" s="3">
        <v>42982</v>
      </c>
      <c r="C904" t="s">
        <v>9</v>
      </c>
      <c r="D904" t="s">
        <v>21</v>
      </c>
      <c r="E904" t="s">
        <v>357</v>
      </c>
      <c r="F904" s="1">
        <v>478.24</v>
      </c>
      <c r="G904">
        <v>8</v>
      </c>
      <c r="H904" s="1">
        <v>219.99039999999999</v>
      </c>
      <c r="I904" s="4">
        <f>SalesData[[#This Row],[Profit]]/SalesData[[#This Row],[Sales]]</f>
        <v>0.45999999999999996</v>
      </c>
      <c r="J904">
        <f>YEAR(SalesData[[#This Row],[Order Date]])</f>
        <v>2017</v>
      </c>
      <c r="K904" t="str">
        <f>TEXT(SalesData[[#This Row],[Order Date]],"mmm")</f>
        <v>Sep</v>
      </c>
      <c r="L904">
        <f>MONTH(SalesData[[#This Row],[Order Date]])</f>
        <v>9</v>
      </c>
      <c r="M904">
        <f>SalesData[[#This Row],[Sales]]/SalesData[[#This Row],[Quantity]]</f>
        <v>59.78</v>
      </c>
      <c r="N904" t="str">
        <f>IF(SalesData[[#This Row],[Profit]]&gt;0,"Profit","Loss")</f>
        <v>Profit</v>
      </c>
    </row>
    <row r="905" spans="1:14" x14ac:dyDescent="0.3">
      <c r="A905" t="s">
        <v>3354</v>
      </c>
      <c r="B905" s="3">
        <v>42982</v>
      </c>
      <c r="C905" t="s">
        <v>17</v>
      </c>
      <c r="D905" t="s">
        <v>21</v>
      </c>
      <c r="E905" t="s">
        <v>1768</v>
      </c>
      <c r="F905" s="1">
        <v>37.896000000000001</v>
      </c>
      <c r="G905">
        <v>4</v>
      </c>
      <c r="H905" s="1">
        <v>-29.053599999999999</v>
      </c>
      <c r="I905" s="4">
        <f>SalesData[[#This Row],[Profit]]/SalesData[[#This Row],[Sales]]</f>
        <v>-0.76666666666666661</v>
      </c>
      <c r="J905">
        <f>YEAR(SalesData[[#This Row],[Order Date]])</f>
        <v>2017</v>
      </c>
      <c r="K905" t="str">
        <f>TEXT(SalesData[[#This Row],[Order Date]],"mmm")</f>
        <v>Sep</v>
      </c>
      <c r="L905">
        <f>MONTH(SalesData[[#This Row],[Order Date]])</f>
        <v>9</v>
      </c>
      <c r="M905">
        <f>SalesData[[#This Row],[Sales]]/SalesData[[#This Row],[Quantity]]</f>
        <v>9.4740000000000002</v>
      </c>
      <c r="N905" t="str">
        <f>IF(SalesData[[#This Row],[Profit]]&gt;0,"Profit","Loss")</f>
        <v>Loss</v>
      </c>
    </row>
    <row r="906" spans="1:14" x14ac:dyDescent="0.3">
      <c r="A906" t="s">
        <v>3354</v>
      </c>
      <c r="B906" s="3">
        <v>42982</v>
      </c>
      <c r="C906" t="s">
        <v>17</v>
      </c>
      <c r="D906" t="s">
        <v>21</v>
      </c>
      <c r="E906" t="s">
        <v>474</v>
      </c>
      <c r="F906" s="1">
        <v>65.584000000000003</v>
      </c>
      <c r="G906">
        <v>2</v>
      </c>
      <c r="H906" s="1">
        <v>23.7742</v>
      </c>
      <c r="I906" s="4">
        <f>SalesData[[#This Row],[Profit]]/SalesData[[#This Row],[Sales]]</f>
        <v>0.36249999999999999</v>
      </c>
      <c r="J906">
        <f>YEAR(SalesData[[#This Row],[Order Date]])</f>
        <v>2017</v>
      </c>
      <c r="K906" t="str">
        <f>TEXT(SalesData[[#This Row],[Order Date]],"mmm")</f>
        <v>Sep</v>
      </c>
      <c r="L906">
        <f>MONTH(SalesData[[#This Row],[Order Date]])</f>
        <v>9</v>
      </c>
      <c r="M906">
        <f>SalesData[[#This Row],[Sales]]/SalesData[[#This Row],[Quantity]]</f>
        <v>32.792000000000002</v>
      </c>
      <c r="N906" t="str">
        <f>IF(SalesData[[#This Row],[Profit]]&gt;0,"Profit","Loss")</f>
        <v>Profit</v>
      </c>
    </row>
    <row r="907" spans="1:14" x14ac:dyDescent="0.3">
      <c r="A907" t="s">
        <v>3355</v>
      </c>
      <c r="B907" s="3">
        <v>42983</v>
      </c>
      <c r="C907" t="s">
        <v>46</v>
      </c>
      <c r="D907" t="s">
        <v>21</v>
      </c>
      <c r="E907" t="s">
        <v>1836</v>
      </c>
      <c r="F907" s="1">
        <v>65.231999999999999</v>
      </c>
      <c r="G907">
        <v>3</v>
      </c>
      <c r="H907" s="1">
        <v>22.015799999999999</v>
      </c>
      <c r="I907" s="4">
        <f>SalesData[[#This Row],[Profit]]/SalesData[[#This Row],[Sales]]</f>
        <v>0.33749999999999997</v>
      </c>
      <c r="J907">
        <f>YEAR(SalesData[[#This Row],[Order Date]])</f>
        <v>2017</v>
      </c>
      <c r="K907" t="str">
        <f>TEXT(SalesData[[#This Row],[Order Date]],"mmm")</f>
        <v>Sep</v>
      </c>
      <c r="L907">
        <f>MONTH(SalesData[[#This Row],[Order Date]])</f>
        <v>9</v>
      </c>
      <c r="M907">
        <f>SalesData[[#This Row],[Sales]]/SalesData[[#This Row],[Quantity]]</f>
        <v>21.744</v>
      </c>
      <c r="N907" t="str">
        <f>IF(SalesData[[#This Row],[Profit]]&gt;0,"Profit","Loss")</f>
        <v>Profit</v>
      </c>
    </row>
    <row r="908" spans="1:14" x14ac:dyDescent="0.3">
      <c r="A908" t="s">
        <v>3355</v>
      </c>
      <c r="B908" s="3">
        <v>42983</v>
      </c>
      <c r="C908" t="s">
        <v>46</v>
      </c>
      <c r="D908" t="s">
        <v>14</v>
      </c>
      <c r="E908" t="s">
        <v>25</v>
      </c>
      <c r="F908" s="1">
        <v>207</v>
      </c>
      <c r="G908">
        <v>3</v>
      </c>
      <c r="H908" s="1">
        <v>25.875</v>
      </c>
      <c r="I908" s="4">
        <f>SalesData[[#This Row],[Profit]]/SalesData[[#This Row],[Sales]]</f>
        <v>0.125</v>
      </c>
      <c r="J908">
        <f>YEAR(SalesData[[#This Row],[Order Date]])</f>
        <v>2017</v>
      </c>
      <c r="K908" t="str">
        <f>TEXT(SalesData[[#This Row],[Order Date]],"mmm")</f>
        <v>Sep</v>
      </c>
      <c r="L908">
        <f>MONTH(SalesData[[#This Row],[Order Date]])</f>
        <v>9</v>
      </c>
      <c r="M908">
        <f>SalesData[[#This Row],[Sales]]/SalesData[[#This Row],[Quantity]]</f>
        <v>69</v>
      </c>
      <c r="N908" t="str">
        <f>IF(SalesData[[#This Row],[Profit]]&gt;0,"Profit","Loss")</f>
        <v>Profit</v>
      </c>
    </row>
    <row r="909" spans="1:14" x14ac:dyDescent="0.3">
      <c r="A909" t="s">
        <v>3356</v>
      </c>
      <c r="B909" s="3">
        <v>42983</v>
      </c>
      <c r="C909" t="s">
        <v>13</v>
      </c>
      <c r="D909" t="s">
        <v>21</v>
      </c>
      <c r="E909" t="s">
        <v>2022</v>
      </c>
      <c r="F909" s="1">
        <v>147.91999999999999</v>
      </c>
      <c r="G909">
        <v>5</v>
      </c>
      <c r="H909" s="1">
        <v>46.225000000000001</v>
      </c>
      <c r="I909" s="4">
        <f>SalesData[[#This Row],[Profit]]/SalesData[[#This Row],[Sales]]</f>
        <v>0.31250000000000006</v>
      </c>
      <c r="J909">
        <f>YEAR(SalesData[[#This Row],[Order Date]])</f>
        <v>2017</v>
      </c>
      <c r="K909" t="str">
        <f>TEXT(SalesData[[#This Row],[Order Date]],"mmm")</f>
        <v>Sep</v>
      </c>
      <c r="L909">
        <f>MONTH(SalesData[[#This Row],[Order Date]])</f>
        <v>9</v>
      </c>
      <c r="M909">
        <f>SalesData[[#This Row],[Sales]]/SalesData[[#This Row],[Quantity]]</f>
        <v>29.583999999999996</v>
      </c>
      <c r="N909" t="str">
        <f>IF(SalesData[[#This Row],[Profit]]&gt;0,"Profit","Loss")</f>
        <v>Profit</v>
      </c>
    </row>
    <row r="910" spans="1:14" x14ac:dyDescent="0.3">
      <c r="A910" t="s">
        <v>3356</v>
      </c>
      <c r="B910" s="3">
        <v>42983</v>
      </c>
      <c r="C910" t="s">
        <v>13</v>
      </c>
      <c r="D910" t="s">
        <v>21</v>
      </c>
      <c r="E910" t="s">
        <v>3357</v>
      </c>
      <c r="F910" s="1">
        <v>104.28</v>
      </c>
      <c r="G910">
        <v>3</v>
      </c>
      <c r="H910" s="1">
        <v>26.07</v>
      </c>
      <c r="I910" s="4">
        <f>SalesData[[#This Row],[Profit]]/SalesData[[#This Row],[Sales]]</f>
        <v>0.25</v>
      </c>
      <c r="J910">
        <f>YEAR(SalesData[[#This Row],[Order Date]])</f>
        <v>2017</v>
      </c>
      <c r="K910" t="str">
        <f>TEXT(SalesData[[#This Row],[Order Date]],"mmm")</f>
        <v>Sep</v>
      </c>
      <c r="L910">
        <f>MONTH(SalesData[[#This Row],[Order Date]])</f>
        <v>9</v>
      </c>
      <c r="M910">
        <f>SalesData[[#This Row],[Sales]]/SalesData[[#This Row],[Quantity]]</f>
        <v>34.76</v>
      </c>
      <c r="N910" t="str">
        <f>IF(SalesData[[#This Row],[Profit]]&gt;0,"Profit","Loss")</f>
        <v>Profit</v>
      </c>
    </row>
    <row r="911" spans="1:14" x14ac:dyDescent="0.3">
      <c r="A911" t="s">
        <v>3356</v>
      </c>
      <c r="B911" s="3">
        <v>42983</v>
      </c>
      <c r="C911" t="s">
        <v>13</v>
      </c>
      <c r="D911" t="s">
        <v>14</v>
      </c>
      <c r="E911" t="s">
        <v>603</v>
      </c>
      <c r="F911" s="1">
        <v>286.85000000000002</v>
      </c>
      <c r="G911">
        <v>1</v>
      </c>
      <c r="H911" s="1">
        <v>63.106999999999999</v>
      </c>
      <c r="I911" s="4">
        <f>SalesData[[#This Row],[Profit]]/SalesData[[#This Row],[Sales]]</f>
        <v>0.21999999999999997</v>
      </c>
      <c r="J911">
        <f>YEAR(SalesData[[#This Row],[Order Date]])</f>
        <v>2017</v>
      </c>
      <c r="K911" t="str">
        <f>TEXT(SalesData[[#This Row],[Order Date]],"mmm")</f>
        <v>Sep</v>
      </c>
      <c r="L911">
        <f>MONTH(SalesData[[#This Row],[Order Date]])</f>
        <v>9</v>
      </c>
      <c r="M911">
        <f>SalesData[[#This Row],[Sales]]/SalesData[[#This Row],[Quantity]]</f>
        <v>286.85000000000002</v>
      </c>
      <c r="N911" t="str">
        <f>IF(SalesData[[#This Row],[Profit]]&gt;0,"Profit","Loss")</f>
        <v>Profit</v>
      </c>
    </row>
    <row r="912" spans="1:14" x14ac:dyDescent="0.3">
      <c r="A912" t="s">
        <v>3356</v>
      </c>
      <c r="B912" s="3">
        <v>42983</v>
      </c>
      <c r="C912" t="s">
        <v>13</v>
      </c>
      <c r="D912" t="s">
        <v>21</v>
      </c>
      <c r="E912" t="s">
        <v>35</v>
      </c>
      <c r="F912" s="1">
        <v>66.959999999999994</v>
      </c>
      <c r="G912">
        <v>4</v>
      </c>
      <c r="H912" s="1">
        <v>2.6783999999999999</v>
      </c>
      <c r="I912" s="4">
        <f>SalesData[[#This Row],[Profit]]/SalesData[[#This Row],[Sales]]</f>
        <v>0.04</v>
      </c>
      <c r="J912">
        <f>YEAR(SalesData[[#This Row],[Order Date]])</f>
        <v>2017</v>
      </c>
      <c r="K912" t="str">
        <f>TEXT(SalesData[[#This Row],[Order Date]],"mmm")</f>
        <v>Sep</v>
      </c>
      <c r="L912">
        <f>MONTH(SalesData[[#This Row],[Order Date]])</f>
        <v>9</v>
      </c>
      <c r="M912">
        <f>SalesData[[#This Row],[Sales]]/SalesData[[#This Row],[Quantity]]</f>
        <v>16.739999999999998</v>
      </c>
      <c r="N912" t="str">
        <f>IF(SalesData[[#This Row],[Profit]]&gt;0,"Profit","Loss")</f>
        <v>Profit</v>
      </c>
    </row>
    <row r="913" spans="1:14" x14ac:dyDescent="0.3">
      <c r="A913" t="s">
        <v>3356</v>
      </c>
      <c r="B913" s="3">
        <v>42983</v>
      </c>
      <c r="C913" t="s">
        <v>13</v>
      </c>
      <c r="D913" t="s">
        <v>10</v>
      </c>
      <c r="E913" t="s">
        <v>189</v>
      </c>
      <c r="F913" s="1">
        <v>199.98</v>
      </c>
      <c r="G913">
        <v>2</v>
      </c>
      <c r="H913" s="1">
        <v>87.991200000000006</v>
      </c>
      <c r="I913" s="4">
        <f>SalesData[[#This Row],[Profit]]/SalesData[[#This Row],[Sales]]</f>
        <v>0.44000000000000006</v>
      </c>
      <c r="J913">
        <f>YEAR(SalesData[[#This Row],[Order Date]])</f>
        <v>2017</v>
      </c>
      <c r="K913" t="str">
        <f>TEXT(SalesData[[#This Row],[Order Date]],"mmm")</f>
        <v>Sep</v>
      </c>
      <c r="L913">
        <f>MONTH(SalesData[[#This Row],[Order Date]])</f>
        <v>9</v>
      </c>
      <c r="M913">
        <f>SalesData[[#This Row],[Sales]]/SalesData[[#This Row],[Quantity]]</f>
        <v>99.99</v>
      </c>
      <c r="N913" t="str">
        <f>IF(SalesData[[#This Row],[Profit]]&gt;0,"Profit","Loss")</f>
        <v>Profit</v>
      </c>
    </row>
    <row r="914" spans="1:14" x14ac:dyDescent="0.3">
      <c r="A914" t="s">
        <v>3358</v>
      </c>
      <c r="B914" s="3">
        <v>42984</v>
      </c>
      <c r="C914" t="s">
        <v>9</v>
      </c>
      <c r="D914" t="s">
        <v>14</v>
      </c>
      <c r="E914" t="s">
        <v>203</v>
      </c>
      <c r="F914" s="1">
        <v>23.975999999999999</v>
      </c>
      <c r="G914">
        <v>3</v>
      </c>
      <c r="H914" s="1">
        <v>-14.3856</v>
      </c>
      <c r="I914" s="4">
        <f>SalesData[[#This Row],[Profit]]/SalesData[[#This Row],[Sales]]</f>
        <v>-0.6</v>
      </c>
      <c r="J914">
        <f>YEAR(SalesData[[#This Row],[Order Date]])</f>
        <v>2017</v>
      </c>
      <c r="K914" t="str">
        <f>TEXT(SalesData[[#This Row],[Order Date]],"mmm")</f>
        <v>Sep</v>
      </c>
      <c r="L914">
        <f>MONTH(SalesData[[#This Row],[Order Date]])</f>
        <v>9</v>
      </c>
      <c r="M914">
        <f>SalesData[[#This Row],[Sales]]/SalesData[[#This Row],[Quantity]]</f>
        <v>7.992</v>
      </c>
      <c r="N914" t="str">
        <f>IF(SalesData[[#This Row],[Profit]]&gt;0,"Profit","Loss")</f>
        <v>Loss</v>
      </c>
    </row>
    <row r="915" spans="1:14" x14ac:dyDescent="0.3">
      <c r="A915" t="s">
        <v>3358</v>
      </c>
      <c r="B915" s="3">
        <v>42984</v>
      </c>
      <c r="C915" t="s">
        <v>9</v>
      </c>
      <c r="D915" t="s">
        <v>14</v>
      </c>
      <c r="E915" t="s">
        <v>503</v>
      </c>
      <c r="F915" s="1">
        <v>108.925</v>
      </c>
      <c r="G915">
        <v>1</v>
      </c>
      <c r="H915" s="1">
        <v>-71.890500000000003</v>
      </c>
      <c r="I915" s="4">
        <f>SalesData[[#This Row],[Profit]]/SalesData[[#This Row],[Sales]]</f>
        <v>-0.66</v>
      </c>
      <c r="J915">
        <f>YEAR(SalesData[[#This Row],[Order Date]])</f>
        <v>2017</v>
      </c>
      <c r="K915" t="str">
        <f>TEXT(SalesData[[#This Row],[Order Date]],"mmm")</f>
        <v>Sep</v>
      </c>
      <c r="L915">
        <f>MONTH(SalesData[[#This Row],[Order Date]])</f>
        <v>9</v>
      </c>
      <c r="M915">
        <f>SalesData[[#This Row],[Sales]]/SalesData[[#This Row],[Quantity]]</f>
        <v>108.925</v>
      </c>
      <c r="N915" t="str">
        <f>IF(SalesData[[#This Row],[Profit]]&gt;0,"Profit","Loss")</f>
        <v>Loss</v>
      </c>
    </row>
    <row r="916" spans="1:14" x14ac:dyDescent="0.3">
      <c r="A916" t="s">
        <v>3358</v>
      </c>
      <c r="B916" s="3">
        <v>42984</v>
      </c>
      <c r="C916" t="s">
        <v>9</v>
      </c>
      <c r="D916" t="s">
        <v>21</v>
      </c>
      <c r="E916" t="s">
        <v>3169</v>
      </c>
      <c r="F916" s="1">
        <v>36.351999999999997</v>
      </c>
      <c r="G916">
        <v>8</v>
      </c>
      <c r="H916" s="1">
        <v>11.36</v>
      </c>
      <c r="I916" s="4">
        <f>SalesData[[#This Row],[Profit]]/SalesData[[#This Row],[Sales]]</f>
        <v>0.3125</v>
      </c>
      <c r="J916">
        <f>YEAR(SalesData[[#This Row],[Order Date]])</f>
        <v>2017</v>
      </c>
      <c r="K916" t="str">
        <f>TEXT(SalesData[[#This Row],[Order Date]],"mmm")</f>
        <v>Sep</v>
      </c>
      <c r="L916">
        <f>MONTH(SalesData[[#This Row],[Order Date]])</f>
        <v>9</v>
      </c>
      <c r="M916">
        <f>SalesData[[#This Row],[Sales]]/SalesData[[#This Row],[Quantity]]</f>
        <v>4.5439999999999996</v>
      </c>
      <c r="N916" t="str">
        <f>IF(SalesData[[#This Row],[Profit]]&gt;0,"Profit","Loss")</f>
        <v>Profit</v>
      </c>
    </row>
    <row r="917" spans="1:14" x14ac:dyDescent="0.3">
      <c r="A917" t="s">
        <v>3359</v>
      </c>
      <c r="B917" s="3">
        <v>42984</v>
      </c>
      <c r="C917" t="s">
        <v>9</v>
      </c>
      <c r="D917" t="s">
        <v>21</v>
      </c>
      <c r="E917" t="s">
        <v>554</v>
      </c>
      <c r="F917" s="1">
        <v>720.76</v>
      </c>
      <c r="G917">
        <v>5</v>
      </c>
      <c r="H917" s="1">
        <v>54.057000000000002</v>
      </c>
      <c r="I917" s="4">
        <f>SalesData[[#This Row],[Profit]]/SalesData[[#This Row],[Sales]]</f>
        <v>7.4999999999999997E-2</v>
      </c>
      <c r="J917">
        <f>YEAR(SalesData[[#This Row],[Order Date]])</f>
        <v>2017</v>
      </c>
      <c r="K917" t="str">
        <f>TEXT(SalesData[[#This Row],[Order Date]],"mmm")</f>
        <v>Sep</v>
      </c>
      <c r="L917">
        <f>MONTH(SalesData[[#This Row],[Order Date]])</f>
        <v>9</v>
      </c>
      <c r="M917">
        <f>SalesData[[#This Row],[Sales]]/SalesData[[#This Row],[Quantity]]</f>
        <v>144.15199999999999</v>
      </c>
      <c r="N917" t="str">
        <f>IF(SalesData[[#This Row],[Profit]]&gt;0,"Profit","Loss")</f>
        <v>Profit</v>
      </c>
    </row>
    <row r="918" spans="1:14" x14ac:dyDescent="0.3">
      <c r="A918" t="s">
        <v>3360</v>
      </c>
      <c r="B918" s="3">
        <v>42984</v>
      </c>
      <c r="C918" t="s">
        <v>46</v>
      </c>
      <c r="D918" t="s">
        <v>21</v>
      </c>
      <c r="E918" t="s">
        <v>94</v>
      </c>
      <c r="F918" s="1">
        <v>49.12</v>
      </c>
      <c r="G918">
        <v>4</v>
      </c>
      <c r="H918" s="1">
        <v>23.086400000000001</v>
      </c>
      <c r="I918" s="4">
        <f>SalesData[[#This Row],[Profit]]/SalesData[[#This Row],[Sales]]</f>
        <v>0.47000000000000003</v>
      </c>
      <c r="J918">
        <f>YEAR(SalesData[[#This Row],[Order Date]])</f>
        <v>2017</v>
      </c>
      <c r="K918" t="str">
        <f>TEXT(SalesData[[#This Row],[Order Date]],"mmm")</f>
        <v>Sep</v>
      </c>
      <c r="L918">
        <f>MONTH(SalesData[[#This Row],[Order Date]])</f>
        <v>9</v>
      </c>
      <c r="M918">
        <f>SalesData[[#This Row],[Sales]]/SalesData[[#This Row],[Quantity]]</f>
        <v>12.28</v>
      </c>
      <c r="N918" t="str">
        <f>IF(SalesData[[#This Row],[Profit]]&gt;0,"Profit","Loss")</f>
        <v>Profit</v>
      </c>
    </row>
    <row r="919" spans="1:14" x14ac:dyDescent="0.3">
      <c r="A919" t="s">
        <v>3361</v>
      </c>
      <c r="B919" s="3">
        <v>42985</v>
      </c>
      <c r="C919" t="s">
        <v>13</v>
      </c>
      <c r="D919" t="s">
        <v>21</v>
      </c>
      <c r="E919" t="s">
        <v>2726</v>
      </c>
      <c r="F919" s="1">
        <v>1.08</v>
      </c>
      <c r="G919">
        <v>2</v>
      </c>
      <c r="H919" s="1">
        <v>-0.79200000000000004</v>
      </c>
      <c r="I919" s="4">
        <f>SalesData[[#This Row],[Profit]]/SalesData[[#This Row],[Sales]]</f>
        <v>-0.73333333333333328</v>
      </c>
      <c r="J919">
        <f>YEAR(SalesData[[#This Row],[Order Date]])</f>
        <v>2017</v>
      </c>
      <c r="K919" t="str">
        <f>TEXT(SalesData[[#This Row],[Order Date]],"mmm")</f>
        <v>Sep</v>
      </c>
      <c r="L919">
        <f>MONTH(SalesData[[#This Row],[Order Date]])</f>
        <v>9</v>
      </c>
      <c r="M919">
        <f>SalesData[[#This Row],[Sales]]/SalesData[[#This Row],[Quantity]]</f>
        <v>0.54</v>
      </c>
      <c r="N919" t="str">
        <f>IF(SalesData[[#This Row],[Profit]]&gt;0,"Profit","Loss")</f>
        <v>Loss</v>
      </c>
    </row>
    <row r="920" spans="1:14" x14ac:dyDescent="0.3">
      <c r="A920" t="s">
        <v>3362</v>
      </c>
      <c r="B920" s="3">
        <v>42985</v>
      </c>
      <c r="C920" t="s">
        <v>9</v>
      </c>
      <c r="D920" t="s">
        <v>21</v>
      </c>
      <c r="E920" t="s">
        <v>2972</v>
      </c>
      <c r="F920" s="1">
        <v>8.84</v>
      </c>
      <c r="G920">
        <v>5</v>
      </c>
      <c r="H920" s="1">
        <v>2.9834999999999998</v>
      </c>
      <c r="I920" s="4">
        <f>SalesData[[#This Row],[Profit]]/SalesData[[#This Row],[Sales]]</f>
        <v>0.33749999999999997</v>
      </c>
      <c r="J920">
        <f>YEAR(SalesData[[#This Row],[Order Date]])</f>
        <v>2017</v>
      </c>
      <c r="K920" t="str">
        <f>TEXT(SalesData[[#This Row],[Order Date]],"mmm")</f>
        <v>Sep</v>
      </c>
      <c r="L920">
        <f>MONTH(SalesData[[#This Row],[Order Date]])</f>
        <v>9</v>
      </c>
      <c r="M920">
        <f>SalesData[[#This Row],[Sales]]/SalesData[[#This Row],[Quantity]]</f>
        <v>1.768</v>
      </c>
      <c r="N920" t="str">
        <f>IF(SalesData[[#This Row],[Profit]]&gt;0,"Profit","Loss")</f>
        <v>Profit</v>
      </c>
    </row>
    <row r="921" spans="1:14" x14ac:dyDescent="0.3">
      <c r="A921" t="s">
        <v>3362</v>
      </c>
      <c r="B921" s="3">
        <v>42985</v>
      </c>
      <c r="C921" t="s">
        <v>9</v>
      </c>
      <c r="D921" t="s">
        <v>21</v>
      </c>
      <c r="E921" t="s">
        <v>2576</v>
      </c>
      <c r="F921" s="1">
        <v>58.463999999999999</v>
      </c>
      <c r="G921">
        <v>9</v>
      </c>
      <c r="H921" s="1">
        <v>-146.16</v>
      </c>
      <c r="I921" s="4">
        <f>SalesData[[#This Row],[Profit]]/SalesData[[#This Row],[Sales]]</f>
        <v>-2.5</v>
      </c>
      <c r="J921">
        <f>YEAR(SalesData[[#This Row],[Order Date]])</f>
        <v>2017</v>
      </c>
      <c r="K921" t="str">
        <f>TEXT(SalesData[[#This Row],[Order Date]],"mmm")</f>
        <v>Sep</v>
      </c>
      <c r="L921">
        <f>MONTH(SalesData[[#This Row],[Order Date]])</f>
        <v>9</v>
      </c>
      <c r="M921">
        <f>SalesData[[#This Row],[Sales]]/SalesData[[#This Row],[Quantity]]</f>
        <v>6.4959999999999996</v>
      </c>
      <c r="N921" t="str">
        <f>IF(SalesData[[#This Row],[Profit]]&gt;0,"Profit","Loss")</f>
        <v>Loss</v>
      </c>
    </row>
    <row r="922" spans="1:14" x14ac:dyDescent="0.3">
      <c r="A922" t="s">
        <v>3363</v>
      </c>
      <c r="B922" s="3">
        <v>42985</v>
      </c>
      <c r="C922" t="s">
        <v>9</v>
      </c>
      <c r="D922" t="s">
        <v>21</v>
      </c>
      <c r="E922" t="s">
        <v>29</v>
      </c>
      <c r="F922" s="1">
        <v>228.92</v>
      </c>
      <c r="G922">
        <v>5</v>
      </c>
      <c r="H922" s="1">
        <v>14.307499999999999</v>
      </c>
      <c r="I922" s="4">
        <f>SalesData[[#This Row],[Profit]]/SalesData[[#This Row],[Sales]]</f>
        <v>6.25E-2</v>
      </c>
      <c r="J922">
        <f>YEAR(SalesData[[#This Row],[Order Date]])</f>
        <v>2017</v>
      </c>
      <c r="K922" t="str">
        <f>TEXT(SalesData[[#This Row],[Order Date]],"mmm")</f>
        <v>Sep</v>
      </c>
      <c r="L922">
        <f>MONTH(SalesData[[#This Row],[Order Date]])</f>
        <v>9</v>
      </c>
      <c r="M922">
        <f>SalesData[[#This Row],[Sales]]/SalesData[[#This Row],[Quantity]]</f>
        <v>45.783999999999999</v>
      </c>
      <c r="N922" t="str">
        <f>IF(SalesData[[#This Row],[Profit]]&gt;0,"Profit","Loss")</f>
        <v>Profit</v>
      </c>
    </row>
    <row r="923" spans="1:14" x14ac:dyDescent="0.3">
      <c r="A923" t="s">
        <v>3364</v>
      </c>
      <c r="B923" s="3">
        <v>42985</v>
      </c>
      <c r="C923" t="s">
        <v>9</v>
      </c>
      <c r="D923" t="s">
        <v>14</v>
      </c>
      <c r="E923" t="s">
        <v>1217</v>
      </c>
      <c r="F923" s="1">
        <v>526.45000000000005</v>
      </c>
      <c r="G923">
        <v>5</v>
      </c>
      <c r="H923" s="1">
        <v>31.587</v>
      </c>
      <c r="I923" s="4">
        <f>SalesData[[#This Row],[Profit]]/SalesData[[#This Row],[Sales]]</f>
        <v>0.06</v>
      </c>
      <c r="J923">
        <f>YEAR(SalesData[[#This Row],[Order Date]])</f>
        <v>2017</v>
      </c>
      <c r="K923" t="str">
        <f>TEXT(SalesData[[#This Row],[Order Date]],"mmm")</f>
        <v>Sep</v>
      </c>
      <c r="L923">
        <f>MONTH(SalesData[[#This Row],[Order Date]])</f>
        <v>9</v>
      </c>
      <c r="M923">
        <f>SalesData[[#This Row],[Sales]]/SalesData[[#This Row],[Quantity]]</f>
        <v>105.29</v>
      </c>
      <c r="N923" t="str">
        <f>IF(SalesData[[#This Row],[Profit]]&gt;0,"Profit","Loss")</f>
        <v>Profit</v>
      </c>
    </row>
    <row r="924" spans="1:14" x14ac:dyDescent="0.3">
      <c r="A924" t="s">
        <v>3365</v>
      </c>
      <c r="B924" s="3">
        <v>42985</v>
      </c>
      <c r="C924" t="s">
        <v>17</v>
      </c>
      <c r="D924" t="s">
        <v>21</v>
      </c>
      <c r="E924" t="s">
        <v>1884</v>
      </c>
      <c r="F924" s="1">
        <v>274.8</v>
      </c>
      <c r="G924">
        <v>5</v>
      </c>
      <c r="H924" s="1">
        <v>134.65199999999999</v>
      </c>
      <c r="I924" s="4">
        <f>SalesData[[#This Row],[Profit]]/SalesData[[#This Row],[Sales]]</f>
        <v>0.48999999999999994</v>
      </c>
      <c r="J924">
        <f>YEAR(SalesData[[#This Row],[Order Date]])</f>
        <v>2017</v>
      </c>
      <c r="K924" t="str">
        <f>TEXT(SalesData[[#This Row],[Order Date]],"mmm")</f>
        <v>Sep</v>
      </c>
      <c r="L924">
        <f>MONTH(SalesData[[#This Row],[Order Date]])</f>
        <v>9</v>
      </c>
      <c r="M924">
        <f>SalesData[[#This Row],[Sales]]/SalesData[[#This Row],[Quantity]]</f>
        <v>54.96</v>
      </c>
      <c r="N924" t="str">
        <f>IF(SalesData[[#This Row],[Profit]]&gt;0,"Profit","Loss")</f>
        <v>Profit</v>
      </c>
    </row>
    <row r="925" spans="1:14" x14ac:dyDescent="0.3">
      <c r="A925" t="s">
        <v>3365</v>
      </c>
      <c r="B925" s="3">
        <v>42985</v>
      </c>
      <c r="C925" t="s">
        <v>17</v>
      </c>
      <c r="D925" t="s">
        <v>21</v>
      </c>
      <c r="E925" t="s">
        <v>1115</v>
      </c>
      <c r="F925" s="1">
        <v>195.64</v>
      </c>
      <c r="G925">
        <v>4</v>
      </c>
      <c r="H925" s="1">
        <v>3.9127999999999998</v>
      </c>
      <c r="I925" s="4">
        <f>SalesData[[#This Row],[Profit]]/SalesData[[#This Row],[Sales]]</f>
        <v>0.02</v>
      </c>
      <c r="J925">
        <f>YEAR(SalesData[[#This Row],[Order Date]])</f>
        <v>2017</v>
      </c>
      <c r="K925" t="str">
        <f>TEXT(SalesData[[#This Row],[Order Date]],"mmm")</f>
        <v>Sep</v>
      </c>
      <c r="L925">
        <f>MONTH(SalesData[[#This Row],[Order Date]])</f>
        <v>9</v>
      </c>
      <c r="M925">
        <f>SalesData[[#This Row],[Sales]]/SalesData[[#This Row],[Quantity]]</f>
        <v>48.91</v>
      </c>
      <c r="N925" t="str">
        <f>IF(SalesData[[#This Row],[Profit]]&gt;0,"Profit","Loss")</f>
        <v>Profit</v>
      </c>
    </row>
    <row r="926" spans="1:14" x14ac:dyDescent="0.3">
      <c r="A926" t="s">
        <v>3365</v>
      </c>
      <c r="B926" s="3">
        <v>42985</v>
      </c>
      <c r="C926" t="s">
        <v>17</v>
      </c>
      <c r="D926" t="s">
        <v>10</v>
      </c>
      <c r="E926" t="s">
        <v>1533</v>
      </c>
      <c r="F926" s="1">
        <v>257.98</v>
      </c>
      <c r="G926">
        <v>2</v>
      </c>
      <c r="H926" s="1">
        <v>74.8142</v>
      </c>
      <c r="I926" s="4">
        <f>SalesData[[#This Row],[Profit]]/SalesData[[#This Row],[Sales]]</f>
        <v>0.28999999999999998</v>
      </c>
      <c r="J926">
        <f>YEAR(SalesData[[#This Row],[Order Date]])</f>
        <v>2017</v>
      </c>
      <c r="K926" t="str">
        <f>TEXT(SalesData[[#This Row],[Order Date]],"mmm")</f>
        <v>Sep</v>
      </c>
      <c r="L926">
        <f>MONTH(SalesData[[#This Row],[Order Date]])</f>
        <v>9</v>
      </c>
      <c r="M926">
        <f>SalesData[[#This Row],[Sales]]/SalesData[[#This Row],[Quantity]]</f>
        <v>128.99</v>
      </c>
      <c r="N926" t="str">
        <f>IF(SalesData[[#This Row],[Profit]]&gt;0,"Profit","Loss")</f>
        <v>Profit</v>
      </c>
    </row>
    <row r="927" spans="1:14" x14ac:dyDescent="0.3">
      <c r="A927" t="s">
        <v>3365</v>
      </c>
      <c r="B927" s="3">
        <v>42985</v>
      </c>
      <c r="C927" t="s">
        <v>17</v>
      </c>
      <c r="D927" t="s">
        <v>21</v>
      </c>
      <c r="E927" t="s">
        <v>981</v>
      </c>
      <c r="F927" s="1">
        <v>119.04</v>
      </c>
      <c r="G927">
        <v>6</v>
      </c>
      <c r="H927" s="1">
        <v>48.806399999999996</v>
      </c>
      <c r="I927" s="4">
        <f>SalesData[[#This Row],[Profit]]/SalesData[[#This Row],[Sales]]</f>
        <v>0.41</v>
      </c>
      <c r="J927">
        <f>YEAR(SalesData[[#This Row],[Order Date]])</f>
        <v>2017</v>
      </c>
      <c r="K927" t="str">
        <f>TEXT(SalesData[[#This Row],[Order Date]],"mmm")</f>
        <v>Sep</v>
      </c>
      <c r="L927">
        <f>MONTH(SalesData[[#This Row],[Order Date]])</f>
        <v>9</v>
      </c>
      <c r="M927">
        <f>SalesData[[#This Row],[Sales]]/SalesData[[#This Row],[Quantity]]</f>
        <v>19.84</v>
      </c>
      <c r="N927" t="str">
        <f>IF(SalesData[[#This Row],[Profit]]&gt;0,"Profit","Loss")</f>
        <v>Profit</v>
      </c>
    </row>
    <row r="928" spans="1:14" x14ac:dyDescent="0.3">
      <c r="A928" t="s">
        <v>3366</v>
      </c>
      <c r="B928" s="3">
        <v>42987</v>
      </c>
      <c r="C928" t="s">
        <v>17</v>
      </c>
      <c r="D928" t="s">
        <v>14</v>
      </c>
      <c r="E928" t="s">
        <v>1448</v>
      </c>
      <c r="F928" s="1">
        <v>141.37200000000001</v>
      </c>
      <c r="G928">
        <v>2</v>
      </c>
      <c r="H928" s="1">
        <v>-48.470399999999998</v>
      </c>
      <c r="I928" s="4">
        <f>SalesData[[#This Row],[Profit]]/SalesData[[#This Row],[Sales]]</f>
        <v>-0.3428571428571428</v>
      </c>
      <c r="J928">
        <f>YEAR(SalesData[[#This Row],[Order Date]])</f>
        <v>2017</v>
      </c>
      <c r="K928" t="str">
        <f>TEXT(SalesData[[#This Row],[Order Date]],"mmm")</f>
        <v>Sep</v>
      </c>
      <c r="L928">
        <f>MONTH(SalesData[[#This Row],[Order Date]])</f>
        <v>9</v>
      </c>
      <c r="M928">
        <f>SalesData[[#This Row],[Sales]]/SalesData[[#This Row],[Quantity]]</f>
        <v>70.686000000000007</v>
      </c>
      <c r="N928" t="str">
        <f>IF(SalesData[[#This Row],[Profit]]&gt;0,"Profit","Loss")</f>
        <v>Loss</v>
      </c>
    </row>
    <row r="929" spans="1:14" x14ac:dyDescent="0.3">
      <c r="A929" t="s">
        <v>3366</v>
      </c>
      <c r="B929" s="3">
        <v>42987</v>
      </c>
      <c r="C929" t="s">
        <v>17</v>
      </c>
      <c r="D929" t="s">
        <v>21</v>
      </c>
      <c r="E929" t="s">
        <v>1199</v>
      </c>
      <c r="F929" s="1">
        <v>3.036</v>
      </c>
      <c r="G929">
        <v>2</v>
      </c>
      <c r="H929" s="1">
        <v>-2.3275999999999999</v>
      </c>
      <c r="I929" s="4">
        <f>SalesData[[#This Row],[Profit]]/SalesData[[#This Row],[Sales]]</f>
        <v>-0.76666666666666661</v>
      </c>
      <c r="J929">
        <f>YEAR(SalesData[[#This Row],[Order Date]])</f>
        <v>2017</v>
      </c>
      <c r="K929" t="str">
        <f>TEXT(SalesData[[#This Row],[Order Date]],"mmm")</f>
        <v>Sep</v>
      </c>
      <c r="L929">
        <f>MONTH(SalesData[[#This Row],[Order Date]])</f>
        <v>9</v>
      </c>
      <c r="M929">
        <f>SalesData[[#This Row],[Sales]]/SalesData[[#This Row],[Quantity]]</f>
        <v>1.518</v>
      </c>
      <c r="N929" t="str">
        <f>IF(SalesData[[#This Row],[Profit]]&gt;0,"Profit","Loss")</f>
        <v>Loss</v>
      </c>
    </row>
    <row r="930" spans="1:14" x14ac:dyDescent="0.3">
      <c r="A930" t="s">
        <v>3366</v>
      </c>
      <c r="B930" s="3">
        <v>42987</v>
      </c>
      <c r="C930" t="s">
        <v>17</v>
      </c>
      <c r="D930" t="s">
        <v>21</v>
      </c>
      <c r="E930" t="s">
        <v>2534</v>
      </c>
      <c r="F930" s="1">
        <v>4.5030000000000001</v>
      </c>
      <c r="G930">
        <v>1</v>
      </c>
      <c r="H930" s="1">
        <v>-3.6023999999999998</v>
      </c>
      <c r="I930" s="4">
        <f>SalesData[[#This Row],[Profit]]/SalesData[[#This Row],[Sales]]</f>
        <v>-0.79999999999999993</v>
      </c>
      <c r="J930">
        <f>YEAR(SalesData[[#This Row],[Order Date]])</f>
        <v>2017</v>
      </c>
      <c r="K930" t="str">
        <f>TEXT(SalesData[[#This Row],[Order Date]],"mmm")</f>
        <v>Sep</v>
      </c>
      <c r="L930">
        <f>MONTH(SalesData[[#This Row],[Order Date]])</f>
        <v>9</v>
      </c>
      <c r="M930">
        <f>SalesData[[#This Row],[Sales]]/SalesData[[#This Row],[Quantity]]</f>
        <v>4.5030000000000001</v>
      </c>
      <c r="N930" t="str">
        <f>IF(SalesData[[#This Row],[Profit]]&gt;0,"Profit","Loss")</f>
        <v>Loss</v>
      </c>
    </row>
    <row r="931" spans="1:14" x14ac:dyDescent="0.3">
      <c r="A931" t="s">
        <v>3366</v>
      </c>
      <c r="B931" s="3">
        <v>42987</v>
      </c>
      <c r="C931" t="s">
        <v>17</v>
      </c>
      <c r="D931" t="s">
        <v>21</v>
      </c>
      <c r="E931" t="s">
        <v>3219</v>
      </c>
      <c r="F931" s="1">
        <v>4.6719999999999997</v>
      </c>
      <c r="G931">
        <v>1</v>
      </c>
      <c r="H931" s="1">
        <v>1.5768</v>
      </c>
      <c r="I931" s="4">
        <f>SalesData[[#This Row],[Profit]]/SalesData[[#This Row],[Sales]]</f>
        <v>0.33750000000000002</v>
      </c>
      <c r="J931">
        <f>YEAR(SalesData[[#This Row],[Order Date]])</f>
        <v>2017</v>
      </c>
      <c r="K931" t="str">
        <f>TEXT(SalesData[[#This Row],[Order Date]],"mmm")</f>
        <v>Sep</v>
      </c>
      <c r="L931">
        <f>MONTH(SalesData[[#This Row],[Order Date]])</f>
        <v>9</v>
      </c>
      <c r="M931">
        <f>SalesData[[#This Row],[Sales]]/SalesData[[#This Row],[Quantity]]</f>
        <v>4.6719999999999997</v>
      </c>
      <c r="N931" t="str">
        <f>IF(SalesData[[#This Row],[Profit]]&gt;0,"Profit","Loss")</f>
        <v>Profit</v>
      </c>
    </row>
    <row r="932" spans="1:14" x14ac:dyDescent="0.3">
      <c r="A932" t="s">
        <v>3366</v>
      </c>
      <c r="B932" s="3">
        <v>42987</v>
      </c>
      <c r="C932" t="s">
        <v>17</v>
      </c>
      <c r="D932" t="s">
        <v>10</v>
      </c>
      <c r="E932" t="s">
        <v>1465</v>
      </c>
      <c r="F932" s="1">
        <v>95.88</v>
      </c>
      <c r="G932">
        <v>3</v>
      </c>
      <c r="H932" s="1">
        <v>28.763999999999999</v>
      </c>
      <c r="I932" s="4">
        <f>SalesData[[#This Row],[Profit]]/SalesData[[#This Row],[Sales]]</f>
        <v>0.3</v>
      </c>
      <c r="J932">
        <f>YEAR(SalesData[[#This Row],[Order Date]])</f>
        <v>2017</v>
      </c>
      <c r="K932" t="str">
        <f>TEXT(SalesData[[#This Row],[Order Date]],"mmm")</f>
        <v>Sep</v>
      </c>
      <c r="L932">
        <f>MONTH(SalesData[[#This Row],[Order Date]])</f>
        <v>9</v>
      </c>
      <c r="M932">
        <f>SalesData[[#This Row],[Sales]]/SalesData[[#This Row],[Quantity]]</f>
        <v>31.959999999999997</v>
      </c>
      <c r="N932" t="str">
        <f>IF(SalesData[[#This Row],[Profit]]&gt;0,"Profit","Loss")</f>
        <v>Profit</v>
      </c>
    </row>
    <row r="933" spans="1:14" x14ac:dyDescent="0.3">
      <c r="A933" t="s">
        <v>3366</v>
      </c>
      <c r="B933" s="3">
        <v>42987</v>
      </c>
      <c r="C933" t="s">
        <v>17</v>
      </c>
      <c r="D933" t="s">
        <v>14</v>
      </c>
      <c r="E933" t="s">
        <v>860</v>
      </c>
      <c r="F933" s="1">
        <v>17.024000000000001</v>
      </c>
      <c r="G933">
        <v>2</v>
      </c>
      <c r="H933" s="1">
        <v>1.7023999999999999</v>
      </c>
      <c r="I933" s="4">
        <f>SalesData[[#This Row],[Profit]]/SalesData[[#This Row],[Sales]]</f>
        <v>9.9999999999999992E-2</v>
      </c>
      <c r="J933">
        <f>YEAR(SalesData[[#This Row],[Order Date]])</f>
        <v>2017</v>
      </c>
      <c r="K933" t="str">
        <f>TEXT(SalesData[[#This Row],[Order Date]],"mmm")</f>
        <v>Sep</v>
      </c>
      <c r="L933">
        <f>MONTH(SalesData[[#This Row],[Order Date]])</f>
        <v>9</v>
      </c>
      <c r="M933">
        <f>SalesData[[#This Row],[Sales]]/SalesData[[#This Row],[Quantity]]</f>
        <v>8.5120000000000005</v>
      </c>
      <c r="N933" t="str">
        <f>IF(SalesData[[#This Row],[Profit]]&gt;0,"Profit","Loss")</f>
        <v>Profit</v>
      </c>
    </row>
    <row r="934" spans="1:14" x14ac:dyDescent="0.3">
      <c r="A934" t="s">
        <v>3366</v>
      </c>
      <c r="B934" s="3">
        <v>42987</v>
      </c>
      <c r="C934" t="s">
        <v>17</v>
      </c>
      <c r="D934" t="s">
        <v>10</v>
      </c>
      <c r="E934" t="s">
        <v>2279</v>
      </c>
      <c r="F934" s="1">
        <v>258.69600000000003</v>
      </c>
      <c r="G934">
        <v>3</v>
      </c>
      <c r="H934" s="1">
        <v>64.674000000000007</v>
      </c>
      <c r="I934" s="4">
        <f>SalesData[[#This Row],[Profit]]/SalesData[[#This Row],[Sales]]</f>
        <v>0.25</v>
      </c>
      <c r="J934">
        <f>YEAR(SalesData[[#This Row],[Order Date]])</f>
        <v>2017</v>
      </c>
      <c r="K934" t="str">
        <f>TEXT(SalesData[[#This Row],[Order Date]],"mmm")</f>
        <v>Sep</v>
      </c>
      <c r="L934">
        <f>MONTH(SalesData[[#This Row],[Order Date]])</f>
        <v>9</v>
      </c>
      <c r="M934">
        <f>SalesData[[#This Row],[Sales]]/SalesData[[#This Row],[Quantity]]</f>
        <v>86.232000000000014</v>
      </c>
      <c r="N934" t="str">
        <f>IF(SalesData[[#This Row],[Profit]]&gt;0,"Profit","Loss")</f>
        <v>Profit</v>
      </c>
    </row>
    <row r="935" spans="1:14" x14ac:dyDescent="0.3">
      <c r="A935" t="s">
        <v>3366</v>
      </c>
      <c r="B935" s="3">
        <v>42987</v>
      </c>
      <c r="C935" t="s">
        <v>17</v>
      </c>
      <c r="D935" t="s">
        <v>10</v>
      </c>
      <c r="E935" t="s">
        <v>3367</v>
      </c>
      <c r="F935" s="1">
        <v>1931.9580000000001</v>
      </c>
      <c r="G935">
        <v>7</v>
      </c>
      <c r="H935" s="1">
        <v>-386.39159999999998</v>
      </c>
      <c r="I935" s="4">
        <f>SalesData[[#This Row],[Profit]]/SalesData[[#This Row],[Sales]]</f>
        <v>-0.19999999999999998</v>
      </c>
      <c r="J935">
        <f>YEAR(SalesData[[#This Row],[Order Date]])</f>
        <v>2017</v>
      </c>
      <c r="K935" t="str">
        <f>TEXT(SalesData[[#This Row],[Order Date]],"mmm")</f>
        <v>Sep</v>
      </c>
      <c r="L935">
        <f>MONTH(SalesData[[#This Row],[Order Date]])</f>
        <v>9</v>
      </c>
      <c r="M935">
        <f>SalesData[[#This Row],[Sales]]/SalesData[[#This Row],[Quantity]]</f>
        <v>275.99400000000003</v>
      </c>
      <c r="N935" t="str">
        <f>IF(SalesData[[#This Row],[Profit]]&gt;0,"Profit","Loss")</f>
        <v>Loss</v>
      </c>
    </row>
    <row r="936" spans="1:14" x14ac:dyDescent="0.3">
      <c r="A936" t="s">
        <v>3368</v>
      </c>
      <c r="B936" s="3">
        <v>42987</v>
      </c>
      <c r="C936" t="s">
        <v>46</v>
      </c>
      <c r="D936" t="s">
        <v>21</v>
      </c>
      <c r="E936" t="s">
        <v>3369</v>
      </c>
      <c r="F936" s="1">
        <v>628.80999999999995</v>
      </c>
      <c r="G936">
        <v>7</v>
      </c>
      <c r="H936" s="1">
        <v>12.5762</v>
      </c>
      <c r="I936" s="4">
        <f>SalesData[[#This Row],[Profit]]/SalesData[[#This Row],[Sales]]</f>
        <v>0.02</v>
      </c>
      <c r="J936">
        <f>YEAR(SalesData[[#This Row],[Order Date]])</f>
        <v>2017</v>
      </c>
      <c r="K936" t="str">
        <f>TEXT(SalesData[[#This Row],[Order Date]],"mmm")</f>
        <v>Sep</v>
      </c>
      <c r="L936">
        <f>MONTH(SalesData[[#This Row],[Order Date]])</f>
        <v>9</v>
      </c>
      <c r="M936">
        <f>SalesData[[#This Row],[Sales]]/SalesData[[#This Row],[Quantity]]</f>
        <v>89.83</v>
      </c>
      <c r="N936" t="str">
        <f>IF(SalesData[[#This Row],[Profit]]&gt;0,"Profit","Loss")</f>
        <v>Profit</v>
      </c>
    </row>
    <row r="937" spans="1:14" x14ac:dyDescent="0.3">
      <c r="A937" t="s">
        <v>3368</v>
      </c>
      <c r="B937" s="3">
        <v>42987</v>
      </c>
      <c r="C937" t="s">
        <v>46</v>
      </c>
      <c r="D937" t="s">
        <v>21</v>
      </c>
      <c r="E937" t="s">
        <v>630</v>
      </c>
      <c r="F937" s="1">
        <v>56.45</v>
      </c>
      <c r="G937">
        <v>5</v>
      </c>
      <c r="H937" s="1">
        <v>14.677</v>
      </c>
      <c r="I937" s="4">
        <f>SalesData[[#This Row],[Profit]]/SalesData[[#This Row],[Sales]]</f>
        <v>0.25999999999999995</v>
      </c>
      <c r="J937">
        <f>YEAR(SalesData[[#This Row],[Order Date]])</f>
        <v>2017</v>
      </c>
      <c r="K937" t="str">
        <f>TEXT(SalesData[[#This Row],[Order Date]],"mmm")</f>
        <v>Sep</v>
      </c>
      <c r="L937">
        <f>MONTH(SalesData[[#This Row],[Order Date]])</f>
        <v>9</v>
      </c>
      <c r="M937">
        <f>SalesData[[#This Row],[Sales]]/SalesData[[#This Row],[Quantity]]</f>
        <v>11.290000000000001</v>
      </c>
      <c r="N937" t="str">
        <f>IF(SalesData[[#This Row],[Profit]]&gt;0,"Profit","Loss")</f>
        <v>Profit</v>
      </c>
    </row>
    <row r="938" spans="1:14" x14ac:dyDescent="0.3">
      <c r="A938" t="s">
        <v>3370</v>
      </c>
      <c r="B938" s="3">
        <v>42987</v>
      </c>
      <c r="C938" t="s">
        <v>46</v>
      </c>
      <c r="D938" t="s">
        <v>21</v>
      </c>
      <c r="E938" t="s">
        <v>749</v>
      </c>
      <c r="F938" s="1">
        <v>8.8320000000000007</v>
      </c>
      <c r="G938">
        <v>3</v>
      </c>
      <c r="H938" s="1">
        <v>-1.9872000000000001</v>
      </c>
      <c r="I938" s="4">
        <f>SalesData[[#This Row],[Profit]]/SalesData[[#This Row],[Sales]]</f>
        <v>-0.22499999999999998</v>
      </c>
      <c r="J938">
        <f>YEAR(SalesData[[#This Row],[Order Date]])</f>
        <v>2017</v>
      </c>
      <c r="K938" t="str">
        <f>TEXT(SalesData[[#This Row],[Order Date]],"mmm")</f>
        <v>Sep</v>
      </c>
      <c r="L938">
        <f>MONTH(SalesData[[#This Row],[Order Date]])</f>
        <v>9</v>
      </c>
      <c r="M938">
        <f>SalesData[[#This Row],[Sales]]/SalesData[[#This Row],[Quantity]]</f>
        <v>2.9440000000000004</v>
      </c>
      <c r="N938" t="str">
        <f>IF(SalesData[[#This Row],[Profit]]&gt;0,"Profit","Loss")</f>
        <v>Loss</v>
      </c>
    </row>
    <row r="939" spans="1:14" x14ac:dyDescent="0.3">
      <c r="A939" t="s">
        <v>3370</v>
      </c>
      <c r="B939" s="3">
        <v>42987</v>
      </c>
      <c r="C939" t="s">
        <v>46</v>
      </c>
      <c r="D939" t="s">
        <v>21</v>
      </c>
      <c r="E939" t="s">
        <v>2997</v>
      </c>
      <c r="F939" s="1">
        <v>177.536</v>
      </c>
      <c r="G939">
        <v>4</v>
      </c>
      <c r="H939" s="1">
        <v>62.137599999999999</v>
      </c>
      <c r="I939" s="4">
        <f>SalesData[[#This Row],[Profit]]/SalesData[[#This Row],[Sales]]</f>
        <v>0.35</v>
      </c>
      <c r="J939">
        <f>YEAR(SalesData[[#This Row],[Order Date]])</f>
        <v>2017</v>
      </c>
      <c r="K939" t="str">
        <f>TEXT(SalesData[[#This Row],[Order Date]],"mmm")</f>
        <v>Sep</v>
      </c>
      <c r="L939">
        <f>MONTH(SalesData[[#This Row],[Order Date]])</f>
        <v>9</v>
      </c>
      <c r="M939">
        <f>SalesData[[#This Row],[Sales]]/SalesData[[#This Row],[Quantity]]</f>
        <v>44.384</v>
      </c>
      <c r="N939" t="str">
        <f>IF(SalesData[[#This Row],[Profit]]&gt;0,"Profit","Loss")</f>
        <v>Profit</v>
      </c>
    </row>
    <row r="940" spans="1:14" x14ac:dyDescent="0.3">
      <c r="A940" t="s">
        <v>3370</v>
      </c>
      <c r="B940" s="3">
        <v>42987</v>
      </c>
      <c r="C940" t="s">
        <v>46</v>
      </c>
      <c r="D940" t="s">
        <v>21</v>
      </c>
      <c r="E940" t="s">
        <v>1561</v>
      </c>
      <c r="F940" s="1">
        <v>258.48</v>
      </c>
      <c r="G940">
        <v>2</v>
      </c>
      <c r="H940" s="1">
        <v>-3.2309999999999999</v>
      </c>
      <c r="I940" s="4">
        <f>SalesData[[#This Row],[Profit]]/SalesData[[#This Row],[Sales]]</f>
        <v>-1.2499999999999999E-2</v>
      </c>
      <c r="J940">
        <f>YEAR(SalesData[[#This Row],[Order Date]])</f>
        <v>2017</v>
      </c>
      <c r="K940" t="str">
        <f>TEXT(SalesData[[#This Row],[Order Date]],"mmm")</f>
        <v>Sep</v>
      </c>
      <c r="L940">
        <f>MONTH(SalesData[[#This Row],[Order Date]])</f>
        <v>9</v>
      </c>
      <c r="M940">
        <f>SalesData[[#This Row],[Sales]]/SalesData[[#This Row],[Quantity]]</f>
        <v>129.24</v>
      </c>
      <c r="N940" t="str">
        <f>IF(SalesData[[#This Row],[Profit]]&gt;0,"Profit","Loss")</f>
        <v>Loss</v>
      </c>
    </row>
    <row r="941" spans="1:14" x14ac:dyDescent="0.3">
      <c r="A941" t="s">
        <v>3370</v>
      </c>
      <c r="B941" s="3">
        <v>42987</v>
      </c>
      <c r="C941" t="s">
        <v>46</v>
      </c>
      <c r="D941" t="s">
        <v>14</v>
      </c>
      <c r="E941" t="s">
        <v>884</v>
      </c>
      <c r="F941" s="1">
        <v>14.135999999999999</v>
      </c>
      <c r="G941">
        <v>3</v>
      </c>
      <c r="H941" s="1">
        <v>4.2408000000000001</v>
      </c>
      <c r="I941" s="4">
        <f>SalesData[[#This Row],[Profit]]/SalesData[[#This Row],[Sales]]</f>
        <v>0.30000000000000004</v>
      </c>
      <c r="J941">
        <f>YEAR(SalesData[[#This Row],[Order Date]])</f>
        <v>2017</v>
      </c>
      <c r="K941" t="str">
        <f>TEXT(SalesData[[#This Row],[Order Date]],"mmm")</f>
        <v>Sep</v>
      </c>
      <c r="L941">
        <f>MONTH(SalesData[[#This Row],[Order Date]])</f>
        <v>9</v>
      </c>
      <c r="M941">
        <f>SalesData[[#This Row],[Sales]]/SalesData[[#This Row],[Quantity]]</f>
        <v>4.7119999999999997</v>
      </c>
      <c r="N941" t="str">
        <f>IF(SalesData[[#This Row],[Profit]]&gt;0,"Profit","Loss")</f>
        <v>Profit</v>
      </c>
    </row>
    <row r="942" spans="1:14" x14ac:dyDescent="0.3">
      <c r="A942" t="s">
        <v>3371</v>
      </c>
      <c r="B942" s="3">
        <v>42987</v>
      </c>
      <c r="C942" t="s">
        <v>9</v>
      </c>
      <c r="D942" t="s">
        <v>21</v>
      </c>
      <c r="E942" t="s">
        <v>521</v>
      </c>
      <c r="F942" s="1">
        <v>17.48</v>
      </c>
      <c r="G942">
        <v>2</v>
      </c>
      <c r="H942" s="1">
        <v>8.2156000000000002</v>
      </c>
      <c r="I942" s="4">
        <f>SalesData[[#This Row],[Profit]]/SalesData[[#This Row],[Sales]]</f>
        <v>0.47000000000000003</v>
      </c>
      <c r="J942">
        <f>YEAR(SalesData[[#This Row],[Order Date]])</f>
        <v>2017</v>
      </c>
      <c r="K942" t="str">
        <f>TEXT(SalesData[[#This Row],[Order Date]],"mmm")</f>
        <v>Sep</v>
      </c>
      <c r="L942">
        <f>MONTH(SalesData[[#This Row],[Order Date]])</f>
        <v>9</v>
      </c>
      <c r="M942">
        <f>SalesData[[#This Row],[Sales]]/SalesData[[#This Row],[Quantity]]</f>
        <v>8.74</v>
      </c>
      <c r="N942" t="str">
        <f>IF(SalesData[[#This Row],[Profit]]&gt;0,"Profit","Loss")</f>
        <v>Profit</v>
      </c>
    </row>
    <row r="943" spans="1:14" x14ac:dyDescent="0.3">
      <c r="A943" t="s">
        <v>3372</v>
      </c>
      <c r="B943" s="3">
        <v>42987</v>
      </c>
      <c r="C943" t="s">
        <v>13</v>
      </c>
      <c r="D943" t="s">
        <v>21</v>
      </c>
      <c r="E943" t="s">
        <v>3373</v>
      </c>
      <c r="F943" s="1">
        <v>6.3680000000000003</v>
      </c>
      <c r="G943">
        <v>2</v>
      </c>
      <c r="H943" s="1">
        <v>2.3879999999999999</v>
      </c>
      <c r="I943" s="4">
        <f>SalesData[[#This Row],[Profit]]/SalesData[[#This Row],[Sales]]</f>
        <v>0.37499999999999994</v>
      </c>
      <c r="J943">
        <f>YEAR(SalesData[[#This Row],[Order Date]])</f>
        <v>2017</v>
      </c>
      <c r="K943" t="str">
        <f>TEXT(SalesData[[#This Row],[Order Date]],"mmm")</f>
        <v>Sep</v>
      </c>
      <c r="L943">
        <f>MONTH(SalesData[[#This Row],[Order Date]])</f>
        <v>9</v>
      </c>
      <c r="M943">
        <f>SalesData[[#This Row],[Sales]]/SalesData[[#This Row],[Quantity]]</f>
        <v>3.1840000000000002</v>
      </c>
      <c r="N943" t="str">
        <f>IF(SalesData[[#This Row],[Profit]]&gt;0,"Profit","Loss")</f>
        <v>Profit</v>
      </c>
    </row>
    <row r="944" spans="1:14" x14ac:dyDescent="0.3">
      <c r="A944" t="s">
        <v>3374</v>
      </c>
      <c r="B944" s="3">
        <v>42987</v>
      </c>
      <c r="C944" t="s">
        <v>13</v>
      </c>
      <c r="D944" t="s">
        <v>21</v>
      </c>
      <c r="E944" t="s">
        <v>3375</v>
      </c>
      <c r="F944" s="1">
        <v>6.56</v>
      </c>
      <c r="G944">
        <v>2</v>
      </c>
      <c r="H944" s="1">
        <v>1.9024000000000001</v>
      </c>
      <c r="I944" s="4">
        <f>SalesData[[#This Row],[Profit]]/SalesData[[#This Row],[Sales]]</f>
        <v>0.29000000000000004</v>
      </c>
      <c r="J944">
        <f>YEAR(SalesData[[#This Row],[Order Date]])</f>
        <v>2017</v>
      </c>
      <c r="K944" t="str">
        <f>TEXT(SalesData[[#This Row],[Order Date]],"mmm")</f>
        <v>Sep</v>
      </c>
      <c r="L944">
        <f>MONTH(SalesData[[#This Row],[Order Date]])</f>
        <v>9</v>
      </c>
      <c r="M944">
        <f>SalesData[[#This Row],[Sales]]/SalesData[[#This Row],[Quantity]]</f>
        <v>3.28</v>
      </c>
      <c r="N944" t="str">
        <f>IF(SalesData[[#This Row],[Profit]]&gt;0,"Profit","Loss")</f>
        <v>Profit</v>
      </c>
    </row>
    <row r="945" spans="1:14" x14ac:dyDescent="0.3">
      <c r="A945" t="s">
        <v>3374</v>
      </c>
      <c r="B945" s="3">
        <v>42987</v>
      </c>
      <c r="C945" t="s">
        <v>13</v>
      </c>
      <c r="D945" t="s">
        <v>14</v>
      </c>
      <c r="E945" t="s">
        <v>1763</v>
      </c>
      <c r="F945" s="1">
        <v>243.92</v>
      </c>
      <c r="G945">
        <v>5</v>
      </c>
      <c r="H945" s="1">
        <v>-15.244999999999999</v>
      </c>
      <c r="I945" s="4">
        <f>SalesData[[#This Row],[Profit]]/SalesData[[#This Row],[Sales]]</f>
        <v>-6.25E-2</v>
      </c>
      <c r="J945">
        <f>YEAR(SalesData[[#This Row],[Order Date]])</f>
        <v>2017</v>
      </c>
      <c r="K945" t="str">
        <f>TEXT(SalesData[[#This Row],[Order Date]],"mmm")</f>
        <v>Sep</v>
      </c>
      <c r="L945">
        <f>MONTH(SalesData[[#This Row],[Order Date]])</f>
        <v>9</v>
      </c>
      <c r="M945">
        <f>SalesData[[#This Row],[Sales]]/SalesData[[#This Row],[Quantity]]</f>
        <v>48.783999999999999</v>
      </c>
      <c r="N945" t="str">
        <f>IF(SalesData[[#This Row],[Profit]]&gt;0,"Profit","Loss")</f>
        <v>Loss</v>
      </c>
    </row>
    <row r="946" spans="1:14" x14ac:dyDescent="0.3">
      <c r="A946" t="s">
        <v>3374</v>
      </c>
      <c r="B946" s="3">
        <v>42987</v>
      </c>
      <c r="C946" t="s">
        <v>13</v>
      </c>
      <c r="D946" t="s">
        <v>21</v>
      </c>
      <c r="E946" t="s">
        <v>816</v>
      </c>
      <c r="F946" s="1">
        <v>47.52</v>
      </c>
      <c r="G946">
        <v>9</v>
      </c>
      <c r="H946" s="1">
        <v>22.8096</v>
      </c>
      <c r="I946" s="4">
        <f>SalesData[[#This Row],[Profit]]/SalesData[[#This Row],[Sales]]</f>
        <v>0.48</v>
      </c>
      <c r="J946">
        <f>YEAR(SalesData[[#This Row],[Order Date]])</f>
        <v>2017</v>
      </c>
      <c r="K946" t="str">
        <f>TEXT(SalesData[[#This Row],[Order Date]],"mmm")</f>
        <v>Sep</v>
      </c>
      <c r="L946">
        <f>MONTH(SalesData[[#This Row],[Order Date]])</f>
        <v>9</v>
      </c>
      <c r="M946">
        <f>SalesData[[#This Row],[Sales]]/SalesData[[#This Row],[Quantity]]</f>
        <v>5.28</v>
      </c>
      <c r="N946" t="str">
        <f>IF(SalesData[[#This Row],[Profit]]&gt;0,"Profit","Loss")</f>
        <v>Profit</v>
      </c>
    </row>
    <row r="947" spans="1:14" x14ac:dyDescent="0.3">
      <c r="A947" t="s">
        <v>3376</v>
      </c>
      <c r="B947" s="3">
        <v>42987</v>
      </c>
      <c r="C947" t="s">
        <v>13</v>
      </c>
      <c r="D947" t="s">
        <v>21</v>
      </c>
      <c r="E947" t="s">
        <v>2950</v>
      </c>
      <c r="F947" s="1">
        <v>99.87</v>
      </c>
      <c r="G947">
        <v>3</v>
      </c>
      <c r="H947" s="1">
        <v>23.968800000000002</v>
      </c>
      <c r="I947" s="4">
        <f>SalesData[[#This Row],[Profit]]/SalesData[[#This Row],[Sales]]</f>
        <v>0.24000000000000002</v>
      </c>
      <c r="J947">
        <f>YEAR(SalesData[[#This Row],[Order Date]])</f>
        <v>2017</v>
      </c>
      <c r="K947" t="str">
        <f>TEXT(SalesData[[#This Row],[Order Date]],"mmm")</f>
        <v>Sep</v>
      </c>
      <c r="L947">
        <f>MONTH(SalesData[[#This Row],[Order Date]])</f>
        <v>9</v>
      </c>
      <c r="M947">
        <f>SalesData[[#This Row],[Sales]]/SalesData[[#This Row],[Quantity]]</f>
        <v>33.29</v>
      </c>
      <c r="N947" t="str">
        <f>IF(SalesData[[#This Row],[Profit]]&gt;0,"Profit","Loss")</f>
        <v>Profit</v>
      </c>
    </row>
    <row r="948" spans="1:14" x14ac:dyDescent="0.3">
      <c r="A948" t="s">
        <v>3377</v>
      </c>
      <c r="B948" s="3">
        <v>42987</v>
      </c>
      <c r="C948" t="s">
        <v>9</v>
      </c>
      <c r="D948" t="s">
        <v>21</v>
      </c>
      <c r="E948" t="s">
        <v>2355</v>
      </c>
      <c r="F948" s="1">
        <v>9.8559999999999999</v>
      </c>
      <c r="G948">
        <v>4</v>
      </c>
      <c r="H948" s="1">
        <v>3.4496000000000002</v>
      </c>
      <c r="I948" s="4">
        <f>SalesData[[#This Row],[Profit]]/SalesData[[#This Row],[Sales]]</f>
        <v>0.35000000000000003</v>
      </c>
      <c r="J948">
        <f>YEAR(SalesData[[#This Row],[Order Date]])</f>
        <v>2017</v>
      </c>
      <c r="K948" t="str">
        <f>TEXT(SalesData[[#This Row],[Order Date]],"mmm")</f>
        <v>Sep</v>
      </c>
      <c r="L948">
        <f>MONTH(SalesData[[#This Row],[Order Date]])</f>
        <v>9</v>
      </c>
      <c r="M948">
        <f>SalesData[[#This Row],[Sales]]/SalesData[[#This Row],[Quantity]]</f>
        <v>2.464</v>
      </c>
      <c r="N948" t="str">
        <f>IF(SalesData[[#This Row],[Profit]]&gt;0,"Profit","Loss")</f>
        <v>Profit</v>
      </c>
    </row>
    <row r="949" spans="1:14" x14ac:dyDescent="0.3">
      <c r="A949" t="s">
        <v>3378</v>
      </c>
      <c r="B949" s="3">
        <v>42987</v>
      </c>
      <c r="C949" t="s">
        <v>17</v>
      </c>
      <c r="D949" t="s">
        <v>21</v>
      </c>
      <c r="E949" t="s">
        <v>312</v>
      </c>
      <c r="F949" s="1">
        <v>25.92</v>
      </c>
      <c r="G949">
        <v>5</v>
      </c>
      <c r="H949" s="1">
        <v>3.8879999999999999</v>
      </c>
      <c r="I949" s="4">
        <f>SalesData[[#This Row],[Profit]]/SalesData[[#This Row],[Sales]]</f>
        <v>0.15</v>
      </c>
      <c r="J949">
        <f>YEAR(SalesData[[#This Row],[Order Date]])</f>
        <v>2017</v>
      </c>
      <c r="K949" t="str">
        <f>TEXT(SalesData[[#This Row],[Order Date]],"mmm")</f>
        <v>Sep</v>
      </c>
      <c r="L949">
        <f>MONTH(SalesData[[#This Row],[Order Date]])</f>
        <v>9</v>
      </c>
      <c r="M949">
        <f>SalesData[[#This Row],[Sales]]/SalesData[[#This Row],[Quantity]]</f>
        <v>5.1840000000000002</v>
      </c>
      <c r="N949" t="str">
        <f>IF(SalesData[[#This Row],[Profit]]&gt;0,"Profit","Loss")</f>
        <v>Profit</v>
      </c>
    </row>
    <row r="950" spans="1:14" x14ac:dyDescent="0.3">
      <c r="A950" t="s">
        <v>3378</v>
      </c>
      <c r="B950" s="3">
        <v>42987</v>
      </c>
      <c r="C950" t="s">
        <v>17</v>
      </c>
      <c r="D950" t="s">
        <v>14</v>
      </c>
      <c r="E950" t="s">
        <v>906</v>
      </c>
      <c r="F950" s="1">
        <v>66.111999999999995</v>
      </c>
      <c r="G950">
        <v>2</v>
      </c>
      <c r="H950" s="1">
        <v>-9.0904000000000007</v>
      </c>
      <c r="I950" s="4">
        <f>SalesData[[#This Row],[Profit]]/SalesData[[#This Row],[Sales]]</f>
        <v>-0.13750000000000001</v>
      </c>
      <c r="J950">
        <f>YEAR(SalesData[[#This Row],[Order Date]])</f>
        <v>2017</v>
      </c>
      <c r="K950" t="str">
        <f>TEXT(SalesData[[#This Row],[Order Date]],"mmm")</f>
        <v>Sep</v>
      </c>
      <c r="L950">
        <f>MONTH(SalesData[[#This Row],[Order Date]])</f>
        <v>9</v>
      </c>
      <c r="M950">
        <f>SalesData[[#This Row],[Sales]]/SalesData[[#This Row],[Quantity]]</f>
        <v>33.055999999999997</v>
      </c>
      <c r="N950" t="str">
        <f>IF(SalesData[[#This Row],[Profit]]&gt;0,"Profit","Loss")</f>
        <v>Loss</v>
      </c>
    </row>
    <row r="951" spans="1:14" x14ac:dyDescent="0.3">
      <c r="A951" t="s">
        <v>3379</v>
      </c>
      <c r="B951" s="3">
        <v>42987</v>
      </c>
      <c r="C951" t="s">
        <v>13</v>
      </c>
      <c r="D951" t="s">
        <v>10</v>
      </c>
      <c r="E951" t="s">
        <v>3380</v>
      </c>
      <c r="F951" s="1">
        <v>159.96</v>
      </c>
      <c r="G951">
        <v>4</v>
      </c>
      <c r="H951" s="1">
        <v>51.187199999999997</v>
      </c>
      <c r="I951" s="4">
        <f>SalesData[[#This Row],[Profit]]/SalesData[[#This Row],[Sales]]</f>
        <v>0.31999999999999995</v>
      </c>
      <c r="J951">
        <f>YEAR(SalesData[[#This Row],[Order Date]])</f>
        <v>2017</v>
      </c>
      <c r="K951" t="str">
        <f>TEXT(SalesData[[#This Row],[Order Date]],"mmm")</f>
        <v>Sep</v>
      </c>
      <c r="L951">
        <f>MONTH(SalesData[[#This Row],[Order Date]])</f>
        <v>9</v>
      </c>
      <c r="M951">
        <f>SalesData[[#This Row],[Sales]]/SalesData[[#This Row],[Quantity]]</f>
        <v>39.99</v>
      </c>
      <c r="N951" t="str">
        <f>IF(SalesData[[#This Row],[Profit]]&gt;0,"Profit","Loss")</f>
        <v>Profit</v>
      </c>
    </row>
    <row r="952" spans="1:14" x14ac:dyDescent="0.3">
      <c r="A952" t="s">
        <v>3381</v>
      </c>
      <c r="B952" s="3">
        <v>42987</v>
      </c>
      <c r="C952" t="s">
        <v>13</v>
      </c>
      <c r="D952" t="s">
        <v>21</v>
      </c>
      <c r="E952" t="s">
        <v>1860</v>
      </c>
      <c r="F952" s="1">
        <v>31.103999999999999</v>
      </c>
      <c r="G952">
        <v>6</v>
      </c>
      <c r="H952" s="1">
        <v>11.2752</v>
      </c>
      <c r="I952" s="4">
        <f>SalesData[[#This Row],[Profit]]/SalesData[[#This Row],[Sales]]</f>
        <v>0.36249999999999999</v>
      </c>
      <c r="J952">
        <f>YEAR(SalesData[[#This Row],[Order Date]])</f>
        <v>2017</v>
      </c>
      <c r="K952" t="str">
        <f>TEXT(SalesData[[#This Row],[Order Date]],"mmm")</f>
        <v>Sep</v>
      </c>
      <c r="L952">
        <f>MONTH(SalesData[[#This Row],[Order Date]])</f>
        <v>9</v>
      </c>
      <c r="M952">
        <f>SalesData[[#This Row],[Sales]]/SalesData[[#This Row],[Quantity]]</f>
        <v>5.1840000000000002</v>
      </c>
      <c r="N952" t="str">
        <f>IF(SalesData[[#This Row],[Profit]]&gt;0,"Profit","Loss")</f>
        <v>Profit</v>
      </c>
    </row>
    <row r="953" spans="1:14" x14ac:dyDescent="0.3">
      <c r="A953" t="s">
        <v>3381</v>
      </c>
      <c r="B953" s="3">
        <v>42987</v>
      </c>
      <c r="C953" t="s">
        <v>13</v>
      </c>
      <c r="D953" t="s">
        <v>21</v>
      </c>
      <c r="E953" t="s">
        <v>2334</v>
      </c>
      <c r="F953" s="1">
        <v>11.176</v>
      </c>
      <c r="G953">
        <v>1</v>
      </c>
      <c r="H953" s="1">
        <v>0.83819999999999995</v>
      </c>
      <c r="I953" s="4">
        <f>SalesData[[#This Row],[Profit]]/SalesData[[#This Row],[Sales]]</f>
        <v>7.4999999999999997E-2</v>
      </c>
      <c r="J953">
        <f>YEAR(SalesData[[#This Row],[Order Date]])</f>
        <v>2017</v>
      </c>
      <c r="K953" t="str">
        <f>TEXT(SalesData[[#This Row],[Order Date]],"mmm")</f>
        <v>Sep</v>
      </c>
      <c r="L953">
        <f>MONTH(SalesData[[#This Row],[Order Date]])</f>
        <v>9</v>
      </c>
      <c r="M953">
        <f>SalesData[[#This Row],[Sales]]/SalesData[[#This Row],[Quantity]]</f>
        <v>11.176</v>
      </c>
      <c r="N953" t="str">
        <f>IF(SalesData[[#This Row],[Profit]]&gt;0,"Profit","Loss")</f>
        <v>Profit</v>
      </c>
    </row>
    <row r="954" spans="1:14" x14ac:dyDescent="0.3">
      <c r="A954" t="s">
        <v>3382</v>
      </c>
      <c r="B954" s="3">
        <v>42987</v>
      </c>
      <c r="C954" t="s">
        <v>17</v>
      </c>
      <c r="D954" t="s">
        <v>21</v>
      </c>
      <c r="E954" t="s">
        <v>1006</v>
      </c>
      <c r="F954" s="1">
        <v>17.712</v>
      </c>
      <c r="G954">
        <v>6</v>
      </c>
      <c r="H954" s="1">
        <v>5.9778000000000002</v>
      </c>
      <c r="I954" s="4">
        <f>SalesData[[#This Row],[Profit]]/SalesData[[#This Row],[Sales]]</f>
        <v>0.33750000000000002</v>
      </c>
      <c r="J954">
        <f>YEAR(SalesData[[#This Row],[Order Date]])</f>
        <v>2017</v>
      </c>
      <c r="K954" t="str">
        <f>TEXT(SalesData[[#This Row],[Order Date]],"mmm")</f>
        <v>Sep</v>
      </c>
      <c r="L954">
        <f>MONTH(SalesData[[#This Row],[Order Date]])</f>
        <v>9</v>
      </c>
      <c r="M954">
        <f>SalesData[[#This Row],[Sales]]/SalesData[[#This Row],[Quantity]]</f>
        <v>2.952</v>
      </c>
      <c r="N954" t="str">
        <f>IF(SalesData[[#This Row],[Profit]]&gt;0,"Profit","Loss")</f>
        <v>Profit</v>
      </c>
    </row>
    <row r="955" spans="1:14" x14ac:dyDescent="0.3">
      <c r="A955" t="s">
        <v>3382</v>
      </c>
      <c r="B955" s="3">
        <v>42987</v>
      </c>
      <c r="C955" t="s">
        <v>17</v>
      </c>
      <c r="D955" t="s">
        <v>21</v>
      </c>
      <c r="E955" t="s">
        <v>1762</v>
      </c>
      <c r="F955" s="1">
        <v>4.8600000000000003</v>
      </c>
      <c r="G955">
        <v>3</v>
      </c>
      <c r="H955" s="1">
        <v>-3.5640000000000001</v>
      </c>
      <c r="I955" s="4">
        <f>SalesData[[#This Row],[Profit]]/SalesData[[#This Row],[Sales]]</f>
        <v>-0.73333333333333328</v>
      </c>
      <c r="J955">
        <f>YEAR(SalesData[[#This Row],[Order Date]])</f>
        <v>2017</v>
      </c>
      <c r="K955" t="str">
        <f>TEXT(SalesData[[#This Row],[Order Date]],"mmm")</f>
        <v>Sep</v>
      </c>
      <c r="L955">
        <f>MONTH(SalesData[[#This Row],[Order Date]])</f>
        <v>9</v>
      </c>
      <c r="M955">
        <f>SalesData[[#This Row],[Sales]]/SalesData[[#This Row],[Quantity]]</f>
        <v>1.62</v>
      </c>
      <c r="N955" t="str">
        <f>IF(SalesData[[#This Row],[Profit]]&gt;0,"Profit","Loss")</f>
        <v>Loss</v>
      </c>
    </row>
    <row r="956" spans="1:14" x14ac:dyDescent="0.3">
      <c r="A956" t="s">
        <v>3382</v>
      </c>
      <c r="B956" s="3">
        <v>42987</v>
      </c>
      <c r="C956" t="s">
        <v>17</v>
      </c>
      <c r="D956" t="s">
        <v>21</v>
      </c>
      <c r="E956" t="s">
        <v>3383</v>
      </c>
      <c r="F956" s="1">
        <v>6.258</v>
      </c>
      <c r="G956">
        <v>2</v>
      </c>
      <c r="H956" s="1">
        <v>-5.2149999999999999</v>
      </c>
      <c r="I956" s="4">
        <f>SalesData[[#This Row],[Profit]]/SalesData[[#This Row],[Sales]]</f>
        <v>-0.83333333333333326</v>
      </c>
      <c r="J956">
        <f>YEAR(SalesData[[#This Row],[Order Date]])</f>
        <v>2017</v>
      </c>
      <c r="K956" t="str">
        <f>TEXT(SalesData[[#This Row],[Order Date]],"mmm")</f>
        <v>Sep</v>
      </c>
      <c r="L956">
        <f>MONTH(SalesData[[#This Row],[Order Date]])</f>
        <v>9</v>
      </c>
      <c r="M956">
        <f>SalesData[[#This Row],[Sales]]/SalesData[[#This Row],[Quantity]]</f>
        <v>3.129</v>
      </c>
      <c r="N956" t="str">
        <f>IF(SalesData[[#This Row],[Profit]]&gt;0,"Profit","Loss")</f>
        <v>Loss</v>
      </c>
    </row>
    <row r="957" spans="1:14" x14ac:dyDescent="0.3">
      <c r="A957" t="s">
        <v>3384</v>
      </c>
      <c r="B957" s="3">
        <v>42988</v>
      </c>
      <c r="C957" t="s">
        <v>46</v>
      </c>
      <c r="D957" t="s">
        <v>21</v>
      </c>
      <c r="E957" t="s">
        <v>1095</v>
      </c>
      <c r="F957" s="1">
        <v>10.816000000000001</v>
      </c>
      <c r="G957">
        <v>4</v>
      </c>
      <c r="H957" s="1">
        <v>3.5152000000000001</v>
      </c>
      <c r="I957" s="4">
        <f>SalesData[[#This Row],[Profit]]/SalesData[[#This Row],[Sales]]</f>
        <v>0.32500000000000001</v>
      </c>
      <c r="J957">
        <f>YEAR(SalesData[[#This Row],[Order Date]])</f>
        <v>2017</v>
      </c>
      <c r="K957" t="str">
        <f>TEXT(SalesData[[#This Row],[Order Date]],"mmm")</f>
        <v>Sep</v>
      </c>
      <c r="L957">
        <f>MONTH(SalesData[[#This Row],[Order Date]])</f>
        <v>9</v>
      </c>
      <c r="M957">
        <f>SalesData[[#This Row],[Sales]]/SalesData[[#This Row],[Quantity]]</f>
        <v>2.7040000000000002</v>
      </c>
      <c r="N957" t="str">
        <f>IF(SalesData[[#This Row],[Profit]]&gt;0,"Profit","Loss")</f>
        <v>Profit</v>
      </c>
    </row>
    <row r="958" spans="1:14" x14ac:dyDescent="0.3">
      <c r="A958" t="s">
        <v>3385</v>
      </c>
      <c r="B958" s="3">
        <v>42988</v>
      </c>
      <c r="C958" t="s">
        <v>9</v>
      </c>
      <c r="D958" t="s">
        <v>14</v>
      </c>
      <c r="E958" t="s">
        <v>233</v>
      </c>
      <c r="F958" s="1">
        <v>652.45000000000005</v>
      </c>
      <c r="G958">
        <v>5</v>
      </c>
      <c r="H958" s="1">
        <v>-430.61700000000002</v>
      </c>
      <c r="I958" s="4">
        <f>SalesData[[#This Row],[Profit]]/SalesData[[#This Row],[Sales]]</f>
        <v>-0.66</v>
      </c>
      <c r="J958">
        <f>YEAR(SalesData[[#This Row],[Order Date]])</f>
        <v>2017</v>
      </c>
      <c r="K958" t="str">
        <f>TEXT(SalesData[[#This Row],[Order Date]],"mmm")</f>
        <v>Sep</v>
      </c>
      <c r="L958">
        <f>MONTH(SalesData[[#This Row],[Order Date]])</f>
        <v>9</v>
      </c>
      <c r="M958">
        <f>SalesData[[#This Row],[Sales]]/SalesData[[#This Row],[Quantity]]</f>
        <v>130.49</v>
      </c>
      <c r="N958" t="str">
        <f>IF(SalesData[[#This Row],[Profit]]&gt;0,"Profit","Loss")</f>
        <v>Loss</v>
      </c>
    </row>
    <row r="959" spans="1:14" x14ac:dyDescent="0.3">
      <c r="A959" t="s">
        <v>3385</v>
      </c>
      <c r="B959" s="3">
        <v>42988</v>
      </c>
      <c r="C959" t="s">
        <v>9</v>
      </c>
      <c r="D959" t="s">
        <v>14</v>
      </c>
      <c r="E959" t="s">
        <v>2032</v>
      </c>
      <c r="F959" s="1">
        <v>66.644999999999996</v>
      </c>
      <c r="G959">
        <v>3</v>
      </c>
      <c r="H959" s="1">
        <v>-42.652799999999999</v>
      </c>
      <c r="I959" s="4">
        <f>SalesData[[#This Row],[Profit]]/SalesData[[#This Row],[Sales]]</f>
        <v>-0.64</v>
      </c>
      <c r="J959">
        <f>YEAR(SalesData[[#This Row],[Order Date]])</f>
        <v>2017</v>
      </c>
      <c r="K959" t="str">
        <f>TEXT(SalesData[[#This Row],[Order Date]],"mmm")</f>
        <v>Sep</v>
      </c>
      <c r="L959">
        <f>MONTH(SalesData[[#This Row],[Order Date]])</f>
        <v>9</v>
      </c>
      <c r="M959">
        <f>SalesData[[#This Row],[Sales]]/SalesData[[#This Row],[Quantity]]</f>
        <v>22.215</v>
      </c>
      <c r="N959" t="str">
        <f>IF(SalesData[[#This Row],[Profit]]&gt;0,"Profit","Loss")</f>
        <v>Loss</v>
      </c>
    </row>
    <row r="960" spans="1:14" x14ac:dyDescent="0.3">
      <c r="A960" t="s">
        <v>3386</v>
      </c>
      <c r="B960" s="3">
        <v>42988</v>
      </c>
      <c r="C960" t="s">
        <v>17</v>
      </c>
      <c r="D960" t="s">
        <v>14</v>
      </c>
      <c r="E960" t="s">
        <v>2847</v>
      </c>
      <c r="F960" s="1">
        <v>45.887999999999998</v>
      </c>
      <c r="G960">
        <v>4</v>
      </c>
      <c r="H960" s="1">
        <v>9.1776</v>
      </c>
      <c r="I960" s="4">
        <f>SalesData[[#This Row],[Profit]]/SalesData[[#This Row],[Sales]]</f>
        <v>0.2</v>
      </c>
      <c r="J960">
        <f>YEAR(SalesData[[#This Row],[Order Date]])</f>
        <v>2017</v>
      </c>
      <c r="K960" t="str">
        <f>TEXT(SalesData[[#This Row],[Order Date]],"mmm")</f>
        <v>Sep</v>
      </c>
      <c r="L960">
        <f>MONTH(SalesData[[#This Row],[Order Date]])</f>
        <v>9</v>
      </c>
      <c r="M960">
        <f>SalesData[[#This Row],[Sales]]/SalesData[[#This Row],[Quantity]]</f>
        <v>11.472</v>
      </c>
      <c r="N960" t="str">
        <f>IF(SalesData[[#This Row],[Profit]]&gt;0,"Profit","Loss")</f>
        <v>Profit</v>
      </c>
    </row>
    <row r="961" spans="1:14" x14ac:dyDescent="0.3">
      <c r="A961" t="s">
        <v>3387</v>
      </c>
      <c r="B961" s="3">
        <v>42988</v>
      </c>
      <c r="C961" t="s">
        <v>17</v>
      </c>
      <c r="D961" t="s">
        <v>21</v>
      </c>
      <c r="E961" t="s">
        <v>1531</v>
      </c>
      <c r="F961" s="1">
        <v>12.816000000000001</v>
      </c>
      <c r="G961">
        <v>3</v>
      </c>
      <c r="H961" s="1">
        <v>4.3254000000000001</v>
      </c>
      <c r="I961" s="4">
        <f>SalesData[[#This Row],[Profit]]/SalesData[[#This Row],[Sales]]</f>
        <v>0.33749999999999997</v>
      </c>
      <c r="J961">
        <f>YEAR(SalesData[[#This Row],[Order Date]])</f>
        <v>2017</v>
      </c>
      <c r="K961" t="str">
        <f>TEXT(SalesData[[#This Row],[Order Date]],"mmm")</f>
        <v>Sep</v>
      </c>
      <c r="L961">
        <f>MONTH(SalesData[[#This Row],[Order Date]])</f>
        <v>9</v>
      </c>
      <c r="M961">
        <f>SalesData[[#This Row],[Sales]]/SalesData[[#This Row],[Quantity]]</f>
        <v>4.2720000000000002</v>
      </c>
      <c r="N961" t="str">
        <f>IF(SalesData[[#This Row],[Profit]]&gt;0,"Profit","Loss")</f>
        <v>Profit</v>
      </c>
    </row>
    <row r="962" spans="1:14" x14ac:dyDescent="0.3">
      <c r="A962" t="s">
        <v>3387</v>
      </c>
      <c r="B962" s="3">
        <v>42988</v>
      </c>
      <c r="C962" t="s">
        <v>17</v>
      </c>
      <c r="D962" t="s">
        <v>14</v>
      </c>
      <c r="E962" t="s">
        <v>2947</v>
      </c>
      <c r="F962" s="1">
        <v>314.35199999999998</v>
      </c>
      <c r="G962">
        <v>3</v>
      </c>
      <c r="H962" s="1">
        <v>-15.717599999999999</v>
      </c>
      <c r="I962" s="4">
        <f>SalesData[[#This Row],[Profit]]/SalesData[[#This Row],[Sales]]</f>
        <v>-0.05</v>
      </c>
      <c r="J962">
        <f>YEAR(SalesData[[#This Row],[Order Date]])</f>
        <v>2017</v>
      </c>
      <c r="K962" t="str">
        <f>TEXT(SalesData[[#This Row],[Order Date]],"mmm")</f>
        <v>Sep</v>
      </c>
      <c r="L962">
        <f>MONTH(SalesData[[#This Row],[Order Date]])</f>
        <v>9</v>
      </c>
      <c r="M962">
        <f>SalesData[[#This Row],[Sales]]/SalesData[[#This Row],[Quantity]]</f>
        <v>104.78399999999999</v>
      </c>
      <c r="N962" t="str">
        <f>IF(SalesData[[#This Row],[Profit]]&gt;0,"Profit","Loss")</f>
        <v>Loss</v>
      </c>
    </row>
    <row r="963" spans="1:14" x14ac:dyDescent="0.3">
      <c r="A963" t="s">
        <v>3387</v>
      </c>
      <c r="B963" s="3">
        <v>42988</v>
      </c>
      <c r="C963" t="s">
        <v>17</v>
      </c>
      <c r="D963" t="s">
        <v>21</v>
      </c>
      <c r="E963" t="s">
        <v>3388</v>
      </c>
      <c r="F963" s="1">
        <v>18.98</v>
      </c>
      <c r="G963">
        <v>2</v>
      </c>
      <c r="H963" s="1">
        <v>8.9206000000000003</v>
      </c>
      <c r="I963" s="4">
        <f>SalesData[[#This Row],[Profit]]/SalesData[[#This Row],[Sales]]</f>
        <v>0.47000000000000003</v>
      </c>
      <c r="J963">
        <f>YEAR(SalesData[[#This Row],[Order Date]])</f>
        <v>2017</v>
      </c>
      <c r="K963" t="str">
        <f>TEXT(SalesData[[#This Row],[Order Date]],"mmm")</f>
        <v>Sep</v>
      </c>
      <c r="L963">
        <f>MONTH(SalesData[[#This Row],[Order Date]])</f>
        <v>9</v>
      </c>
      <c r="M963">
        <f>SalesData[[#This Row],[Sales]]/SalesData[[#This Row],[Quantity]]</f>
        <v>9.49</v>
      </c>
      <c r="N963" t="str">
        <f>IF(SalesData[[#This Row],[Profit]]&gt;0,"Profit","Loss")</f>
        <v>Profit</v>
      </c>
    </row>
    <row r="964" spans="1:14" x14ac:dyDescent="0.3">
      <c r="A964" t="s">
        <v>3387</v>
      </c>
      <c r="B964" s="3">
        <v>42988</v>
      </c>
      <c r="C964" t="s">
        <v>17</v>
      </c>
      <c r="D964" t="s">
        <v>21</v>
      </c>
      <c r="E964" t="s">
        <v>1351</v>
      </c>
      <c r="F964" s="1">
        <v>18.239999999999998</v>
      </c>
      <c r="G964">
        <v>6</v>
      </c>
      <c r="H964" s="1">
        <v>6.1559999999999997</v>
      </c>
      <c r="I964" s="4">
        <f>SalesData[[#This Row],[Profit]]/SalesData[[#This Row],[Sales]]</f>
        <v>0.33750000000000002</v>
      </c>
      <c r="J964">
        <f>YEAR(SalesData[[#This Row],[Order Date]])</f>
        <v>2017</v>
      </c>
      <c r="K964" t="str">
        <f>TEXT(SalesData[[#This Row],[Order Date]],"mmm")</f>
        <v>Sep</v>
      </c>
      <c r="L964">
        <f>MONTH(SalesData[[#This Row],[Order Date]])</f>
        <v>9</v>
      </c>
      <c r="M964">
        <f>SalesData[[#This Row],[Sales]]/SalesData[[#This Row],[Quantity]]</f>
        <v>3.0399999999999996</v>
      </c>
      <c r="N964" t="str">
        <f>IF(SalesData[[#This Row],[Profit]]&gt;0,"Profit","Loss")</f>
        <v>Profit</v>
      </c>
    </row>
    <row r="965" spans="1:14" x14ac:dyDescent="0.3">
      <c r="A965" t="s">
        <v>3389</v>
      </c>
      <c r="B965" s="3">
        <v>42988</v>
      </c>
      <c r="C965" t="s">
        <v>9</v>
      </c>
      <c r="D965" t="s">
        <v>21</v>
      </c>
      <c r="E965" t="s">
        <v>1004</v>
      </c>
      <c r="F965" s="1">
        <v>67.144000000000005</v>
      </c>
      <c r="G965">
        <v>7</v>
      </c>
      <c r="H965" s="1">
        <v>5.8750999999999998</v>
      </c>
      <c r="I965" s="4">
        <f>SalesData[[#This Row],[Profit]]/SalesData[[#This Row],[Sales]]</f>
        <v>8.7499999999999994E-2</v>
      </c>
      <c r="J965">
        <f>YEAR(SalesData[[#This Row],[Order Date]])</f>
        <v>2017</v>
      </c>
      <c r="K965" t="str">
        <f>TEXT(SalesData[[#This Row],[Order Date]],"mmm")</f>
        <v>Sep</v>
      </c>
      <c r="L965">
        <f>MONTH(SalesData[[#This Row],[Order Date]])</f>
        <v>9</v>
      </c>
      <c r="M965">
        <f>SalesData[[#This Row],[Sales]]/SalesData[[#This Row],[Quantity]]</f>
        <v>9.5920000000000005</v>
      </c>
      <c r="N965" t="str">
        <f>IF(SalesData[[#This Row],[Profit]]&gt;0,"Profit","Loss")</f>
        <v>Profit</v>
      </c>
    </row>
    <row r="966" spans="1:14" x14ac:dyDescent="0.3">
      <c r="A966" t="s">
        <v>3389</v>
      </c>
      <c r="B966" s="3">
        <v>42988</v>
      </c>
      <c r="C966" t="s">
        <v>9</v>
      </c>
      <c r="D966" t="s">
        <v>14</v>
      </c>
      <c r="E966" t="s">
        <v>3390</v>
      </c>
      <c r="F966" s="1">
        <v>254.05799999999999</v>
      </c>
      <c r="G966">
        <v>3</v>
      </c>
      <c r="H966" s="1">
        <v>-32.6646</v>
      </c>
      <c r="I966" s="4">
        <f>SalesData[[#This Row],[Profit]]/SalesData[[#This Row],[Sales]]</f>
        <v>-0.12857142857142859</v>
      </c>
      <c r="J966">
        <f>YEAR(SalesData[[#This Row],[Order Date]])</f>
        <v>2017</v>
      </c>
      <c r="K966" t="str">
        <f>TEXT(SalesData[[#This Row],[Order Date]],"mmm")</f>
        <v>Sep</v>
      </c>
      <c r="L966">
        <f>MONTH(SalesData[[#This Row],[Order Date]])</f>
        <v>9</v>
      </c>
      <c r="M966">
        <f>SalesData[[#This Row],[Sales]]/SalesData[[#This Row],[Quantity]]</f>
        <v>84.685999999999993</v>
      </c>
      <c r="N966" t="str">
        <f>IF(SalesData[[#This Row],[Profit]]&gt;0,"Profit","Loss")</f>
        <v>Loss</v>
      </c>
    </row>
    <row r="967" spans="1:14" x14ac:dyDescent="0.3">
      <c r="A967" t="s">
        <v>3391</v>
      </c>
      <c r="B967" s="3">
        <v>42988</v>
      </c>
      <c r="C967" t="s">
        <v>13</v>
      </c>
      <c r="D967" t="s">
        <v>21</v>
      </c>
      <c r="E967" t="s">
        <v>3392</v>
      </c>
      <c r="F967" s="1">
        <v>35.200000000000003</v>
      </c>
      <c r="G967">
        <v>5</v>
      </c>
      <c r="H967" s="1">
        <v>16.544</v>
      </c>
      <c r="I967" s="4">
        <f>SalesData[[#This Row],[Profit]]/SalesData[[#This Row],[Sales]]</f>
        <v>0.47</v>
      </c>
      <c r="J967">
        <f>YEAR(SalesData[[#This Row],[Order Date]])</f>
        <v>2017</v>
      </c>
      <c r="K967" t="str">
        <f>TEXT(SalesData[[#This Row],[Order Date]],"mmm")</f>
        <v>Sep</v>
      </c>
      <c r="L967">
        <f>MONTH(SalesData[[#This Row],[Order Date]])</f>
        <v>9</v>
      </c>
      <c r="M967">
        <f>SalesData[[#This Row],[Sales]]/SalesData[[#This Row],[Quantity]]</f>
        <v>7.0400000000000009</v>
      </c>
      <c r="N967" t="str">
        <f>IF(SalesData[[#This Row],[Profit]]&gt;0,"Profit","Loss")</f>
        <v>Profit</v>
      </c>
    </row>
    <row r="968" spans="1:14" x14ac:dyDescent="0.3">
      <c r="A968" t="s">
        <v>3393</v>
      </c>
      <c r="B968" s="3">
        <v>42989</v>
      </c>
      <c r="C968" t="s">
        <v>17</v>
      </c>
      <c r="D968" t="s">
        <v>14</v>
      </c>
      <c r="E968" t="s">
        <v>59</v>
      </c>
      <c r="F968" s="1">
        <v>96.53</v>
      </c>
      <c r="G968">
        <v>7</v>
      </c>
      <c r="H968" s="1">
        <v>40.5426</v>
      </c>
      <c r="I968" s="4">
        <f>SalesData[[#This Row],[Profit]]/SalesData[[#This Row],[Sales]]</f>
        <v>0.42</v>
      </c>
      <c r="J968">
        <f>YEAR(SalesData[[#This Row],[Order Date]])</f>
        <v>2017</v>
      </c>
      <c r="K968" t="str">
        <f>TEXT(SalesData[[#This Row],[Order Date]],"mmm")</f>
        <v>Sep</v>
      </c>
      <c r="L968">
        <f>MONTH(SalesData[[#This Row],[Order Date]])</f>
        <v>9</v>
      </c>
      <c r="M968">
        <f>SalesData[[#This Row],[Sales]]/SalesData[[#This Row],[Quantity]]</f>
        <v>13.790000000000001</v>
      </c>
      <c r="N968" t="str">
        <f>IF(SalesData[[#This Row],[Profit]]&gt;0,"Profit","Loss")</f>
        <v>Profit</v>
      </c>
    </row>
    <row r="969" spans="1:14" x14ac:dyDescent="0.3">
      <c r="A969" t="s">
        <v>3394</v>
      </c>
      <c r="B969" s="3">
        <v>42989</v>
      </c>
      <c r="C969" t="s">
        <v>13</v>
      </c>
      <c r="D969" t="s">
        <v>14</v>
      </c>
      <c r="E969" t="s">
        <v>1982</v>
      </c>
      <c r="F969" s="1">
        <v>215.976</v>
      </c>
      <c r="G969">
        <v>3</v>
      </c>
      <c r="H969" s="1">
        <v>-2.6997</v>
      </c>
      <c r="I969" s="4">
        <f>SalesData[[#This Row],[Profit]]/SalesData[[#This Row],[Sales]]</f>
        <v>-1.2500000000000001E-2</v>
      </c>
      <c r="J969">
        <f>YEAR(SalesData[[#This Row],[Order Date]])</f>
        <v>2017</v>
      </c>
      <c r="K969" t="str">
        <f>TEXT(SalesData[[#This Row],[Order Date]],"mmm")</f>
        <v>Sep</v>
      </c>
      <c r="L969">
        <f>MONTH(SalesData[[#This Row],[Order Date]])</f>
        <v>9</v>
      </c>
      <c r="M969">
        <f>SalesData[[#This Row],[Sales]]/SalesData[[#This Row],[Quantity]]</f>
        <v>71.992000000000004</v>
      </c>
      <c r="N969" t="str">
        <f>IF(SalesData[[#This Row],[Profit]]&gt;0,"Profit","Loss")</f>
        <v>Loss</v>
      </c>
    </row>
    <row r="970" spans="1:14" x14ac:dyDescent="0.3">
      <c r="A970" t="s">
        <v>3395</v>
      </c>
      <c r="B970" s="3">
        <v>42989</v>
      </c>
      <c r="C970" t="s">
        <v>13</v>
      </c>
      <c r="D970" t="s">
        <v>21</v>
      </c>
      <c r="E970" t="s">
        <v>349</v>
      </c>
      <c r="F970" s="1">
        <v>63.56</v>
      </c>
      <c r="G970">
        <v>2</v>
      </c>
      <c r="H970" s="1">
        <v>3.1779999999999999</v>
      </c>
      <c r="I970" s="4">
        <f>SalesData[[#This Row],[Profit]]/SalesData[[#This Row],[Sales]]</f>
        <v>4.9999999999999996E-2</v>
      </c>
      <c r="J970">
        <f>YEAR(SalesData[[#This Row],[Order Date]])</f>
        <v>2017</v>
      </c>
      <c r="K970" t="str">
        <f>TEXT(SalesData[[#This Row],[Order Date]],"mmm")</f>
        <v>Sep</v>
      </c>
      <c r="L970">
        <f>MONTH(SalesData[[#This Row],[Order Date]])</f>
        <v>9</v>
      </c>
      <c r="M970">
        <f>SalesData[[#This Row],[Sales]]/SalesData[[#This Row],[Quantity]]</f>
        <v>31.78</v>
      </c>
      <c r="N970" t="str">
        <f>IF(SalesData[[#This Row],[Profit]]&gt;0,"Profit","Loss")</f>
        <v>Profit</v>
      </c>
    </row>
    <row r="971" spans="1:14" x14ac:dyDescent="0.3">
      <c r="A971" t="s">
        <v>3395</v>
      </c>
      <c r="B971" s="3">
        <v>42989</v>
      </c>
      <c r="C971" t="s">
        <v>13</v>
      </c>
      <c r="D971" t="s">
        <v>10</v>
      </c>
      <c r="E971" t="s">
        <v>189</v>
      </c>
      <c r="F971" s="1">
        <v>99.99</v>
      </c>
      <c r="G971">
        <v>1</v>
      </c>
      <c r="H971" s="1">
        <v>43.995600000000003</v>
      </c>
      <c r="I971" s="4">
        <f>SalesData[[#This Row],[Profit]]/SalesData[[#This Row],[Sales]]</f>
        <v>0.44000000000000006</v>
      </c>
      <c r="J971">
        <f>YEAR(SalesData[[#This Row],[Order Date]])</f>
        <v>2017</v>
      </c>
      <c r="K971" t="str">
        <f>TEXT(SalesData[[#This Row],[Order Date]],"mmm")</f>
        <v>Sep</v>
      </c>
      <c r="L971">
        <f>MONTH(SalesData[[#This Row],[Order Date]])</f>
        <v>9</v>
      </c>
      <c r="M971">
        <f>SalesData[[#This Row],[Sales]]/SalesData[[#This Row],[Quantity]]</f>
        <v>99.99</v>
      </c>
      <c r="N971" t="str">
        <f>IF(SalesData[[#This Row],[Profit]]&gt;0,"Profit","Loss")</f>
        <v>Profit</v>
      </c>
    </row>
    <row r="972" spans="1:14" x14ac:dyDescent="0.3">
      <c r="A972" t="s">
        <v>3396</v>
      </c>
      <c r="B972" s="3">
        <v>42989</v>
      </c>
      <c r="C972" t="s">
        <v>17</v>
      </c>
      <c r="D972" t="s">
        <v>21</v>
      </c>
      <c r="E972" t="s">
        <v>879</v>
      </c>
      <c r="F972" s="1">
        <v>9.64</v>
      </c>
      <c r="G972">
        <v>2</v>
      </c>
      <c r="H972" s="1">
        <v>4.4344000000000001</v>
      </c>
      <c r="I972" s="4">
        <f>SalesData[[#This Row],[Profit]]/SalesData[[#This Row],[Sales]]</f>
        <v>0.45999999999999996</v>
      </c>
      <c r="J972">
        <f>YEAR(SalesData[[#This Row],[Order Date]])</f>
        <v>2017</v>
      </c>
      <c r="K972" t="str">
        <f>TEXT(SalesData[[#This Row],[Order Date]],"mmm")</f>
        <v>Sep</v>
      </c>
      <c r="L972">
        <f>MONTH(SalesData[[#This Row],[Order Date]])</f>
        <v>9</v>
      </c>
      <c r="M972">
        <f>SalesData[[#This Row],[Sales]]/SalesData[[#This Row],[Quantity]]</f>
        <v>4.82</v>
      </c>
      <c r="N972" t="str">
        <f>IF(SalesData[[#This Row],[Profit]]&gt;0,"Profit","Loss")</f>
        <v>Profit</v>
      </c>
    </row>
    <row r="973" spans="1:14" x14ac:dyDescent="0.3">
      <c r="A973" t="s">
        <v>3396</v>
      </c>
      <c r="B973" s="3">
        <v>42989</v>
      </c>
      <c r="C973" t="s">
        <v>17</v>
      </c>
      <c r="D973" t="s">
        <v>10</v>
      </c>
      <c r="E973" t="s">
        <v>2827</v>
      </c>
      <c r="F973" s="1">
        <v>826.62</v>
      </c>
      <c r="G973">
        <v>3</v>
      </c>
      <c r="H973" s="1">
        <v>355.44659999999999</v>
      </c>
      <c r="I973" s="4">
        <f>SalesData[[#This Row],[Profit]]/SalesData[[#This Row],[Sales]]</f>
        <v>0.43</v>
      </c>
      <c r="J973">
        <f>YEAR(SalesData[[#This Row],[Order Date]])</f>
        <v>2017</v>
      </c>
      <c r="K973" t="str">
        <f>TEXT(SalesData[[#This Row],[Order Date]],"mmm")</f>
        <v>Sep</v>
      </c>
      <c r="L973">
        <f>MONTH(SalesData[[#This Row],[Order Date]])</f>
        <v>9</v>
      </c>
      <c r="M973">
        <f>SalesData[[#This Row],[Sales]]/SalesData[[#This Row],[Quantity]]</f>
        <v>275.54000000000002</v>
      </c>
      <c r="N973" t="str">
        <f>IF(SalesData[[#This Row],[Profit]]&gt;0,"Profit","Loss")</f>
        <v>Profit</v>
      </c>
    </row>
    <row r="974" spans="1:14" x14ac:dyDescent="0.3">
      <c r="A974" t="s">
        <v>3396</v>
      </c>
      <c r="B974" s="3">
        <v>42989</v>
      </c>
      <c r="C974" t="s">
        <v>17</v>
      </c>
      <c r="D974" t="s">
        <v>21</v>
      </c>
      <c r="E974" t="s">
        <v>192</v>
      </c>
      <c r="F974" s="1">
        <v>1633.14</v>
      </c>
      <c r="G974">
        <v>9</v>
      </c>
      <c r="H974" s="1">
        <v>473.61059999999998</v>
      </c>
      <c r="I974" s="4">
        <f>SalesData[[#This Row],[Profit]]/SalesData[[#This Row],[Sales]]</f>
        <v>0.28999999999999998</v>
      </c>
      <c r="J974">
        <f>YEAR(SalesData[[#This Row],[Order Date]])</f>
        <v>2017</v>
      </c>
      <c r="K974" t="str">
        <f>TEXT(SalesData[[#This Row],[Order Date]],"mmm")</f>
        <v>Sep</v>
      </c>
      <c r="L974">
        <f>MONTH(SalesData[[#This Row],[Order Date]])</f>
        <v>9</v>
      </c>
      <c r="M974">
        <f>SalesData[[#This Row],[Sales]]/SalesData[[#This Row],[Quantity]]</f>
        <v>181.46</v>
      </c>
      <c r="N974" t="str">
        <f>IF(SalesData[[#This Row],[Profit]]&gt;0,"Profit","Loss")</f>
        <v>Profit</v>
      </c>
    </row>
    <row r="975" spans="1:14" x14ac:dyDescent="0.3">
      <c r="A975" t="s">
        <v>3396</v>
      </c>
      <c r="B975" s="3">
        <v>42989</v>
      </c>
      <c r="C975" t="s">
        <v>17</v>
      </c>
      <c r="D975" t="s">
        <v>21</v>
      </c>
      <c r="E975" t="s">
        <v>192</v>
      </c>
      <c r="F975" s="1">
        <v>544.38</v>
      </c>
      <c r="G975">
        <v>3</v>
      </c>
      <c r="H975" s="1">
        <v>157.87020000000001</v>
      </c>
      <c r="I975" s="4">
        <f>SalesData[[#This Row],[Profit]]/SalesData[[#This Row],[Sales]]</f>
        <v>0.29000000000000004</v>
      </c>
      <c r="J975">
        <f>YEAR(SalesData[[#This Row],[Order Date]])</f>
        <v>2017</v>
      </c>
      <c r="K975" t="str">
        <f>TEXT(SalesData[[#This Row],[Order Date]],"mmm")</f>
        <v>Sep</v>
      </c>
      <c r="L975">
        <f>MONTH(SalesData[[#This Row],[Order Date]])</f>
        <v>9</v>
      </c>
      <c r="M975">
        <f>SalesData[[#This Row],[Sales]]/SalesData[[#This Row],[Quantity]]</f>
        <v>181.46</v>
      </c>
      <c r="N975" t="str">
        <f>IF(SalesData[[#This Row],[Profit]]&gt;0,"Profit","Loss")</f>
        <v>Profit</v>
      </c>
    </row>
    <row r="976" spans="1:14" x14ac:dyDescent="0.3">
      <c r="A976" t="s">
        <v>3397</v>
      </c>
      <c r="B976" s="3">
        <v>42989</v>
      </c>
      <c r="C976" t="s">
        <v>13</v>
      </c>
      <c r="D976" t="s">
        <v>14</v>
      </c>
      <c r="E976" t="s">
        <v>884</v>
      </c>
      <c r="F976" s="1">
        <v>47.12</v>
      </c>
      <c r="G976">
        <v>8</v>
      </c>
      <c r="H976" s="1">
        <v>20.732800000000001</v>
      </c>
      <c r="I976" s="4">
        <f>SalesData[[#This Row],[Profit]]/SalesData[[#This Row],[Sales]]</f>
        <v>0.44000000000000006</v>
      </c>
      <c r="J976">
        <f>YEAR(SalesData[[#This Row],[Order Date]])</f>
        <v>2017</v>
      </c>
      <c r="K976" t="str">
        <f>TEXT(SalesData[[#This Row],[Order Date]],"mmm")</f>
        <v>Sep</v>
      </c>
      <c r="L976">
        <f>MONTH(SalesData[[#This Row],[Order Date]])</f>
        <v>9</v>
      </c>
      <c r="M976">
        <f>SalesData[[#This Row],[Sales]]/SalesData[[#This Row],[Quantity]]</f>
        <v>5.89</v>
      </c>
      <c r="N976" t="str">
        <f>IF(SalesData[[#This Row],[Profit]]&gt;0,"Profit","Loss")</f>
        <v>Profit</v>
      </c>
    </row>
    <row r="977" spans="1:14" x14ac:dyDescent="0.3">
      <c r="A977" t="s">
        <v>3398</v>
      </c>
      <c r="B977" s="3">
        <v>42989</v>
      </c>
      <c r="C977" t="s">
        <v>13</v>
      </c>
      <c r="D977" t="s">
        <v>14</v>
      </c>
      <c r="E977" t="s">
        <v>586</v>
      </c>
      <c r="F977" s="1">
        <v>523.39200000000005</v>
      </c>
      <c r="G977">
        <v>3</v>
      </c>
      <c r="H977" s="1">
        <v>52.339199999999998</v>
      </c>
      <c r="I977" s="4">
        <f>SalesData[[#This Row],[Profit]]/SalesData[[#This Row],[Sales]]</f>
        <v>9.9999999999999992E-2</v>
      </c>
      <c r="J977">
        <f>YEAR(SalesData[[#This Row],[Order Date]])</f>
        <v>2017</v>
      </c>
      <c r="K977" t="str">
        <f>TEXT(SalesData[[#This Row],[Order Date]],"mmm")</f>
        <v>Sep</v>
      </c>
      <c r="L977">
        <f>MONTH(SalesData[[#This Row],[Order Date]])</f>
        <v>9</v>
      </c>
      <c r="M977">
        <f>SalesData[[#This Row],[Sales]]/SalesData[[#This Row],[Quantity]]</f>
        <v>174.46400000000003</v>
      </c>
      <c r="N977" t="str">
        <f>IF(SalesData[[#This Row],[Profit]]&gt;0,"Profit","Loss")</f>
        <v>Profit</v>
      </c>
    </row>
    <row r="978" spans="1:14" x14ac:dyDescent="0.3">
      <c r="A978" t="s">
        <v>3399</v>
      </c>
      <c r="B978" s="3">
        <v>42989</v>
      </c>
      <c r="C978" t="s">
        <v>46</v>
      </c>
      <c r="D978" t="s">
        <v>10</v>
      </c>
      <c r="E978" t="s">
        <v>1038</v>
      </c>
      <c r="F978" s="1">
        <v>191.976</v>
      </c>
      <c r="G978">
        <v>3</v>
      </c>
      <c r="H978" s="1">
        <v>38.395200000000003</v>
      </c>
      <c r="I978" s="4">
        <f>SalesData[[#This Row],[Profit]]/SalesData[[#This Row],[Sales]]</f>
        <v>0.2</v>
      </c>
      <c r="J978">
        <f>YEAR(SalesData[[#This Row],[Order Date]])</f>
        <v>2017</v>
      </c>
      <c r="K978" t="str">
        <f>TEXT(SalesData[[#This Row],[Order Date]],"mmm")</f>
        <v>Sep</v>
      </c>
      <c r="L978">
        <f>MONTH(SalesData[[#This Row],[Order Date]])</f>
        <v>9</v>
      </c>
      <c r="M978">
        <f>SalesData[[#This Row],[Sales]]/SalesData[[#This Row],[Quantity]]</f>
        <v>63.991999999999997</v>
      </c>
      <c r="N978" t="str">
        <f>IF(SalesData[[#This Row],[Profit]]&gt;0,"Profit","Loss")</f>
        <v>Profit</v>
      </c>
    </row>
    <row r="979" spans="1:14" x14ac:dyDescent="0.3">
      <c r="A979" t="s">
        <v>3399</v>
      </c>
      <c r="B979" s="3">
        <v>42989</v>
      </c>
      <c r="C979" t="s">
        <v>46</v>
      </c>
      <c r="D979" t="s">
        <v>10</v>
      </c>
      <c r="E979" t="s">
        <v>2326</v>
      </c>
      <c r="F979" s="1">
        <v>499.16800000000001</v>
      </c>
      <c r="G979">
        <v>4</v>
      </c>
      <c r="H979" s="1">
        <v>31.198</v>
      </c>
      <c r="I979" s="4">
        <f>SalesData[[#This Row],[Profit]]/SalesData[[#This Row],[Sales]]</f>
        <v>6.25E-2</v>
      </c>
      <c r="J979">
        <f>YEAR(SalesData[[#This Row],[Order Date]])</f>
        <v>2017</v>
      </c>
      <c r="K979" t="str">
        <f>TEXT(SalesData[[#This Row],[Order Date]],"mmm")</f>
        <v>Sep</v>
      </c>
      <c r="L979">
        <f>MONTH(SalesData[[#This Row],[Order Date]])</f>
        <v>9</v>
      </c>
      <c r="M979">
        <f>SalesData[[#This Row],[Sales]]/SalesData[[#This Row],[Quantity]]</f>
        <v>124.792</v>
      </c>
      <c r="N979" t="str">
        <f>IF(SalesData[[#This Row],[Profit]]&gt;0,"Profit","Loss")</f>
        <v>Profit</v>
      </c>
    </row>
    <row r="980" spans="1:14" x14ac:dyDescent="0.3">
      <c r="A980" t="s">
        <v>3400</v>
      </c>
      <c r="B980" s="3">
        <v>42990</v>
      </c>
      <c r="C980" t="s">
        <v>9</v>
      </c>
      <c r="D980" t="s">
        <v>21</v>
      </c>
      <c r="E980" t="s">
        <v>3141</v>
      </c>
      <c r="F980" s="1">
        <v>1.248</v>
      </c>
      <c r="G980">
        <v>3</v>
      </c>
      <c r="H980" s="1">
        <v>-1.9343999999999999</v>
      </c>
      <c r="I980" s="4">
        <f>SalesData[[#This Row],[Profit]]/SalesData[[#This Row],[Sales]]</f>
        <v>-1.5499999999999998</v>
      </c>
      <c r="J980">
        <f>YEAR(SalesData[[#This Row],[Order Date]])</f>
        <v>2017</v>
      </c>
      <c r="K980" t="str">
        <f>TEXT(SalesData[[#This Row],[Order Date]],"mmm")</f>
        <v>Sep</v>
      </c>
      <c r="L980">
        <f>MONTH(SalesData[[#This Row],[Order Date]])</f>
        <v>9</v>
      </c>
      <c r="M980">
        <f>SalesData[[#This Row],[Sales]]/SalesData[[#This Row],[Quantity]]</f>
        <v>0.41599999999999998</v>
      </c>
      <c r="N980" t="str">
        <f>IF(SalesData[[#This Row],[Profit]]&gt;0,"Profit","Loss")</f>
        <v>Loss</v>
      </c>
    </row>
    <row r="981" spans="1:14" x14ac:dyDescent="0.3">
      <c r="A981" t="s">
        <v>3400</v>
      </c>
      <c r="B981" s="3">
        <v>42990</v>
      </c>
      <c r="C981" t="s">
        <v>9</v>
      </c>
      <c r="D981" t="s">
        <v>14</v>
      </c>
      <c r="E981" t="s">
        <v>2132</v>
      </c>
      <c r="F981" s="1">
        <v>9.7080000000000002</v>
      </c>
      <c r="G981">
        <v>3</v>
      </c>
      <c r="H981" s="1">
        <v>-5.8247999999999998</v>
      </c>
      <c r="I981" s="4">
        <f>SalesData[[#This Row],[Profit]]/SalesData[[#This Row],[Sales]]</f>
        <v>-0.6</v>
      </c>
      <c r="J981">
        <f>YEAR(SalesData[[#This Row],[Order Date]])</f>
        <v>2017</v>
      </c>
      <c r="K981" t="str">
        <f>TEXT(SalesData[[#This Row],[Order Date]],"mmm")</f>
        <v>Sep</v>
      </c>
      <c r="L981">
        <f>MONTH(SalesData[[#This Row],[Order Date]])</f>
        <v>9</v>
      </c>
      <c r="M981">
        <f>SalesData[[#This Row],[Sales]]/SalesData[[#This Row],[Quantity]]</f>
        <v>3.2360000000000002</v>
      </c>
      <c r="N981" t="str">
        <f>IF(SalesData[[#This Row],[Profit]]&gt;0,"Profit","Loss")</f>
        <v>Loss</v>
      </c>
    </row>
    <row r="982" spans="1:14" x14ac:dyDescent="0.3">
      <c r="A982" t="s">
        <v>3400</v>
      </c>
      <c r="B982" s="3">
        <v>42990</v>
      </c>
      <c r="C982" t="s">
        <v>9</v>
      </c>
      <c r="D982" t="s">
        <v>21</v>
      </c>
      <c r="E982" t="s">
        <v>2458</v>
      </c>
      <c r="F982" s="1">
        <v>27.24</v>
      </c>
      <c r="G982">
        <v>3</v>
      </c>
      <c r="H982" s="1">
        <v>2.7240000000000002</v>
      </c>
      <c r="I982" s="4">
        <f>SalesData[[#This Row],[Profit]]/SalesData[[#This Row],[Sales]]</f>
        <v>0.10000000000000002</v>
      </c>
      <c r="J982">
        <f>YEAR(SalesData[[#This Row],[Order Date]])</f>
        <v>2017</v>
      </c>
      <c r="K982" t="str">
        <f>TEXT(SalesData[[#This Row],[Order Date]],"mmm")</f>
        <v>Sep</v>
      </c>
      <c r="L982">
        <f>MONTH(SalesData[[#This Row],[Order Date]])</f>
        <v>9</v>
      </c>
      <c r="M982">
        <f>SalesData[[#This Row],[Sales]]/SalesData[[#This Row],[Quantity]]</f>
        <v>9.08</v>
      </c>
      <c r="N982" t="str">
        <f>IF(SalesData[[#This Row],[Profit]]&gt;0,"Profit","Loss")</f>
        <v>Profit</v>
      </c>
    </row>
    <row r="983" spans="1:14" x14ac:dyDescent="0.3">
      <c r="A983" t="s">
        <v>3401</v>
      </c>
      <c r="B983" s="3">
        <v>42990</v>
      </c>
      <c r="C983" t="s">
        <v>13</v>
      </c>
      <c r="D983" t="s">
        <v>10</v>
      </c>
      <c r="E983" t="s">
        <v>1966</v>
      </c>
      <c r="F983" s="1">
        <v>444.76799999999997</v>
      </c>
      <c r="G983">
        <v>4</v>
      </c>
      <c r="H983" s="1">
        <v>44.476799999999997</v>
      </c>
      <c r="I983" s="4">
        <f>SalesData[[#This Row],[Profit]]/SalesData[[#This Row],[Sales]]</f>
        <v>0.1</v>
      </c>
      <c r="J983">
        <f>YEAR(SalesData[[#This Row],[Order Date]])</f>
        <v>2017</v>
      </c>
      <c r="K983" t="str">
        <f>TEXT(SalesData[[#This Row],[Order Date]],"mmm")</f>
        <v>Sep</v>
      </c>
      <c r="L983">
        <f>MONTH(SalesData[[#This Row],[Order Date]])</f>
        <v>9</v>
      </c>
      <c r="M983">
        <f>SalesData[[#This Row],[Sales]]/SalesData[[#This Row],[Quantity]]</f>
        <v>111.19199999999999</v>
      </c>
      <c r="N983" t="str">
        <f>IF(SalesData[[#This Row],[Profit]]&gt;0,"Profit","Loss")</f>
        <v>Profit</v>
      </c>
    </row>
    <row r="984" spans="1:14" x14ac:dyDescent="0.3">
      <c r="A984" t="s">
        <v>3402</v>
      </c>
      <c r="B984" s="3">
        <v>42990</v>
      </c>
      <c r="C984" t="s">
        <v>17</v>
      </c>
      <c r="D984" t="s">
        <v>21</v>
      </c>
      <c r="E984" t="s">
        <v>321</v>
      </c>
      <c r="F984" s="1">
        <v>37.207999999999998</v>
      </c>
      <c r="G984">
        <v>1</v>
      </c>
      <c r="H984" s="1">
        <v>-7.4416000000000002</v>
      </c>
      <c r="I984" s="4">
        <f>SalesData[[#This Row],[Profit]]/SalesData[[#This Row],[Sales]]</f>
        <v>-0.2</v>
      </c>
      <c r="J984">
        <f>YEAR(SalesData[[#This Row],[Order Date]])</f>
        <v>2017</v>
      </c>
      <c r="K984" t="str">
        <f>TEXT(SalesData[[#This Row],[Order Date]],"mmm")</f>
        <v>Sep</v>
      </c>
      <c r="L984">
        <f>MONTH(SalesData[[#This Row],[Order Date]])</f>
        <v>9</v>
      </c>
      <c r="M984">
        <f>SalesData[[#This Row],[Sales]]/SalesData[[#This Row],[Quantity]]</f>
        <v>37.207999999999998</v>
      </c>
      <c r="N984" t="str">
        <f>IF(SalesData[[#This Row],[Profit]]&gt;0,"Profit","Loss")</f>
        <v>Loss</v>
      </c>
    </row>
    <row r="985" spans="1:14" x14ac:dyDescent="0.3">
      <c r="A985" t="s">
        <v>3402</v>
      </c>
      <c r="B985" s="3">
        <v>42990</v>
      </c>
      <c r="C985" t="s">
        <v>17</v>
      </c>
      <c r="D985" t="s">
        <v>21</v>
      </c>
      <c r="E985" t="s">
        <v>3403</v>
      </c>
      <c r="F985" s="1">
        <v>57.576000000000001</v>
      </c>
      <c r="G985">
        <v>3</v>
      </c>
      <c r="H985" s="1">
        <v>21.591000000000001</v>
      </c>
      <c r="I985" s="4">
        <f>SalesData[[#This Row],[Profit]]/SalesData[[#This Row],[Sales]]</f>
        <v>0.375</v>
      </c>
      <c r="J985">
        <f>YEAR(SalesData[[#This Row],[Order Date]])</f>
        <v>2017</v>
      </c>
      <c r="K985" t="str">
        <f>TEXT(SalesData[[#This Row],[Order Date]],"mmm")</f>
        <v>Sep</v>
      </c>
      <c r="L985">
        <f>MONTH(SalesData[[#This Row],[Order Date]])</f>
        <v>9</v>
      </c>
      <c r="M985">
        <f>SalesData[[#This Row],[Sales]]/SalesData[[#This Row],[Quantity]]</f>
        <v>19.192</v>
      </c>
      <c r="N985" t="str">
        <f>IF(SalesData[[#This Row],[Profit]]&gt;0,"Profit","Loss")</f>
        <v>Profit</v>
      </c>
    </row>
    <row r="986" spans="1:14" x14ac:dyDescent="0.3">
      <c r="A986" t="s">
        <v>3404</v>
      </c>
      <c r="B986" s="3">
        <v>42990</v>
      </c>
      <c r="C986" t="s">
        <v>9</v>
      </c>
      <c r="D986" t="s">
        <v>14</v>
      </c>
      <c r="E986" t="s">
        <v>1946</v>
      </c>
      <c r="F986" s="1">
        <v>872.94</v>
      </c>
      <c r="G986">
        <v>3</v>
      </c>
      <c r="H986" s="1">
        <v>226.96440000000001</v>
      </c>
      <c r="I986" s="4">
        <f>SalesData[[#This Row],[Profit]]/SalesData[[#This Row],[Sales]]</f>
        <v>0.26</v>
      </c>
      <c r="J986">
        <f>YEAR(SalesData[[#This Row],[Order Date]])</f>
        <v>2017</v>
      </c>
      <c r="K986" t="str">
        <f>TEXT(SalesData[[#This Row],[Order Date]],"mmm")</f>
        <v>Sep</v>
      </c>
      <c r="L986">
        <f>MONTH(SalesData[[#This Row],[Order Date]])</f>
        <v>9</v>
      </c>
      <c r="M986">
        <f>SalesData[[#This Row],[Sales]]/SalesData[[#This Row],[Quantity]]</f>
        <v>290.98</v>
      </c>
      <c r="N986" t="str">
        <f>IF(SalesData[[#This Row],[Profit]]&gt;0,"Profit","Loss")</f>
        <v>Profit</v>
      </c>
    </row>
    <row r="987" spans="1:14" x14ac:dyDescent="0.3">
      <c r="A987" t="s">
        <v>3404</v>
      </c>
      <c r="B987" s="3">
        <v>42990</v>
      </c>
      <c r="C987" t="s">
        <v>9</v>
      </c>
      <c r="D987" t="s">
        <v>21</v>
      </c>
      <c r="E987" t="s">
        <v>517</v>
      </c>
      <c r="F987" s="1">
        <v>41.54</v>
      </c>
      <c r="G987">
        <v>2</v>
      </c>
      <c r="H987" s="1">
        <v>19.523800000000001</v>
      </c>
      <c r="I987" s="4">
        <f>SalesData[[#This Row],[Profit]]/SalesData[[#This Row],[Sales]]</f>
        <v>0.47000000000000003</v>
      </c>
      <c r="J987">
        <f>YEAR(SalesData[[#This Row],[Order Date]])</f>
        <v>2017</v>
      </c>
      <c r="K987" t="str">
        <f>TEXT(SalesData[[#This Row],[Order Date]],"mmm")</f>
        <v>Sep</v>
      </c>
      <c r="L987">
        <f>MONTH(SalesData[[#This Row],[Order Date]])</f>
        <v>9</v>
      </c>
      <c r="M987">
        <f>SalesData[[#This Row],[Sales]]/SalesData[[#This Row],[Quantity]]</f>
        <v>20.77</v>
      </c>
      <c r="N987" t="str">
        <f>IF(SalesData[[#This Row],[Profit]]&gt;0,"Profit","Loss")</f>
        <v>Profit</v>
      </c>
    </row>
    <row r="988" spans="1:14" x14ac:dyDescent="0.3">
      <c r="A988" t="s">
        <v>3404</v>
      </c>
      <c r="B988" s="3">
        <v>42990</v>
      </c>
      <c r="C988" t="s">
        <v>9</v>
      </c>
      <c r="D988" t="s">
        <v>21</v>
      </c>
      <c r="E988" t="s">
        <v>1306</v>
      </c>
      <c r="F988" s="1">
        <v>12.96</v>
      </c>
      <c r="G988">
        <v>2</v>
      </c>
      <c r="H988" s="1">
        <v>6.2207999999999997</v>
      </c>
      <c r="I988" s="4">
        <f>SalesData[[#This Row],[Profit]]/SalesData[[#This Row],[Sales]]</f>
        <v>0.47999999999999993</v>
      </c>
      <c r="J988">
        <f>YEAR(SalesData[[#This Row],[Order Date]])</f>
        <v>2017</v>
      </c>
      <c r="K988" t="str">
        <f>TEXT(SalesData[[#This Row],[Order Date]],"mmm")</f>
        <v>Sep</v>
      </c>
      <c r="L988">
        <f>MONTH(SalesData[[#This Row],[Order Date]])</f>
        <v>9</v>
      </c>
      <c r="M988">
        <f>SalesData[[#This Row],[Sales]]/SalesData[[#This Row],[Quantity]]</f>
        <v>6.48</v>
      </c>
      <c r="N988" t="str">
        <f>IF(SalesData[[#This Row],[Profit]]&gt;0,"Profit","Loss")</f>
        <v>Profit</v>
      </c>
    </row>
    <row r="989" spans="1:14" x14ac:dyDescent="0.3">
      <c r="A989" t="s">
        <v>3405</v>
      </c>
      <c r="B989" s="3">
        <v>42990</v>
      </c>
      <c r="C989" t="s">
        <v>9</v>
      </c>
      <c r="D989" t="s">
        <v>21</v>
      </c>
      <c r="E989" t="s">
        <v>2551</v>
      </c>
      <c r="F989" s="1">
        <v>33.450000000000003</v>
      </c>
      <c r="G989">
        <v>5</v>
      </c>
      <c r="H989" s="1">
        <v>15.387</v>
      </c>
      <c r="I989" s="4">
        <f>SalesData[[#This Row],[Profit]]/SalesData[[#This Row],[Sales]]</f>
        <v>0.45999999999999996</v>
      </c>
      <c r="J989">
        <f>YEAR(SalesData[[#This Row],[Order Date]])</f>
        <v>2017</v>
      </c>
      <c r="K989" t="str">
        <f>TEXT(SalesData[[#This Row],[Order Date]],"mmm")</f>
        <v>Sep</v>
      </c>
      <c r="L989">
        <f>MONTH(SalesData[[#This Row],[Order Date]])</f>
        <v>9</v>
      </c>
      <c r="M989">
        <f>SalesData[[#This Row],[Sales]]/SalesData[[#This Row],[Quantity]]</f>
        <v>6.69</v>
      </c>
      <c r="N989" t="str">
        <f>IF(SalesData[[#This Row],[Profit]]&gt;0,"Profit","Loss")</f>
        <v>Profit</v>
      </c>
    </row>
    <row r="990" spans="1:14" x14ac:dyDescent="0.3">
      <c r="A990" t="s">
        <v>3405</v>
      </c>
      <c r="B990" s="3">
        <v>42990</v>
      </c>
      <c r="C990" t="s">
        <v>9</v>
      </c>
      <c r="D990" t="s">
        <v>21</v>
      </c>
      <c r="E990" t="s">
        <v>3141</v>
      </c>
      <c r="F990" s="1">
        <v>10.4</v>
      </c>
      <c r="G990">
        <v>5</v>
      </c>
      <c r="H990" s="1">
        <v>5.0960000000000001</v>
      </c>
      <c r="I990" s="4">
        <f>SalesData[[#This Row],[Profit]]/SalesData[[#This Row],[Sales]]</f>
        <v>0.49</v>
      </c>
      <c r="J990">
        <f>YEAR(SalesData[[#This Row],[Order Date]])</f>
        <v>2017</v>
      </c>
      <c r="K990" t="str">
        <f>TEXT(SalesData[[#This Row],[Order Date]],"mmm")</f>
        <v>Sep</v>
      </c>
      <c r="L990">
        <f>MONTH(SalesData[[#This Row],[Order Date]])</f>
        <v>9</v>
      </c>
      <c r="M990">
        <f>SalesData[[#This Row],[Sales]]/SalesData[[#This Row],[Quantity]]</f>
        <v>2.08</v>
      </c>
      <c r="N990" t="str">
        <f>IF(SalesData[[#This Row],[Profit]]&gt;0,"Profit","Loss")</f>
        <v>Profit</v>
      </c>
    </row>
    <row r="991" spans="1:14" x14ac:dyDescent="0.3">
      <c r="A991" t="s">
        <v>3406</v>
      </c>
      <c r="B991" s="3">
        <v>42990</v>
      </c>
      <c r="C991" t="s">
        <v>17</v>
      </c>
      <c r="D991" t="s">
        <v>21</v>
      </c>
      <c r="E991" t="s">
        <v>393</v>
      </c>
      <c r="F991" s="1">
        <v>2.6240000000000001</v>
      </c>
      <c r="G991">
        <v>1</v>
      </c>
      <c r="H991" s="1">
        <v>0.4264</v>
      </c>
      <c r="I991" s="4">
        <f>SalesData[[#This Row],[Profit]]/SalesData[[#This Row],[Sales]]</f>
        <v>0.16250000000000001</v>
      </c>
      <c r="J991">
        <f>YEAR(SalesData[[#This Row],[Order Date]])</f>
        <v>2017</v>
      </c>
      <c r="K991" t="str">
        <f>TEXT(SalesData[[#This Row],[Order Date]],"mmm")</f>
        <v>Sep</v>
      </c>
      <c r="L991">
        <f>MONTH(SalesData[[#This Row],[Order Date]])</f>
        <v>9</v>
      </c>
      <c r="M991">
        <f>SalesData[[#This Row],[Sales]]/SalesData[[#This Row],[Quantity]]</f>
        <v>2.6240000000000001</v>
      </c>
      <c r="N991" t="str">
        <f>IF(SalesData[[#This Row],[Profit]]&gt;0,"Profit","Loss")</f>
        <v>Profit</v>
      </c>
    </row>
    <row r="992" spans="1:14" x14ac:dyDescent="0.3">
      <c r="A992" t="s">
        <v>3407</v>
      </c>
      <c r="B992" s="3">
        <v>42990</v>
      </c>
      <c r="C992" t="s">
        <v>9</v>
      </c>
      <c r="D992" t="s">
        <v>10</v>
      </c>
      <c r="E992" t="s">
        <v>3408</v>
      </c>
      <c r="F992" s="1">
        <v>104.88</v>
      </c>
      <c r="G992">
        <v>6</v>
      </c>
      <c r="H992" s="1">
        <v>41.951999999999998</v>
      </c>
      <c r="I992" s="4">
        <f>SalesData[[#This Row],[Profit]]/SalesData[[#This Row],[Sales]]</f>
        <v>0.4</v>
      </c>
      <c r="J992">
        <f>YEAR(SalesData[[#This Row],[Order Date]])</f>
        <v>2017</v>
      </c>
      <c r="K992" t="str">
        <f>TEXT(SalesData[[#This Row],[Order Date]],"mmm")</f>
        <v>Sep</v>
      </c>
      <c r="L992">
        <f>MONTH(SalesData[[#This Row],[Order Date]])</f>
        <v>9</v>
      </c>
      <c r="M992">
        <f>SalesData[[#This Row],[Sales]]/SalesData[[#This Row],[Quantity]]</f>
        <v>17.48</v>
      </c>
      <c r="N992" t="str">
        <f>IF(SalesData[[#This Row],[Profit]]&gt;0,"Profit","Loss")</f>
        <v>Profit</v>
      </c>
    </row>
    <row r="993" spans="1:14" x14ac:dyDescent="0.3">
      <c r="A993" t="s">
        <v>3407</v>
      </c>
      <c r="B993" s="3">
        <v>42990</v>
      </c>
      <c r="C993" t="s">
        <v>9</v>
      </c>
      <c r="D993" t="s">
        <v>21</v>
      </c>
      <c r="E993" t="s">
        <v>3409</v>
      </c>
      <c r="F993" s="1">
        <v>34.700000000000003</v>
      </c>
      <c r="G993">
        <v>5</v>
      </c>
      <c r="H993" s="1">
        <v>12.492000000000001</v>
      </c>
      <c r="I993" s="4">
        <f>SalesData[[#This Row],[Profit]]/SalesData[[#This Row],[Sales]]</f>
        <v>0.36</v>
      </c>
      <c r="J993">
        <f>YEAR(SalesData[[#This Row],[Order Date]])</f>
        <v>2017</v>
      </c>
      <c r="K993" t="str">
        <f>TEXT(SalesData[[#This Row],[Order Date]],"mmm")</f>
        <v>Sep</v>
      </c>
      <c r="L993">
        <f>MONTH(SalesData[[#This Row],[Order Date]])</f>
        <v>9</v>
      </c>
      <c r="M993">
        <f>SalesData[[#This Row],[Sales]]/SalesData[[#This Row],[Quantity]]</f>
        <v>6.94</v>
      </c>
      <c r="N993" t="str">
        <f>IF(SalesData[[#This Row],[Profit]]&gt;0,"Profit","Loss")</f>
        <v>Profit</v>
      </c>
    </row>
    <row r="994" spans="1:14" x14ac:dyDescent="0.3">
      <c r="A994" t="s">
        <v>3407</v>
      </c>
      <c r="B994" s="3">
        <v>42990</v>
      </c>
      <c r="C994" t="s">
        <v>9</v>
      </c>
      <c r="D994" t="s">
        <v>21</v>
      </c>
      <c r="E994" t="s">
        <v>2313</v>
      </c>
      <c r="F994" s="1">
        <v>33.72</v>
      </c>
      <c r="G994">
        <v>4</v>
      </c>
      <c r="H994" s="1">
        <v>15.511200000000001</v>
      </c>
      <c r="I994" s="4">
        <f>SalesData[[#This Row],[Profit]]/SalesData[[#This Row],[Sales]]</f>
        <v>0.46</v>
      </c>
      <c r="J994">
        <f>YEAR(SalesData[[#This Row],[Order Date]])</f>
        <v>2017</v>
      </c>
      <c r="K994" t="str">
        <f>TEXT(SalesData[[#This Row],[Order Date]],"mmm")</f>
        <v>Sep</v>
      </c>
      <c r="L994">
        <f>MONTH(SalesData[[#This Row],[Order Date]])</f>
        <v>9</v>
      </c>
      <c r="M994">
        <f>SalesData[[#This Row],[Sales]]/SalesData[[#This Row],[Quantity]]</f>
        <v>8.43</v>
      </c>
      <c r="N994" t="str">
        <f>IF(SalesData[[#This Row],[Profit]]&gt;0,"Profit","Loss")</f>
        <v>Profit</v>
      </c>
    </row>
    <row r="995" spans="1:14" x14ac:dyDescent="0.3">
      <c r="A995" t="s">
        <v>3407</v>
      </c>
      <c r="B995" s="3">
        <v>42990</v>
      </c>
      <c r="C995" t="s">
        <v>9</v>
      </c>
      <c r="D995" t="s">
        <v>21</v>
      </c>
      <c r="E995" t="s">
        <v>94</v>
      </c>
      <c r="F995" s="1">
        <v>14.94</v>
      </c>
      <c r="G995">
        <v>3</v>
      </c>
      <c r="H995" s="1">
        <v>7.0217999999999998</v>
      </c>
      <c r="I995" s="4">
        <f>SalesData[[#This Row],[Profit]]/SalesData[[#This Row],[Sales]]</f>
        <v>0.47000000000000003</v>
      </c>
      <c r="J995">
        <f>YEAR(SalesData[[#This Row],[Order Date]])</f>
        <v>2017</v>
      </c>
      <c r="K995" t="str">
        <f>TEXT(SalesData[[#This Row],[Order Date]],"mmm")</f>
        <v>Sep</v>
      </c>
      <c r="L995">
        <f>MONTH(SalesData[[#This Row],[Order Date]])</f>
        <v>9</v>
      </c>
      <c r="M995">
        <f>SalesData[[#This Row],[Sales]]/SalesData[[#This Row],[Quantity]]</f>
        <v>4.9799999999999995</v>
      </c>
      <c r="N995" t="str">
        <f>IF(SalesData[[#This Row],[Profit]]&gt;0,"Profit","Loss")</f>
        <v>Profit</v>
      </c>
    </row>
    <row r="996" spans="1:14" x14ac:dyDescent="0.3">
      <c r="A996" t="s">
        <v>3410</v>
      </c>
      <c r="B996" s="3">
        <v>42990</v>
      </c>
      <c r="C996" t="s">
        <v>9</v>
      </c>
      <c r="D996" t="s">
        <v>21</v>
      </c>
      <c r="E996" t="s">
        <v>2415</v>
      </c>
      <c r="F996" s="1">
        <v>15.984</v>
      </c>
      <c r="G996">
        <v>2</v>
      </c>
      <c r="H996" s="1">
        <v>4.9950000000000001</v>
      </c>
      <c r="I996" s="4">
        <f>SalesData[[#This Row],[Profit]]/SalesData[[#This Row],[Sales]]</f>
        <v>0.3125</v>
      </c>
      <c r="J996">
        <f>YEAR(SalesData[[#This Row],[Order Date]])</f>
        <v>2017</v>
      </c>
      <c r="K996" t="str">
        <f>TEXT(SalesData[[#This Row],[Order Date]],"mmm")</f>
        <v>Sep</v>
      </c>
      <c r="L996">
        <f>MONTH(SalesData[[#This Row],[Order Date]])</f>
        <v>9</v>
      </c>
      <c r="M996">
        <f>SalesData[[#This Row],[Sales]]/SalesData[[#This Row],[Quantity]]</f>
        <v>7.992</v>
      </c>
      <c r="N996" t="str">
        <f>IF(SalesData[[#This Row],[Profit]]&gt;0,"Profit","Loss")</f>
        <v>Profit</v>
      </c>
    </row>
    <row r="997" spans="1:14" x14ac:dyDescent="0.3">
      <c r="A997" t="s">
        <v>3411</v>
      </c>
      <c r="B997" s="3">
        <v>42990</v>
      </c>
      <c r="C997" t="s">
        <v>13</v>
      </c>
      <c r="D997" t="s">
        <v>21</v>
      </c>
      <c r="E997" t="s">
        <v>1591</v>
      </c>
      <c r="F997" s="1">
        <v>11.16</v>
      </c>
      <c r="G997">
        <v>2</v>
      </c>
      <c r="H997" s="1">
        <v>2.79</v>
      </c>
      <c r="I997" s="4">
        <f>SalesData[[#This Row],[Profit]]/SalesData[[#This Row],[Sales]]</f>
        <v>0.25</v>
      </c>
      <c r="J997">
        <f>YEAR(SalesData[[#This Row],[Order Date]])</f>
        <v>2017</v>
      </c>
      <c r="K997" t="str">
        <f>TEXT(SalesData[[#This Row],[Order Date]],"mmm")</f>
        <v>Sep</v>
      </c>
      <c r="L997">
        <f>MONTH(SalesData[[#This Row],[Order Date]])</f>
        <v>9</v>
      </c>
      <c r="M997">
        <f>SalesData[[#This Row],[Sales]]/SalesData[[#This Row],[Quantity]]</f>
        <v>5.58</v>
      </c>
      <c r="N997" t="str">
        <f>IF(SalesData[[#This Row],[Profit]]&gt;0,"Profit","Loss")</f>
        <v>Profit</v>
      </c>
    </row>
    <row r="998" spans="1:14" x14ac:dyDescent="0.3">
      <c r="A998" t="s">
        <v>3411</v>
      </c>
      <c r="B998" s="3">
        <v>42990</v>
      </c>
      <c r="C998" t="s">
        <v>13</v>
      </c>
      <c r="D998" t="s">
        <v>14</v>
      </c>
      <c r="E998" t="s">
        <v>651</v>
      </c>
      <c r="F998" s="1">
        <v>896.32799999999997</v>
      </c>
      <c r="G998">
        <v>9</v>
      </c>
      <c r="H998" s="1">
        <v>22.408200000000001</v>
      </c>
      <c r="I998" s="4">
        <f>SalesData[[#This Row],[Profit]]/SalesData[[#This Row],[Sales]]</f>
        <v>2.5000000000000001E-2</v>
      </c>
      <c r="J998">
        <f>YEAR(SalesData[[#This Row],[Order Date]])</f>
        <v>2017</v>
      </c>
      <c r="K998" t="str">
        <f>TEXT(SalesData[[#This Row],[Order Date]],"mmm")</f>
        <v>Sep</v>
      </c>
      <c r="L998">
        <f>MONTH(SalesData[[#This Row],[Order Date]])</f>
        <v>9</v>
      </c>
      <c r="M998">
        <f>SalesData[[#This Row],[Sales]]/SalesData[[#This Row],[Quantity]]</f>
        <v>99.591999999999999</v>
      </c>
      <c r="N998" t="str">
        <f>IF(SalesData[[#This Row],[Profit]]&gt;0,"Profit","Loss")</f>
        <v>Profit</v>
      </c>
    </row>
    <row r="999" spans="1:14" x14ac:dyDescent="0.3">
      <c r="A999" t="s">
        <v>3411</v>
      </c>
      <c r="B999" s="3">
        <v>42990</v>
      </c>
      <c r="C999" t="s">
        <v>13</v>
      </c>
      <c r="D999" t="s">
        <v>21</v>
      </c>
      <c r="E999" t="s">
        <v>3412</v>
      </c>
      <c r="F999" s="1">
        <v>189</v>
      </c>
      <c r="G999">
        <v>1</v>
      </c>
      <c r="H999" s="1">
        <v>68.040000000000006</v>
      </c>
      <c r="I999" s="4">
        <f>SalesData[[#This Row],[Profit]]/SalesData[[#This Row],[Sales]]</f>
        <v>0.36000000000000004</v>
      </c>
      <c r="J999">
        <f>YEAR(SalesData[[#This Row],[Order Date]])</f>
        <v>2017</v>
      </c>
      <c r="K999" t="str">
        <f>TEXT(SalesData[[#This Row],[Order Date]],"mmm")</f>
        <v>Sep</v>
      </c>
      <c r="L999">
        <f>MONTH(SalesData[[#This Row],[Order Date]])</f>
        <v>9</v>
      </c>
      <c r="M999">
        <f>SalesData[[#This Row],[Sales]]/SalesData[[#This Row],[Quantity]]</f>
        <v>189</v>
      </c>
      <c r="N999" t="str">
        <f>IF(SalesData[[#This Row],[Profit]]&gt;0,"Profit","Loss")</f>
        <v>Profit</v>
      </c>
    </row>
    <row r="1000" spans="1:14" x14ac:dyDescent="0.3">
      <c r="A1000" t="s">
        <v>3413</v>
      </c>
      <c r="B1000" s="3">
        <v>42990</v>
      </c>
      <c r="C1000" t="s">
        <v>9</v>
      </c>
      <c r="D1000" t="s">
        <v>21</v>
      </c>
      <c r="E1000" t="s">
        <v>253</v>
      </c>
      <c r="F1000" s="1">
        <v>143.85599999999999</v>
      </c>
      <c r="G1000">
        <v>9</v>
      </c>
      <c r="H1000" s="1">
        <v>48.551400000000001</v>
      </c>
      <c r="I1000" s="4">
        <f>SalesData[[#This Row],[Profit]]/SalesData[[#This Row],[Sales]]</f>
        <v>0.33750000000000002</v>
      </c>
      <c r="J1000">
        <f>YEAR(SalesData[[#This Row],[Order Date]])</f>
        <v>2017</v>
      </c>
      <c r="K1000" t="str">
        <f>TEXT(SalesData[[#This Row],[Order Date]],"mmm")</f>
        <v>Sep</v>
      </c>
      <c r="L1000">
        <f>MONTH(SalesData[[#This Row],[Order Date]])</f>
        <v>9</v>
      </c>
      <c r="M1000">
        <f>SalesData[[#This Row],[Sales]]/SalesData[[#This Row],[Quantity]]</f>
        <v>15.984</v>
      </c>
      <c r="N1000" t="str">
        <f>IF(SalesData[[#This Row],[Profit]]&gt;0,"Profit","Loss")</f>
        <v>Profit</v>
      </c>
    </row>
    <row r="1001" spans="1:14" x14ac:dyDescent="0.3">
      <c r="A1001" t="s">
        <v>3414</v>
      </c>
      <c r="B1001" s="3">
        <v>42990</v>
      </c>
      <c r="C1001" t="s">
        <v>13</v>
      </c>
      <c r="D1001" t="s">
        <v>21</v>
      </c>
      <c r="E1001" t="s">
        <v>2076</v>
      </c>
      <c r="F1001" s="1">
        <v>419.4</v>
      </c>
      <c r="G1001">
        <v>5</v>
      </c>
      <c r="H1001" s="1">
        <v>146.79</v>
      </c>
      <c r="I1001" s="4">
        <f>SalesData[[#This Row],[Profit]]/SalesData[[#This Row],[Sales]]</f>
        <v>0.35</v>
      </c>
      <c r="J1001">
        <f>YEAR(SalesData[[#This Row],[Order Date]])</f>
        <v>2017</v>
      </c>
      <c r="K1001" t="str">
        <f>TEXT(SalesData[[#This Row],[Order Date]],"mmm")</f>
        <v>Sep</v>
      </c>
      <c r="L1001">
        <f>MONTH(SalesData[[#This Row],[Order Date]])</f>
        <v>9</v>
      </c>
      <c r="M1001">
        <f>SalesData[[#This Row],[Sales]]/SalesData[[#This Row],[Quantity]]</f>
        <v>83.88</v>
      </c>
      <c r="N1001" t="str">
        <f>IF(SalesData[[#This Row],[Profit]]&gt;0,"Profit","Loss")</f>
        <v>Profit</v>
      </c>
    </row>
    <row r="1002" spans="1:14" x14ac:dyDescent="0.3">
      <c r="A1002" t="s">
        <v>3414</v>
      </c>
      <c r="B1002" s="3">
        <v>42990</v>
      </c>
      <c r="C1002" t="s">
        <v>13</v>
      </c>
      <c r="D1002" t="s">
        <v>21</v>
      </c>
      <c r="E1002" t="s">
        <v>3137</v>
      </c>
      <c r="F1002" s="1">
        <v>13.005000000000001</v>
      </c>
      <c r="G1002">
        <v>3</v>
      </c>
      <c r="H1002" s="1">
        <v>-9.9704999999999995</v>
      </c>
      <c r="I1002" s="4">
        <f>SalesData[[#This Row],[Profit]]/SalesData[[#This Row],[Sales]]</f>
        <v>-0.76666666666666661</v>
      </c>
      <c r="J1002">
        <f>YEAR(SalesData[[#This Row],[Order Date]])</f>
        <v>2017</v>
      </c>
      <c r="K1002" t="str">
        <f>TEXT(SalesData[[#This Row],[Order Date]],"mmm")</f>
        <v>Sep</v>
      </c>
      <c r="L1002">
        <f>MONTH(SalesData[[#This Row],[Order Date]])</f>
        <v>9</v>
      </c>
      <c r="M1002">
        <f>SalesData[[#This Row],[Sales]]/SalesData[[#This Row],[Quantity]]</f>
        <v>4.335</v>
      </c>
      <c r="N1002" t="str">
        <f>IF(SalesData[[#This Row],[Profit]]&gt;0,"Profit","Loss")</f>
        <v>Loss</v>
      </c>
    </row>
    <row r="1003" spans="1:14" x14ac:dyDescent="0.3">
      <c r="A1003" t="s">
        <v>3415</v>
      </c>
      <c r="B1003" s="3">
        <v>42990</v>
      </c>
      <c r="C1003" t="s">
        <v>13</v>
      </c>
      <c r="D1003" t="s">
        <v>14</v>
      </c>
      <c r="E1003" t="s">
        <v>3212</v>
      </c>
      <c r="F1003" s="1">
        <v>148.25700000000001</v>
      </c>
      <c r="G1003">
        <v>3</v>
      </c>
      <c r="H1003" s="1">
        <v>15.697800000000001</v>
      </c>
      <c r="I1003" s="4">
        <f>SalesData[[#This Row],[Profit]]/SalesData[[#This Row],[Sales]]</f>
        <v>0.10588235294117647</v>
      </c>
      <c r="J1003">
        <f>YEAR(SalesData[[#This Row],[Order Date]])</f>
        <v>2017</v>
      </c>
      <c r="K1003" t="str">
        <f>TEXT(SalesData[[#This Row],[Order Date]],"mmm")</f>
        <v>Sep</v>
      </c>
      <c r="L1003">
        <f>MONTH(SalesData[[#This Row],[Order Date]])</f>
        <v>9</v>
      </c>
      <c r="M1003">
        <f>SalesData[[#This Row],[Sales]]/SalesData[[#This Row],[Quantity]]</f>
        <v>49.419000000000004</v>
      </c>
      <c r="N1003" t="str">
        <f>IF(SalesData[[#This Row],[Profit]]&gt;0,"Profit","Loss")</f>
        <v>Profit</v>
      </c>
    </row>
    <row r="1004" spans="1:14" x14ac:dyDescent="0.3">
      <c r="A1004" t="s">
        <v>3416</v>
      </c>
      <c r="B1004" s="3">
        <v>42990</v>
      </c>
      <c r="C1004" t="s">
        <v>46</v>
      </c>
      <c r="D1004" t="s">
        <v>21</v>
      </c>
      <c r="E1004" t="s">
        <v>1052</v>
      </c>
      <c r="F1004" s="1">
        <v>29.36</v>
      </c>
      <c r="G1004">
        <v>2</v>
      </c>
      <c r="H1004" s="1">
        <v>13.505599999999999</v>
      </c>
      <c r="I1004" s="4">
        <f>SalesData[[#This Row],[Profit]]/SalesData[[#This Row],[Sales]]</f>
        <v>0.45999999999999996</v>
      </c>
      <c r="J1004">
        <f>YEAR(SalesData[[#This Row],[Order Date]])</f>
        <v>2017</v>
      </c>
      <c r="K1004" t="str">
        <f>TEXT(SalesData[[#This Row],[Order Date]],"mmm")</f>
        <v>Sep</v>
      </c>
      <c r="L1004">
        <f>MONTH(SalesData[[#This Row],[Order Date]])</f>
        <v>9</v>
      </c>
      <c r="M1004">
        <f>SalesData[[#This Row],[Sales]]/SalesData[[#This Row],[Quantity]]</f>
        <v>14.68</v>
      </c>
      <c r="N1004" t="str">
        <f>IF(SalesData[[#This Row],[Profit]]&gt;0,"Profit","Loss")</f>
        <v>Profit</v>
      </c>
    </row>
    <row r="1005" spans="1:14" x14ac:dyDescent="0.3">
      <c r="A1005" t="s">
        <v>3416</v>
      </c>
      <c r="B1005" s="3">
        <v>42990</v>
      </c>
      <c r="C1005" t="s">
        <v>46</v>
      </c>
      <c r="D1005" t="s">
        <v>21</v>
      </c>
      <c r="E1005" t="s">
        <v>1976</v>
      </c>
      <c r="F1005" s="1">
        <v>214.9</v>
      </c>
      <c r="G1005">
        <v>5</v>
      </c>
      <c r="H1005" s="1">
        <v>62.320999999999998</v>
      </c>
      <c r="I1005" s="4">
        <f>SalesData[[#This Row],[Profit]]/SalesData[[#This Row],[Sales]]</f>
        <v>0.28999999999999998</v>
      </c>
      <c r="J1005">
        <f>YEAR(SalesData[[#This Row],[Order Date]])</f>
        <v>2017</v>
      </c>
      <c r="K1005" t="str">
        <f>TEXT(SalesData[[#This Row],[Order Date]],"mmm")</f>
        <v>Sep</v>
      </c>
      <c r="L1005">
        <f>MONTH(SalesData[[#This Row],[Order Date]])</f>
        <v>9</v>
      </c>
      <c r="M1005">
        <f>SalesData[[#This Row],[Sales]]/SalesData[[#This Row],[Quantity]]</f>
        <v>42.980000000000004</v>
      </c>
      <c r="N1005" t="str">
        <f>IF(SalesData[[#This Row],[Profit]]&gt;0,"Profit","Loss")</f>
        <v>Profit</v>
      </c>
    </row>
    <row r="1006" spans="1:14" x14ac:dyDescent="0.3">
      <c r="A1006" t="s">
        <v>3416</v>
      </c>
      <c r="B1006" s="3">
        <v>42990</v>
      </c>
      <c r="C1006" t="s">
        <v>46</v>
      </c>
      <c r="D1006" t="s">
        <v>21</v>
      </c>
      <c r="E1006" t="s">
        <v>1233</v>
      </c>
      <c r="F1006" s="1">
        <v>15.92</v>
      </c>
      <c r="G1006">
        <v>4</v>
      </c>
      <c r="H1006" s="1">
        <v>7.4824000000000002</v>
      </c>
      <c r="I1006" s="4">
        <f>SalesData[[#This Row],[Profit]]/SalesData[[#This Row],[Sales]]</f>
        <v>0.47000000000000003</v>
      </c>
      <c r="J1006">
        <f>YEAR(SalesData[[#This Row],[Order Date]])</f>
        <v>2017</v>
      </c>
      <c r="K1006" t="str">
        <f>TEXT(SalesData[[#This Row],[Order Date]],"mmm")</f>
        <v>Sep</v>
      </c>
      <c r="L1006">
        <f>MONTH(SalesData[[#This Row],[Order Date]])</f>
        <v>9</v>
      </c>
      <c r="M1006">
        <f>SalesData[[#This Row],[Sales]]/SalesData[[#This Row],[Quantity]]</f>
        <v>3.98</v>
      </c>
      <c r="N1006" t="str">
        <f>IF(SalesData[[#This Row],[Profit]]&gt;0,"Profit","Loss")</f>
        <v>Profit</v>
      </c>
    </row>
    <row r="1007" spans="1:14" x14ac:dyDescent="0.3">
      <c r="A1007" t="s">
        <v>3416</v>
      </c>
      <c r="B1007" s="3">
        <v>42990</v>
      </c>
      <c r="C1007" t="s">
        <v>46</v>
      </c>
      <c r="D1007" t="s">
        <v>10</v>
      </c>
      <c r="E1007" t="s">
        <v>908</v>
      </c>
      <c r="F1007" s="1">
        <v>146.44999999999999</v>
      </c>
      <c r="G1007">
        <v>5</v>
      </c>
      <c r="H1007" s="1">
        <v>48.328499999999998</v>
      </c>
      <c r="I1007" s="4">
        <f>SalesData[[#This Row],[Profit]]/SalesData[[#This Row],[Sales]]</f>
        <v>0.33</v>
      </c>
      <c r="J1007">
        <f>YEAR(SalesData[[#This Row],[Order Date]])</f>
        <v>2017</v>
      </c>
      <c r="K1007" t="str">
        <f>TEXT(SalesData[[#This Row],[Order Date]],"mmm")</f>
        <v>Sep</v>
      </c>
      <c r="L1007">
        <f>MONTH(SalesData[[#This Row],[Order Date]])</f>
        <v>9</v>
      </c>
      <c r="M1007">
        <f>SalesData[[#This Row],[Sales]]/SalesData[[#This Row],[Quantity]]</f>
        <v>29.29</v>
      </c>
      <c r="N1007" t="str">
        <f>IF(SalesData[[#This Row],[Profit]]&gt;0,"Profit","Loss")</f>
        <v>Profit</v>
      </c>
    </row>
    <row r="1008" spans="1:14" x14ac:dyDescent="0.3">
      <c r="A1008" t="s">
        <v>3416</v>
      </c>
      <c r="B1008" s="3">
        <v>42990</v>
      </c>
      <c r="C1008" t="s">
        <v>46</v>
      </c>
      <c r="D1008" t="s">
        <v>21</v>
      </c>
      <c r="E1008" t="s">
        <v>1222</v>
      </c>
      <c r="F1008" s="1">
        <v>15.14</v>
      </c>
      <c r="G1008">
        <v>1</v>
      </c>
      <c r="H1008" s="1">
        <v>0.60560000000000003</v>
      </c>
      <c r="I1008" s="4">
        <f>SalesData[[#This Row],[Profit]]/SalesData[[#This Row],[Sales]]</f>
        <v>0.04</v>
      </c>
      <c r="J1008">
        <f>YEAR(SalesData[[#This Row],[Order Date]])</f>
        <v>2017</v>
      </c>
      <c r="K1008" t="str">
        <f>TEXT(SalesData[[#This Row],[Order Date]],"mmm")</f>
        <v>Sep</v>
      </c>
      <c r="L1008">
        <f>MONTH(SalesData[[#This Row],[Order Date]])</f>
        <v>9</v>
      </c>
      <c r="M1008">
        <f>SalesData[[#This Row],[Sales]]/SalesData[[#This Row],[Quantity]]</f>
        <v>15.14</v>
      </c>
      <c r="N1008" t="str">
        <f>IF(SalesData[[#This Row],[Profit]]&gt;0,"Profit","Loss")</f>
        <v>Profit</v>
      </c>
    </row>
    <row r="1009" spans="1:14" x14ac:dyDescent="0.3">
      <c r="A1009" t="s">
        <v>3416</v>
      </c>
      <c r="B1009" s="3">
        <v>42990</v>
      </c>
      <c r="C1009" t="s">
        <v>46</v>
      </c>
      <c r="D1009" t="s">
        <v>21</v>
      </c>
      <c r="E1009" t="s">
        <v>724</v>
      </c>
      <c r="F1009" s="1">
        <v>5.76</v>
      </c>
      <c r="G1009">
        <v>2</v>
      </c>
      <c r="H1009" s="1">
        <v>2.6496</v>
      </c>
      <c r="I1009" s="4">
        <f>SalesData[[#This Row],[Profit]]/SalesData[[#This Row],[Sales]]</f>
        <v>0.46</v>
      </c>
      <c r="J1009">
        <f>YEAR(SalesData[[#This Row],[Order Date]])</f>
        <v>2017</v>
      </c>
      <c r="K1009" t="str">
        <f>TEXT(SalesData[[#This Row],[Order Date]],"mmm")</f>
        <v>Sep</v>
      </c>
      <c r="L1009">
        <f>MONTH(SalesData[[#This Row],[Order Date]])</f>
        <v>9</v>
      </c>
      <c r="M1009">
        <f>SalesData[[#This Row],[Sales]]/SalesData[[#This Row],[Quantity]]</f>
        <v>2.88</v>
      </c>
      <c r="N1009" t="str">
        <f>IF(SalesData[[#This Row],[Profit]]&gt;0,"Profit","Loss")</f>
        <v>Profit</v>
      </c>
    </row>
    <row r="1010" spans="1:14" x14ac:dyDescent="0.3">
      <c r="A1010" t="s">
        <v>3416</v>
      </c>
      <c r="B1010" s="3">
        <v>42990</v>
      </c>
      <c r="C1010" t="s">
        <v>46</v>
      </c>
      <c r="D1010" t="s">
        <v>10</v>
      </c>
      <c r="E1010" t="s">
        <v>528</v>
      </c>
      <c r="F1010" s="1">
        <v>1399.98</v>
      </c>
      <c r="G1010">
        <v>2</v>
      </c>
      <c r="H1010" s="1">
        <v>629.99099999999999</v>
      </c>
      <c r="I1010" s="4">
        <f>SalesData[[#This Row],[Profit]]/SalesData[[#This Row],[Sales]]</f>
        <v>0.45</v>
      </c>
      <c r="J1010">
        <f>YEAR(SalesData[[#This Row],[Order Date]])</f>
        <v>2017</v>
      </c>
      <c r="K1010" t="str">
        <f>TEXT(SalesData[[#This Row],[Order Date]],"mmm")</f>
        <v>Sep</v>
      </c>
      <c r="L1010">
        <f>MONTH(SalesData[[#This Row],[Order Date]])</f>
        <v>9</v>
      </c>
      <c r="M1010">
        <f>SalesData[[#This Row],[Sales]]/SalesData[[#This Row],[Quantity]]</f>
        <v>699.99</v>
      </c>
      <c r="N1010" t="str">
        <f>IF(SalesData[[#This Row],[Profit]]&gt;0,"Profit","Loss")</f>
        <v>Profit</v>
      </c>
    </row>
    <row r="1011" spans="1:14" x14ac:dyDescent="0.3">
      <c r="A1011" t="s">
        <v>3417</v>
      </c>
      <c r="B1011" s="3">
        <v>42990</v>
      </c>
      <c r="C1011" t="s">
        <v>17</v>
      </c>
      <c r="D1011" t="s">
        <v>21</v>
      </c>
      <c r="E1011" t="s">
        <v>1375</v>
      </c>
      <c r="F1011" s="1">
        <v>11.087999999999999</v>
      </c>
      <c r="G1011">
        <v>7</v>
      </c>
      <c r="H1011" s="1">
        <v>-8.1311999999999998</v>
      </c>
      <c r="I1011" s="4">
        <f>SalesData[[#This Row],[Profit]]/SalesData[[#This Row],[Sales]]</f>
        <v>-0.73333333333333339</v>
      </c>
      <c r="J1011">
        <f>YEAR(SalesData[[#This Row],[Order Date]])</f>
        <v>2017</v>
      </c>
      <c r="K1011" t="str">
        <f>TEXT(SalesData[[#This Row],[Order Date]],"mmm")</f>
        <v>Sep</v>
      </c>
      <c r="L1011">
        <f>MONTH(SalesData[[#This Row],[Order Date]])</f>
        <v>9</v>
      </c>
      <c r="M1011">
        <f>SalesData[[#This Row],[Sales]]/SalesData[[#This Row],[Quantity]]</f>
        <v>1.5839999999999999</v>
      </c>
      <c r="N1011" t="str">
        <f>IF(SalesData[[#This Row],[Profit]]&gt;0,"Profit","Loss")</f>
        <v>Loss</v>
      </c>
    </row>
    <row r="1012" spans="1:14" x14ac:dyDescent="0.3">
      <c r="A1012" t="s">
        <v>3418</v>
      </c>
      <c r="B1012" s="3">
        <v>42990</v>
      </c>
      <c r="C1012" t="s">
        <v>9</v>
      </c>
      <c r="D1012" t="s">
        <v>21</v>
      </c>
      <c r="E1012" t="s">
        <v>3419</v>
      </c>
      <c r="F1012" s="1">
        <v>54.9</v>
      </c>
      <c r="G1012">
        <v>5</v>
      </c>
      <c r="H1012" s="1">
        <v>26.901</v>
      </c>
      <c r="I1012" s="4">
        <f>SalesData[[#This Row],[Profit]]/SalesData[[#This Row],[Sales]]</f>
        <v>0.49</v>
      </c>
      <c r="J1012">
        <f>YEAR(SalesData[[#This Row],[Order Date]])</f>
        <v>2017</v>
      </c>
      <c r="K1012" t="str">
        <f>TEXT(SalesData[[#This Row],[Order Date]],"mmm")</f>
        <v>Sep</v>
      </c>
      <c r="L1012">
        <f>MONTH(SalesData[[#This Row],[Order Date]])</f>
        <v>9</v>
      </c>
      <c r="M1012">
        <f>SalesData[[#This Row],[Sales]]/SalesData[[#This Row],[Quantity]]</f>
        <v>10.98</v>
      </c>
      <c r="N1012" t="str">
        <f>IF(SalesData[[#This Row],[Profit]]&gt;0,"Profit","Loss")</f>
        <v>Profit</v>
      </c>
    </row>
    <row r="1013" spans="1:14" x14ac:dyDescent="0.3">
      <c r="A1013" t="s">
        <v>3420</v>
      </c>
      <c r="B1013" s="3">
        <v>43010</v>
      </c>
      <c r="C1013" t="s">
        <v>13</v>
      </c>
      <c r="D1013" t="s">
        <v>14</v>
      </c>
      <c r="E1013" t="s">
        <v>2171</v>
      </c>
      <c r="F1013" s="1">
        <v>203.983</v>
      </c>
      <c r="G1013">
        <v>2</v>
      </c>
      <c r="H1013" s="1">
        <v>16.7986</v>
      </c>
      <c r="I1013" s="4">
        <f>SalesData[[#This Row],[Profit]]/SalesData[[#This Row],[Sales]]</f>
        <v>8.2352941176470587E-2</v>
      </c>
      <c r="J1013">
        <f>YEAR(SalesData[[#This Row],[Order Date]])</f>
        <v>2017</v>
      </c>
      <c r="K1013" t="str">
        <f>TEXT(SalesData[[#This Row],[Order Date]],"mmm")</f>
        <v>Oct</v>
      </c>
      <c r="L1013">
        <f>MONTH(SalesData[[#This Row],[Order Date]])</f>
        <v>10</v>
      </c>
      <c r="M1013">
        <f>SalesData[[#This Row],[Sales]]/SalesData[[#This Row],[Quantity]]</f>
        <v>101.9915</v>
      </c>
      <c r="N1013" t="str">
        <f>IF(SalesData[[#This Row],[Profit]]&gt;0,"Profit","Loss")</f>
        <v>Profit</v>
      </c>
    </row>
    <row r="1014" spans="1:14" x14ac:dyDescent="0.3">
      <c r="A1014" t="s">
        <v>3421</v>
      </c>
      <c r="B1014" s="3">
        <v>43010</v>
      </c>
      <c r="C1014" t="s">
        <v>17</v>
      </c>
      <c r="D1014" t="s">
        <v>21</v>
      </c>
      <c r="E1014" t="s">
        <v>1835</v>
      </c>
      <c r="F1014" s="1">
        <v>23.12</v>
      </c>
      <c r="G1014">
        <v>4</v>
      </c>
      <c r="H1014" s="1">
        <v>11.328799999999999</v>
      </c>
      <c r="I1014" s="4">
        <f>SalesData[[#This Row],[Profit]]/SalesData[[#This Row],[Sales]]</f>
        <v>0.48999999999999994</v>
      </c>
      <c r="J1014">
        <f>YEAR(SalesData[[#This Row],[Order Date]])</f>
        <v>2017</v>
      </c>
      <c r="K1014" t="str">
        <f>TEXT(SalesData[[#This Row],[Order Date]],"mmm")</f>
        <v>Oct</v>
      </c>
      <c r="L1014">
        <f>MONTH(SalesData[[#This Row],[Order Date]])</f>
        <v>10</v>
      </c>
      <c r="M1014">
        <f>SalesData[[#This Row],[Sales]]/SalesData[[#This Row],[Quantity]]</f>
        <v>5.78</v>
      </c>
      <c r="N1014" t="str">
        <f>IF(SalesData[[#This Row],[Profit]]&gt;0,"Profit","Loss")</f>
        <v>Profit</v>
      </c>
    </row>
    <row r="1015" spans="1:14" x14ac:dyDescent="0.3">
      <c r="A1015" t="s">
        <v>3422</v>
      </c>
      <c r="B1015" s="3">
        <v>43011</v>
      </c>
      <c r="C1015" t="s">
        <v>17</v>
      </c>
      <c r="D1015" t="s">
        <v>21</v>
      </c>
      <c r="E1015" t="s">
        <v>2168</v>
      </c>
      <c r="F1015" s="1">
        <v>5.2480000000000002</v>
      </c>
      <c r="G1015">
        <v>2</v>
      </c>
      <c r="H1015" s="1">
        <v>0.59040000000000004</v>
      </c>
      <c r="I1015" s="4">
        <f>SalesData[[#This Row],[Profit]]/SalesData[[#This Row],[Sales]]</f>
        <v>0.1125</v>
      </c>
      <c r="J1015">
        <f>YEAR(SalesData[[#This Row],[Order Date]])</f>
        <v>2017</v>
      </c>
      <c r="K1015" t="str">
        <f>TEXT(SalesData[[#This Row],[Order Date]],"mmm")</f>
        <v>Oct</v>
      </c>
      <c r="L1015">
        <f>MONTH(SalesData[[#This Row],[Order Date]])</f>
        <v>10</v>
      </c>
      <c r="M1015">
        <f>SalesData[[#This Row],[Sales]]/SalesData[[#This Row],[Quantity]]</f>
        <v>2.6240000000000001</v>
      </c>
      <c r="N1015" t="str">
        <f>IF(SalesData[[#This Row],[Profit]]&gt;0,"Profit","Loss")</f>
        <v>Profit</v>
      </c>
    </row>
    <row r="1016" spans="1:14" x14ac:dyDescent="0.3">
      <c r="A1016" t="s">
        <v>3422</v>
      </c>
      <c r="B1016" s="3">
        <v>43011</v>
      </c>
      <c r="C1016" t="s">
        <v>17</v>
      </c>
      <c r="D1016" t="s">
        <v>10</v>
      </c>
      <c r="E1016" t="s">
        <v>1333</v>
      </c>
      <c r="F1016" s="1">
        <v>35.909999999999997</v>
      </c>
      <c r="G1016">
        <v>3</v>
      </c>
      <c r="H1016" s="1">
        <v>-8.3789999999999996</v>
      </c>
      <c r="I1016" s="4">
        <f>SalesData[[#This Row],[Profit]]/SalesData[[#This Row],[Sales]]</f>
        <v>-0.23333333333333334</v>
      </c>
      <c r="J1016">
        <f>YEAR(SalesData[[#This Row],[Order Date]])</f>
        <v>2017</v>
      </c>
      <c r="K1016" t="str">
        <f>TEXT(SalesData[[#This Row],[Order Date]],"mmm")</f>
        <v>Oct</v>
      </c>
      <c r="L1016">
        <f>MONTH(SalesData[[#This Row],[Order Date]])</f>
        <v>10</v>
      </c>
      <c r="M1016">
        <f>SalesData[[#This Row],[Sales]]/SalesData[[#This Row],[Quantity]]</f>
        <v>11.969999999999999</v>
      </c>
      <c r="N1016" t="str">
        <f>IF(SalesData[[#This Row],[Profit]]&gt;0,"Profit","Loss")</f>
        <v>Loss</v>
      </c>
    </row>
    <row r="1017" spans="1:14" x14ac:dyDescent="0.3">
      <c r="A1017" t="s">
        <v>3422</v>
      </c>
      <c r="B1017" s="3">
        <v>43011</v>
      </c>
      <c r="C1017" t="s">
        <v>17</v>
      </c>
      <c r="D1017" t="s">
        <v>14</v>
      </c>
      <c r="E1017" t="s">
        <v>848</v>
      </c>
      <c r="F1017" s="1">
        <v>6.6959999999999997</v>
      </c>
      <c r="G1017">
        <v>1</v>
      </c>
      <c r="H1017" s="1">
        <v>0.50219999999999998</v>
      </c>
      <c r="I1017" s="4">
        <f>SalesData[[#This Row],[Profit]]/SalesData[[#This Row],[Sales]]</f>
        <v>7.4999999999999997E-2</v>
      </c>
      <c r="J1017">
        <f>YEAR(SalesData[[#This Row],[Order Date]])</f>
        <v>2017</v>
      </c>
      <c r="K1017" t="str">
        <f>TEXT(SalesData[[#This Row],[Order Date]],"mmm")</f>
        <v>Oct</v>
      </c>
      <c r="L1017">
        <f>MONTH(SalesData[[#This Row],[Order Date]])</f>
        <v>10</v>
      </c>
      <c r="M1017">
        <f>SalesData[[#This Row],[Sales]]/SalesData[[#This Row],[Quantity]]</f>
        <v>6.6959999999999997</v>
      </c>
      <c r="N1017" t="str">
        <f>IF(SalesData[[#This Row],[Profit]]&gt;0,"Profit","Loss")</f>
        <v>Profit</v>
      </c>
    </row>
    <row r="1018" spans="1:14" x14ac:dyDescent="0.3">
      <c r="A1018" t="s">
        <v>3422</v>
      </c>
      <c r="B1018" s="3">
        <v>43011</v>
      </c>
      <c r="C1018" t="s">
        <v>17</v>
      </c>
      <c r="D1018" t="s">
        <v>14</v>
      </c>
      <c r="E1018" t="s">
        <v>3322</v>
      </c>
      <c r="F1018" s="1">
        <v>43.872</v>
      </c>
      <c r="G1018">
        <v>2</v>
      </c>
      <c r="H1018" s="1">
        <v>11.516400000000001</v>
      </c>
      <c r="I1018" s="4">
        <f>SalesData[[#This Row],[Profit]]/SalesData[[#This Row],[Sales]]</f>
        <v>0.26250000000000001</v>
      </c>
      <c r="J1018">
        <f>YEAR(SalesData[[#This Row],[Order Date]])</f>
        <v>2017</v>
      </c>
      <c r="K1018" t="str">
        <f>TEXT(SalesData[[#This Row],[Order Date]],"mmm")</f>
        <v>Oct</v>
      </c>
      <c r="L1018">
        <f>MONTH(SalesData[[#This Row],[Order Date]])</f>
        <v>10</v>
      </c>
      <c r="M1018">
        <f>SalesData[[#This Row],[Sales]]/SalesData[[#This Row],[Quantity]]</f>
        <v>21.936</v>
      </c>
      <c r="N1018" t="str">
        <f>IF(SalesData[[#This Row],[Profit]]&gt;0,"Profit","Loss")</f>
        <v>Profit</v>
      </c>
    </row>
    <row r="1019" spans="1:14" x14ac:dyDescent="0.3">
      <c r="A1019" t="s">
        <v>3423</v>
      </c>
      <c r="B1019" s="3">
        <v>43011</v>
      </c>
      <c r="C1019" t="s">
        <v>17</v>
      </c>
      <c r="D1019" t="s">
        <v>10</v>
      </c>
      <c r="E1019" t="s">
        <v>1604</v>
      </c>
      <c r="F1019" s="1">
        <v>53.981999999999999</v>
      </c>
      <c r="G1019">
        <v>3</v>
      </c>
      <c r="H1019" s="1">
        <v>-10.7964</v>
      </c>
      <c r="I1019" s="4">
        <f>SalesData[[#This Row],[Profit]]/SalesData[[#This Row],[Sales]]</f>
        <v>-0.2</v>
      </c>
      <c r="J1019">
        <f>YEAR(SalesData[[#This Row],[Order Date]])</f>
        <v>2017</v>
      </c>
      <c r="K1019" t="str">
        <f>TEXT(SalesData[[#This Row],[Order Date]],"mmm")</f>
        <v>Oct</v>
      </c>
      <c r="L1019">
        <f>MONTH(SalesData[[#This Row],[Order Date]])</f>
        <v>10</v>
      </c>
      <c r="M1019">
        <f>SalesData[[#This Row],[Sales]]/SalesData[[#This Row],[Quantity]]</f>
        <v>17.994</v>
      </c>
      <c r="N1019" t="str">
        <f>IF(SalesData[[#This Row],[Profit]]&gt;0,"Profit","Loss")</f>
        <v>Loss</v>
      </c>
    </row>
    <row r="1020" spans="1:14" x14ac:dyDescent="0.3">
      <c r="A1020" t="s">
        <v>3424</v>
      </c>
      <c r="B1020" s="3">
        <v>43011</v>
      </c>
      <c r="C1020" t="s">
        <v>46</v>
      </c>
      <c r="D1020" t="s">
        <v>21</v>
      </c>
      <c r="E1020" t="s">
        <v>2484</v>
      </c>
      <c r="F1020" s="1">
        <v>48.783999999999999</v>
      </c>
      <c r="G1020">
        <v>1</v>
      </c>
      <c r="H1020" s="1">
        <v>3.6587999999999998</v>
      </c>
      <c r="I1020" s="4">
        <f>SalesData[[#This Row],[Profit]]/SalesData[[#This Row],[Sales]]</f>
        <v>7.4999999999999997E-2</v>
      </c>
      <c r="J1020">
        <f>YEAR(SalesData[[#This Row],[Order Date]])</f>
        <v>2017</v>
      </c>
      <c r="K1020" t="str">
        <f>TEXT(SalesData[[#This Row],[Order Date]],"mmm")</f>
        <v>Oct</v>
      </c>
      <c r="L1020">
        <f>MONTH(SalesData[[#This Row],[Order Date]])</f>
        <v>10</v>
      </c>
      <c r="M1020">
        <f>SalesData[[#This Row],[Sales]]/SalesData[[#This Row],[Quantity]]</f>
        <v>48.783999999999999</v>
      </c>
      <c r="N1020" t="str">
        <f>IF(SalesData[[#This Row],[Profit]]&gt;0,"Profit","Loss")</f>
        <v>Profit</v>
      </c>
    </row>
    <row r="1021" spans="1:14" x14ac:dyDescent="0.3">
      <c r="A1021" t="s">
        <v>3424</v>
      </c>
      <c r="B1021" s="3">
        <v>43011</v>
      </c>
      <c r="C1021" t="s">
        <v>46</v>
      </c>
      <c r="D1021" t="s">
        <v>21</v>
      </c>
      <c r="E1021" t="s">
        <v>1975</v>
      </c>
      <c r="F1021" s="1">
        <v>13.092000000000001</v>
      </c>
      <c r="G1021">
        <v>4</v>
      </c>
      <c r="H1021" s="1">
        <v>-10.0372</v>
      </c>
      <c r="I1021" s="4">
        <f>SalesData[[#This Row],[Profit]]/SalesData[[#This Row],[Sales]]</f>
        <v>-0.76666666666666661</v>
      </c>
      <c r="J1021">
        <f>YEAR(SalesData[[#This Row],[Order Date]])</f>
        <v>2017</v>
      </c>
      <c r="K1021" t="str">
        <f>TEXT(SalesData[[#This Row],[Order Date]],"mmm")</f>
        <v>Oct</v>
      </c>
      <c r="L1021">
        <f>MONTH(SalesData[[#This Row],[Order Date]])</f>
        <v>10</v>
      </c>
      <c r="M1021">
        <f>SalesData[[#This Row],[Sales]]/SalesData[[#This Row],[Quantity]]</f>
        <v>3.2730000000000001</v>
      </c>
      <c r="N1021" t="str">
        <f>IF(SalesData[[#This Row],[Profit]]&gt;0,"Profit","Loss")</f>
        <v>Loss</v>
      </c>
    </row>
    <row r="1022" spans="1:14" x14ac:dyDescent="0.3">
      <c r="A1022" t="s">
        <v>3425</v>
      </c>
      <c r="B1022" s="3">
        <v>43011</v>
      </c>
      <c r="C1022" t="s">
        <v>13</v>
      </c>
      <c r="D1022" t="s">
        <v>10</v>
      </c>
      <c r="E1022" t="s">
        <v>2746</v>
      </c>
      <c r="F1022" s="1">
        <v>111.96</v>
      </c>
      <c r="G1022">
        <v>4</v>
      </c>
      <c r="H1022" s="1">
        <v>21.272400000000001</v>
      </c>
      <c r="I1022" s="4">
        <f>SalesData[[#This Row],[Profit]]/SalesData[[#This Row],[Sales]]</f>
        <v>0.19000000000000003</v>
      </c>
      <c r="J1022">
        <f>YEAR(SalesData[[#This Row],[Order Date]])</f>
        <v>2017</v>
      </c>
      <c r="K1022" t="str">
        <f>TEXT(SalesData[[#This Row],[Order Date]],"mmm")</f>
        <v>Oct</v>
      </c>
      <c r="L1022">
        <f>MONTH(SalesData[[#This Row],[Order Date]])</f>
        <v>10</v>
      </c>
      <c r="M1022">
        <f>SalesData[[#This Row],[Sales]]/SalesData[[#This Row],[Quantity]]</f>
        <v>27.99</v>
      </c>
      <c r="N1022" t="str">
        <f>IF(SalesData[[#This Row],[Profit]]&gt;0,"Profit","Loss")</f>
        <v>Profit</v>
      </c>
    </row>
    <row r="1023" spans="1:14" x14ac:dyDescent="0.3">
      <c r="A1023" t="s">
        <v>3426</v>
      </c>
      <c r="B1023" s="3">
        <v>43011</v>
      </c>
      <c r="C1023" t="s">
        <v>9</v>
      </c>
      <c r="D1023" t="s">
        <v>14</v>
      </c>
      <c r="E1023" t="s">
        <v>984</v>
      </c>
      <c r="F1023" s="1">
        <v>933.40800000000002</v>
      </c>
      <c r="G1023">
        <v>4</v>
      </c>
      <c r="H1023" s="1">
        <v>-173.34719999999999</v>
      </c>
      <c r="I1023" s="4">
        <f>SalesData[[#This Row],[Profit]]/SalesData[[#This Row],[Sales]]</f>
        <v>-0.18571428571428569</v>
      </c>
      <c r="J1023">
        <f>YEAR(SalesData[[#This Row],[Order Date]])</f>
        <v>2017</v>
      </c>
      <c r="K1023" t="str">
        <f>TEXT(SalesData[[#This Row],[Order Date]],"mmm")</f>
        <v>Oct</v>
      </c>
      <c r="L1023">
        <f>MONTH(SalesData[[#This Row],[Order Date]])</f>
        <v>10</v>
      </c>
      <c r="M1023">
        <f>SalesData[[#This Row],[Sales]]/SalesData[[#This Row],[Quantity]]</f>
        <v>233.352</v>
      </c>
      <c r="N1023" t="str">
        <f>IF(SalesData[[#This Row],[Profit]]&gt;0,"Profit","Loss")</f>
        <v>Loss</v>
      </c>
    </row>
    <row r="1024" spans="1:14" x14ac:dyDescent="0.3">
      <c r="A1024" t="s">
        <v>3427</v>
      </c>
      <c r="B1024" s="3">
        <v>43012</v>
      </c>
      <c r="C1024" t="s">
        <v>17</v>
      </c>
      <c r="D1024" t="s">
        <v>21</v>
      </c>
      <c r="E1024" t="s">
        <v>1284</v>
      </c>
      <c r="F1024" s="1">
        <v>7.61</v>
      </c>
      <c r="G1024">
        <v>1</v>
      </c>
      <c r="H1024" s="1">
        <v>3.5767000000000002</v>
      </c>
      <c r="I1024" s="4">
        <f>SalesData[[#This Row],[Profit]]/SalesData[[#This Row],[Sales]]</f>
        <v>0.47000000000000003</v>
      </c>
      <c r="J1024">
        <f>YEAR(SalesData[[#This Row],[Order Date]])</f>
        <v>2017</v>
      </c>
      <c r="K1024" t="str">
        <f>TEXT(SalesData[[#This Row],[Order Date]],"mmm")</f>
        <v>Oct</v>
      </c>
      <c r="L1024">
        <f>MONTH(SalesData[[#This Row],[Order Date]])</f>
        <v>10</v>
      </c>
      <c r="M1024">
        <f>SalesData[[#This Row],[Sales]]/SalesData[[#This Row],[Quantity]]</f>
        <v>7.61</v>
      </c>
      <c r="N1024" t="str">
        <f>IF(SalesData[[#This Row],[Profit]]&gt;0,"Profit","Loss")</f>
        <v>Profit</v>
      </c>
    </row>
    <row r="1025" spans="1:14" x14ac:dyDescent="0.3">
      <c r="A1025" t="s">
        <v>3427</v>
      </c>
      <c r="B1025" s="3">
        <v>43012</v>
      </c>
      <c r="C1025" t="s">
        <v>17</v>
      </c>
      <c r="D1025" t="s">
        <v>21</v>
      </c>
      <c r="E1025" t="s">
        <v>1598</v>
      </c>
      <c r="F1025" s="1">
        <v>7.16</v>
      </c>
      <c r="G1025">
        <v>2</v>
      </c>
      <c r="H1025" s="1">
        <v>3.58</v>
      </c>
      <c r="I1025" s="4">
        <f>SalesData[[#This Row],[Profit]]/SalesData[[#This Row],[Sales]]</f>
        <v>0.5</v>
      </c>
      <c r="J1025">
        <f>YEAR(SalesData[[#This Row],[Order Date]])</f>
        <v>2017</v>
      </c>
      <c r="K1025" t="str">
        <f>TEXT(SalesData[[#This Row],[Order Date]],"mmm")</f>
        <v>Oct</v>
      </c>
      <c r="L1025">
        <f>MONTH(SalesData[[#This Row],[Order Date]])</f>
        <v>10</v>
      </c>
      <c r="M1025">
        <f>SalesData[[#This Row],[Sales]]/SalesData[[#This Row],[Quantity]]</f>
        <v>3.58</v>
      </c>
      <c r="N1025" t="str">
        <f>IF(SalesData[[#This Row],[Profit]]&gt;0,"Profit","Loss")</f>
        <v>Profit</v>
      </c>
    </row>
    <row r="1026" spans="1:14" x14ac:dyDescent="0.3">
      <c r="A1026" t="s">
        <v>3428</v>
      </c>
      <c r="B1026" s="3">
        <v>43012</v>
      </c>
      <c r="C1026" t="s">
        <v>9</v>
      </c>
      <c r="D1026" t="s">
        <v>21</v>
      </c>
      <c r="E1026" t="s">
        <v>1716</v>
      </c>
      <c r="F1026" s="1">
        <v>10.368</v>
      </c>
      <c r="G1026">
        <v>2</v>
      </c>
      <c r="H1026" s="1">
        <v>3.6288</v>
      </c>
      <c r="I1026" s="4">
        <f>SalesData[[#This Row],[Profit]]/SalesData[[#This Row],[Sales]]</f>
        <v>0.35</v>
      </c>
      <c r="J1026">
        <f>YEAR(SalesData[[#This Row],[Order Date]])</f>
        <v>2017</v>
      </c>
      <c r="K1026" t="str">
        <f>TEXT(SalesData[[#This Row],[Order Date]],"mmm")</f>
        <v>Oct</v>
      </c>
      <c r="L1026">
        <f>MONTH(SalesData[[#This Row],[Order Date]])</f>
        <v>10</v>
      </c>
      <c r="M1026">
        <f>SalesData[[#This Row],[Sales]]/SalesData[[#This Row],[Quantity]]</f>
        <v>5.1840000000000002</v>
      </c>
      <c r="N1026" t="str">
        <f>IF(SalesData[[#This Row],[Profit]]&gt;0,"Profit","Loss")</f>
        <v>Profit</v>
      </c>
    </row>
    <row r="1027" spans="1:14" x14ac:dyDescent="0.3">
      <c r="A1027" t="s">
        <v>3428</v>
      </c>
      <c r="B1027" s="3">
        <v>43012</v>
      </c>
      <c r="C1027" t="s">
        <v>9</v>
      </c>
      <c r="D1027" t="s">
        <v>10</v>
      </c>
      <c r="E1027" t="s">
        <v>1980</v>
      </c>
      <c r="F1027" s="1">
        <v>95.736000000000004</v>
      </c>
      <c r="G1027">
        <v>3</v>
      </c>
      <c r="H1027" s="1">
        <v>20.343900000000001</v>
      </c>
      <c r="I1027" s="4">
        <f>SalesData[[#This Row],[Profit]]/SalesData[[#This Row],[Sales]]</f>
        <v>0.21249999999999999</v>
      </c>
      <c r="J1027">
        <f>YEAR(SalesData[[#This Row],[Order Date]])</f>
        <v>2017</v>
      </c>
      <c r="K1027" t="str">
        <f>TEXT(SalesData[[#This Row],[Order Date]],"mmm")</f>
        <v>Oct</v>
      </c>
      <c r="L1027">
        <f>MONTH(SalesData[[#This Row],[Order Date]])</f>
        <v>10</v>
      </c>
      <c r="M1027">
        <f>SalesData[[#This Row],[Sales]]/SalesData[[#This Row],[Quantity]]</f>
        <v>31.912000000000003</v>
      </c>
      <c r="N1027" t="str">
        <f>IF(SalesData[[#This Row],[Profit]]&gt;0,"Profit","Loss")</f>
        <v>Profit</v>
      </c>
    </row>
    <row r="1028" spans="1:14" x14ac:dyDescent="0.3">
      <c r="A1028" t="s">
        <v>3429</v>
      </c>
      <c r="B1028" s="3">
        <v>43012</v>
      </c>
      <c r="C1028" t="s">
        <v>46</v>
      </c>
      <c r="D1028" t="s">
        <v>14</v>
      </c>
      <c r="E1028" t="s">
        <v>1349</v>
      </c>
      <c r="F1028" s="1">
        <v>12.32</v>
      </c>
      <c r="G1028">
        <v>5</v>
      </c>
      <c r="H1028" s="1">
        <v>1.8480000000000001</v>
      </c>
      <c r="I1028" s="4">
        <f>SalesData[[#This Row],[Profit]]/SalesData[[#This Row],[Sales]]</f>
        <v>0.15</v>
      </c>
      <c r="J1028">
        <f>YEAR(SalesData[[#This Row],[Order Date]])</f>
        <v>2017</v>
      </c>
      <c r="K1028" t="str">
        <f>TEXT(SalesData[[#This Row],[Order Date]],"mmm")</f>
        <v>Oct</v>
      </c>
      <c r="L1028">
        <f>MONTH(SalesData[[#This Row],[Order Date]])</f>
        <v>10</v>
      </c>
      <c r="M1028">
        <f>SalesData[[#This Row],[Sales]]/SalesData[[#This Row],[Quantity]]</f>
        <v>2.464</v>
      </c>
      <c r="N1028" t="str">
        <f>IF(SalesData[[#This Row],[Profit]]&gt;0,"Profit","Loss")</f>
        <v>Profit</v>
      </c>
    </row>
    <row r="1029" spans="1:14" x14ac:dyDescent="0.3">
      <c r="A1029" t="s">
        <v>3429</v>
      </c>
      <c r="B1029" s="3">
        <v>43012</v>
      </c>
      <c r="C1029" t="s">
        <v>46</v>
      </c>
      <c r="D1029" t="s">
        <v>21</v>
      </c>
      <c r="E1029" t="s">
        <v>282</v>
      </c>
      <c r="F1029" s="1">
        <v>4.4189999999999996</v>
      </c>
      <c r="G1029">
        <v>3</v>
      </c>
      <c r="H1029" s="1">
        <v>-3.0933000000000002</v>
      </c>
      <c r="I1029" s="4">
        <f>SalesData[[#This Row],[Profit]]/SalesData[[#This Row],[Sales]]</f>
        <v>-0.70000000000000007</v>
      </c>
      <c r="J1029">
        <f>YEAR(SalesData[[#This Row],[Order Date]])</f>
        <v>2017</v>
      </c>
      <c r="K1029" t="str">
        <f>TEXT(SalesData[[#This Row],[Order Date]],"mmm")</f>
        <v>Oct</v>
      </c>
      <c r="L1029">
        <f>MONTH(SalesData[[#This Row],[Order Date]])</f>
        <v>10</v>
      </c>
      <c r="M1029">
        <f>SalesData[[#This Row],[Sales]]/SalesData[[#This Row],[Quantity]]</f>
        <v>1.4729999999999999</v>
      </c>
      <c r="N1029" t="str">
        <f>IF(SalesData[[#This Row],[Profit]]&gt;0,"Profit","Loss")</f>
        <v>Loss</v>
      </c>
    </row>
    <row r="1030" spans="1:14" x14ac:dyDescent="0.3">
      <c r="A1030" t="s">
        <v>3430</v>
      </c>
      <c r="B1030" s="3">
        <v>43012</v>
      </c>
      <c r="C1030" t="s">
        <v>17</v>
      </c>
      <c r="D1030" t="s">
        <v>10</v>
      </c>
      <c r="E1030" t="s">
        <v>533</v>
      </c>
      <c r="F1030" s="1">
        <v>99.99</v>
      </c>
      <c r="G1030">
        <v>1</v>
      </c>
      <c r="H1030" s="1">
        <v>41.995800000000003</v>
      </c>
      <c r="I1030" s="4">
        <f>SalesData[[#This Row],[Profit]]/SalesData[[#This Row],[Sales]]</f>
        <v>0.42000000000000004</v>
      </c>
      <c r="J1030">
        <f>YEAR(SalesData[[#This Row],[Order Date]])</f>
        <v>2017</v>
      </c>
      <c r="K1030" t="str">
        <f>TEXT(SalesData[[#This Row],[Order Date]],"mmm")</f>
        <v>Oct</v>
      </c>
      <c r="L1030">
        <f>MONTH(SalesData[[#This Row],[Order Date]])</f>
        <v>10</v>
      </c>
      <c r="M1030">
        <f>SalesData[[#This Row],[Sales]]/SalesData[[#This Row],[Quantity]]</f>
        <v>99.99</v>
      </c>
      <c r="N1030" t="str">
        <f>IF(SalesData[[#This Row],[Profit]]&gt;0,"Profit","Loss")</f>
        <v>Profit</v>
      </c>
    </row>
    <row r="1031" spans="1:14" x14ac:dyDescent="0.3">
      <c r="A1031" t="s">
        <v>3430</v>
      </c>
      <c r="B1031" s="3">
        <v>43012</v>
      </c>
      <c r="C1031" t="s">
        <v>17</v>
      </c>
      <c r="D1031" t="s">
        <v>21</v>
      </c>
      <c r="E1031" t="s">
        <v>29</v>
      </c>
      <c r="F1031" s="1">
        <v>286.14999999999998</v>
      </c>
      <c r="G1031">
        <v>5</v>
      </c>
      <c r="H1031" s="1">
        <v>71.537499999999994</v>
      </c>
      <c r="I1031" s="4">
        <f>SalesData[[#This Row],[Profit]]/SalesData[[#This Row],[Sales]]</f>
        <v>0.25</v>
      </c>
      <c r="J1031">
        <f>YEAR(SalesData[[#This Row],[Order Date]])</f>
        <v>2017</v>
      </c>
      <c r="K1031" t="str">
        <f>TEXT(SalesData[[#This Row],[Order Date]],"mmm")</f>
        <v>Oct</v>
      </c>
      <c r="L1031">
        <f>MONTH(SalesData[[#This Row],[Order Date]])</f>
        <v>10</v>
      </c>
      <c r="M1031">
        <f>SalesData[[#This Row],[Sales]]/SalesData[[#This Row],[Quantity]]</f>
        <v>57.23</v>
      </c>
      <c r="N1031" t="str">
        <f>IF(SalesData[[#This Row],[Profit]]&gt;0,"Profit","Loss")</f>
        <v>Profit</v>
      </c>
    </row>
    <row r="1032" spans="1:14" x14ac:dyDescent="0.3">
      <c r="A1032" t="s">
        <v>3431</v>
      </c>
      <c r="B1032" s="3">
        <v>43012</v>
      </c>
      <c r="C1032" t="s">
        <v>17</v>
      </c>
      <c r="D1032" t="s">
        <v>21</v>
      </c>
      <c r="E1032" t="s">
        <v>3432</v>
      </c>
      <c r="F1032" s="1">
        <v>195.10400000000001</v>
      </c>
      <c r="G1032">
        <v>4</v>
      </c>
      <c r="H1032" s="1">
        <v>21.949200000000001</v>
      </c>
      <c r="I1032" s="4">
        <f>SalesData[[#This Row],[Profit]]/SalesData[[#This Row],[Sales]]</f>
        <v>0.1125</v>
      </c>
      <c r="J1032">
        <f>YEAR(SalesData[[#This Row],[Order Date]])</f>
        <v>2017</v>
      </c>
      <c r="K1032" t="str">
        <f>TEXT(SalesData[[#This Row],[Order Date]],"mmm")</f>
        <v>Oct</v>
      </c>
      <c r="L1032">
        <f>MONTH(SalesData[[#This Row],[Order Date]])</f>
        <v>10</v>
      </c>
      <c r="M1032">
        <f>SalesData[[#This Row],[Sales]]/SalesData[[#This Row],[Quantity]]</f>
        <v>48.776000000000003</v>
      </c>
      <c r="N1032" t="str">
        <f>IF(SalesData[[#This Row],[Profit]]&gt;0,"Profit","Loss")</f>
        <v>Profit</v>
      </c>
    </row>
    <row r="1033" spans="1:14" x14ac:dyDescent="0.3">
      <c r="A1033" t="s">
        <v>3431</v>
      </c>
      <c r="B1033" s="3">
        <v>43012</v>
      </c>
      <c r="C1033" t="s">
        <v>17</v>
      </c>
      <c r="D1033" t="s">
        <v>14</v>
      </c>
      <c r="E1033" t="s">
        <v>120</v>
      </c>
      <c r="F1033" s="1">
        <v>36.671999999999997</v>
      </c>
      <c r="G1033">
        <v>3</v>
      </c>
      <c r="H1033" s="1">
        <v>6.4176000000000002</v>
      </c>
      <c r="I1033" s="4">
        <f>SalesData[[#This Row],[Profit]]/SalesData[[#This Row],[Sales]]</f>
        <v>0.17500000000000002</v>
      </c>
      <c r="J1033">
        <f>YEAR(SalesData[[#This Row],[Order Date]])</f>
        <v>2017</v>
      </c>
      <c r="K1033" t="str">
        <f>TEXT(SalesData[[#This Row],[Order Date]],"mmm")</f>
        <v>Oct</v>
      </c>
      <c r="L1033">
        <f>MONTH(SalesData[[#This Row],[Order Date]])</f>
        <v>10</v>
      </c>
      <c r="M1033">
        <f>SalesData[[#This Row],[Sales]]/SalesData[[#This Row],[Quantity]]</f>
        <v>12.223999999999998</v>
      </c>
      <c r="N1033" t="str">
        <f>IF(SalesData[[#This Row],[Profit]]&gt;0,"Profit","Loss")</f>
        <v>Profit</v>
      </c>
    </row>
    <row r="1034" spans="1:14" x14ac:dyDescent="0.3">
      <c r="A1034" t="s">
        <v>3433</v>
      </c>
      <c r="B1034" s="3">
        <v>43014</v>
      </c>
      <c r="C1034" t="s">
        <v>13</v>
      </c>
      <c r="D1034" t="s">
        <v>21</v>
      </c>
      <c r="E1034" t="s">
        <v>781</v>
      </c>
      <c r="F1034" s="1">
        <v>29.6</v>
      </c>
      <c r="G1034">
        <v>2</v>
      </c>
      <c r="H1034" s="1">
        <v>14.8</v>
      </c>
      <c r="I1034" s="4">
        <f>SalesData[[#This Row],[Profit]]/SalesData[[#This Row],[Sales]]</f>
        <v>0.5</v>
      </c>
      <c r="J1034">
        <f>YEAR(SalesData[[#This Row],[Order Date]])</f>
        <v>2017</v>
      </c>
      <c r="K1034" t="str">
        <f>TEXT(SalesData[[#This Row],[Order Date]],"mmm")</f>
        <v>Oct</v>
      </c>
      <c r="L1034">
        <f>MONTH(SalesData[[#This Row],[Order Date]])</f>
        <v>10</v>
      </c>
      <c r="M1034">
        <f>SalesData[[#This Row],[Sales]]/SalesData[[#This Row],[Quantity]]</f>
        <v>14.8</v>
      </c>
      <c r="N1034" t="str">
        <f>IF(SalesData[[#This Row],[Profit]]&gt;0,"Profit","Loss")</f>
        <v>Profit</v>
      </c>
    </row>
    <row r="1035" spans="1:14" x14ac:dyDescent="0.3">
      <c r="A1035" t="s">
        <v>3433</v>
      </c>
      <c r="B1035" s="3">
        <v>43014</v>
      </c>
      <c r="C1035" t="s">
        <v>13</v>
      </c>
      <c r="D1035" t="s">
        <v>14</v>
      </c>
      <c r="E1035" t="s">
        <v>977</v>
      </c>
      <c r="F1035" s="1">
        <v>514.16499999999996</v>
      </c>
      <c r="G1035">
        <v>5</v>
      </c>
      <c r="H1035" s="1">
        <v>-30.245000000000001</v>
      </c>
      <c r="I1035" s="4">
        <f>SalesData[[#This Row],[Profit]]/SalesData[[#This Row],[Sales]]</f>
        <v>-5.8823529411764712E-2</v>
      </c>
      <c r="J1035">
        <f>YEAR(SalesData[[#This Row],[Order Date]])</f>
        <v>2017</v>
      </c>
      <c r="K1035" t="str">
        <f>TEXT(SalesData[[#This Row],[Order Date]],"mmm")</f>
        <v>Oct</v>
      </c>
      <c r="L1035">
        <f>MONTH(SalesData[[#This Row],[Order Date]])</f>
        <v>10</v>
      </c>
      <c r="M1035">
        <f>SalesData[[#This Row],[Sales]]/SalesData[[#This Row],[Quantity]]</f>
        <v>102.833</v>
      </c>
      <c r="N1035" t="str">
        <f>IF(SalesData[[#This Row],[Profit]]&gt;0,"Profit","Loss")</f>
        <v>Loss</v>
      </c>
    </row>
    <row r="1036" spans="1:14" x14ac:dyDescent="0.3">
      <c r="A1036" t="s">
        <v>3433</v>
      </c>
      <c r="B1036" s="3">
        <v>43014</v>
      </c>
      <c r="C1036" t="s">
        <v>13</v>
      </c>
      <c r="D1036" t="s">
        <v>10</v>
      </c>
      <c r="E1036" t="s">
        <v>3339</v>
      </c>
      <c r="F1036" s="1">
        <v>279.95999999999998</v>
      </c>
      <c r="G1036">
        <v>5</v>
      </c>
      <c r="H1036" s="1">
        <v>17.497499999999999</v>
      </c>
      <c r="I1036" s="4">
        <f>SalesData[[#This Row],[Profit]]/SalesData[[#This Row],[Sales]]</f>
        <v>6.25E-2</v>
      </c>
      <c r="J1036">
        <f>YEAR(SalesData[[#This Row],[Order Date]])</f>
        <v>2017</v>
      </c>
      <c r="K1036" t="str">
        <f>TEXT(SalesData[[#This Row],[Order Date]],"mmm")</f>
        <v>Oct</v>
      </c>
      <c r="L1036">
        <f>MONTH(SalesData[[#This Row],[Order Date]])</f>
        <v>10</v>
      </c>
      <c r="M1036">
        <f>SalesData[[#This Row],[Sales]]/SalesData[[#This Row],[Quantity]]</f>
        <v>55.991999999999997</v>
      </c>
      <c r="N1036" t="str">
        <f>IF(SalesData[[#This Row],[Profit]]&gt;0,"Profit","Loss")</f>
        <v>Profit</v>
      </c>
    </row>
    <row r="1037" spans="1:14" x14ac:dyDescent="0.3">
      <c r="A1037" t="s">
        <v>3434</v>
      </c>
      <c r="B1037" s="3">
        <v>43014</v>
      </c>
      <c r="C1037" t="s">
        <v>9</v>
      </c>
      <c r="D1037" t="s">
        <v>10</v>
      </c>
      <c r="E1037" t="s">
        <v>1035</v>
      </c>
      <c r="F1037" s="1">
        <v>132.52000000000001</v>
      </c>
      <c r="G1037">
        <v>4</v>
      </c>
      <c r="H1037" s="1">
        <v>54.333199999999998</v>
      </c>
      <c r="I1037" s="4">
        <f>SalesData[[#This Row],[Profit]]/SalesData[[#This Row],[Sales]]</f>
        <v>0.41</v>
      </c>
      <c r="J1037">
        <f>YEAR(SalesData[[#This Row],[Order Date]])</f>
        <v>2017</v>
      </c>
      <c r="K1037" t="str">
        <f>TEXT(SalesData[[#This Row],[Order Date]],"mmm")</f>
        <v>Oct</v>
      </c>
      <c r="L1037">
        <f>MONTH(SalesData[[#This Row],[Order Date]])</f>
        <v>10</v>
      </c>
      <c r="M1037">
        <f>SalesData[[#This Row],[Sales]]/SalesData[[#This Row],[Quantity]]</f>
        <v>33.130000000000003</v>
      </c>
      <c r="N1037" t="str">
        <f>IF(SalesData[[#This Row],[Profit]]&gt;0,"Profit","Loss")</f>
        <v>Profit</v>
      </c>
    </row>
    <row r="1038" spans="1:14" x14ac:dyDescent="0.3">
      <c r="A1038" t="s">
        <v>3435</v>
      </c>
      <c r="B1038" s="3">
        <v>43014</v>
      </c>
      <c r="C1038" t="s">
        <v>13</v>
      </c>
      <c r="D1038" t="s">
        <v>21</v>
      </c>
      <c r="E1038" t="s">
        <v>3436</v>
      </c>
      <c r="F1038" s="1">
        <v>16.399999999999999</v>
      </c>
      <c r="G1038">
        <v>5</v>
      </c>
      <c r="H1038" s="1">
        <v>4.7560000000000002</v>
      </c>
      <c r="I1038" s="4">
        <f>SalesData[[#This Row],[Profit]]/SalesData[[#This Row],[Sales]]</f>
        <v>0.29000000000000004</v>
      </c>
      <c r="J1038">
        <f>YEAR(SalesData[[#This Row],[Order Date]])</f>
        <v>2017</v>
      </c>
      <c r="K1038" t="str">
        <f>TEXT(SalesData[[#This Row],[Order Date]],"mmm")</f>
        <v>Oct</v>
      </c>
      <c r="L1038">
        <f>MONTH(SalesData[[#This Row],[Order Date]])</f>
        <v>10</v>
      </c>
      <c r="M1038">
        <f>SalesData[[#This Row],[Sales]]/SalesData[[#This Row],[Quantity]]</f>
        <v>3.28</v>
      </c>
      <c r="N1038" t="str">
        <f>IF(SalesData[[#This Row],[Profit]]&gt;0,"Profit","Loss")</f>
        <v>Profit</v>
      </c>
    </row>
    <row r="1039" spans="1:14" x14ac:dyDescent="0.3">
      <c r="A1039" t="s">
        <v>3437</v>
      </c>
      <c r="B1039" s="3">
        <v>43014</v>
      </c>
      <c r="C1039" t="s">
        <v>17</v>
      </c>
      <c r="D1039" t="s">
        <v>21</v>
      </c>
      <c r="E1039" t="s">
        <v>3269</v>
      </c>
      <c r="F1039" s="1">
        <v>40.031999999999996</v>
      </c>
      <c r="G1039">
        <v>6</v>
      </c>
      <c r="H1039" s="1">
        <v>15.012</v>
      </c>
      <c r="I1039" s="4">
        <f>SalesData[[#This Row],[Profit]]/SalesData[[#This Row],[Sales]]</f>
        <v>0.37500000000000006</v>
      </c>
      <c r="J1039">
        <f>YEAR(SalesData[[#This Row],[Order Date]])</f>
        <v>2017</v>
      </c>
      <c r="K1039" t="str">
        <f>TEXT(SalesData[[#This Row],[Order Date]],"mmm")</f>
        <v>Oct</v>
      </c>
      <c r="L1039">
        <f>MONTH(SalesData[[#This Row],[Order Date]])</f>
        <v>10</v>
      </c>
      <c r="M1039">
        <f>SalesData[[#This Row],[Sales]]/SalesData[[#This Row],[Quantity]]</f>
        <v>6.6719999999999997</v>
      </c>
      <c r="N1039" t="str">
        <f>IF(SalesData[[#This Row],[Profit]]&gt;0,"Profit","Loss")</f>
        <v>Profit</v>
      </c>
    </row>
    <row r="1040" spans="1:14" x14ac:dyDescent="0.3">
      <c r="A1040" t="s">
        <v>3438</v>
      </c>
      <c r="B1040" s="3">
        <v>43014</v>
      </c>
      <c r="C1040" t="s">
        <v>46</v>
      </c>
      <c r="D1040" t="s">
        <v>21</v>
      </c>
      <c r="E1040" t="s">
        <v>3051</v>
      </c>
      <c r="F1040" s="1">
        <v>1347.52</v>
      </c>
      <c r="G1040">
        <v>8</v>
      </c>
      <c r="H1040" s="1">
        <v>84.22</v>
      </c>
      <c r="I1040" s="4">
        <f>SalesData[[#This Row],[Profit]]/SalesData[[#This Row],[Sales]]</f>
        <v>6.25E-2</v>
      </c>
      <c r="J1040">
        <f>YEAR(SalesData[[#This Row],[Order Date]])</f>
        <v>2017</v>
      </c>
      <c r="K1040" t="str">
        <f>TEXT(SalesData[[#This Row],[Order Date]],"mmm")</f>
        <v>Oct</v>
      </c>
      <c r="L1040">
        <f>MONTH(SalesData[[#This Row],[Order Date]])</f>
        <v>10</v>
      </c>
      <c r="M1040">
        <f>SalesData[[#This Row],[Sales]]/SalesData[[#This Row],[Quantity]]</f>
        <v>168.44</v>
      </c>
      <c r="N1040" t="str">
        <f>IF(SalesData[[#This Row],[Profit]]&gt;0,"Profit","Loss")</f>
        <v>Profit</v>
      </c>
    </row>
    <row r="1041" spans="1:14" x14ac:dyDescent="0.3">
      <c r="A1041" t="s">
        <v>3439</v>
      </c>
      <c r="B1041" s="3">
        <v>43014</v>
      </c>
      <c r="C1041" t="s">
        <v>17</v>
      </c>
      <c r="D1041" t="s">
        <v>21</v>
      </c>
      <c r="E1041" t="s">
        <v>296</v>
      </c>
      <c r="F1041" s="1">
        <v>8.4</v>
      </c>
      <c r="G1041">
        <v>5</v>
      </c>
      <c r="H1041" s="1">
        <v>4.2</v>
      </c>
      <c r="I1041" s="4">
        <f>SalesData[[#This Row],[Profit]]/SalesData[[#This Row],[Sales]]</f>
        <v>0.5</v>
      </c>
      <c r="J1041">
        <f>YEAR(SalesData[[#This Row],[Order Date]])</f>
        <v>2017</v>
      </c>
      <c r="K1041" t="str">
        <f>TEXT(SalesData[[#This Row],[Order Date]],"mmm")</f>
        <v>Oct</v>
      </c>
      <c r="L1041">
        <f>MONTH(SalesData[[#This Row],[Order Date]])</f>
        <v>10</v>
      </c>
      <c r="M1041">
        <f>SalesData[[#This Row],[Sales]]/SalesData[[#This Row],[Quantity]]</f>
        <v>1.6800000000000002</v>
      </c>
      <c r="N1041" t="str">
        <f>IF(SalesData[[#This Row],[Profit]]&gt;0,"Profit","Loss")</f>
        <v>Profit</v>
      </c>
    </row>
    <row r="1042" spans="1:14" x14ac:dyDescent="0.3">
      <c r="A1042" t="s">
        <v>3440</v>
      </c>
      <c r="B1042" s="3">
        <v>43014</v>
      </c>
      <c r="C1042" t="s">
        <v>13</v>
      </c>
      <c r="D1042" t="s">
        <v>10</v>
      </c>
      <c r="E1042" t="s">
        <v>152</v>
      </c>
      <c r="F1042" s="1">
        <v>88.775999999999996</v>
      </c>
      <c r="G1042">
        <v>3</v>
      </c>
      <c r="H1042" s="1">
        <v>7.7679</v>
      </c>
      <c r="I1042" s="4">
        <f>SalesData[[#This Row],[Profit]]/SalesData[[#This Row],[Sales]]</f>
        <v>8.7500000000000008E-2</v>
      </c>
      <c r="J1042">
        <f>YEAR(SalesData[[#This Row],[Order Date]])</f>
        <v>2017</v>
      </c>
      <c r="K1042" t="str">
        <f>TEXT(SalesData[[#This Row],[Order Date]],"mmm")</f>
        <v>Oct</v>
      </c>
      <c r="L1042">
        <f>MONTH(SalesData[[#This Row],[Order Date]])</f>
        <v>10</v>
      </c>
      <c r="M1042">
        <f>SalesData[[#This Row],[Sales]]/SalesData[[#This Row],[Quantity]]</f>
        <v>29.591999999999999</v>
      </c>
      <c r="N1042" t="str">
        <f>IF(SalesData[[#This Row],[Profit]]&gt;0,"Profit","Loss")</f>
        <v>Profit</v>
      </c>
    </row>
    <row r="1043" spans="1:14" x14ac:dyDescent="0.3">
      <c r="A1043" t="s">
        <v>3440</v>
      </c>
      <c r="B1043" s="3">
        <v>43014</v>
      </c>
      <c r="C1043" t="s">
        <v>13</v>
      </c>
      <c r="D1043" t="s">
        <v>21</v>
      </c>
      <c r="E1043" t="s">
        <v>356</v>
      </c>
      <c r="F1043" s="1">
        <v>11.56</v>
      </c>
      <c r="G1043">
        <v>4</v>
      </c>
      <c r="H1043" s="1">
        <v>5.4332000000000003</v>
      </c>
      <c r="I1043" s="4">
        <f>SalesData[[#This Row],[Profit]]/SalesData[[#This Row],[Sales]]</f>
        <v>0.47000000000000003</v>
      </c>
      <c r="J1043">
        <f>YEAR(SalesData[[#This Row],[Order Date]])</f>
        <v>2017</v>
      </c>
      <c r="K1043" t="str">
        <f>TEXT(SalesData[[#This Row],[Order Date]],"mmm")</f>
        <v>Oct</v>
      </c>
      <c r="L1043">
        <f>MONTH(SalesData[[#This Row],[Order Date]])</f>
        <v>10</v>
      </c>
      <c r="M1043">
        <f>SalesData[[#This Row],[Sales]]/SalesData[[#This Row],[Quantity]]</f>
        <v>2.89</v>
      </c>
      <c r="N1043" t="str">
        <f>IF(SalesData[[#This Row],[Profit]]&gt;0,"Profit","Loss")</f>
        <v>Profit</v>
      </c>
    </row>
    <row r="1044" spans="1:14" x14ac:dyDescent="0.3">
      <c r="A1044" t="s">
        <v>3440</v>
      </c>
      <c r="B1044" s="3">
        <v>43014</v>
      </c>
      <c r="C1044" t="s">
        <v>13</v>
      </c>
      <c r="D1044" t="s">
        <v>21</v>
      </c>
      <c r="E1044" t="s">
        <v>2784</v>
      </c>
      <c r="F1044" s="1">
        <v>15.58</v>
      </c>
      <c r="G1044">
        <v>1</v>
      </c>
      <c r="H1044" s="1">
        <v>3.895</v>
      </c>
      <c r="I1044" s="4">
        <f>SalesData[[#This Row],[Profit]]/SalesData[[#This Row],[Sales]]</f>
        <v>0.25</v>
      </c>
      <c r="J1044">
        <f>YEAR(SalesData[[#This Row],[Order Date]])</f>
        <v>2017</v>
      </c>
      <c r="K1044" t="str">
        <f>TEXT(SalesData[[#This Row],[Order Date]],"mmm")</f>
        <v>Oct</v>
      </c>
      <c r="L1044">
        <f>MONTH(SalesData[[#This Row],[Order Date]])</f>
        <v>10</v>
      </c>
      <c r="M1044">
        <f>SalesData[[#This Row],[Sales]]/SalesData[[#This Row],[Quantity]]</f>
        <v>15.58</v>
      </c>
      <c r="N1044" t="str">
        <f>IF(SalesData[[#This Row],[Profit]]&gt;0,"Profit","Loss")</f>
        <v>Profit</v>
      </c>
    </row>
    <row r="1045" spans="1:14" x14ac:dyDescent="0.3">
      <c r="A1045" t="s">
        <v>3441</v>
      </c>
      <c r="B1045" s="3">
        <v>43014</v>
      </c>
      <c r="C1045" t="s">
        <v>13</v>
      </c>
      <c r="D1045" t="s">
        <v>21</v>
      </c>
      <c r="E1045" t="s">
        <v>3442</v>
      </c>
      <c r="F1045" s="1">
        <v>14.7</v>
      </c>
      <c r="G1045">
        <v>7</v>
      </c>
      <c r="H1045" s="1">
        <v>4.1159999999999997</v>
      </c>
      <c r="I1045" s="4">
        <f>SalesData[[#This Row],[Profit]]/SalesData[[#This Row],[Sales]]</f>
        <v>0.27999999999999997</v>
      </c>
      <c r="J1045">
        <f>YEAR(SalesData[[#This Row],[Order Date]])</f>
        <v>2017</v>
      </c>
      <c r="K1045" t="str">
        <f>TEXT(SalesData[[#This Row],[Order Date]],"mmm")</f>
        <v>Oct</v>
      </c>
      <c r="L1045">
        <f>MONTH(SalesData[[#This Row],[Order Date]])</f>
        <v>10</v>
      </c>
      <c r="M1045">
        <f>SalesData[[#This Row],[Sales]]/SalesData[[#This Row],[Quantity]]</f>
        <v>2.1</v>
      </c>
      <c r="N1045" t="str">
        <f>IF(SalesData[[#This Row],[Profit]]&gt;0,"Profit","Loss")</f>
        <v>Profit</v>
      </c>
    </row>
    <row r="1046" spans="1:14" x14ac:dyDescent="0.3">
      <c r="A1046" t="s">
        <v>3443</v>
      </c>
      <c r="B1046" s="3">
        <v>43014</v>
      </c>
      <c r="C1046" t="s">
        <v>17</v>
      </c>
      <c r="D1046" t="s">
        <v>21</v>
      </c>
      <c r="E1046" t="s">
        <v>24</v>
      </c>
      <c r="F1046" s="1">
        <v>14.13</v>
      </c>
      <c r="G1046">
        <v>3</v>
      </c>
      <c r="H1046" s="1">
        <v>0.70650000000000002</v>
      </c>
      <c r="I1046" s="4">
        <f>SalesData[[#This Row],[Profit]]/SalesData[[#This Row],[Sales]]</f>
        <v>4.9999999999999996E-2</v>
      </c>
      <c r="J1046">
        <f>YEAR(SalesData[[#This Row],[Order Date]])</f>
        <v>2017</v>
      </c>
      <c r="K1046" t="str">
        <f>TEXT(SalesData[[#This Row],[Order Date]],"mmm")</f>
        <v>Oct</v>
      </c>
      <c r="L1046">
        <f>MONTH(SalesData[[#This Row],[Order Date]])</f>
        <v>10</v>
      </c>
      <c r="M1046">
        <f>SalesData[[#This Row],[Sales]]/SalesData[[#This Row],[Quantity]]</f>
        <v>4.71</v>
      </c>
      <c r="N1046" t="str">
        <f>IF(SalesData[[#This Row],[Profit]]&gt;0,"Profit","Loss")</f>
        <v>Profit</v>
      </c>
    </row>
    <row r="1047" spans="1:14" x14ac:dyDescent="0.3">
      <c r="A1047" t="s">
        <v>3444</v>
      </c>
      <c r="B1047" s="3">
        <v>43015</v>
      </c>
      <c r="C1047" t="s">
        <v>46</v>
      </c>
      <c r="D1047" t="s">
        <v>14</v>
      </c>
      <c r="E1047" t="s">
        <v>3445</v>
      </c>
      <c r="F1047" s="1">
        <v>18.84</v>
      </c>
      <c r="G1047">
        <v>3</v>
      </c>
      <c r="H1047" s="1">
        <v>7.9127999999999998</v>
      </c>
      <c r="I1047" s="4">
        <f>SalesData[[#This Row],[Profit]]/SalesData[[#This Row],[Sales]]</f>
        <v>0.42</v>
      </c>
      <c r="J1047">
        <f>YEAR(SalesData[[#This Row],[Order Date]])</f>
        <v>2017</v>
      </c>
      <c r="K1047" t="str">
        <f>TEXT(SalesData[[#This Row],[Order Date]],"mmm")</f>
        <v>Oct</v>
      </c>
      <c r="L1047">
        <f>MONTH(SalesData[[#This Row],[Order Date]])</f>
        <v>10</v>
      </c>
      <c r="M1047">
        <f>SalesData[[#This Row],[Sales]]/SalesData[[#This Row],[Quantity]]</f>
        <v>6.28</v>
      </c>
      <c r="N1047" t="str">
        <f>IF(SalesData[[#This Row],[Profit]]&gt;0,"Profit","Loss")</f>
        <v>Profit</v>
      </c>
    </row>
    <row r="1048" spans="1:14" x14ac:dyDescent="0.3">
      <c r="A1048" t="s">
        <v>3446</v>
      </c>
      <c r="B1048" s="3">
        <v>43015</v>
      </c>
      <c r="C1048" t="s">
        <v>9</v>
      </c>
      <c r="D1048" t="s">
        <v>21</v>
      </c>
      <c r="E1048" t="s">
        <v>2176</v>
      </c>
      <c r="F1048" s="1">
        <v>298.464</v>
      </c>
      <c r="G1048">
        <v>6</v>
      </c>
      <c r="H1048" s="1">
        <v>26.115600000000001</v>
      </c>
      <c r="I1048" s="4">
        <f>SalesData[[#This Row],[Profit]]/SalesData[[#This Row],[Sales]]</f>
        <v>8.7500000000000008E-2</v>
      </c>
      <c r="J1048">
        <f>YEAR(SalesData[[#This Row],[Order Date]])</f>
        <v>2017</v>
      </c>
      <c r="K1048" t="str">
        <f>TEXT(SalesData[[#This Row],[Order Date]],"mmm")</f>
        <v>Oct</v>
      </c>
      <c r="L1048">
        <f>MONTH(SalesData[[#This Row],[Order Date]])</f>
        <v>10</v>
      </c>
      <c r="M1048">
        <f>SalesData[[#This Row],[Sales]]/SalesData[[#This Row],[Quantity]]</f>
        <v>49.744</v>
      </c>
      <c r="N1048" t="str">
        <f>IF(SalesData[[#This Row],[Profit]]&gt;0,"Profit","Loss")</f>
        <v>Profit</v>
      </c>
    </row>
    <row r="1049" spans="1:14" x14ac:dyDescent="0.3">
      <c r="A1049" t="s">
        <v>3447</v>
      </c>
      <c r="B1049" s="3">
        <v>43015</v>
      </c>
      <c r="C1049" t="s">
        <v>46</v>
      </c>
      <c r="D1049" t="s">
        <v>21</v>
      </c>
      <c r="E1049" t="s">
        <v>2334</v>
      </c>
      <c r="F1049" s="1">
        <v>41.91</v>
      </c>
      <c r="G1049">
        <v>3</v>
      </c>
      <c r="H1049" s="1">
        <v>10.896599999999999</v>
      </c>
      <c r="I1049" s="4">
        <f>SalesData[[#This Row],[Profit]]/SalesData[[#This Row],[Sales]]</f>
        <v>0.26</v>
      </c>
      <c r="J1049">
        <f>YEAR(SalesData[[#This Row],[Order Date]])</f>
        <v>2017</v>
      </c>
      <c r="K1049" t="str">
        <f>TEXT(SalesData[[#This Row],[Order Date]],"mmm")</f>
        <v>Oct</v>
      </c>
      <c r="L1049">
        <f>MONTH(SalesData[[#This Row],[Order Date]])</f>
        <v>10</v>
      </c>
      <c r="M1049">
        <f>SalesData[[#This Row],[Sales]]/SalesData[[#This Row],[Quantity]]</f>
        <v>13.969999999999999</v>
      </c>
      <c r="N1049" t="str">
        <f>IF(SalesData[[#This Row],[Profit]]&gt;0,"Profit","Loss")</f>
        <v>Profit</v>
      </c>
    </row>
    <row r="1050" spans="1:14" x14ac:dyDescent="0.3">
      <c r="A1050" t="s">
        <v>3448</v>
      </c>
      <c r="B1050" s="3">
        <v>43016</v>
      </c>
      <c r="C1050" t="s">
        <v>9</v>
      </c>
      <c r="D1050" t="s">
        <v>21</v>
      </c>
      <c r="E1050" t="s">
        <v>127</v>
      </c>
      <c r="F1050" s="1">
        <v>70.08</v>
      </c>
      <c r="G1050">
        <v>6</v>
      </c>
      <c r="H1050" s="1">
        <v>35.04</v>
      </c>
      <c r="I1050" s="4">
        <f>SalesData[[#This Row],[Profit]]/SalesData[[#This Row],[Sales]]</f>
        <v>0.5</v>
      </c>
      <c r="J1050">
        <f>YEAR(SalesData[[#This Row],[Order Date]])</f>
        <v>2017</v>
      </c>
      <c r="K1050" t="str">
        <f>TEXT(SalesData[[#This Row],[Order Date]],"mmm")</f>
        <v>Oct</v>
      </c>
      <c r="L1050">
        <f>MONTH(SalesData[[#This Row],[Order Date]])</f>
        <v>10</v>
      </c>
      <c r="M1050">
        <f>SalesData[[#This Row],[Sales]]/SalesData[[#This Row],[Quantity]]</f>
        <v>11.68</v>
      </c>
      <c r="N1050" t="str">
        <f>IF(SalesData[[#This Row],[Profit]]&gt;0,"Profit","Loss")</f>
        <v>Profit</v>
      </c>
    </row>
    <row r="1051" spans="1:14" x14ac:dyDescent="0.3">
      <c r="A1051" t="s">
        <v>3448</v>
      </c>
      <c r="B1051" s="3">
        <v>43016</v>
      </c>
      <c r="C1051" t="s">
        <v>9</v>
      </c>
      <c r="D1051" t="s">
        <v>14</v>
      </c>
      <c r="E1051" t="s">
        <v>1579</v>
      </c>
      <c r="F1051" s="1">
        <v>121.3</v>
      </c>
      <c r="G1051">
        <v>2</v>
      </c>
      <c r="H1051" s="1">
        <v>25.472999999999999</v>
      </c>
      <c r="I1051" s="4">
        <f>SalesData[[#This Row],[Profit]]/SalesData[[#This Row],[Sales]]</f>
        <v>0.21</v>
      </c>
      <c r="J1051">
        <f>YEAR(SalesData[[#This Row],[Order Date]])</f>
        <v>2017</v>
      </c>
      <c r="K1051" t="str">
        <f>TEXT(SalesData[[#This Row],[Order Date]],"mmm")</f>
        <v>Oct</v>
      </c>
      <c r="L1051">
        <f>MONTH(SalesData[[#This Row],[Order Date]])</f>
        <v>10</v>
      </c>
      <c r="M1051">
        <f>SalesData[[#This Row],[Sales]]/SalesData[[#This Row],[Quantity]]</f>
        <v>60.65</v>
      </c>
      <c r="N1051" t="str">
        <f>IF(SalesData[[#This Row],[Profit]]&gt;0,"Profit","Loss")</f>
        <v>Profit</v>
      </c>
    </row>
    <row r="1052" spans="1:14" x14ac:dyDescent="0.3">
      <c r="A1052" t="s">
        <v>3448</v>
      </c>
      <c r="B1052" s="3">
        <v>43016</v>
      </c>
      <c r="C1052" t="s">
        <v>9</v>
      </c>
      <c r="D1052" t="s">
        <v>10</v>
      </c>
      <c r="E1052" t="s">
        <v>496</v>
      </c>
      <c r="F1052" s="1">
        <v>1454.49</v>
      </c>
      <c r="G1052">
        <v>9</v>
      </c>
      <c r="H1052" s="1">
        <v>378.16739999999999</v>
      </c>
      <c r="I1052" s="4">
        <f>SalesData[[#This Row],[Profit]]/SalesData[[#This Row],[Sales]]</f>
        <v>0.26</v>
      </c>
      <c r="J1052">
        <f>YEAR(SalesData[[#This Row],[Order Date]])</f>
        <v>2017</v>
      </c>
      <c r="K1052" t="str">
        <f>TEXT(SalesData[[#This Row],[Order Date]],"mmm")</f>
        <v>Oct</v>
      </c>
      <c r="L1052">
        <f>MONTH(SalesData[[#This Row],[Order Date]])</f>
        <v>10</v>
      </c>
      <c r="M1052">
        <f>SalesData[[#This Row],[Sales]]/SalesData[[#This Row],[Quantity]]</f>
        <v>161.61000000000001</v>
      </c>
      <c r="N1052" t="str">
        <f>IF(SalesData[[#This Row],[Profit]]&gt;0,"Profit","Loss")</f>
        <v>Profit</v>
      </c>
    </row>
    <row r="1053" spans="1:14" x14ac:dyDescent="0.3">
      <c r="A1053" t="s">
        <v>3449</v>
      </c>
      <c r="B1053" s="3">
        <v>43016</v>
      </c>
      <c r="C1053" t="s">
        <v>9</v>
      </c>
      <c r="D1053" t="s">
        <v>21</v>
      </c>
      <c r="E1053" t="s">
        <v>1422</v>
      </c>
      <c r="F1053" s="1">
        <v>177.2</v>
      </c>
      <c r="G1053">
        <v>5</v>
      </c>
      <c r="H1053" s="1">
        <v>83.284000000000006</v>
      </c>
      <c r="I1053" s="4">
        <f>SalesData[[#This Row],[Profit]]/SalesData[[#This Row],[Sales]]</f>
        <v>0.47000000000000008</v>
      </c>
      <c r="J1053">
        <f>YEAR(SalesData[[#This Row],[Order Date]])</f>
        <v>2017</v>
      </c>
      <c r="K1053" t="str">
        <f>TEXT(SalesData[[#This Row],[Order Date]],"mmm")</f>
        <v>Oct</v>
      </c>
      <c r="L1053">
        <f>MONTH(SalesData[[#This Row],[Order Date]])</f>
        <v>10</v>
      </c>
      <c r="M1053">
        <f>SalesData[[#This Row],[Sales]]/SalesData[[#This Row],[Quantity]]</f>
        <v>35.44</v>
      </c>
      <c r="N1053" t="str">
        <f>IF(SalesData[[#This Row],[Profit]]&gt;0,"Profit","Loss")</f>
        <v>Profit</v>
      </c>
    </row>
    <row r="1054" spans="1:14" x14ac:dyDescent="0.3">
      <c r="A1054" t="s">
        <v>3450</v>
      </c>
      <c r="B1054" s="3">
        <v>43017</v>
      </c>
      <c r="C1054" t="s">
        <v>9</v>
      </c>
      <c r="D1054" t="s">
        <v>10</v>
      </c>
      <c r="E1054" t="s">
        <v>365</v>
      </c>
      <c r="F1054" s="1">
        <v>147.16800000000001</v>
      </c>
      <c r="G1054">
        <v>4</v>
      </c>
      <c r="H1054" s="1">
        <v>16.5564</v>
      </c>
      <c r="I1054" s="4">
        <f>SalesData[[#This Row],[Profit]]/SalesData[[#This Row],[Sales]]</f>
        <v>0.11249999999999999</v>
      </c>
      <c r="J1054">
        <f>YEAR(SalesData[[#This Row],[Order Date]])</f>
        <v>2017</v>
      </c>
      <c r="K1054" t="str">
        <f>TEXT(SalesData[[#This Row],[Order Date]],"mmm")</f>
        <v>Oct</v>
      </c>
      <c r="L1054">
        <f>MONTH(SalesData[[#This Row],[Order Date]])</f>
        <v>10</v>
      </c>
      <c r="M1054">
        <f>SalesData[[#This Row],[Sales]]/SalesData[[#This Row],[Quantity]]</f>
        <v>36.792000000000002</v>
      </c>
      <c r="N1054" t="str">
        <f>IF(SalesData[[#This Row],[Profit]]&gt;0,"Profit","Loss")</f>
        <v>Profit</v>
      </c>
    </row>
    <row r="1055" spans="1:14" x14ac:dyDescent="0.3">
      <c r="A1055" t="s">
        <v>3451</v>
      </c>
      <c r="B1055" s="3">
        <v>43017</v>
      </c>
      <c r="C1055" t="s">
        <v>13</v>
      </c>
      <c r="D1055" t="s">
        <v>14</v>
      </c>
      <c r="E1055" t="s">
        <v>363</v>
      </c>
      <c r="F1055" s="1">
        <v>362.35199999999998</v>
      </c>
      <c r="G1055">
        <v>3</v>
      </c>
      <c r="H1055" s="1">
        <v>27.176400000000001</v>
      </c>
      <c r="I1055" s="4">
        <f>SalesData[[#This Row],[Profit]]/SalesData[[#This Row],[Sales]]</f>
        <v>7.5000000000000011E-2</v>
      </c>
      <c r="J1055">
        <f>YEAR(SalesData[[#This Row],[Order Date]])</f>
        <v>2017</v>
      </c>
      <c r="K1055" t="str">
        <f>TEXT(SalesData[[#This Row],[Order Date]],"mmm")</f>
        <v>Oct</v>
      </c>
      <c r="L1055">
        <f>MONTH(SalesData[[#This Row],[Order Date]])</f>
        <v>10</v>
      </c>
      <c r="M1055">
        <f>SalesData[[#This Row],[Sales]]/SalesData[[#This Row],[Quantity]]</f>
        <v>120.78399999999999</v>
      </c>
      <c r="N1055" t="str">
        <f>IF(SalesData[[#This Row],[Profit]]&gt;0,"Profit","Loss")</f>
        <v>Profit</v>
      </c>
    </row>
    <row r="1056" spans="1:14" x14ac:dyDescent="0.3">
      <c r="A1056" t="s">
        <v>3451</v>
      </c>
      <c r="B1056" s="3">
        <v>43017</v>
      </c>
      <c r="C1056" t="s">
        <v>13</v>
      </c>
      <c r="D1056" t="s">
        <v>21</v>
      </c>
      <c r="E1056" t="s">
        <v>319</v>
      </c>
      <c r="F1056" s="1">
        <v>7.1840000000000002</v>
      </c>
      <c r="G1056">
        <v>2</v>
      </c>
      <c r="H1056" s="1">
        <v>2.2450000000000001</v>
      </c>
      <c r="I1056" s="4">
        <f>SalesData[[#This Row],[Profit]]/SalesData[[#This Row],[Sales]]</f>
        <v>0.3125</v>
      </c>
      <c r="J1056">
        <f>YEAR(SalesData[[#This Row],[Order Date]])</f>
        <v>2017</v>
      </c>
      <c r="K1056" t="str">
        <f>TEXT(SalesData[[#This Row],[Order Date]],"mmm")</f>
        <v>Oct</v>
      </c>
      <c r="L1056">
        <f>MONTH(SalesData[[#This Row],[Order Date]])</f>
        <v>10</v>
      </c>
      <c r="M1056">
        <f>SalesData[[#This Row],[Sales]]/SalesData[[#This Row],[Quantity]]</f>
        <v>3.5920000000000001</v>
      </c>
      <c r="N1056" t="str">
        <f>IF(SalesData[[#This Row],[Profit]]&gt;0,"Profit","Loss")</f>
        <v>Profit</v>
      </c>
    </row>
    <row r="1057" spans="1:14" x14ac:dyDescent="0.3">
      <c r="A1057" t="s">
        <v>3452</v>
      </c>
      <c r="B1057" s="3">
        <v>43017</v>
      </c>
      <c r="C1057" t="s">
        <v>9</v>
      </c>
      <c r="D1057" t="s">
        <v>21</v>
      </c>
      <c r="E1057" t="s">
        <v>1762</v>
      </c>
      <c r="F1057" s="1">
        <v>16.2</v>
      </c>
      <c r="G1057">
        <v>3</v>
      </c>
      <c r="H1057" s="1">
        <v>7.7759999999999998</v>
      </c>
      <c r="I1057" s="4">
        <f>SalesData[[#This Row],[Profit]]/SalesData[[#This Row],[Sales]]</f>
        <v>0.48</v>
      </c>
      <c r="J1057">
        <f>YEAR(SalesData[[#This Row],[Order Date]])</f>
        <v>2017</v>
      </c>
      <c r="K1057" t="str">
        <f>TEXT(SalesData[[#This Row],[Order Date]],"mmm")</f>
        <v>Oct</v>
      </c>
      <c r="L1057">
        <f>MONTH(SalesData[[#This Row],[Order Date]])</f>
        <v>10</v>
      </c>
      <c r="M1057">
        <f>SalesData[[#This Row],[Sales]]/SalesData[[#This Row],[Quantity]]</f>
        <v>5.3999999999999995</v>
      </c>
      <c r="N1057" t="str">
        <f>IF(SalesData[[#This Row],[Profit]]&gt;0,"Profit","Loss")</f>
        <v>Profit</v>
      </c>
    </row>
    <row r="1058" spans="1:14" x14ac:dyDescent="0.3">
      <c r="A1058" t="s">
        <v>3452</v>
      </c>
      <c r="B1058" s="3">
        <v>43017</v>
      </c>
      <c r="C1058" t="s">
        <v>9</v>
      </c>
      <c r="D1058" t="s">
        <v>21</v>
      </c>
      <c r="E1058" t="s">
        <v>692</v>
      </c>
      <c r="F1058" s="1">
        <v>33.99</v>
      </c>
      <c r="G1058">
        <v>3</v>
      </c>
      <c r="H1058" s="1">
        <v>14.6157</v>
      </c>
      <c r="I1058" s="4">
        <f>SalesData[[#This Row],[Profit]]/SalesData[[#This Row],[Sales]]</f>
        <v>0.43</v>
      </c>
      <c r="J1058">
        <f>YEAR(SalesData[[#This Row],[Order Date]])</f>
        <v>2017</v>
      </c>
      <c r="K1058" t="str">
        <f>TEXT(SalesData[[#This Row],[Order Date]],"mmm")</f>
        <v>Oct</v>
      </c>
      <c r="L1058">
        <f>MONTH(SalesData[[#This Row],[Order Date]])</f>
        <v>10</v>
      </c>
      <c r="M1058">
        <f>SalesData[[#This Row],[Sales]]/SalesData[[#This Row],[Quantity]]</f>
        <v>11.33</v>
      </c>
      <c r="N1058" t="str">
        <f>IF(SalesData[[#This Row],[Profit]]&gt;0,"Profit","Loss")</f>
        <v>Profit</v>
      </c>
    </row>
    <row r="1059" spans="1:14" x14ac:dyDescent="0.3">
      <c r="A1059" t="s">
        <v>3452</v>
      </c>
      <c r="B1059" s="3">
        <v>43017</v>
      </c>
      <c r="C1059" t="s">
        <v>9</v>
      </c>
      <c r="D1059" t="s">
        <v>10</v>
      </c>
      <c r="E1059" t="s">
        <v>272</v>
      </c>
      <c r="F1059" s="1">
        <v>296.85000000000002</v>
      </c>
      <c r="G1059">
        <v>5</v>
      </c>
      <c r="H1059" s="1">
        <v>53.433</v>
      </c>
      <c r="I1059" s="4">
        <f>SalesData[[#This Row],[Profit]]/SalesData[[#This Row],[Sales]]</f>
        <v>0.18</v>
      </c>
      <c r="J1059">
        <f>YEAR(SalesData[[#This Row],[Order Date]])</f>
        <v>2017</v>
      </c>
      <c r="K1059" t="str">
        <f>TEXT(SalesData[[#This Row],[Order Date]],"mmm")</f>
        <v>Oct</v>
      </c>
      <c r="L1059">
        <f>MONTH(SalesData[[#This Row],[Order Date]])</f>
        <v>10</v>
      </c>
      <c r="M1059">
        <f>SalesData[[#This Row],[Sales]]/SalesData[[#This Row],[Quantity]]</f>
        <v>59.370000000000005</v>
      </c>
      <c r="N1059" t="str">
        <f>IF(SalesData[[#This Row],[Profit]]&gt;0,"Profit","Loss")</f>
        <v>Profit</v>
      </c>
    </row>
    <row r="1060" spans="1:14" x14ac:dyDescent="0.3">
      <c r="A1060" t="s">
        <v>3452</v>
      </c>
      <c r="B1060" s="3">
        <v>43017</v>
      </c>
      <c r="C1060" t="s">
        <v>9</v>
      </c>
      <c r="D1060" t="s">
        <v>10</v>
      </c>
      <c r="E1060" t="s">
        <v>2006</v>
      </c>
      <c r="F1060" s="1">
        <v>112.8</v>
      </c>
      <c r="G1060">
        <v>6</v>
      </c>
      <c r="H1060" s="1">
        <v>6.7679999999999998</v>
      </c>
      <c r="I1060" s="4">
        <f>SalesData[[#This Row],[Profit]]/SalesData[[#This Row],[Sales]]</f>
        <v>0.06</v>
      </c>
      <c r="J1060">
        <f>YEAR(SalesData[[#This Row],[Order Date]])</f>
        <v>2017</v>
      </c>
      <c r="K1060" t="str">
        <f>TEXT(SalesData[[#This Row],[Order Date]],"mmm")</f>
        <v>Oct</v>
      </c>
      <c r="L1060">
        <f>MONTH(SalesData[[#This Row],[Order Date]])</f>
        <v>10</v>
      </c>
      <c r="M1060">
        <f>SalesData[[#This Row],[Sales]]/SalesData[[#This Row],[Quantity]]</f>
        <v>18.8</v>
      </c>
      <c r="N1060" t="str">
        <f>IF(SalesData[[#This Row],[Profit]]&gt;0,"Profit","Loss")</f>
        <v>Profit</v>
      </c>
    </row>
    <row r="1061" spans="1:14" x14ac:dyDescent="0.3">
      <c r="A1061" t="s">
        <v>3452</v>
      </c>
      <c r="B1061" s="3">
        <v>43017</v>
      </c>
      <c r="C1061" t="s">
        <v>9</v>
      </c>
      <c r="D1061" t="s">
        <v>21</v>
      </c>
      <c r="E1061" t="s">
        <v>921</v>
      </c>
      <c r="F1061" s="1">
        <v>13.71</v>
      </c>
      <c r="G1061">
        <v>3</v>
      </c>
      <c r="H1061" s="1">
        <v>6.5808</v>
      </c>
      <c r="I1061" s="4">
        <f>SalesData[[#This Row],[Profit]]/SalesData[[#This Row],[Sales]]</f>
        <v>0.48</v>
      </c>
      <c r="J1061">
        <f>YEAR(SalesData[[#This Row],[Order Date]])</f>
        <v>2017</v>
      </c>
      <c r="K1061" t="str">
        <f>TEXT(SalesData[[#This Row],[Order Date]],"mmm")</f>
        <v>Oct</v>
      </c>
      <c r="L1061">
        <f>MONTH(SalesData[[#This Row],[Order Date]])</f>
        <v>10</v>
      </c>
      <c r="M1061">
        <f>SalesData[[#This Row],[Sales]]/SalesData[[#This Row],[Quantity]]</f>
        <v>4.57</v>
      </c>
      <c r="N1061" t="str">
        <f>IF(SalesData[[#This Row],[Profit]]&gt;0,"Profit","Loss")</f>
        <v>Profit</v>
      </c>
    </row>
    <row r="1062" spans="1:14" x14ac:dyDescent="0.3">
      <c r="A1062" t="s">
        <v>3452</v>
      </c>
      <c r="B1062" s="3">
        <v>43017</v>
      </c>
      <c r="C1062" t="s">
        <v>9</v>
      </c>
      <c r="D1062" t="s">
        <v>21</v>
      </c>
      <c r="E1062" t="s">
        <v>1443</v>
      </c>
      <c r="F1062" s="1">
        <v>24.9</v>
      </c>
      <c r="G1062">
        <v>5</v>
      </c>
      <c r="H1062" s="1">
        <v>11.702999999999999</v>
      </c>
      <c r="I1062" s="4">
        <f>SalesData[[#This Row],[Profit]]/SalesData[[#This Row],[Sales]]</f>
        <v>0.47000000000000003</v>
      </c>
      <c r="J1062">
        <f>YEAR(SalesData[[#This Row],[Order Date]])</f>
        <v>2017</v>
      </c>
      <c r="K1062" t="str">
        <f>TEXT(SalesData[[#This Row],[Order Date]],"mmm")</f>
        <v>Oct</v>
      </c>
      <c r="L1062">
        <f>MONTH(SalesData[[#This Row],[Order Date]])</f>
        <v>10</v>
      </c>
      <c r="M1062">
        <f>SalesData[[#This Row],[Sales]]/SalesData[[#This Row],[Quantity]]</f>
        <v>4.9799999999999995</v>
      </c>
      <c r="N1062" t="str">
        <f>IF(SalesData[[#This Row],[Profit]]&gt;0,"Profit","Loss")</f>
        <v>Profit</v>
      </c>
    </row>
    <row r="1063" spans="1:14" x14ac:dyDescent="0.3">
      <c r="A1063" t="s">
        <v>3452</v>
      </c>
      <c r="B1063" s="3">
        <v>43017</v>
      </c>
      <c r="C1063" t="s">
        <v>9</v>
      </c>
      <c r="D1063" t="s">
        <v>21</v>
      </c>
      <c r="E1063" t="s">
        <v>2918</v>
      </c>
      <c r="F1063" s="1">
        <v>286.29000000000002</v>
      </c>
      <c r="G1063">
        <v>3</v>
      </c>
      <c r="H1063" s="1">
        <v>17.177399999999999</v>
      </c>
      <c r="I1063" s="4">
        <f>SalesData[[#This Row],[Profit]]/SalesData[[#This Row],[Sales]]</f>
        <v>5.9999999999999991E-2</v>
      </c>
      <c r="J1063">
        <f>YEAR(SalesData[[#This Row],[Order Date]])</f>
        <v>2017</v>
      </c>
      <c r="K1063" t="str">
        <f>TEXT(SalesData[[#This Row],[Order Date]],"mmm")</f>
        <v>Oct</v>
      </c>
      <c r="L1063">
        <f>MONTH(SalesData[[#This Row],[Order Date]])</f>
        <v>10</v>
      </c>
      <c r="M1063">
        <f>SalesData[[#This Row],[Sales]]/SalesData[[#This Row],[Quantity]]</f>
        <v>95.43</v>
      </c>
      <c r="N1063" t="str">
        <f>IF(SalesData[[#This Row],[Profit]]&gt;0,"Profit","Loss")</f>
        <v>Profit</v>
      </c>
    </row>
    <row r="1064" spans="1:14" x14ac:dyDescent="0.3">
      <c r="A1064" t="s">
        <v>3452</v>
      </c>
      <c r="B1064" s="3">
        <v>43017</v>
      </c>
      <c r="C1064" t="s">
        <v>9</v>
      </c>
      <c r="D1064" t="s">
        <v>21</v>
      </c>
      <c r="E1064" t="s">
        <v>3453</v>
      </c>
      <c r="F1064" s="1">
        <v>24.18</v>
      </c>
      <c r="G1064">
        <v>2</v>
      </c>
      <c r="H1064" s="1">
        <v>7.2539999999999996</v>
      </c>
      <c r="I1064" s="4">
        <f>SalesData[[#This Row],[Profit]]/SalesData[[#This Row],[Sales]]</f>
        <v>0.3</v>
      </c>
      <c r="J1064">
        <f>YEAR(SalesData[[#This Row],[Order Date]])</f>
        <v>2017</v>
      </c>
      <c r="K1064" t="str">
        <f>TEXT(SalesData[[#This Row],[Order Date]],"mmm")</f>
        <v>Oct</v>
      </c>
      <c r="L1064">
        <f>MONTH(SalesData[[#This Row],[Order Date]])</f>
        <v>10</v>
      </c>
      <c r="M1064">
        <f>SalesData[[#This Row],[Sales]]/SalesData[[#This Row],[Quantity]]</f>
        <v>12.09</v>
      </c>
      <c r="N1064" t="str">
        <f>IF(SalesData[[#This Row],[Profit]]&gt;0,"Profit","Loss")</f>
        <v>Profit</v>
      </c>
    </row>
    <row r="1065" spans="1:14" x14ac:dyDescent="0.3">
      <c r="A1065" t="s">
        <v>3454</v>
      </c>
      <c r="B1065" s="3">
        <v>43017</v>
      </c>
      <c r="C1065" t="s">
        <v>9</v>
      </c>
      <c r="D1065" t="s">
        <v>21</v>
      </c>
      <c r="E1065" t="s">
        <v>965</v>
      </c>
      <c r="F1065" s="1">
        <v>762.59400000000005</v>
      </c>
      <c r="G1065">
        <v>3</v>
      </c>
      <c r="H1065" s="1">
        <v>-1143.8910000000001</v>
      </c>
      <c r="I1065" s="4">
        <f>SalesData[[#This Row],[Profit]]/SalesData[[#This Row],[Sales]]</f>
        <v>-1.5</v>
      </c>
      <c r="J1065">
        <f>YEAR(SalesData[[#This Row],[Order Date]])</f>
        <v>2017</v>
      </c>
      <c r="K1065" t="str">
        <f>TEXT(SalesData[[#This Row],[Order Date]],"mmm")</f>
        <v>Oct</v>
      </c>
      <c r="L1065">
        <f>MONTH(SalesData[[#This Row],[Order Date]])</f>
        <v>10</v>
      </c>
      <c r="M1065">
        <f>SalesData[[#This Row],[Sales]]/SalesData[[#This Row],[Quantity]]</f>
        <v>254.19800000000001</v>
      </c>
      <c r="N1065" t="str">
        <f>IF(SalesData[[#This Row],[Profit]]&gt;0,"Profit","Loss")</f>
        <v>Loss</v>
      </c>
    </row>
    <row r="1066" spans="1:14" x14ac:dyDescent="0.3">
      <c r="A1066" t="s">
        <v>3455</v>
      </c>
      <c r="B1066" s="3">
        <v>43017</v>
      </c>
      <c r="C1066" t="s">
        <v>17</v>
      </c>
      <c r="D1066" t="s">
        <v>21</v>
      </c>
      <c r="E1066" t="s">
        <v>3456</v>
      </c>
      <c r="F1066" s="1">
        <v>18.760000000000002</v>
      </c>
      <c r="G1066">
        <v>2</v>
      </c>
      <c r="H1066" s="1">
        <v>9.0047999999999995</v>
      </c>
      <c r="I1066" s="4">
        <f>SalesData[[#This Row],[Profit]]/SalesData[[#This Row],[Sales]]</f>
        <v>0.47999999999999993</v>
      </c>
      <c r="J1066">
        <f>YEAR(SalesData[[#This Row],[Order Date]])</f>
        <v>2017</v>
      </c>
      <c r="K1066" t="str">
        <f>TEXT(SalesData[[#This Row],[Order Date]],"mmm")</f>
        <v>Oct</v>
      </c>
      <c r="L1066">
        <f>MONTH(SalesData[[#This Row],[Order Date]])</f>
        <v>10</v>
      </c>
      <c r="M1066">
        <f>SalesData[[#This Row],[Sales]]/SalesData[[#This Row],[Quantity]]</f>
        <v>9.3800000000000008</v>
      </c>
      <c r="N1066" t="str">
        <f>IF(SalesData[[#This Row],[Profit]]&gt;0,"Profit","Loss")</f>
        <v>Profit</v>
      </c>
    </row>
    <row r="1067" spans="1:14" x14ac:dyDescent="0.3">
      <c r="A1067" t="s">
        <v>3457</v>
      </c>
      <c r="B1067" s="3">
        <v>43017</v>
      </c>
      <c r="C1067" t="s">
        <v>17</v>
      </c>
      <c r="D1067" t="s">
        <v>21</v>
      </c>
      <c r="E1067" t="s">
        <v>2442</v>
      </c>
      <c r="F1067" s="1">
        <v>14.88</v>
      </c>
      <c r="G1067">
        <v>2</v>
      </c>
      <c r="H1067" s="1">
        <v>3.72</v>
      </c>
      <c r="I1067" s="4">
        <f>SalesData[[#This Row],[Profit]]/SalesData[[#This Row],[Sales]]</f>
        <v>0.25</v>
      </c>
      <c r="J1067">
        <f>YEAR(SalesData[[#This Row],[Order Date]])</f>
        <v>2017</v>
      </c>
      <c r="K1067" t="str">
        <f>TEXT(SalesData[[#This Row],[Order Date]],"mmm")</f>
        <v>Oct</v>
      </c>
      <c r="L1067">
        <f>MONTH(SalesData[[#This Row],[Order Date]])</f>
        <v>10</v>
      </c>
      <c r="M1067">
        <f>SalesData[[#This Row],[Sales]]/SalesData[[#This Row],[Quantity]]</f>
        <v>7.44</v>
      </c>
      <c r="N1067" t="str">
        <f>IF(SalesData[[#This Row],[Profit]]&gt;0,"Profit","Loss")</f>
        <v>Profit</v>
      </c>
    </row>
    <row r="1068" spans="1:14" x14ac:dyDescent="0.3">
      <c r="A1068" t="s">
        <v>3458</v>
      </c>
      <c r="B1068" s="3">
        <v>43017</v>
      </c>
      <c r="C1068" t="s">
        <v>17</v>
      </c>
      <c r="D1068" t="s">
        <v>21</v>
      </c>
      <c r="E1068" t="s">
        <v>1422</v>
      </c>
      <c r="F1068" s="1">
        <v>85.055999999999997</v>
      </c>
      <c r="G1068">
        <v>3</v>
      </c>
      <c r="H1068" s="1">
        <v>28.706399999999999</v>
      </c>
      <c r="I1068" s="4">
        <f>SalesData[[#This Row],[Profit]]/SalesData[[#This Row],[Sales]]</f>
        <v>0.33749999999999997</v>
      </c>
      <c r="J1068">
        <f>YEAR(SalesData[[#This Row],[Order Date]])</f>
        <v>2017</v>
      </c>
      <c r="K1068" t="str">
        <f>TEXT(SalesData[[#This Row],[Order Date]],"mmm")</f>
        <v>Oct</v>
      </c>
      <c r="L1068">
        <f>MONTH(SalesData[[#This Row],[Order Date]])</f>
        <v>10</v>
      </c>
      <c r="M1068">
        <f>SalesData[[#This Row],[Sales]]/SalesData[[#This Row],[Quantity]]</f>
        <v>28.352</v>
      </c>
      <c r="N1068" t="str">
        <f>IF(SalesData[[#This Row],[Profit]]&gt;0,"Profit","Loss")</f>
        <v>Profit</v>
      </c>
    </row>
    <row r="1069" spans="1:14" x14ac:dyDescent="0.3">
      <c r="A1069" t="s">
        <v>3459</v>
      </c>
      <c r="B1069" s="3">
        <v>43017</v>
      </c>
      <c r="C1069" t="s">
        <v>46</v>
      </c>
      <c r="D1069" t="s">
        <v>21</v>
      </c>
      <c r="E1069" t="s">
        <v>3460</v>
      </c>
      <c r="F1069" s="1">
        <v>2.78</v>
      </c>
      <c r="G1069">
        <v>1</v>
      </c>
      <c r="H1069" s="1">
        <v>1.3622000000000001</v>
      </c>
      <c r="I1069" s="4">
        <f>SalesData[[#This Row],[Profit]]/SalesData[[#This Row],[Sales]]</f>
        <v>0.49000000000000005</v>
      </c>
      <c r="J1069">
        <f>YEAR(SalesData[[#This Row],[Order Date]])</f>
        <v>2017</v>
      </c>
      <c r="K1069" t="str">
        <f>TEXT(SalesData[[#This Row],[Order Date]],"mmm")</f>
        <v>Oct</v>
      </c>
      <c r="L1069">
        <f>MONTH(SalesData[[#This Row],[Order Date]])</f>
        <v>10</v>
      </c>
      <c r="M1069">
        <f>SalesData[[#This Row],[Sales]]/SalesData[[#This Row],[Quantity]]</f>
        <v>2.78</v>
      </c>
      <c r="N1069" t="str">
        <f>IF(SalesData[[#This Row],[Profit]]&gt;0,"Profit","Loss")</f>
        <v>Profit</v>
      </c>
    </row>
    <row r="1070" spans="1:14" x14ac:dyDescent="0.3">
      <c r="A1070" t="s">
        <v>3461</v>
      </c>
      <c r="B1070" s="3">
        <v>43017</v>
      </c>
      <c r="C1070" t="s">
        <v>17</v>
      </c>
      <c r="D1070" t="s">
        <v>10</v>
      </c>
      <c r="E1070" t="s">
        <v>1405</v>
      </c>
      <c r="F1070" s="1">
        <v>37.055999999999997</v>
      </c>
      <c r="G1070">
        <v>4</v>
      </c>
      <c r="H1070" s="1">
        <v>8.8008000000000006</v>
      </c>
      <c r="I1070" s="4">
        <f>SalesData[[#This Row],[Profit]]/SalesData[[#This Row],[Sales]]</f>
        <v>0.23750000000000004</v>
      </c>
      <c r="J1070">
        <f>YEAR(SalesData[[#This Row],[Order Date]])</f>
        <v>2017</v>
      </c>
      <c r="K1070" t="str">
        <f>TEXT(SalesData[[#This Row],[Order Date]],"mmm")</f>
        <v>Oct</v>
      </c>
      <c r="L1070">
        <f>MONTH(SalesData[[#This Row],[Order Date]])</f>
        <v>10</v>
      </c>
      <c r="M1070">
        <f>SalesData[[#This Row],[Sales]]/SalesData[[#This Row],[Quantity]]</f>
        <v>9.2639999999999993</v>
      </c>
      <c r="N1070" t="str">
        <f>IF(SalesData[[#This Row],[Profit]]&gt;0,"Profit","Loss")</f>
        <v>Profit</v>
      </c>
    </row>
    <row r="1071" spans="1:14" x14ac:dyDescent="0.3">
      <c r="A1071" t="s">
        <v>3461</v>
      </c>
      <c r="B1071" s="3">
        <v>43017</v>
      </c>
      <c r="C1071" t="s">
        <v>17</v>
      </c>
      <c r="D1071" t="s">
        <v>10</v>
      </c>
      <c r="E1071" t="s">
        <v>1245</v>
      </c>
      <c r="F1071" s="1">
        <v>259.89600000000002</v>
      </c>
      <c r="G1071">
        <v>2</v>
      </c>
      <c r="H1071" s="1">
        <v>-56.3108</v>
      </c>
      <c r="I1071" s="4">
        <f>SalesData[[#This Row],[Profit]]/SalesData[[#This Row],[Sales]]</f>
        <v>-0.21666666666666665</v>
      </c>
      <c r="J1071">
        <f>YEAR(SalesData[[#This Row],[Order Date]])</f>
        <v>2017</v>
      </c>
      <c r="K1071" t="str">
        <f>TEXT(SalesData[[#This Row],[Order Date]],"mmm")</f>
        <v>Oct</v>
      </c>
      <c r="L1071">
        <f>MONTH(SalesData[[#This Row],[Order Date]])</f>
        <v>10</v>
      </c>
      <c r="M1071">
        <f>SalesData[[#This Row],[Sales]]/SalesData[[#This Row],[Quantity]]</f>
        <v>129.94800000000001</v>
      </c>
      <c r="N1071" t="str">
        <f>IF(SalesData[[#This Row],[Profit]]&gt;0,"Profit","Loss")</f>
        <v>Loss</v>
      </c>
    </row>
    <row r="1072" spans="1:14" x14ac:dyDescent="0.3">
      <c r="A1072" t="s">
        <v>3462</v>
      </c>
      <c r="B1072" s="3">
        <v>43018</v>
      </c>
      <c r="C1072" t="s">
        <v>9</v>
      </c>
      <c r="D1072" t="s">
        <v>14</v>
      </c>
      <c r="E1072" t="s">
        <v>1105</v>
      </c>
      <c r="F1072" s="1">
        <v>239.358</v>
      </c>
      <c r="G1072">
        <v>3</v>
      </c>
      <c r="H1072" s="1">
        <v>-47.871600000000001</v>
      </c>
      <c r="I1072" s="4">
        <f>SalesData[[#This Row],[Profit]]/SalesData[[#This Row],[Sales]]</f>
        <v>-0.2</v>
      </c>
      <c r="J1072">
        <f>YEAR(SalesData[[#This Row],[Order Date]])</f>
        <v>2017</v>
      </c>
      <c r="K1072" t="str">
        <f>TEXT(SalesData[[#This Row],[Order Date]],"mmm")</f>
        <v>Oct</v>
      </c>
      <c r="L1072">
        <f>MONTH(SalesData[[#This Row],[Order Date]])</f>
        <v>10</v>
      </c>
      <c r="M1072">
        <f>SalesData[[#This Row],[Sales]]/SalesData[[#This Row],[Quantity]]</f>
        <v>79.786000000000001</v>
      </c>
      <c r="N1072" t="str">
        <f>IF(SalesData[[#This Row],[Profit]]&gt;0,"Profit","Loss")</f>
        <v>Loss</v>
      </c>
    </row>
    <row r="1073" spans="1:14" x14ac:dyDescent="0.3">
      <c r="A1073" t="s">
        <v>3463</v>
      </c>
      <c r="B1073" s="3">
        <v>43019</v>
      </c>
      <c r="C1073" t="s">
        <v>13</v>
      </c>
      <c r="D1073" t="s">
        <v>21</v>
      </c>
      <c r="E1073" t="s">
        <v>375</v>
      </c>
      <c r="F1073" s="1">
        <v>38.387999999999998</v>
      </c>
      <c r="G1073">
        <v>14</v>
      </c>
      <c r="H1073" s="1">
        <v>-25.591999999999999</v>
      </c>
      <c r="I1073" s="4">
        <f>SalesData[[#This Row],[Profit]]/SalesData[[#This Row],[Sales]]</f>
        <v>-0.66666666666666663</v>
      </c>
      <c r="J1073">
        <f>YEAR(SalesData[[#This Row],[Order Date]])</f>
        <v>2017</v>
      </c>
      <c r="K1073" t="str">
        <f>TEXT(SalesData[[#This Row],[Order Date]],"mmm")</f>
        <v>Oct</v>
      </c>
      <c r="L1073">
        <f>MONTH(SalesData[[#This Row],[Order Date]])</f>
        <v>10</v>
      </c>
      <c r="M1073">
        <f>SalesData[[#This Row],[Sales]]/SalesData[[#This Row],[Quantity]]</f>
        <v>2.742</v>
      </c>
      <c r="N1073" t="str">
        <f>IF(SalesData[[#This Row],[Profit]]&gt;0,"Profit","Loss")</f>
        <v>Loss</v>
      </c>
    </row>
    <row r="1074" spans="1:14" x14ac:dyDescent="0.3">
      <c r="A1074" t="s">
        <v>3463</v>
      </c>
      <c r="B1074" s="3">
        <v>43019</v>
      </c>
      <c r="C1074" t="s">
        <v>13</v>
      </c>
      <c r="D1074" t="s">
        <v>10</v>
      </c>
      <c r="E1074" t="s">
        <v>3464</v>
      </c>
      <c r="F1074" s="1">
        <v>95.994</v>
      </c>
      <c r="G1074">
        <v>2</v>
      </c>
      <c r="H1074" s="1">
        <v>-63.996000000000002</v>
      </c>
      <c r="I1074" s="4">
        <f>SalesData[[#This Row],[Profit]]/SalesData[[#This Row],[Sales]]</f>
        <v>-0.66666666666666674</v>
      </c>
      <c r="J1074">
        <f>YEAR(SalesData[[#This Row],[Order Date]])</f>
        <v>2017</v>
      </c>
      <c r="K1074" t="str">
        <f>TEXT(SalesData[[#This Row],[Order Date]],"mmm")</f>
        <v>Oct</v>
      </c>
      <c r="L1074">
        <f>MONTH(SalesData[[#This Row],[Order Date]])</f>
        <v>10</v>
      </c>
      <c r="M1074">
        <f>SalesData[[#This Row],[Sales]]/SalesData[[#This Row],[Quantity]]</f>
        <v>47.997</v>
      </c>
      <c r="N1074" t="str">
        <f>IF(SalesData[[#This Row],[Profit]]&gt;0,"Profit","Loss")</f>
        <v>Loss</v>
      </c>
    </row>
    <row r="1075" spans="1:14" x14ac:dyDescent="0.3">
      <c r="A1075" t="s">
        <v>3463</v>
      </c>
      <c r="B1075" s="3">
        <v>43019</v>
      </c>
      <c r="C1075" t="s">
        <v>13</v>
      </c>
      <c r="D1075" t="s">
        <v>10</v>
      </c>
      <c r="E1075" t="s">
        <v>2717</v>
      </c>
      <c r="F1075" s="1">
        <v>239.952</v>
      </c>
      <c r="G1075">
        <v>6</v>
      </c>
      <c r="H1075" s="1">
        <v>-35.992800000000003</v>
      </c>
      <c r="I1075" s="4">
        <f>SalesData[[#This Row],[Profit]]/SalesData[[#This Row],[Sales]]</f>
        <v>-0.15000000000000002</v>
      </c>
      <c r="J1075">
        <f>YEAR(SalesData[[#This Row],[Order Date]])</f>
        <v>2017</v>
      </c>
      <c r="K1075" t="str">
        <f>TEXT(SalesData[[#This Row],[Order Date]],"mmm")</f>
        <v>Oct</v>
      </c>
      <c r="L1075">
        <f>MONTH(SalesData[[#This Row],[Order Date]])</f>
        <v>10</v>
      </c>
      <c r="M1075">
        <f>SalesData[[#This Row],[Sales]]/SalesData[[#This Row],[Quantity]]</f>
        <v>39.991999999999997</v>
      </c>
      <c r="N1075" t="str">
        <f>IF(SalesData[[#This Row],[Profit]]&gt;0,"Profit","Loss")</f>
        <v>Loss</v>
      </c>
    </row>
    <row r="1076" spans="1:14" x14ac:dyDescent="0.3">
      <c r="A1076" t="s">
        <v>3463</v>
      </c>
      <c r="B1076" s="3">
        <v>43019</v>
      </c>
      <c r="C1076" t="s">
        <v>13</v>
      </c>
      <c r="D1076" t="s">
        <v>10</v>
      </c>
      <c r="E1076" t="s">
        <v>48</v>
      </c>
      <c r="F1076" s="1">
        <v>201.584</v>
      </c>
      <c r="G1076">
        <v>2</v>
      </c>
      <c r="H1076" s="1">
        <v>15.1188</v>
      </c>
      <c r="I1076" s="4">
        <f>SalesData[[#This Row],[Profit]]/SalesData[[#This Row],[Sales]]</f>
        <v>7.4999999999999997E-2</v>
      </c>
      <c r="J1076">
        <f>YEAR(SalesData[[#This Row],[Order Date]])</f>
        <v>2017</v>
      </c>
      <c r="K1076" t="str">
        <f>TEXT(SalesData[[#This Row],[Order Date]],"mmm")</f>
        <v>Oct</v>
      </c>
      <c r="L1076">
        <f>MONTH(SalesData[[#This Row],[Order Date]])</f>
        <v>10</v>
      </c>
      <c r="M1076">
        <f>SalesData[[#This Row],[Sales]]/SalesData[[#This Row],[Quantity]]</f>
        <v>100.792</v>
      </c>
      <c r="N1076" t="str">
        <f>IF(SalesData[[#This Row],[Profit]]&gt;0,"Profit","Loss")</f>
        <v>Profit</v>
      </c>
    </row>
    <row r="1077" spans="1:14" x14ac:dyDescent="0.3">
      <c r="A1077" t="s">
        <v>3463</v>
      </c>
      <c r="B1077" s="3">
        <v>43019</v>
      </c>
      <c r="C1077" t="s">
        <v>13</v>
      </c>
      <c r="D1077" t="s">
        <v>14</v>
      </c>
      <c r="E1077" t="s">
        <v>1757</v>
      </c>
      <c r="F1077" s="1">
        <v>899.13599999999997</v>
      </c>
      <c r="G1077">
        <v>4</v>
      </c>
      <c r="H1077" s="1">
        <v>-146.1096</v>
      </c>
      <c r="I1077" s="4">
        <f>SalesData[[#This Row],[Profit]]/SalesData[[#This Row],[Sales]]</f>
        <v>-0.16250000000000001</v>
      </c>
      <c r="J1077">
        <f>YEAR(SalesData[[#This Row],[Order Date]])</f>
        <v>2017</v>
      </c>
      <c r="K1077" t="str">
        <f>TEXT(SalesData[[#This Row],[Order Date]],"mmm")</f>
        <v>Oct</v>
      </c>
      <c r="L1077">
        <f>MONTH(SalesData[[#This Row],[Order Date]])</f>
        <v>10</v>
      </c>
      <c r="M1077">
        <f>SalesData[[#This Row],[Sales]]/SalesData[[#This Row],[Quantity]]</f>
        <v>224.78399999999999</v>
      </c>
      <c r="N1077" t="str">
        <f>IF(SalesData[[#This Row],[Profit]]&gt;0,"Profit","Loss")</f>
        <v>Loss</v>
      </c>
    </row>
    <row r="1078" spans="1:14" x14ac:dyDescent="0.3">
      <c r="A1078" t="s">
        <v>3465</v>
      </c>
      <c r="B1078" s="3">
        <v>43019</v>
      </c>
      <c r="C1078" t="s">
        <v>17</v>
      </c>
      <c r="D1078" t="s">
        <v>21</v>
      </c>
      <c r="E1078" t="s">
        <v>3466</v>
      </c>
      <c r="F1078" s="1">
        <v>931.17600000000004</v>
      </c>
      <c r="G1078">
        <v>3</v>
      </c>
      <c r="H1078" s="1">
        <v>314.27190000000002</v>
      </c>
      <c r="I1078" s="4">
        <f>SalesData[[#This Row],[Profit]]/SalesData[[#This Row],[Sales]]</f>
        <v>0.33750000000000002</v>
      </c>
      <c r="J1078">
        <f>YEAR(SalesData[[#This Row],[Order Date]])</f>
        <v>2017</v>
      </c>
      <c r="K1078" t="str">
        <f>TEXT(SalesData[[#This Row],[Order Date]],"mmm")</f>
        <v>Oct</v>
      </c>
      <c r="L1078">
        <f>MONTH(SalesData[[#This Row],[Order Date]])</f>
        <v>10</v>
      </c>
      <c r="M1078">
        <f>SalesData[[#This Row],[Sales]]/SalesData[[#This Row],[Quantity]]</f>
        <v>310.392</v>
      </c>
      <c r="N1078" t="str">
        <f>IF(SalesData[[#This Row],[Profit]]&gt;0,"Profit","Loss")</f>
        <v>Profit</v>
      </c>
    </row>
    <row r="1079" spans="1:14" x14ac:dyDescent="0.3">
      <c r="A1079" t="s">
        <v>3465</v>
      </c>
      <c r="B1079" s="3">
        <v>43019</v>
      </c>
      <c r="C1079" t="s">
        <v>17</v>
      </c>
      <c r="D1079" t="s">
        <v>10</v>
      </c>
      <c r="E1079" t="s">
        <v>1186</v>
      </c>
      <c r="F1079" s="1">
        <v>430.88</v>
      </c>
      <c r="G1079">
        <v>2</v>
      </c>
      <c r="H1079" s="1">
        <v>124.9552</v>
      </c>
      <c r="I1079" s="4">
        <f>SalesData[[#This Row],[Profit]]/SalesData[[#This Row],[Sales]]</f>
        <v>0.29000000000000004</v>
      </c>
      <c r="J1079">
        <f>YEAR(SalesData[[#This Row],[Order Date]])</f>
        <v>2017</v>
      </c>
      <c r="K1079" t="str">
        <f>TEXT(SalesData[[#This Row],[Order Date]],"mmm")</f>
        <v>Oct</v>
      </c>
      <c r="L1079">
        <f>MONTH(SalesData[[#This Row],[Order Date]])</f>
        <v>10</v>
      </c>
      <c r="M1079">
        <f>SalesData[[#This Row],[Sales]]/SalesData[[#This Row],[Quantity]]</f>
        <v>215.44</v>
      </c>
      <c r="N1079" t="str">
        <f>IF(SalesData[[#This Row],[Profit]]&gt;0,"Profit","Loss")</f>
        <v>Profit</v>
      </c>
    </row>
    <row r="1080" spans="1:14" x14ac:dyDescent="0.3">
      <c r="A1080" t="s">
        <v>3467</v>
      </c>
      <c r="B1080" s="3">
        <v>43019</v>
      </c>
      <c r="C1080" t="s">
        <v>9</v>
      </c>
      <c r="D1080" t="s">
        <v>14</v>
      </c>
      <c r="E1080" t="s">
        <v>291</v>
      </c>
      <c r="F1080" s="1">
        <v>341.96</v>
      </c>
      <c r="G1080">
        <v>5</v>
      </c>
      <c r="H1080" s="1">
        <v>-427.45</v>
      </c>
      <c r="I1080" s="4">
        <f>SalesData[[#This Row],[Profit]]/SalesData[[#This Row],[Sales]]</f>
        <v>-1.25</v>
      </c>
      <c r="J1080">
        <f>YEAR(SalesData[[#This Row],[Order Date]])</f>
        <v>2017</v>
      </c>
      <c r="K1080" t="str">
        <f>TEXT(SalesData[[#This Row],[Order Date]],"mmm")</f>
        <v>Oct</v>
      </c>
      <c r="L1080">
        <f>MONTH(SalesData[[#This Row],[Order Date]])</f>
        <v>10</v>
      </c>
      <c r="M1080">
        <f>SalesData[[#This Row],[Sales]]/SalesData[[#This Row],[Quantity]]</f>
        <v>68.391999999999996</v>
      </c>
      <c r="N1080" t="str">
        <f>IF(SalesData[[#This Row],[Profit]]&gt;0,"Profit","Loss")</f>
        <v>Loss</v>
      </c>
    </row>
    <row r="1081" spans="1:14" x14ac:dyDescent="0.3">
      <c r="A1081" t="s">
        <v>3468</v>
      </c>
      <c r="B1081" s="3">
        <v>43019</v>
      </c>
      <c r="C1081" t="s">
        <v>13</v>
      </c>
      <c r="D1081" t="s">
        <v>21</v>
      </c>
      <c r="E1081" t="s">
        <v>3419</v>
      </c>
      <c r="F1081" s="1">
        <v>26.352</v>
      </c>
      <c r="G1081">
        <v>3</v>
      </c>
      <c r="H1081" s="1">
        <v>9.5526</v>
      </c>
      <c r="I1081" s="4">
        <f>SalesData[[#This Row],[Profit]]/SalesData[[#This Row],[Sales]]</f>
        <v>0.36249999999999999</v>
      </c>
      <c r="J1081">
        <f>YEAR(SalesData[[#This Row],[Order Date]])</f>
        <v>2017</v>
      </c>
      <c r="K1081" t="str">
        <f>TEXT(SalesData[[#This Row],[Order Date]],"mmm")</f>
        <v>Oct</v>
      </c>
      <c r="L1081">
        <f>MONTH(SalesData[[#This Row],[Order Date]])</f>
        <v>10</v>
      </c>
      <c r="M1081">
        <f>SalesData[[#This Row],[Sales]]/SalesData[[#This Row],[Quantity]]</f>
        <v>8.7840000000000007</v>
      </c>
      <c r="N1081" t="str">
        <f>IF(SalesData[[#This Row],[Profit]]&gt;0,"Profit","Loss")</f>
        <v>Profit</v>
      </c>
    </row>
    <row r="1082" spans="1:14" x14ac:dyDescent="0.3">
      <c r="A1082" t="s">
        <v>3469</v>
      </c>
      <c r="B1082" s="3">
        <v>43019</v>
      </c>
      <c r="C1082" t="s">
        <v>46</v>
      </c>
      <c r="D1082" t="s">
        <v>21</v>
      </c>
      <c r="E1082" t="s">
        <v>261</v>
      </c>
      <c r="F1082" s="1">
        <v>11.52</v>
      </c>
      <c r="G1082">
        <v>5</v>
      </c>
      <c r="H1082" s="1">
        <v>-7.68</v>
      </c>
      <c r="I1082" s="4">
        <f>SalesData[[#This Row],[Profit]]/SalesData[[#This Row],[Sales]]</f>
        <v>-0.66666666666666663</v>
      </c>
      <c r="J1082">
        <f>YEAR(SalesData[[#This Row],[Order Date]])</f>
        <v>2017</v>
      </c>
      <c r="K1082" t="str">
        <f>TEXT(SalesData[[#This Row],[Order Date]],"mmm")</f>
        <v>Oct</v>
      </c>
      <c r="L1082">
        <f>MONTH(SalesData[[#This Row],[Order Date]])</f>
        <v>10</v>
      </c>
      <c r="M1082">
        <f>SalesData[[#This Row],[Sales]]/SalesData[[#This Row],[Quantity]]</f>
        <v>2.3039999999999998</v>
      </c>
      <c r="N1082" t="str">
        <f>IF(SalesData[[#This Row],[Profit]]&gt;0,"Profit","Loss")</f>
        <v>Loss</v>
      </c>
    </row>
    <row r="1083" spans="1:14" x14ac:dyDescent="0.3">
      <c r="A1083" t="s">
        <v>3470</v>
      </c>
      <c r="B1083" s="3">
        <v>43019</v>
      </c>
      <c r="C1083" t="s">
        <v>13</v>
      </c>
      <c r="D1083" t="s">
        <v>21</v>
      </c>
      <c r="E1083" t="s">
        <v>3471</v>
      </c>
      <c r="F1083" s="1">
        <v>7.8</v>
      </c>
      <c r="G1083">
        <v>3</v>
      </c>
      <c r="H1083" s="1">
        <v>2.1059999999999999</v>
      </c>
      <c r="I1083" s="4">
        <f>SalesData[[#This Row],[Profit]]/SalesData[[#This Row],[Sales]]</f>
        <v>0.26999999999999996</v>
      </c>
      <c r="J1083">
        <f>YEAR(SalesData[[#This Row],[Order Date]])</f>
        <v>2017</v>
      </c>
      <c r="K1083" t="str">
        <f>TEXT(SalesData[[#This Row],[Order Date]],"mmm")</f>
        <v>Oct</v>
      </c>
      <c r="L1083">
        <f>MONTH(SalesData[[#This Row],[Order Date]])</f>
        <v>10</v>
      </c>
      <c r="M1083">
        <f>SalesData[[#This Row],[Sales]]/SalesData[[#This Row],[Quantity]]</f>
        <v>2.6</v>
      </c>
      <c r="N1083" t="str">
        <f>IF(SalesData[[#This Row],[Profit]]&gt;0,"Profit","Loss")</f>
        <v>Profit</v>
      </c>
    </row>
    <row r="1084" spans="1:14" x14ac:dyDescent="0.3">
      <c r="A1084" t="s">
        <v>3472</v>
      </c>
      <c r="B1084" s="3">
        <v>43019</v>
      </c>
      <c r="C1084" t="s">
        <v>13</v>
      </c>
      <c r="D1084" t="s">
        <v>21</v>
      </c>
      <c r="E1084" t="s">
        <v>3267</v>
      </c>
      <c r="F1084" s="1">
        <v>400.8</v>
      </c>
      <c r="G1084">
        <v>5</v>
      </c>
      <c r="H1084" s="1">
        <v>112.224</v>
      </c>
      <c r="I1084" s="4">
        <f>SalesData[[#This Row],[Profit]]/SalesData[[#This Row],[Sales]]</f>
        <v>0.28000000000000003</v>
      </c>
      <c r="J1084">
        <f>YEAR(SalesData[[#This Row],[Order Date]])</f>
        <v>2017</v>
      </c>
      <c r="K1084" t="str">
        <f>TEXT(SalesData[[#This Row],[Order Date]],"mmm")</f>
        <v>Oct</v>
      </c>
      <c r="L1084">
        <f>MONTH(SalesData[[#This Row],[Order Date]])</f>
        <v>10</v>
      </c>
      <c r="M1084">
        <f>SalesData[[#This Row],[Sales]]/SalesData[[#This Row],[Quantity]]</f>
        <v>80.16</v>
      </c>
      <c r="N1084" t="str">
        <f>IF(SalesData[[#This Row],[Profit]]&gt;0,"Profit","Loss")</f>
        <v>Profit</v>
      </c>
    </row>
    <row r="1085" spans="1:14" x14ac:dyDescent="0.3">
      <c r="A1085" t="s">
        <v>3472</v>
      </c>
      <c r="B1085" s="3">
        <v>43019</v>
      </c>
      <c r="C1085" t="s">
        <v>13</v>
      </c>
      <c r="D1085" t="s">
        <v>21</v>
      </c>
      <c r="E1085" t="s">
        <v>2373</v>
      </c>
      <c r="F1085" s="1">
        <v>28.792000000000002</v>
      </c>
      <c r="G1085">
        <v>1</v>
      </c>
      <c r="H1085" s="1">
        <v>10.077199999999999</v>
      </c>
      <c r="I1085" s="4">
        <f>SalesData[[#This Row],[Profit]]/SalesData[[#This Row],[Sales]]</f>
        <v>0.35</v>
      </c>
      <c r="J1085">
        <f>YEAR(SalesData[[#This Row],[Order Date]])</f>
        <v>2017</v>
      </c>
      <c r="K1085" t="str">
        <f>TEXT(SalesData[[#This Row],[Order Date]],"mmm")</f>
        <v>Oct</v>
      </c>
      <c r="L1085">
        <f>MONTH(SalesData[[#This Row],[Order Date]])</f>
        <v>10</v>
      </c>
      <c r="M1085">
        <f>SalesData[[#This Row],[Sales]]/SalesData[[#This Row],[Quantity]]</f>
        <v>28.792000000000002</v>
      </c>
      <c r="N1085" t="str">
        <f>IF(SalesData[[#This Row],[Profit]]&gt;0,"Profit","Loss")</f>
        <v>Profit</v>
      </c>
    </row>
    <row r="1086" spans="1:14" x14ac:dyDescent="0.3">
      <c r="A1086" t="s">
        <v>3473</v>
      </c>
      <c r="B1086" s="3">
        <v>43019</v>
      </c>
      <c r="C1086" t="s">
        <v>13</v>
      </c>
      <c r="D1086" t="s">
        <v>10</v>
      </c>
      <c r="E1086" t="s">
        <v>3474</v>
      </c>
      <c r="F1086" s="1">
        <v>111.79</v>
      </c>
      <c r="G1086">
        <v>7</v>
      </c>
      <c r="H1086" s="1">
        <v>43.598100000000002</v>
      </c>
      <c r="I1086" s="4">
        <f>SalesData[[#This Row],[Profit]]/SalesData[[#This Row],[Sales]]</f>
        <v>0.39</v>
      </c>
      <c r="J1086">
        <f>YEAR(SalesData[[#This Row],[Order Date]])</f>
        <v>2017</v>
      </c>
      <c r="K1086" t="str">
        <f>TEXT(SalesData[[#This Row],[Order Date]],"mmm")</f>
        <v>Oct</v>
      </c>
      <c r="L1086">
        <f>MONTH(SalesData[[#This Row],[Order Date]])</f>
        <v>10</v>
      </c>
      <c r="M1086">
        <f>SalesData[[#This Row],[Sales]]/SalesData[[#This Row],[Quantity]]</f>
        <v>15.97</v>
      </c>
      <c r="N1086" t="str">
        <f>IF(SalesData[[#This Row],[Profit]]&gt;0,"Profit","Loss")</f>
        <v>Profit</v>
      </c>
    </row>
    <row r="1087" spans="1:14" x14ac:dyDescent="0.3">
      <c r="A1087" t="s">
        <v>3475</v>
      </c>
      <c r="B1087" s="3">
        <v>43019</v>
      </c>
      <c r="C1087" t="s">
        <v>13</v>
      </c>
      <c r="D1087" t="s">
        <v>14</v>
      </c>
      <c r="E1087" t="s">
        <v>1720</v>
      </c>
      <c r="F1087" s="1">
        <v>241.42400000000001</v>
      </c>
      <c r="G1087">
        <v>2</v>
      </c>
      <c r="H1087" s="1">
        <v>-36.2136</v>
      </c>
      <c r="I1087" s="4">
        <f>SalesData[[#This Row],[Profit]]/SalesData[[#This Row],[Sales]]</f>
        <v>-0.15</v>
      </c>
      <c r="J1087">
        <f>YEAR(SalesData[[#This Row],[Order Date]])</f>
        <v>2017</v>
      </c>
      <c r="K1087" t="str">
        <f>TEXT(SalesData[[#This Row],[Order Date]],"mmm")</f>
        <v>Oct</v>
      </c>
      <c r="L1087">
        <f>MONTH(SalesData[[#This Row],[Order Date]])</f>
        <v>10</v>
      </c>
      <c r="M1087">
        <f>SalesData[[#This Row],[Sales]]/SalesData[[#This Row],[Quantity]]</f>
        <v>120.712</v>
      </c>
      <c r="N1087" t="str">
        <f>IF(SalesData[[#This Row],[Profit]]&gt;0,"Profit","Loss")</f>
        <v>Loss</v>
      </c>
    </row>
    <row r="1088" spans="1:14" x14ac:dyDescent="0.3">
      <c r="A1088" t="s">
        <v>3476</v>
      </c>
      <c r="B1088" s="3">
        <v>43020</v>
      </c>
      <c r="C1088" t="s">
        <v>13</v>
      </c>
      <c r="D1088" t="s">
        <v>21</v>
      </c>
      <c r="E1088" t="s">
        <v>779</v>
      </c>
      <c r="F1088" s="1">
        <v>19.936</v>
      </c>
      <c r="G1088">
        <v>4</v>
      </c>
      <c r="H1088" s="1">
        <v>7.2267999999999999</v>
      </c>
      <c r="I1088" s="4">
        <f>SalesData[[#This Row],[Profit]]/SalesData[[#This Row],[Sales]]</f>
        <v>0.36249999999999999</v>
      </c>
      <c r="J1088">
        <f>YEAR(SalesData[[#This Row],[Order Date]])</f>
        <v>2017</v>
      </c>
      <c r="K1088" t="str">
        <f>TEXT(SalesData[[#This Row],[Order Date]],"mmm")</f>
        <v>Oct</v>
      </c>
      <c r="L1088">
        <f>MONTH(SalesData[[#This Row],[Order Date]])</f>
        <v>10</v>
      </c>
      <c r="M1088">
        <f>SalesData[[#This Row],[Sales]]/SalesData[[#This Row],[Quantity]]</f>
        <v>4.984</v>
      </c>
      <c r="N1088" t="str">
        <f>IF(SalesData[[#This Row],[Profit]]&gt;0,"Profit","Loss")</f>
        <v>Profit</v>
      </c>
    </row>
    <row r="1089" spans="1:14" x14ac:dyDescent="0.3">
      <c r="A1089" t="s">
        <v>3476</v>
      </c>
      <c r="B1089" s="3">
        <v>43020</v>
      </c>
      <c r="C1089" t="s">
        <v>13</v>
      </c>
      <c r="D1089" t="s">
        <v>21</v>
      </c>
      <c r="E1089" t="s">
        <v>666</v>
      </c>
      <c r="F1089" s="1">
        <v>65.567999999999998</v>
      </c>
      <c r="G1089">
        <v>2</v>
      </c>
      <c r="H1089" s="1">
        <v>22.948799999999999</v>
      </c>
      <c r="I1089" s="4">
        <f>SalesData[[#This Row],[Profit]]/SalesData[[#This Row],[Sales]]</f>
        <v>0.35</v>
      </c>
      <c r="J1089">
        <f>YEAR(SalesData[[#This Row],[Order Date]])</f>
        <v>2017</v>
      </c>
      <c r="K1089" t="str">
        <f>TEXT(SalesData[[#This Row],[Order Date]],"mmm")</f>
        <v>Oct</v>
      </c>
      <c r="L1089">
        <f>MONTH(SalesData[[#This Row],[Order Date]])</f>
        <v>10</v>
      </c>
      <c r="M1089">
        <f>SalesData[[#This Row],[Sales]]/SalesData[[#This Row],[Quantity]]</f>
        <v>32.783999999999999</v>
      </c>
      <c r="N1089" t="str">
        <f>IF(SalesData[[#This Row],[Profit]]&gt;0,"Profit","Loss")</f>
        <v>Profit</v>
      </c>
    </row>
    <row r="1090" spans="1:14" x14ac:dyDescent="0.3">
      <c r="A1090" t="s">
        <v>3477</v>
      </c>
      <c r="B1090" s="3">
        <v>43020</v>
      </c>
      <c r="C1090" t="s">
        <v>17</v>
      </c>
      <c r="D1090" t="s">
        <v>10</v>
      </c>
      <c r="E1090" t="s">
        <v>3312</v>
      </c>
      <c r="F1090" s="1">
        <v>14.2</v>
      </c>
      <c r="G1090">
        <v>1</v>
      </c>
      <c r="H1090" s="1">
        <v>3.3725000000000001</v>
      </c>
      <c r="I1090" s="4">
        <f>SalesData[[#This Row],[Profit]]/SalesData[[#This Row],[Sales]]</f>
        <v>0.23750000000000002</v>
      </c>
      <c r="J1090">
        <f>YEAR(SalesData[[#This Row],[Order Date]])</f>
        <v>2017</v>
      </c>
      <c r="K1090" t="str">
        <f>TEXT(SalesData[[#This Row],[Order Date]],"mmm")</f>
        <v>Oct</v>
      </c>
      <c r="L1090">
        <f>MONTH(SalesData[[#This Row],[Order Date]])</f>
        <v>10</v>
      </c>
      <c r="M1090">
        <f>SalesData[[#This Row],[Sales]]/SalesData[[#This Row],[Quantity]]</f>
        <v>14.2</v>
      </c>
      <c r="N1090" t="str">
        <f>IF(SalesData[[#This Row],[Profit]]&gt;0,"Profit","Loss")</f>
        <v>Profit</v>
      </c>
    </row>
    <row r="1091" spans="1:14" x14ac:dyDescent="0.3">
      <c r="A1091" t="s">
        <v>3478</v>
      </c>
      <c r="B1091" s="3">
        <v>43020</v>
      </c>
      <c r="C1091" t="s">
        <v>9</v>
      </c>
      <c r="D1091" t="s">
        <v>21</v>
      </c>
      <c r="E1091" t="s">
        <v>551</v>
      </c>
      <c r="F1091" s="1">
        <v>34.5</v>
      </c>
      <c r="G1091">
        <v>3</v>
      </c>
      <c r="H1091" s="1">
        <v>15.525</v>
      </c>
      <c r="I1091" s="4">
        <f>SalesData[[#This Row],[Profit]]/SalesData[[#This Row],[Sales]]</f>
        <v>0.45</v>
      </c>
      <c r="J1091">
        <f>YEAR(SalesData[[#This Row],[Order Date]])</f>
        <v>2017</v>
      </c>
      <c r="K1091" t="str">
        <f>TEXT(SalesData[[#This Row],[Order Date]],"mmm")</f>
        <v>Oct</v>
      </c>
      <c r="L1091">
        <f>MONTH(SalesData[[#This Row],[Order Date]])</f>
        <v>10</v>
      </c>
      <c r="M1091">
        <f>SalesData[[#This Row],[Sales]]/SalesData[[#This Row],[Quantity]]</f>
        <v>11.5</v>
      </c>
      <c r="N1091" t="str">
        <f>IF(SalesData[[#This Row],[Profit]]&gt;0,"Profit","Loss")</f>
        <v>Profit</v>
      </c>
    </row>
    <row r="1092" spans="1:14" x14ac:dyDescent="0.3">
      <c r="A1092" t="s">
        <v>3479</v>
      </c>
      <c r="B1092" s="3">
        <v>43020</v>
      </c>
      <c r="C1092" t="s">
        <v>13</v>
      </c>
      <c r="D1092" t="s">
        <v>14</v>
      </c>
      <c r="E1092" t="s">
        <v>2541</v>
      </c>
      <c r="F1092" s="1">
        <v>1669.6</v>
      </c>
      <c r="G1092">
        <v>4</v>
      </c>
      <c r="H1092" s="1">
        <v>116.872</v>
      </c>
      <c r="I1092" s="4">
        <f>SalesData[[#This Row],[Profit]]/SalesData[[#This Row],[Sales]]</f>
        <v>7.0000000000000007E-2</v>
      </c>
      <c r="J1092">
        <f>YEAR(SalesData[[#This Row],[Order Date]])</f>
        <v>2017</v>
      </c>
      <c r="K1092" t="str">
        <f>TEXT(SalesData[[#This Row],[Order Date]],"mmm")</f>
        <v>Oct</v>
      </c>
      <c r="L1092">
        <f>MONTH(SalesData[[#This Row],[Order Date]])</f>
        <v>10</v>
      </c>
      <c r="M1092">
        <f>SalesData[[#This Row],[Sales]]/SalesData[[#This Row],[Quantity]]</f>
        <v>417.4</v>
      </c>
      <c r="N1092" t="str">
        <f>IF(SalesData[[#This Row],[Profit]]&gt;0,"Profit","Loss")</f>
        <v>Profit</v>
      </c>
    </row>
    <row r="1093" spans="1:14" x14ac:dyDescent="0.3">
      <c r="A1093" t="s">
        <v>3480</v>
      </c>
      <c r="B1093" s="3">
        <v>43020</v>
      </c>
      <c r="C1093" t="s">
        <v>17</v>
      </c>
      <c r="D1093" t="s">
        <v>21</v>
      </c>
      <c r="E1093" t="s">
        <v>787</v>
      </c>
      <c r="F1093" s="1">
        <v>10.368</v>
      </c>
      <c r="G1093">
        <v>2</v>
      </c>
      <c r="H1093" s="1">
        <v>3.6288</v>
      </c>
      <c r="I1093" s="4">
        <f>SalesData[[#This Row],[Profit]]/SalesData[[#This Row],[Sales]]</f>
        <v>0.35</v>
      </c>
      <c r="J1093">
        <f>YEAR(SalesData[[#This Row],[Order Date]])</f>
        <v>2017</v>
      </c>
      <c r="K1093" t="str">
        <f>TEXT(SalesData[[#This Row],[Order Date]],"mmm")</f>
        <v>Oct</v>
      </c>
      <c r="L1093">
        <f>MONTH(SalesData[[#This Row],[Order Date]])</f>
        <v>10</v>
      </c>
      <c r="M1093">
        <f>SalesData[[#This Row],[Sales]]/SalesData[[#This Row],[Quantity]]</f>
        <v>5.1840000000000002</v>
      </c>
      <c r="N1093" t="str">
        <f>IF(SalesData[[#This Row],[Profit]]&gt;0,"Profit","Loss")</f>
        <v>Profit</v>
      </c>
    </row>
    <row r="1094" spans="1:14" x14ac:dyDescent="0.3">
      <c r="A1094" t="s">
        <v>3480</v>
      </c>
      <c r="B1094" s="3">
        <v>43020</v>
      </c>
      <c r="C1094" t="s">
        <v>17</v>
      </c>
      <c r="D1094" t="s">
        <v>14</v>
      </c>
      <c r="E1094" t="s">
        <v>2289</v>
      </c>
      <c r="F1094" s="1">
        <v>310.88</v>
      </c>
      <c r="G1094">
        <v>2</v>
      </c>
      <c r="H1094" s="1">
        <v>23.315999999999999</v>
      </c>
      <c r="I1094" s="4">
        <f>SalesData[[#This Row],[Profit]]/SalesData[[#This Row],[Sales]]</f>
        <v>7.4999999999999997E-2</v>
      </c>
      <c r="J1094">
        <f>YEAR(SalesData[[#This Row],[Order Date]])</f>
        <v>2017</v>
      </c>
      <c r="K1094" t="str">
        <f>TEXT(SalesData[[#This Row],[Order Date]],"mmm")</f>
        <v>Oct</v>
      </c>
      <c r="L1094">
        <f>MONTH(SalesData[[#This Row],[Order Date]])</f>
        <v>10</v>
      </c>
      <c r="M1094">
        <f>SalesData[[#This Row],[Sales]]/SalesData[[#This Row],[Quantity]]</f>
        <v>155.44</v>
      </c>
      <c r="N1094" t="str">
        <f>IF(SalesData[[#This Row],[Profit]]&gt;0,"Profit","Loss")</f>
        <v>Profit</v>
      </c>
    </row>
    <row r="1095" spans="1:14" x14ac:dyDescent="0.3">
      <c r="A1095" t="s">
        <v>3481</v>
      </c>
      <c r="B1095" s="3">
        <v>43020</v>
      </c>
      <c r="C1095" t="s">
        <v>17</v>
      </c>
      <c r="D1095" t="s">
        <v>21</v>
      </c>
      <c r="E1095" t="s">
        <v>271</v>
      </c>
      <c r="F1095" s="1">
        <v>10.86</v>
      </c>
      <c r="G1095">
        <v>3</v>
      </c>
      <c r="H1095" s="1">
        <v>5.1041999999999996</v>
      </c>
      <c r="I1095" s="4">
        <f>SalesData[[#This Row],[Profit]]/SalesData[[#This Row],[Sales]]</f>
        <v>0.47</v>
      </c>
      <c r="J1095">
        <f>YEAR(SalesData[[#This Row],[Order Date]])</f>
        <v>2017</v>
      </c>
      <c r="K1095" t="str">
        <f>TEXT(SalesData[[#This Row],[Order Date]],"mmm")</f>
        <v>Oct</v>
      </c>
      <c r="L1095">
        <f>MONTH(SalesData[[#This Row],[Order Date]])</f>
        <v>10</v>
      </c>
      <c r="M1095">
        <f>SalesData[[#This Row],[Sales]]/SalesData[[#This Row],[Quantity]]</f>
        <v>3.6199999999999997</v>
      </c>
      <c r="N1095" t="str">
        <f>IF(SalesData[[#This Row],[Profit]]&gt;0,"Profit","Loss")</f>
        <v>Profit</v>
      </c>
    </row>
    <row r="1096" spans="1:14" x14ac:dyDescent="0.3">
      <c r="A1096" t="s">
        <v>3481</v>
      </c>
      <c r="B1096" s="3">
        <v>43020</v>
      </c>
      <c r="C1096" t="s">
        <v>17</v>
      </c>
      <c r="D1096" t="s">
        <v>21</v>
      </c>
      <c r="E1096" t="s">
        <v>3432</v>
      </c>
      <c r="F1096" s="1">
        <v>426.79</v>
      </c>
      <c r="G1096">
        <v>7</v>
      </c>
      <c r="H1096" s="1">
        <v>123.76909999999999</v>
      </c>
      <c r="I1096" s="4">
        <f>SalesData[[#This Row],[Profit]]/SalesData[[#This Row],[Sales]]</f>
        <v>0.28999999999999998</v>
      </c>
      <c r="J1096">
        <f>YEAR(SalesData[[#This Row],[Order Date]])</f>
        <v>2017</v>
      </c>
      <c r="K1096" t="str">
        <f>TEXT(SalesData[[#This Row],[Order Date]],"mmm")</f>
        <v>Oct</v>
      </c>
      <c r="L1096">
        <f>MONTH(SalesData[[#This Row],[Order Date]])</f>
        <v>10</v>
      </c>
      <c r="M1096">
        <f>SalesData[[#This Row],[Sales]]/SalesData[[#This Row],[Quantity]]</f>
        <v>60.970000000000006</v>
      </c>
      <c r="N1096" t="str">
        <f>IF(SalesData[[#This Row],[Profit]]&gt;0,"Profit","Loss")</f>
        <v>Profit</v>
      </c>
    </row>
    <row r="1097" spans="1:14" x14ac:dyDescent="0.3">
      <c r="A1097" t="s">
        <v>3482</v>
      </c>
      <c r="B1097" s="3">
        <v>43020</v>
      </c>
      <c r="C1097" t="s">
        <v>46</v>
      </c>
      <c r="D1097" t="s">
        <v>14</v>
      </c>
      <c r="E1097" t="s">
        <v>1278</v>
      </c>
      <c r="F1097" s="1">
        <v>19.103999999999999</v>
      </c>
      <c r="G1097">
        <v>3</v>
      </c>
      <c r="H1097" s="1">
        <v>5.7312000000000003</v>
      </c>
      <c r="I1097" s="4">
        <f>SalesData[[#This Row],[Profit]]/SalesData[[#This Row],[Sales]]</f>
        <v>0.30000000000000004</v>
      </c>
      <c r="J1097">
        <f>YEAR(SalesData[[#This Row],[Order Date]])</f>
        <v>2017</v>
      </c>
      <c r="K1097" t="str">
        <f>TEXT(SalesData[[#This Row],[Order Date]],"mmm")</f>
        <v>Oct</v>
      </c>
      <c r="L1097">
        <f>MONTH(SalesData[[#This Row],[Order Date]])</f>
        <v>10</v>
      </c>
      <c r="M1097">
        <f>SalesData[[#This Row],[Sales]]/SalesData[[#This Row],[Quantity]]</f>
        <v>6.3679999999999994</v>
      </c>
      <c r="N1097" t="str">
        <f>IF(SalesData[[#This Row],[Profit]]&gt;0,"Profit","Loss")</f>
        <v>Profit</v>
      </c>
    </row>
    <row r="1098" spans="1:14" x14ac:dyDescent="0.3">
      <c r="A1098" t="s">
        <v>3483</v>
      </c>
      <c r="B1098" s="3">
        <v>43020</v>
      </c>
      <c r="C1098" t="s">
        <v>13</v>
      </c>
      <c r="D1098" t="s">
        <v>10</v>
      </c>
      <c r="E1098" t="s">
        <v>435</v>
      </c>
      <c r="F1098" s="1">
        <v>49.08</v>
      </c>
      <c r="G1098">
        <v>3</v>
      </c>
      <c r="H1098" s="1">
        <v>4.9080000000000004</v>
      </c>
      <c r="I1098" s="4">
        <f>SalesData[[#This Row],[Profit]]/SalesData[[#This Row],[Sales]]</f>
        <v>0.1</v>
      </c>
      <c r="J1098">
        <f>YEAR(SalesData[[#This Row],[Order Date]])</f>
        <v>2017</v>
      </c>
      <c r="K1098" t="str">
        <f>TEXT(SalesData[[#This Row],[Order Date]],"mmm")</f>
        <v>Oct</v>
      </c>
      <c r="L1098">
        <f>MONTH(SalesData[[#This Row],[Order Date]])</f>
        <v>10</v>
      </c>
      <c r="M1098">
        <f>SalesData[[#This Row],[Sales]]/SalesData[[#This Row],[Quantity]]</f>
        <v>16.36</v>
      </c>
      <c r="N1098" t="str">
        <f>IF(SalesData[[#This Row],[Profit]]&gt;0,"Profit","Loss")</f>
        <v>Profit</v>
      </c>
    </row>
    <row r="1099" spans="1:14" x14ac:dyDescent="0.3">
      <c r="A1099" t="s">
        <v>3483</v>
      </c>
      <c r="B1099" s="3">
        <v>43020</v>
      </c>
      <c r="C1099" t="s">
        <v>13</v>
      </c>
      <c r="D1099" t="s">
        <v>21</v>
      </c>
      <c r="E1099" t="s">
        <v>2203</v>
      </c>
      <c r="F1099" s="1">
        <v>324.89999999999998</v>
      </c>
      <c r="G1099">
        <v>5</v>
      </c>
      <c r="H1099" s="1">
        <v>38.988</v>
      </c>
      <c r="I1099" s="4">
        <f>SalesData[[#This Row],[Profit]]/SalesData[[#This Row],[Sales]]</f>
        <v>0.12000000000000001</v>
      </c>
      <c r="J1099">
        <f>YEAR(SalesData[[#This Row],[Order Date]])</f>
        <v>2017</v>
      </c>
      <c r="K1099" t="str">
        <f>TEXT(SalesData[[#This Row],[Order Date]],"mmm")</f>
        <v>Oct</v>
      </c>
      <c r="L1099">
        <f>MONTH(SalesData[[#This Row],[Order Date]])</f>
        <v>10</v>
      </c>
      <c r="M1099">
        <f>SalesData[[#This Row],[Sales]]/SalesData[[#This Row],[Quantity]]</f>
        <v>64.97999999999999</v>
      </c>
      <c r="N1099" t="str">
        <f>IF(SalesData[[#This Row],[Profit]]&gt;0,"Profit","Loss")</f>
        <v>Profit</v>
      </c>
    </row>
    <row r="1100" spans="1:14" x14ac:dyDescent="0.3">
      <c r="A1100" t="s">
        <v>3483</v>
      </c>
      <c r="B1100" s="3">
        <v>43020</v>
      </c>
      <c r="C1100" t="s">
        <v>13</v>
      </c>
      <c r="D1100" t="s">
        <v>21</v>
      </c>
      <c r="E1100" t="s">
        <v>3484</v>
      </c>
      <c r="F1100" s="1">
        <v>18.239999999999998</v>
      </c>
      <c r="G1100">
        <v>3</v>
      </c>
      <c r="H1100" s="1">
        <v>5.2896000000000001</v>
      </c>
      <c r="I1100" s="4">
        <f>SalesData[[#This Row],[Profit]]/SalesData[[#This Row],[Sales]]</f>
        <v>0.29000000000000004</v>
      </c>
      <c r="J1100">
        <f>YEAR(SalesData[[#This Row],[Order Date]])</f>
        <v>2017</v>
      </c>
      <c r="K1100" t="str">
        <f>TEXT(SalesData[[#This Row],[Order Date]],"mmm")</f>
        <v>Oct</v>
      </c>
      <c r="L1100">
        <f>MONTH(SalesData[[#This Row],[Order Date]])</f>
        <v>10</v>
      </c>
      <c r="M1100">
        <f>SalesData[[#This Row],[Sales]]/SalesData[[#This Row],[Quantity]]</f>
        <v>6.0799999999999992</v>
      </c>
      <c r="N1100" t="str">
        <f>IF(SalesData[[#This Row],[Profit]]&gt;0,"Profit","Loss")</f>
        <v>Profit</v>
      </c>
    </row>
    <row r="1101" spans="1:14" x14ac:dyDescent="0.3">
      <c r="A1101" t="s">
        <v>3485</v>
      </c>
      <c r="B1101" s="3">
        <v>43020</v>
      </c>
      <c r="C1101" t="s">
        <v>46</v>
      </c>
      <c r="D1101" t="s">
        <v>10</v>
      </c>
      <c r="E1101" t="s">
        <v>1097</v>
      </c>
      <c r="F1101" s="1">
        <v>599.97</v>
      </c>
      <c r="G1101">
        <v>3</v>
      </c>
      <c r="H1101" s="1">
        <v>257.9871</v>
      </c>
      <c r="I1101" s="4">
        <f>SalesData[[#This Row],[Profit]]/SalesData[[#This Row],[Sales]]</f>
        <v>0.43</v>
      </c>
      <c r="J1101">
        <f>YEAR(SalesData[[#This Row],[Order Date]])</f>
        <v>2017</v>
      </c>
      <c r="K1101" t="str">
        <f>TEXT(SalesData[[#This Row],[Order Date]],"mmm")</f>
        <v>Oct</v>
      </c>
      <c r="L1101">
        <f>MONTH(SalesData[[#This Row],[Order Date]])</f>
        <v>10</v>
      </c>
      <c r="M1101">
        <f>SalesData[[#This Row],[Sales]]/SalesData[[#This Row],[Quantity]]</f>
        <v>199.99</v>
      </c>
      <c r="N1101" t="str">
        <f>IF(SalesData[[#This Row],[Profit]]&gt;0,"Profit","Loss")</f>
        <v>Profit</v>
      </c>
    </row>
    <row r="1102" spans="1:14" x14ac:dyDescent="0.3">
      <c r="A1102" t="s">
        <v>3485</v>
      </c>
      <c r="B1102" s="3">
        <v>43020</v>
      </c>
      <c r="C1102" t="s">
        <v>46</v>
      </c>
      <c r="D1102" t="s">
        <v>10</v>
      </c>
      <c r="E1102" t="s">
        <v>1881</v>
      </c>
      <c r="F1102" s="1">
        <v>38.97</v>
      </c>
      <c r="G1102">
        <v>3</v>
      </c>
      <c r="H1102" s="1">
        <v>0.77939999999999998</v>
      </c>
      <c r="I1102" s="4">
        <f>SalesData[[#This Row],[Profit]]/SalesData[[#This Row],[Sales]]</f>
        <v>0.02</v>
      </c>
      <c r="J1102">
        <f>YEAR(SalesData[[#This Row],[Order Date]])</f>
        <v>2017</v>
      </c>
      <c r="K1102" t="str">
        <f>TEXT(SalesData[[#This Row],[Order Date]],"mmm")</f>
        <v>Oct</v>
      </c>
      <c r="L1102">
        <f>MONTH(SalesData[[#This Row],[Order Date]])</f>
        <v>10</v>
      </c>
      <c r="M1102">
        <f>SalesData[[#This Row],[Sales]]/SalesData[[#This Row],[Quantity]]</f>
        <v>12.99</v>
      </c>
      <c r="N1102" t="str">
        <f>IF(SalesData[[#This Row],[Profit]]&gt;0,"Profit","Loss")</f>
        <v>Profit</v>
      </c>
    </row>
    <row r="1103" spans="1:14" x14ac:dyDescent="0.3">
      <c r="A1103" t="s">
        <v>3485</v>
      </c>
      <c r="B1103" s="3">
        <v>43020</v>
      </c>
      <c r="C1103" t="s">
        <v>46</v>
      </c>
      <c r="D1103" t="s">
        <v>21</v>
      </c>
      <c r="E1103" t="s">
        <v>2757</v>
      </c>
      <c r="F1103" s="1">
        <v>45.84</v>
      </c>
      <c r="G1103">
        <v>8</v>
      </c>
      <c r="H1103" s="1">
        <v>22.0032</v>
      </c>
      <c r="I1103" s="4">
        <f>SalesData[[#This Row],[Profit]]/SalesData[[#This Row],[Sales]]</f>
        <v>0.48</v>
      </c>
      <c r="J1103">
        <f>YEAR(SalesData[[#This Row],[Order Date]])</f>
        <v>2017</v>
      </c>
      <c r="K1103" t="str">
        <f>TEXT(SalesData[[#This Row],[Order Date]],"mmm")</f>
        <v>Oct</v>
      </c>
      <c r="L1103">
        <f>MONTH(SalesData[[#This Row],[Order Date]])</f>
        <v>10</v>
      </c>
      <c r="M1103">
        <f>SalesData[[#This Row],[Sales]]/SalesData[[#This Row],[Quantity]]</f>
        <v>5.73</v>
      </c>
      <c r="N1103" t="str">
        <f>IF(SalesData[[#This Row],[Profit]]&gt;0,"Profit","Loss")</f>
        <v>Profit</v>
      </c>
    </row>
    <row r="1104" spans="1:14" x14ac:dyDescent="0.3">
      <c r="A1104" t="s">
        <v>3486</v>
      </c>
      <c r="B1104" s="3">
        <v>43020</v>
      </c>
      <c r="C1104" t="s">
        <v>13</v>
      </c>
      <c r="D1104" t="s">
        <v>10</v>
      </c>
      <c r="E1104" t="s">
        <v>1061</v>
      </c>
      <c r="F1104" s="1">
        <v>95.84</v>
      </c>
      <c r="G1104">
        <v>4</v>
      </c>
      <c r="H1104" s="1">
        <v>34.741999999999997</v>
      </c>
      <c r="I1104" s="4">
        <f>SalesData[[#This Row],[Profit]]/SalesData[[#This Row],[Sales]]</f>
        <v>0.36249999999999993</v>
      </c>
      <c r="J1104">
        <f>YEAR(SalesData[[#This Row],[Order Date]])</f>
        <v>2017</v>
      </c>
      <c r="K1104" t="str">
        <f>TEXT(SalesData[[#This Row],[Order Date]],"mmm")</f>
        <v>Oct</v>
      </c>
      <c r="L1104">
        <f>MONTH(SalesData[[#This Row],[Order Date]])</f>
        <v>10</v>
      </c>
      <c r="M1104">
        <f>SalesData[[#This Row],[Sales]]/SalesData[[#This Row],[Quantity]]</f>
        <v>23.96</v>
      </c>
      <c r="N1104" t="str">
        <f>IF(SalesData[[#This Row],[Profit]]&gt;0,"Profit","Loss")</f>
        <v>Profit</v>
      </c>
    </row>
    <row r="1105" spans="1:14" x14ac:dyDescent="0.3">
      <c r="A1105" t="s">
        <v>3486</v>
      </c>
      <c r="B1105" s="3">
        <v>43020</v>
      </c>
      <c r="C1105" t="s">
        <v>13</v>
      </c>
      <c r="D1105" t="s">
        <v>21</v>
      </c>
      <c r="E1105" t="s">
        <v>484</v>
      </c>
      <c r="F1105" s="1">
        <v>12.96</v>
      </c>
      <c r="G1105">
        <v>2</v>
      </c>
      <c r="H1105" s="1">
        <v>6.2207999999999997</v>
      </c>
      <c r="I1105" s="4">
        <f>SalesData[[#This Row],[Profit]]/SalesData[[#This Row],[Sales]]</f>
        <v>0.47999999999999993</v>
      </c>
      <c r="J1105">
        <f>YEAR(SalesData[[#This Row],[Order Date]])</f>
        <v>2017</v>
      </c>
      <c r="K1105" t="str">
        <f>TEXT(SalesData[[#This Row],[Order Date]],"mmm")</f>
        <v>Oct</v>
      </c>
      <c r="L1105">
        <f>MONTH(SalesData[[#This Row],[Order Date]])</f>
        <v>10</v>
      </c>
      <c r="M1105">
        <f>SalesData[[#This Row],[Sales]]/SalesData[[#This Row],[Quantity]]</f>
        <v>6.48</v>
      </c>
      <c r="N1105" t="str">
        <f>IF(SalesData[[#This Row],[Profit]]&gt;0,"Profit","Loss")</f>
        <v>Profit</v>
      </c>
    </row>
    <row r="1106" spans="1:14" x14ac:dyDescent="0.3">
      <c r="A1106" t="s">
        <v>3487</v>
      </c>
      <c r="B1106" s="3">
        <v>43020</v>
      </c>
      <c r="C1106" t="s">
        <v>46</v>
      </c>
      <c r="D1106" t="s">
        <v>14</v>
      </c>
      <c r="E1106" t="s">
        <v>1356</v>
      </c>
      <c r="F1106" s="1">
        <v>14.76</v>
      </c>
      <c r="G1106">
        <v>2</v>
      </c>
      <c r="H1106" s="1">
        <v>4.2804000000000002</v>
      </c>
      <c r="I1106" s="4">
        <f>SalesData[[#This Row],[Profit]]/SalesData[[#This Row],[Sales]]</f>
        <v>0.29000000000000004</v>
      </c>
      <c r="J1106">
        <f>YEAR(SalesData[[#This Row],[Order Date]])</f>
        <v>2017</v>
      </c>
      <c r="K1106" t="str">
        <f>TEXT(SalesData[[#This Row],[Order Date]],"mmm")</f>
        <v>Oct</v>
      </c>
      <c r="L1106">
        <f>MONTH(SalesData[[#This Row],[Order Date]])</f>
        <v>10</v>
      </c>
      <c r="M1106">
        <f>SalesData[[#This Row],[Sales]]/SalesData[[#This Row],[Quantity]]</f>
        <v>7.38</v>
      </c>
      <c r="N1106" t="str">
        <f>IF(SalesData[[#This Row],[Profit]]&gt;0,"Profit","Loss")</f>
        <v>Profit</v>
      </c>
    </row>
    <row r="1107" spans="1:14" x14ac:dyDescent="0.3">
      <c r="A1107" t="s">
        <v>3488</v>
      </c>
      <c r="B1107" s="3">
        <v>43020</v>
      </c>
      <c r="C1107" t="s">
        <v>17</v>
      </c>
      <c r="D1107" t="s">
        <v>21</v>
      </c>
      <c r="E1107" t="s">
        <v>1975</v>
      </c>
      <c r="F1107" s="1">
        <v>3.2730000000000001</v>
      </c>
      <c r="G1107">
        <v>1</v>
      </c>
      <c r="H1107" s="1">
        <v>-2.5093000000000001</v>
      </c>
      <c r="I1107" s="4">
        <f>SalesData[[#This Row],[Profit]]/SalesData[[#This Row],[Sales]]</f>
        <v>-0.76666666666666661</v>
      </c>
      <c r="J1107">
        <f>YEAR(SalesData[[#This Row],[Order Date]])</f>
        <v>2017</v>
      </c>
      <c r="K1107" t="str">
        <f>TEXT(SalesData[[#This Row],[Order Date]],"mmm")</f>
        <v>Oct</v>
      </c>
      <c r="L1107">
        <f>MONTH(SalesData[[#This Row],[Order Date]])</f>
        <v>10</v>
      </c>
      <c r="M1107">
        <f>SalesData[[#This Row],[Sales]]/SalesData[[#This Row],[Quantity]]</f>
        <v>3.2730000000000001</v>
      </c>
      <c r="N1107" t="str">
        <f>IF(SalesData[[#This Row],[Profit]]&gt;0,"Profit","Loss")</f>
        <v>Loss</v>
      </c>
    </row>
    <row r="1108" spans="1:14" x14ac:dyDescent="0.3">
      <c r="A1108" t="s">
        <v>3488</v>
      </c>
      <c r="B1108" s="3">
        <v>43020</v>
      </c>
      <c r="C1108" t="s">
        <v>17</v>
      </c>
      <c r="D1108" t="s">
        <v>14</v>
      </c>
      <c r="E1108" t="s">
        <v>247</v>
      </c>
      <c r="F1108" s="1">
        <v>87.92</v>
      </c>
      <c r="G1108">
        <v>5</v>
      </c>
      <c r="H1108" s="1">
        <v>15.385999999999999</v>
      </c>
      <c r="I1108" s="4">
        <f>SalesData[[#This Row],[Profit]]/SalesData[[#This Row],[Sales]]</f>
        <v>0.17499999999999999</v>
      </c>
      <c r="J1108">
        <f>YEAR(SalesData[[#This Row],[Order Date]])</f>
        <v>2017</v>
      </c>
      <c r="K1108" t="str">
        <f>TEXT(SalesData[[#This Row],[Order Date]],"mmm")</f>
        <v>Oct</v>
      </c>
      <c r="L1108">
        <f>MONTH(SalesData[[#This Row],[Order Date]])</f>
        <v>10</v>
      </c>
      <c r="M1108">
        <f>SalesData[[#This Row],[Sales]]/SalesData[[#This Row],[Quantity]]</f>
        <v>17.584</v>
      </c>
      <c r="N1108" t="str">
        <f>IF(SalesData[[#This Row],[Profit]]&gt;0,"Profit","Loss")</f>
        <v>Profit</v>
      </c>
    </row>
    <row r="1109" spans="1:14" x14ac:dyDescent="0.3">
      <c r="A1109" t="s">
        <v>3489</v>
      </c>
      <c r="B1109" s="3">
        <v>43041</v>
      </c>
      <c r="C1109" t="s">
        <v>13</v>
      </c>
      <c r="D1109" t="s">
        <v>21</v>
      </c>
      <c r="E1109" t="s">
        <v>2793</v>
      </c>
      <c r="F1109" s="1">
        <v>21.335999999999999</v>
      </c>
      <c r="G1109">
        <v>7</v>
      </c>
      <c r="H1109" s="1">
        <v>7.7343000000000002</v>
      </c>
      <c r="I1109" s="4">
        <f>SalesData[[#This Row],[Profit]]/SalesData[[#This Row],[Sales]]</f>
        <v>0.36250000000000004</v>
      </c>
      <c r="J1109">
        <f>YEAR(SalesData[[#This Row],[Order Date]])</f>
        <v>2017</v>
      </c>
      <c r="K1109" t="str">
        <f>TEXT(SalesData[[#This Row],[Order Date]],"mmm")</f>
        <v>Nov</v>
      </c>
      <c r="L1109">
        <f>MONTH(SalesData[[#This Row],[Order Date]])</f>
        <v>11</v>
      </c>
      <c r="M1109">
        <f>SalesData[[#This Row],[Sales]]/SalesData[[#This Row],[Quantity]]</f>
        <v>3.0479999999999996</v>
      </c>
      <c r="N1109" t="str">
        <f>IF(SalesData[[#This Row],[Profit]]&gt;0,"Profit","Loss")</f>
        <v>Profit</v>
      </c>
    </row>
    <row r="1110" spans="1:14" x14ac:dyDescent="0.3">
      <c r="A1110" t="s">
        <v>3490</v>
      </c>
      <c r="B1110" s="3">
        <v>43041</v>
      </c>
      <c r="C1110" t="s">
        <v>13</v>
      </c>
      <c r="D1110" t="s">
        <v>14</v>
      </c>
      <c r="E1110" t="s">
        <v>573</v>
      </c>
      <c r="F1110" s="1">
        <v>963.13599999999997</v>
      </c>
      <c r="G1110">
        <v>4</v>
      </c>
      <c r="H1110" s="1">
        <v>108.3528</v>
      </c>
      <c r="I1110" s="4">
        <f>SalesData[[#This Row],[Profit]]/SalesData[[#This Row],[Sales]]</f>
        <v>0.1125</v>
      </c>
      <c r="J1110">
        <f>YEAR(SalesData[[#This Row],[Order Date]])</f>
        <v>2017</v>
      </c>
      <c r="K1110" t="str">
        <f>TEXT(SalesData[[#This Row],[Order Date]],"mmm")</f>
        <v>Nov</v>
      </c>
      <c r="L1110">
        <f>MONTH(SalesData[[#This Row],[Order Date]])</f>
        <v>11</v>
      </c>
      <c r="M1110">
        <f>SalesData[[#This Row],[Sales]]/SalesData[[#This Row],[Quantity]]</f>
        <v>240.78399999999999</v>
      </c>
      <c r="N1110" t="str">
        <f>IF(SalesData[[#This Row],[Profit]]&gt;0,"Profit","Loss")</f>
        <v>Profit</v>
      </c>
    </row>
    <row r="1111" spans="1:14" x14ac:dyDescent="0.3">
      <c r="A1111" t="s">
        <v>3490</v>
      </c>
      <c r="B1111" s="3">
        <v>43041</v>
      </c>
      <c r="C1111" t="s">
        <v>13</v>
      </c>
      <c r="D1111" t="s">
        <v>10</v>
      </c>
      <c r="E1111" t="s">
        <v>152</v>
      </c>
      <c r="F1111" s="1">
        <v>88.775999999999996</v>
      </c>
      <c r="G1111">
        <v>3</v>
      </c>
      <c r="H1111" s="1">
        <v>7.7679</v>
      </c>
      <c r="I1111" s="4">
        <f>SalesData[[#This Row],[Profit]]/SalesData[[#This Row],[Sales]]</f>
        <v>8.7500000000000008E-2</v>
      </c>
      <c r="J1111">
        <f>YEAR(SalesData[[#This Row],[Order Date]])</f>
        <v>2017</v>
      </c>
      <c r="K1111" t="str">
        <f>TEXT(SalesData[[#This Row],[Order Date]],"mmm")</f>
        <v>Nov</v>
      </c>
      <c r="L1111">
        <f>MONTH(SalesData[[#This Row],[Order Date]])</f>
        <v>11</v>
      </c>
      <c r="M1111">
        <f>SalesData[[#This Row],[Sales]]/SalesData[[#This Row],[Quantity]]</f>
        <v>29.591999999999999</v>
      </c>
      <c r="N1111" t="str">
        <f>IF(SalesData[[#This Row],[Profit]]&gt;0,"Profit","Loss")</f>
        <v>Profit</v>
      </c>
    </row>
    <row r="1112" spans="1:14" x14ac:dyDescent="0.3">
      <c r="A1112" t="s">
        <v>3491</v>
      </c>
      <c r="B1112" s="3">
        <v>43041</v>
      </c>
      <c r="C1112" t="s">
        <v>17</v>
      </c>
      <c r="D1112" t="s">
        <v>21</v>
      </c>
      <c r="E1112" t="s">
        <v>1876</v>
      </c>
      <c r="F1112" s="1">
        <v>20.7</v>
      </c>
      <c r="G1112">
        <v>2</v>
      </c>
      <c r="H1112" s="1">
        <v>9.9359999999999999</v>
      </c>
      <c r="I1112" s="4">
        <f>SalesData[[#This Row],[Profit]]/SalesData[[#This Row],[Sales]]</f>
        <v>0.48000000000000004</v>
      </c>
      <c r="J1112">
        <f>YEAR(SalesData[[#This Row],[Order Date]])</f>
        <v>2017</v>
      </c>
      <c r="K1112" t="str">
        <f>TEXT(SalesData[[#This Row],[Order Date]],"mmm")</f>
        <v>Nov</v>
      </c>
      <c r="L1112">
        <f>MONTH(SalesData[[#This Row],[Order Date]])</f>
        <v>11</v>
      </c>
      <c r="M1112">
        <f>SalesData[[#This Row],[Sales]]/SalesData[[#This Row],[Quantity]]</f>
        <v>10.35</v>
      </c>
      <c r="N1112" t="str">
        <f>IF(SalesData[[#This Row],[Profit]]&gt;0,"Profit","Loss")</f>
        <v>Profit</v>
      </c>
    </row>
    <row r="1113" spans="1:14" x14ac:dyDescent="0.3">
      <c r="A1113" t="s">
        <v>3492</v>
      </c>
      <c r="B1113" s="3">
        <v>43041</v>
      </c>
      <c r="C1113" t="s">
        <v>17</v>
      </c>
      <c r="D1113" t="s">
        <v>14</v>
      </c>
      <c r="E1113" t="s">
        <v>1944</v>
      </c>
      <c r="F1113" s="1">
        <v>147.56800000000001</v>
      </c>
      <c r="G1113">
        <v>2</v>
      </c>
      <c r="H1113" s="1">
        <v>-3.6892</v>
      </c>
      <c r="I1113" s="4">
        <f>SalesData[[#This Row],[Profit]]/SalesData[[#This Row],[Sales]]</f>
        <v>-2.4999999999999998E-2</v>
      </c>
      <c r="J1113">
        <f>YEAR(SalesData[[#This Row],[Order Date]])</f>
        <v>2017</v>
      </c>
      <c r="K1113" t="str">
        <f>TEXT(SalesData[[#This Row],[Order Date]],"mmm")</f>
        <v>Nov</v>
      </c>
      <c r="L1113">
        <f>MONTH(SalesData[[#This Row],[Order Date]])</f>
        <v>11</v>
      </c>
      <c r="M1113">
        <f>SalesData[[#This Row],[Sales]]/SalesData[[#This Row],[Quantity]]</f>
        <v>73.784000000000006</v>
      </c>
      <c r="N1113" t="str">
        <f>IF(SalesData[[#This Row],[Profit]]&gt;0,"Profit","Loss")</f>
        <v>Loss</v>
      </c>
    </row>
    <row r="1114" spans="1:14" x14ac:dyDescent="0.3">
      <c r="A1114" t="s">
        <v>3493</v>
      </c>
      <c r="B1114" s="3">
        <v>43042</v>
      </c>
      <c r="C1114" t="s">
        <v>9</v>
      </c>
      <c r="D1114" t="s">
        <v>21</v>
      </c>
      <c r="E1114" t="s">
        <v>3494</v>
      </c>
      <c r="F1114" s="1">
        <v>895.92</v>
      </c>
      <c r="G1114">
        <v>4</v>
      </c>
      <c r="H1114" s="1">
        <v>421.08240000000001</v>
      </c>
      <c r="I1114" s="4">
        <f>SalesData[[#This Row],[Profit]]/SalesData[[#This Row],[Sales]]</f>
        <v>0.47000000000000003</v>
      </c>
      <c r="J1114">
        <f>YEAR(SalesData[[#This Row],[Order Date]])</f>
        <v>2017</v>
      </c>
      <c r="K1114" t="str">
        <f>TEXT(SalesData[[#This Row],[Order Date]],"mmm")</f>
        <v>Nov</v>
      </c>
      <c r="L1114">
        <f>MONTH(SalesData[[#This Row],[Order Date]])</f>
        <v>11</v>
      </c>
      <c r="M1114">
        <f>SalesData[[#This Row],[Sales]]/SalesData[[#This Row],[Quantity]]</f>
        <v>223.98</v>
      </c>
      <c r="N1114" t="str">
        <f>IF(SalesData[[#This Row],[Profit]]&gt;0,"Profit","Loss")</f>
        <v>Profit</v>
      </c>
    </row>
    <row r="1115" spans="1:14" x14ac:dyDescent="0.3">
      <c r="A1115" t="s">
        <v>3495</v>
      </c>
      <c r="B1115" s="3">
        <v>43042</v>
      </c>
      <c r="C1115" t="s">
        <v>17</v>
      </c>
      <c r="D1115" t="s">
        <v>10</v>
      </c>
      <c r="E1115" t="s">
        <v>2267</v>
      </c>
      <c r="F1115" s="1">
        <v>776.85</v>
      </c>
      <c r="G1115">
        <v>5</v>
      </c>
      <c r="H1115" s="1">
        <v>-181.26499999999999</v>
      </c>
      <c r="I1115" s="4">
        <f>SalesData[[#This Row],[Profit]]/SalesData[[#This Row],[Sales]]</f>
        <v>-0.23333333333333331</v>
      </c>
      <c r="J1115">
        <f>YEAR(SalesData[[#This Row],[Order Date]])</f>
        <v>2017</v>
      </c>
      <c r="K1115" t="str">
        <f>TEXT(SalesData[[#This Row],[Order Date]],"mmm")</f>
        <v>Nov</v>
      </c>
      <c r="L1115">
        <f>MONTH(SalesData[[#This Row],[Order Date]])</f>
        <v>11</v>
      </c>
      <c r="M1115">
        <f>SalesData[[#This Row],[Sales]]/SalesData[[#This Row],[Quantity]]</f>
        <v>155.37</v>
      </c>
      <c r="N1115" t="str">
        <f>IF(SalesData[[#This Row],[Profit]]&gt;0,"Profit","Loss")</f>
        <v>Loss</v>
      </c>
    </row>
    <row r="1116" spans="1:14" x14ac:dyDescent="0.3">
      <c r="A1116" t="s">
        <v>3495</v>
      </c>
      <c r="B1116" s="3">
        <v>43042</v>
      </c>
      <c r="C1116" t="s">
        <v>17</v>
      </c>
      <c r="D1116" t="s">
        <v>21</v>
      </c>
      <c r="E1116" t="s">
        <v>510</v>
      </c>
      <c r="F1116" s="1">
        <v>12.294</v>
      </c>
      <c r="G1116">
        <v>1</v>
      </c>
      <c r="H1116" s="1">
        <v>-8.6058000000000003</v>
      </c>
      <c r="I1116" s="4">
        <f>SalesData[[#This Row],[Profit]]/SalesData[[#This Row],[Sales]]</f>
        <v>-0.7</v>
      </c>
      <c r="J1116">
        <f>YEAR(SalesData[[#This Row],[Order Date]])</f>
        <v>2017</v>
      </c>
      <c r="K1116" t="str">
        <f>TEXT(SalesData[[#This Row],[Order Date]],"mmm")</f>
        <v>Nov</v>
      </c>
      <c r="L1116">
        <f>MONTH(SalesData[[#This Row],[Order Date]])</f>
        <v>11</v>
      </c>
      <c r="M1116">
        <f>SalesData[[#This Row],[Sales]]/SalesData[[#This Row],[Quantity]]</f>
        <v>12.294</v>
      </c>
      <c r="N1116" t="str">
        <f>IF(SalesData[[#This Row],[Profit]]&gt;0,"Profit","Loss")</f>
        <v>Loss</v>
      </c>
    </row>
    <row r="1117" spans="1:14" x14ac:dyDescent="0.3">
      <c r="A1117" t="s">
        <v>3495</v>
      </c>
      <c r="B1117" s="3">
        <v>43042</v>
      </c>
      <c r="C1117" t="s">
        <v>17</v>
      </c>
      <c r="D1117" t="s">
        <v>14</v>
      </c>
      <c r="E1117" t="s">
        <v>243</v>
      </c>
      <c r="F1117" s="1">
        <v>154.76400000000001</v>
      </c>
      <c r="G1117">
        <v>3</v>
      </c>
      <c r="H1117" s="1">
        <v>-46.429200000000002</v>
      </c>
      <c r="I1117" s="4">
        <f>SalesData[[#This Row],[Profit]]/SalesData[[#This Row],[Sales]]</f>
        <v>-0.3</v>
      </c>
      <c r="J1117">
        <f>YEAR(SalesData[[#This Row],[Order Date]])</f>
        <v>2017</v>
      </c>
      <c r="K1117" t="str">
        <f>TEXT(SalesData[[#This Row],[Order Date]],"mmm")</f>
        <v>Nov</v>
      </c>
      <c r="L1117">
        <f>MONTH(SalesData[[#This Row],[Order Date]])</f>
        <v>11</v>
      </c>
      <c r="M1117">
        <f>SalesData[[#This Row],[Sales]]/SalesData[[#This Row],[Quantity]]</f>
        <v>51.588000000000001</v>
      </c>
      <c r="N1117" t="str">
        <f>IF(SalesData[[#This Row],[Profit]]&gt;0,"Profit","Loss")</f>
        <v>Loss</v>
      </c>
    </row>
    <row r="1118" spans="1:14" x14ac:dyDescent="0.3">
      <c r="A1118" t="s">
        <v>3495</v>
      </c>
      <c r="B1118" s="3">
        <v>43042</v>
      </c>
      <c r="C1118" t="s">
        <v>17</v>
      </c>
      <c r="D1118" t="s">
        <v>21</v>
      </c>
      <c r="E1118" t="s">
        <v>3496</v>
      </c>
      <c r="F1118" s="1">
        <v>43.28</v>
      </c>
      <c r="G1118">
        <v>1</v>
      </c>
      <c r="H1118" s="1">
        <v>3.246</v>
      </c>
      <c r="I1118" s="4">
        <f>SalesData[[#This Row],[Profit]]/SalesData[[#This Row],[Sales]]</f>
        <v>7.4999999999999997E-2</v>
      </c>
      <c r="J1118">
        <f>YEAR(SalesData[[#This Row],[Order Date]])</f>
        <v>2017</v>
      </c>
      <c r="K1118" t="str">
        <f>TEXT(SalesData[[#This Row],[Order Date]],"mmm")</f>
        <v>Nov</v>
      </c>
      <c r="L1118">
        <f>MONTH(SalesData[[#This Row],[Order Date]])</f>
        <v>11</v>
      </c>
      <c r="M1118">
        <f>SalesData[[#This Row],[Sales]]/SalesData[[#This Row],[Quantity]]</f>
        <v>43.28</v>
      </c>
      <c r="N1118" t="str">
        <f>IF(SalesData[[#This Row],[Profit]]&gt;0,"Profit","Loss")</f>
        <v>Profit</v>
      </c>
    </row>
    <row r="1119" spans="1:14" x14ac:dyDescent="0.3">
      <c r="A1119" t="s">
        <v>3497</v>
      </c>
      <c r="B1119" s="3">
        <v>43042</v>
      </c>
      <c r="C1119" t="s">
        <v>17</v>
      </c>
      <c r="D1119" t="s">
        <v>10</v>
      </c>
      <c r="E1119" t="s">
        <v>3474</v>
      </c>
      <c r="F1119" s="1">
        <v>63.88</v>
      </c>
      <c r="G1119">
        <v>4</v>
      </c>
      <c r="H1119" s="1">
        <v>24.9132</v>
      </c>
      <c r="I1119" s="4">
        <f>SalesData[[#This Row],[Profit]]/SalesData[[#This Row],[Sales]]</f>
        <v>0.38999999999999996</v>
      </c>
      <c r="J1119">
        <f>YEAR(SalesData[[#This Row],[Order Date]])</f>
        <v>2017</v>
      </c>
      <c r="K1119" t="str">
        <f>TEXT(SalesData[[#This Row],[Order Date]],"mmm")</f>
        <v>Nov</v>
      </c>
      <c r="L1119">
        <f>MONTH(SalesData[[#This Row],[Order Date]])</f>
        <v>11</v>
      </c>
      <c r="M1119">
        <f>SalesData[[#This Row],[Sales]]/SalesData[[#This Row],[Quantity]]</f>
        <v>15.97</v>
      </c>
      <c r="N1119" t="str">
        <f>IF(SalesData[[#This Row],[Profit]]&gt;0,"Profit","Loss")</f>
        <v>Profit</v>
      </c>
    </row>
    <row r="1120" spans="1:14" x14ac:dyDescent="0.3">
      <c r="A1120" t="s">
        <v>3497</v>
      </c>
      <c r="B1120" s="3">
        <v>43042</v>
      </c>
      <c r="C1120" t="s">
        <v>17</v>
      </c>
      <c r="D1120" t="s">
        <v>14</v>
      </c>
      <c r="E1120" t="s">
        <v>3498</v>
      </c>
      <c r="F1120" s="1">
        <v>26.72</v>
      </c>
      <c r="G1120">
        <v>1</v>
      </c>
      <c r="H1120" s="1">
        <v>11.7568</v>
      </c>
      <c r="I1120" s="4">
        <f>SalesData[[#This Row],[Profit]]/SalesData[[#This Row],[Sales]]</f>
        <v>0.44</v>
      </c>
      <c r="J1120">
        <f>YEAR(SalesData[[#This Row],[Order Date]])</f>
        <v>2017</v>
      </c>
      <c r="K1120" t="str">
        <f>TEXT(SalesData[[#This Row],[Order Date]],"mmm")</f>
        <v>Nov</v>
      </c>
      <c r="L1120">
        <f>MONTH(SalesData[[#This Row],[Order Date]])</f>
        <v>11</v>
      </c>
      <c r="M1120">
        <f>SalesData[[#This Row],[Sales]]/SalesData[[#This Row],[Quantity]]</f>
        <v>26.72</v>
      </c>
      <c r="N1120" t="str">
        <f>IF(SalesData[[#This Row],[Profit]]&gt;0,"Profit","Loss")</f>
        <v>Profit</v>
      </c>
    </row>
    <row r="1121" spans="1:14" x14ac:dyDescent="0.3">
      <c r="A1121" t="s">
        <v>3499</v>
      </c>
      <c r="B1121" s="3">
        <v>43043</v>
      </c>
      <c r="C1121" t="s">
        <v>13</v>
      </c>
      <c r="D1121" t="s">
        <v>10</v>
      </c>
      <c r="E1121" t="s">
        <v>673</v>
      </c>
      <c r="F1121" s="1">
        <v>199.95</v>
      </c>
      <c r="G1121">
        <v>5</v>
      </c>
      <c r="H1121" s="1">
        <v>21.994499999999999</v>
      </c>
      <c r="I1121" s="4">
        <f>SalesData[[#This Row],[Profit]]/SalesData[[#This Row],[Sales]]</f>
        <v>0.11</v>
      </c>
      <c r="J1121">
        <f>YEAR(SalesData[[#This Row],[Order Date]])</f>
        <v>2017</v>
      </c>
      <c r="K1121" t="str">
        <f>TEXT(SalesData[[#This Row],[Order Date]],"mmm")</f>
        <v>Nov</v>
      </c>
      <c r="L1121">
        <f>MONTH(SalesData[[#This Row],[Order Date]])</f>
        <v>11</v>
      </c>
      <c r="M1121">
        <f>SalesData[[#This Row],[Sales]]/SalesData[[#This Row],[Quantity]]</f>
        <v>39.989999999999995</v>
      </c>
      <c r="N1121" t="str">
        <f>IF(SalesData[[#This Row],[Profit]]&gt;0,"Profit","Loss")</f>
        <v>Profit</v>
      </c>
    </row>
    <row r="1122" spans="1:14" x14ac:dyDescent="0.3">
      <c r="A1122" t="s">
        <v>3499</v>
      </c>
      <c r="B1122" s="3">
        <v>43043</v>
      </c>
      <c r="C1122" t="s">
        <v>13</v>
      </c>
      <c r="D1122" t="s">
        <v>21</v>
      </c>
      <c r="E1122" t="s">
        <v>3500</v>
      </c>
      <c r="F1122" s="1">
        <v>41.86</v>
      </c>
      <c r="G1122">
        <v>7</v>
      </c>
      <c r="H1122" s="1">
        <v>14.2324</v>
      </c>
      <c r="I1122" s="4">
        <f>SalesData[[#This Row],[Profit]]/SalesData[[#This Row],[Sales]]</f>
        <v>0.34</v>
      </c>
      <c r="J1122">
        <f>YEAR(SalesData[[#This Row],[Order Date]])</f>
        <v>2017</v>
      </c>
      <c r="K1122" t="str">
        <f>TEXT(SalesData[[#This Row],[Order Date]],"mmm")</f>
        <v>Nov</v>
      </c>
      <c r="L1122">
        <f>MONTH(SalesData[[#This Row],[Order Date]])</f>
        <v>11</v>
      </c>
      <c r="M1122">
        <f>SalesData[[#This Row],[Sales]]/SalesData[[#This Row],[Quantity]]</f>
        <v>5.9799999999999995</v>
      </c>
      <c r="N1122" t="str">
        <f>IF(SalesData[[#This Row],[Profit]]&gt;0,"Profit","Loss")</f>
        <v>Profit</v>
      </c>
    </row>
    <row r="1123" spans="1:14" x14ac:dyDescent="0.3">
      <c r="A1123" t="s">
        <v>3501</v>
      </c>
      <c r="B1123" s="3">
        <v>43043</v>
      </c>
      <c r="C1123" t="s">
        <v>9</v>
      </c>
      <c r="D1123" t="s">
        <v>21</v>
      </c>
      <c r="E1123" t="s">
        <v>3176</v>
      </c>
      <c r="F1123" s="1">
        <v>11.364000000000001</v>
      </c>
      <c r="G1123">
        <v>3</v>
      </c>
      <c r="H1123" s="1">
        <v>-17.045999999999999</v>
      </c>
      <c r="I1123" s="4">
        <f>SalesData[[#This Row],[Profit]]/SalesData[[#This Row],[Sales]]</f>
        <v>-1.4999999999999998</v>
      </c>
      <c r="J1123">
        <f>YEAR(SalesData[[#This Row],[Order Date]])</f>
        <v>2017</v>
      </c>
      <c r="K1123" t="str">
        <f>TEXT(SalesData[[#This Row],[Order Date]],"mmm")</f>
        <v>Nov</v>
      </c>
      <c r="L1123">
        <f>MONTH(SalesData[[#This Row],[Order Date]])</f>
        <v>11</v>
      </c>
      <c r="M1123">
        <f>SalesData[[#This Row],[Sales]]/SalesData[[#This Row],[Quantity]]</f>
        <v>3.7880000000000003</v>
      </c>
      <c r="N1123" t="str">
        <f>IF(SalesData[[#This Row],[Profit]]&gt;0,"Profit","Loss")</f>
        <v>Loss</v>
      </c>
    </row>
    <row r="1124" spans="1:14" x14ac:dyDescent="0.3">
      <c r="A1124" t="s">
        <v>3502</v>
      </c>
      <c r="B1124" s="3">
        <v>43043</v>
      </c>
      <c r="C1124" t="s">
        <v>17</v>
      </c>
      <c r="D1124" t="s">
        <v>21</v>
      </c>
      <c r="E1124" t="s">
        <v>1225</v>
      </c>
      <c r="F1124" s="1">
        <v>16.768000000000001</v>
      </c>
      <c r="G1124">
        <v>2</v>
      </c>
      <c r="H1124" s="1">
        <v>1.4672000000000001</v>
      </c>
      <c r="I1124" s="4">
        <f>SalesData[[#This Row],[Profit]]/SalesData[[#This Row],[Sales]]</f>
        <v>8.7499999999999994E-2</v>
      </c>
      <c r="J1124">
        <f>YEAR(SalesData[[#This Row],[Order Date]])</f>
        <v>2017</v>
      </c>
      <c r="K1124" t="str">
        <f>TEXT(SalesData[[#This Row],[Order Date]],"mmm")</f>
        <v>Nov</v>
      </c>
      <c r="L1124">
        <f>MONTH(SalesData[[#This Row],[Order Date]])</f>
        <v>11</v>
      </c>
      <c r="M1124">
        <f>SalesData[[#This Row],[Sales]]/SalesData[[#This Row],[Quantity]]</f>
        <v>8.3840000000000003</v>
      </c>
      <c r="N1124" t="str">
        <f>IF(SalesData[[#This Row],[Profit]]&gt;0,"Profit","Loss")</f>
        <v>Profit</v>
      </c>
    </row>
    <row r="1125" spans="1:14" x14ac:dyDescent="0.3">
      <c r="A1125" t="s">
        <v>3502</v>
      </c>
      <c r="B1125" s="3">
        <v>43043</v>
      </c>
      <c r="C1125" t="s">
        <v>17</v>
      </c>
      <c r="D1125" t="s">
        <v>10</v>
      </c>
      <c r="E1125" t="s">
        <v>504</v>
      </c>
      <c r="F1125" s="1">
        <v>27.12</v>
      </c>
      <c r="G1125">
        <v>2</v>
      </c>
      <c r="H1125" s="1">
        <v>-4.7460000000000004</v>
      </c>
      <c r="I1125" s="4">
        <f>SalesData[[#This Row],[Profit]]/SalesData[[#This Row],[Sales]]</f>
        <v>-0.17500000000000002</v>
      </c>
      <c r="J1125">
        <f>YEAR(SalesData[[#This Row],[Order Date]])</f>
        <v>2017</v>
      </c>
      <c r="K1125" t="str">
        <f>TEXT(SalesData[[#This Row],[Order Date]],"mmm")</f>
        <v>Nov</v>
      </c>
      <c r="L1125">
        <f>MONTH(SalesData[[#This Row],[Order Date]])</f>
        <v>11</v>
      </c>
      <c r="M1125">
        <f>SalesData[[#This Row],[Sales]]/SalesData[[#This Row],[Quantity]]</f>
        <v>13.56</v>
      </c>
      <c r="N1125" t="str">
        <f>IF(SalesData[[#This Row],[Profit]]&gt;0,"Profit","Loss")</f>
        <v>Loss</v>
      </c>
    </row>
    <row r="1126" spans="1:14" x14ac:dyDescent="0.3">
      <c r="A1126" t="s">
        <v>3503</v>
      </c>
      <c r="B1126" s="3">
        <v>43043</v>
      </c>
      <c r="C1126" t="s">
        <v>46</v>
      </c>
      <c r="D1126" t="s">
        <v>21</v>
      </c>
      <c r="E1126" t="s">
        <v>2830</v>
      </c>
      <c r="F1126" s="1">
        <v>1.752</v>
      </c>
      <c r="G1126">
        <v>1</v>
      </c>
      <c r="H1126" s="1">
        <v>0.15329999999999999</v>
      </c>
      <c r="I1126" s="4">
        <f>SalesData[[#This Row],[Profit]]/SalesData[[#This Row],[Sales]]</f>
        <v>8.7499999999999994E-2</v>
      </c>
      <c r="J1126">
        <f>YEAR(SalesData[[#This Row],[Order Date]])</f>
        <v>2017</v>
      </c>
      <c r="K1126" t="str">
        <f>TEXT(SalesData[[#This Row],[Order Date]],"mmm")</f>
        <v>Nov</v>
      </c>
      <c r="L1126">
        <f>MONTH(SalesData[[#This Row],[Order Date]])</f>
        <v>11</v>
      </c>
      <c r="M1126">
        <f>SalesData[[#This Row],[Sales]]/SalesData[[#This Row],[Quantity]]</f>
        <v>1.752</v>
      </c>
      <c r="N1126" t="str">
        <f>IF(SalesData[[#This Row],[Profit]]&gt;0,"Profit","Loss")</f>
        <v>Profit</v>
      </c>
    </row>
    <row r="1127" spans="1:14" x14ac:dyDescent="0.3">
      <c r="A1127" t="s">
        <v>3503</v>
      </c>
      <c r="B1127" s="3">
        <v>43043</v>
      </c>
      <c r="C1127" t="s">
        <v>46</v>
      </c>
      <c r="D1127" t="s">
        <v>21</v>
      </c>
      <c r="E1127" t="s">
        <v>395</v>
      </c>
      <c r="F1127" s="1">
        <v>20.992000000000001</v>
      </c>
      <c r="G1127">
        <v>8</v>
      </c>
      <c r="H1127" s="1">
        <v>2.3616000000000001</v>
      </c>
      <c r="I1127" s="4">
        <f>SalesData[[#This Row],[Profit]]/SalesData[[#This Row],[Sales]]</f>
        <v>0.1125</v>
      </c>
      <c r="J1127">
        <f>YEAR(SalesData[[#This Row],[Order Date]])</f>
        <v>2017</v>
      </c>
      <c r="K1127" t="str">
        <f>TEXT(SalesData[[#This Row],[Order Date]],"mmm")</f>
        <v>Nov</v>
      </c>
      <c r="L1127">
        <f>MONTH(SalesData[[#This Row],[Order Date]])</f>
        <v>11</v>
      </c>
      <c r="M1127">
        <f>SalesData[[#This Row],[Sales]]/SalesData[[#This Row],[Quantity]]</f>
        <v>2.6240000000000001</v>
      </c>
      <c r="N1127" t="str">
        <f>IF(SalesData[[#This Row],[Profit]]&gt;0,"Profit","Loss")</f>
        <v>Profit</v>
      </c>
    </row>
    <row r="1128" spans="1:14" x14ac:dyDescent="0.3">
      <c r="A1128" t="s">
        <v>3504</v>
      </c>
      <c r="B1128" s="3">
        <v>43044</v>
      </c>
      <c r="C1128" t="s">
        <v>13</v>
      </c>
      <c r="D1128" t="s">
        <v>21</v>
      </c>
      <c r="E1128" t="s">
        <v>3026</v>
      </c>
      <c r="F1128" s="1">
        <v>37.44</v>
      </c>
      <c r="G1128">
        <v>6</v>
      </c>
      <c r="H1128" s="1">
        <v>16.847999999999999</v>
      </c>
      <c r="I1128" s="4">
        <f>SalesData[[#This Row],[Profit]]/SalesData[[#This Row],[Sales]]</f>
        <v>0.45</v>
      </c>
      <c r="J1128">
        <f>YEAR(SalesData[[#This Row],[Order Date]])</f>
        <v>2017</v>
      </c>
      <c r="K1128" t="str">
        <f>TEXT(SalesData[[#This Row],[Order Date]],"mmm")</f>
        <v>Nov</v>
      </c>
      <c r="L1128">
        <f>MONTH(SalesData[[#This Row],[Order Date]])</f>
        <v>11</v>
      </c>
      <c r="M1128">
        <f>SalesData[[#This Row],[Sales]]/SalesData[[#This Row],[Quantity]]</f>
        <v>6.2399999999999993</v>
      </c>
      <c r="N1128" t="str">
        <f>IF(SalesData[[#This Row],[Profit]]&gt;0,"Profit","Loss")</f>
        <v>Profit</v>
      </c>
    </row>
    <row r="1129" spans="1:14" x14ac:dyDescent="0.3">
      <c r="A1129" t="s">
        <v>3504</v>
      </c>
      <c r="B1129" s="3">
        <v>43044</v>
      </c>
      <c r="C1129" t="s">
        <v>13</v>
      </c>
      <c r="D1129" t="s">
        <v>21</v>
      </c>
      <c r="E1129" t="s">
        <v>1492</v>
      </c>
      <c r="F1129" s="1">
        <v>37.590000000000003</v>
      </c>
      <c r="G1129">
        <v>3</v>
      </c>
      <c r="H1129" s="1">
        <v>17.667300000000001</v>
      </c>
      <c r="I1129" s="4">
        <f>SalesData[[#This Row],[Profit]]/SalesData[[#This Row],[Sales]]</f>
        <v>0.47</v>
      </c>
      <c r="J1129">
        <f>YEAR(SalesData[[#This Row],[Order Date]])</f>
        <v>2017</v>
      </c>
      <c r="K1129" t="str">
        <f>TEXT(SalesData[[#This Row],[Order Date]],"mmm")</f>
        <v>Nov</v>
      </c>
      <c r="L1129">
        <f>MONTH(SalesData[[#This Row],[Order Date]])</f>
        <v>11</v>
      </c>
      <c r="M1129">
        <f>SalesData[[#This Row],[Sales]]/SalesData[[#This Row],[Quantity]]</f>
        <v>12.530000000000001</v>
      </c>
      <c r="N1129" t="str">
        <f>IF(SalesData[[#This Row],[Profit]]&gt;0,"Profit","Loss")</f>
        <v>Profit</v>
      </c>
    </row>
    <row r="1130" spans="1:14" x14ac:dyDescent="0.3">
      <c r="A1130" t="s">
        <v>3504</v>
      </c>
      <c r="B1130" s="3">
        <v>43044</v>
      </c>
      <c r="C1130" t="s">
        <v>13</v>
      </c>
      <c r="D1130" t="s">
        <v>21</v>
      </c>
      <c r="E1130" t="s">
        <v>379</v>
      </c>
      <c r="F1130" s="1">
        <v>26.032</v>
      </c>
      <c r="G1130">
        <v>2</v>
      </c>
      <c r="H1130" s="1">
        <v>9.4366000000000003</v>
      </c>
      <c r="I1130" s="4">
        <f>SalesData[[#This Row],[Profit]]/SalesData[[#This Row],[Sales]]</f>
        <v>0.36249999999999999</v>
      </c>
      <c r="J1130">
        <f>YEAR(SalesData[[#This Row],[Order Date]])</f>
        <v>2017</v>
      </c>
      <c r="K1130" t="str">
        <f>TEXT(SalesData[[#This Row],[Order Date]],"mmm")</f>
        <v>Nov</v>
      </c>
      <c r="L1130">
        <f>MONTH(SalesData[[#This Row],[Order Date]])</f>
        <v>11</v>
      </c>
      <c r="M1130">
        <f>SalesData[[#This Row],[Sales]]/SalesData[[#This Row],[Quantity]]</f>
        <v>13.016</v>
      </c>
      <c r="N1130" t="str">
        <f>IF(SalesData[[#This Row],[Profit]]&gt;0,"Profit","Loss")</f>
        <v>Profit</v>
      </c>
    </row>
    <row r="1131" spans="1:14" x14ac:dyDescent="0.3">
      <c r="A1131" t="s">
        <v>3505</v>
      </c>
      <c r="B1131" s="3">
        <v>43044</v>
      </c>
      <c r="C1131" t="s">
        <v>9</v>
      </c>
      <c r="D1131" t="s">
        <v>21</v>
      </c>
      <c r="E1131" t="s">
        <v>3506</v>
      </c>
      <c r="F1131" s="1">
        <v>5.2480000000000002</v>
      </c>
      <c r="G1131">
        <v>2</v>
      </c>
      <c r="H1131" s="1">
        <v>0.59040000000000004</v>
      </c>
      <c r="I1131" s="4">
        <f>SalesData[[#This Row],[Profit]]/SalesData[[#This Row],[Sales]]</f>
        <v>0.1125</v>
      </c>
      <c r="J1131">
        <f>YEAR(SalesData[[#This Row],[Order Date]])</f>
        <v>2017</v>
      </c>
      <c r="K1131" t="str">
        <f>TEXT(SalesData[[#This Row],[Order Date]],"mmm")</f>
        <v>Nov</v>
      </c>
      <c r="L1131">
        <f>MONTH(SalesData[[#This Row],[Order Date]])</f>
        <v>11</v>
      </c>
      <c r="M1131">
        <f>SalesData[[#This Row],[Sales]]/SalesData[[#This Row],[Quantity]]</f>
        <v>2.6240000000000001</v>
      </c>
      <c r="N1131" t="str">
        <f>IF(SalesData[[#This Row],[Profit]]&gt;0,"Profit","Loss")</f>
        <v>Profit</v>
      </c>
    </row>
    <row r="1132" spans="1:14" x14ac:dyDescent="0.3">
      <c r="A1132" t="s">
        <v>3505</v>
      </c>
      <c r="B1132" s="3">
        <v>43044</v>
      </c>
      <c r="C1132" t="s">
        <v>9</v>
      </c>
      <c r="D1132" t="s">
        <v>21</v>
      </c>
      <c r="E1132" t="s">
        <v>321</v>
      </c>
      <c r="F1132" s="1">
        <v>74.415999999999997</v>
      </c>
      <c r="G1132">
        <v>2</v>
      </c>
      <c r="H1132" s="1">
        <v>-14.8832</v>
      </c>
      <c r="I1132" s="4">
        <f>SalesData[[#This Row],[Profit]]/SalesData[[#This Row],[Sales]]</f>
        <v>-0.2</v>
      </c>
      <c r="J1132">
        <f>YEAR(SalesData[[#This Row],[Order Date]])</f>
        <v>2017</v>
      </c>
      <c r="K1132" t="str">
        <f>TEXT(SalesData[[#This Row],[Order Date]],"mmm")</f>
        <v>Nov</v>
      </c>
      <c r="L1132">
        <f>MONTH(SalesData[[#This Row],[Order Date]])</f>
        <v>11</v>
      </c>
      <c r="M1132">
        <f>SalesData[[#This Row],[Sales]]/SalesData[[#This Row],[Quantity]]</f>
        <v>37.207999999999998</v>
      </c>
      <c r="N1132" t="str">
        <f>IF(SalesData[[#This Row],[Profit]]&gt;0,"Profit","Loss")</f>
        <v>Loss</v>
      </c>
    </row>
    <row r="1133" spans="1:14" x14ac:dyDescent="0.3">
      <c r="A1133" t="s">
        <v>3505</v>
      </c>
      <c r="B1133" s="3">
        <v>43044</v>
      </c>
      <c r="C1133" t="s">
        <v>9</v>
      </c>
      <c r="D1133" t="s">
        <v>21</v>
      </c>
      <c r="E1133" t="s">
        <v>3507</v>
      </c>
      <c r="F1133" s="1">
        <v>6.8479999999999999</v>
      </c>
      <c r="G1133">
        <v>2</v>
      </c>
      <c r="H1133" s="1">
        <v>2.14</v>
      </c>
      <c r="I1133" s="4">
        <f>SalesData[[#This Row],[Profit]]/SalesData[[#This Row],[Sales]]</f>
        <v>0.3125</v>
      </c>
      <c r="J1133">
        <f>YEAR(SalesData[[#This Row],[Order Date]])</f>
        <v>2017</v>
      </c>
      <c r="K1133" t="str">
        <f>TEXT(SalesData[[#This Row],[Order Date]],"mmm")</f>
        <v>Nov</v>
      </c>
      <c r="L1133">
        <f>MONTH(SalesData[[#This Row],[Order Date]])</f>
        <v>11</v>
      </c>
      <c r="M1133">
        <f>SalesData[[#This Row],[Sales]]/SalesData[[#This Row],[Quantity]]</f>
        <v>3.4239999999999999</v>
      </c>
      <c r="N1133" t="str">
        <f>IF(SalesData[[#This Row],[Profit]]&gt;0,"Profit","Loss")</f>
        <v>Profit</v>
      </c>
    </row>
    <row r="1134" spans="1:14" x14ac:dyDescent="0.3">
      <c r="A1134" t="s">
        <v>3505</v>
      </c>
      <c r="B1134" s="3">
        <v>43044</v>
      </c>
      <c r="C1134" t="s">
        <v>9</v>
      </c>
      <c r="D1134" t="s">
        <v>14</v>
      </c>
      <c r="E1134" t="s">
        <v>449</v>
      </c>
      <c r="F1134" s="1">
        <v>7.9960000000000004</v>
      </c>
      <c r="G1134">
        <v>1</v>
      </c>
      <c r="H1134" s="1">
        <v>-6.9965000000000002</v>
      </c>
      <c r="I1134" s="4">
        <f>SalesData[[#This Row],[Profit]]/SalesData[[#This Row],[Sales]]</f>
        <v>-0.875</v>
      </c>
      <c r="J1134">
        <f>YEAR(SalesData[[#This Row],[Order Date]])</f>
        <v>2017</v>
      </c>
      <c r="K1134" t="str">
        <f>TEXT(SalesData[[#This Row],[Order Date]],"mmm")</f>
        <v>Nov</v>
      </c>
      <c r="L1134">
        <f>MONTH(SalesData[[#This Row],[Order Date]])</f>
        <v>11</v>
      </c>
      <c r="M1134">
        <f>SalesData[[#This Row],[Sales]]/SalesData[[#This Row],[Quantity]]</f>
        <v>7.9960000000000004</v>
      </c>
      <c r="N1134" t="str">
        <f>IF(SalesData[[#This Row],[Profit]]&gt;0,"Profit","Loss")</f>
        <v>Loss</v>
      </c>
    </row>
    <row r="1135" spans="1:14" x14ac:dyDescent="0.3">
      <c r="A1135" t="s">
        <v>3508</v>
      </c>
      <c r="B1135" s="3">
        <v>43044</v>
      </c>
      <c r="C1135" t="s">
        <v>13</v>
      </c>
      <c r="D1135" t="s">
        <v>14</v>
      </c>
      <c r="E1135" t="s">
        <v>830</v>
      </c>
      <c r="F1135" s="1">
        <v>209.97900000000001</v>
      </c>
      <c r="G1135">
        <v>7</v>
      </c>
      <c r="H1135" s="1">
        <v>-356.96429999999998</v>
      </c>
      <c r="I1135" s="4">
        <f>SalesData[[#This Row],[Profit]]/SalesData[[#This Row],[Sales]]</f>
        <v>-1.6999999999999997</v>
      </c>
      <c r="J1135">
        <f>YEAR(SalesData[[#This Row],[Order Date]])</f>
        <v>2017</v>
      </c>
      <c r="K1135" t="str">
        <f>TEXT(SalesData[[#This Row],[Order Date]],"mmm")</f>
        <v>Nov</v>
      </c>
      <c r="L1135">
        <f>MONTH(SalesData[[#This Row],[Order Date]])</f>
        <v>11</v>
      </c>
      <c r="M1135">
        <f>SalesData[[#This Row],[Sales]]/SalesData[[#This Row],[Quantity]]</f>
        <v>29.997000000000003</v>
      </c>
      <c r="N1135" t="str">
        <f>IF(SalesData[[#This Row],[Profit]]&gt;0,"Profit","Loss")</f>
        <v>Loss</v>
      </c>
    </row>
    <row r="1136" spans="1:14" x14ac:dyDescent="0.3">
      <c r="A1136" t="s">
        <v>3509</v>
      </c>
      <c r="B1136" s="3">
        <v>43044</v>
      </c>
      <c r="C1136" t="s">
        <v>17</v>
      </c>
      <c r="D1136" t="s">
        <v>21</v>
      </c>
      <c r="E1136" t="s">
        <v>3510</v>
      </c>
      <c r="F1136" s="1">
        <v>43.92</v>
      </c>
      <c r="G1136">
        <v>3</v>
      </c>
      <c r="H1136" s="1">
        <v>12.736800000000001</v>
      </c>
      <c r="I1136" s="4">
        <f>SalesData[[#This Row],[Profit]]/SalesData[[#This Row],[Sales]]</f>
        <v>0.28999999999999998</v>
      </c>
      <c r="J1136">
        <f>YEAR(SalesData[[#This Row],[Order Date]])</f>
        <v>2017</v>
      </c>
      <c r="K1136" t="str">
        <f>TEXT(SalesData[[#This Row],[Order Date]],"mmm")</f>
        <v>Nov</v>
      </c>
      <c r="L1136">
        <f>MONTH(SalesData[[#This Row],[Order Date]])</f>
        <v>11</v>
      </c>
      <c r="M1136">
        <f>SalesData[[#This Row],[Sales]]/SalesData[[#This Row],[Quantity]]</f>
        <v>14.64</v>
      </c>
      <c r="N1136" t="str">
        <f>IF(SalesData[[#This Row],[Profit]]&gt;0,"Profit","Loss")</f>
        <v>Profit</v>
      </c>
    </row>
    <row r="1137" spans="1:14" x14ac:dyDescent="0.3">
      <c r="A1137" t="s">
        <v>3511</v>
      </c>
      <c r="B1137" s="3">
        <v>43045</v>
      </c>
      <c r="C1137" t="s">
        <v>13</v>
      </c>
      <c r="D1137" t="s">
        <v>21</v>
      </c>
      <c r="E1137" t="s">
        <v>2173</v>
      </c>
      <c r="F1137" s="1">
        <v>122.97</v>
      </c>
      <c r="G1137">
        <v>3</v>
      </c>
      <c r="H1137" s="1">
        <v>60.255299999999998</v>
      </c>
      <c r="I1137" s="4">
        <f>SalesData[[#This Row],[Profit]]/SalesData[[#This Row],[Sales]]</f>
        <v>0.49</v>
      </c>
      <c r="J1137">
        <f>YEAR(SalesData[[#This Row],[Order Date]])</f>
        <v>2017</v>
      </c>
      <c r="K1137" t="str">
        <f>TEXT(SalesData[[#This Row],[Order Date]],"mmm")</f>
        <v>Nov</v>
      </c>
      <c r="L1137">
        <f>MONTH(SalesData[[#This Row],[Order Date]])</f>
        <v>11</v>
      </c>
      <c r="M1137">
        <f>SalesData[[#This Row],[Sales]]/SalesData[[#This Row],[Quantity]]</f>
        <v>40.99</v>
      </c>
      <c r="N1137" t="str">
        <f>IF(SalesData[[#This Row],[Profit]]&gt;0,"Profit","Loss")</f>
        <v>Profit</v>
      </c>
    </row>
    <row r="1138" spans="1:14" x14ac:dyDescent="0.3">
      <c r="A1138" t="s">
        <v>3512</v>
      </c>
      <c r="B1138" s="3">
        <v>43045</v>
      </c>
      <c r="C1138" t="s">
        <v>13</v>
      </c>
      <c r="D1138" t="s">
        <v>14</v>
      </c>
      <c r="E1138" t="s">
        <v>3513</v>
      </c>
      <c r="F1138" s="1">
        <v>280.79199999999997</v>
      </c>
      <c r="G1138">
        <v>1</v>
      </c>
      <c r="H1138" s="1">
        <v>35.098999999999997</v>
      </c>
      <c r="I1138" s="4">
        <f>SalesData[[#This Row],[Profit]]/SalesData[[#This Row],[Sales]]</f>
        <v>0.125</v>
      </c>
      <c r="J1138">
        <f>YEAR(SalesData[[#This Row],[Order Date]])</f>
        <v>2017</v>
      </c>
      <c r="K1138" t="str">
        <f>TEXT(SalesData[[#This Row],[Order Date]],"mmm")</f>
        <v>Nov</v>
      </c>
      <c r="L1138">
        <f>MONTH(SalesData[[#This Row],[Order Date]])</f>
        <v>11</v>
      </c>
      <c r="M1138">
        <f>SalesData[[#This Row],[Sales]]/SalesData[[#This Row],[Quantity]]</f>
        <v>280.79199999999997</v>
      </c>
      <c r="N1138" t="str">
        <f>IF(SalesData[[#This Row],[Profit]]&gt;0,"Profit","Loss")</f>
        <v>Profit</v>
      </c>
    </row>
    <row r="1139" spans="1:14" x14ac:dyDescent="0.3">
      <c r="A1139" t="s">
        <v>3512</v>
      </c>
      <c r="B1139" s="3">
        <v>43045</v>
      </c>
      <c r="C1139" t="s">
        <v>13</v>
      </c>
      <c r="D1139" t="s">
        <v>21</v>
      </c>
      <c r="E1139" t="s">
        <v>1024</v>
      </c>
      <c r="F1139" s="1">
        <v>68.447999999999993</v>
      </c>
      <c r="G1139">
        <v>4</v>
      </c>
      <c r="H1139" s="1">
        <v>7.7004000000000001</v>
      </c>
      <c r="I1139" s="4">
        <f>SalesData[[#This Row],[Profit]]/SalesData[[#This Row],[Sales]]</f>
        <v>0.11250000000000002</v>
      </c>
      <c r="J1139">
        <f>YEAR(SalesData[[#This Row],[Order Date]])</f>
        <v>2017</v>
      </c>
      <c r="K1139" t="str">
        <f>TEXT(SalesData[[#This Row],[Order Date]],"mmm")</f>
        <v>Nov</v>
      </c>
      <c r="L1139">
        <f>MONTH(SalesData[[#This Row],[Order Date]])</f>
        <v>11</v>
      </c>
      <c r="M1139">
        <f>SalesData[[#This Row],[Sales]]/SalesData[[#This Row],[Quantity]]</f>
        <v>17.111999999999998</v>
      </c>
      <c r="N1139" t="str">
        <f>IF(SalesData[[#This Row],[Profit]]&gt;0,"Profit","Loss")</f>
        <v>Profit</v>
      </c>
    </row>
    <row r="1140" spans="1:14" x14ac:dyDescent="0.3">
      <c r="A1140" t="s">
        <v>3512</v>
      </c>
      <c r="B1140" s="3">
        <v>43045</v>
      </c>
      <c r="C1140" t="s">
        <v>13</v>
      </c>
      <c r="D1140" t="s">
        <v>21</v>
      </c>
      <c r="E1140" t="s">
        <v>1874</v>
      </c>
      <c r="F1140" s="1">
        <v>88.04</v>
      </c>
      <c r="G1140">
        <v>5</v>
      </c>
      <c r="H1140" s="1">
        <v>6.6029999999999998</v>
      </c>
      <c r="I1140" s="4">
        <f>SalesData[[#This Row],[Profit]]/SalesData[[#This Row],[Sales]]</f>
        <v>7.4999999999999997E-2</v>
      </c>
      <c r="J1140">
        <f>YEAR(SalesData[[#This Row],[Order Date]])</f>
        <v>2017</v>
      </c>
      <c r="K1140" t="str">
        <f>TEXT(SalesData[[#This Row],[Order Date]],"mmm")</f>
        <v>Nov</v>
      </c>
      <c r="L1140">
        <f>MONTH(SalesData[[#This Row],[Order Date]])</f>
        <v>11</v>
      </c>
      <c r="M1140">
        <f>SalesData[[#This Row],[Sales]]/SalesData[[#This Row],[Quantity]]</f>
        <v>17.608000000000001</v>
      </c>
      <c r="N1140" t="str">
        <f>IF(SalesData[[#This Row],[Profit]]&gt;0,"Profit","Loss")</f>
        <v>Profit</v>
      </c>
    </row>
    <row r="1141" spans="1:14" x14ac:dyDescent="0.3">
      <c r="A1141" t="s">
        <v>3512</v>
      </c>
      <c r="B1141" s="3">
        <v>43045</v>
      </c>
      <c r="C1141" t="s">
        <v>13</v>
      </c>
      <c r="D1141" t="s">
        <v>21</v>
      </c>
      <c r="E1141" t="s">
        <v>317</v>
      </c>
      <c r="F1141" s="1">
        <v>15.872</v>
      </c>
      <c r="G1141">
        <v>1</v>
      </c>
      <c r="H1141" s="1">
        <v>1.984</v>
      </c>
      <c r="I1141" s="4">
        <f>SalesData[[#This Row],[Profit]]/SalesData[[#This Row],[Sales]]</f>
        <v>0.125</v>
      </c>
      <c r="J1141">
        <f>YEAR(SalesData[[#This Row],[Order Date]])</f>
        <v>2017</v>
      </c>
      <c r="K1141" t="str">
        <f>TEXT(SalesData[[#This Row],[Order Date]],"mmm")</f>
        <v>Nov</v>
      </c>
      <c r="L1141">
        <f>MONTH(SalesData[[#This Row],[Order Date]])</f>
        <v>11</v>
      </c>
      <c r="M1141">
        <f>SalesData[[#This Row],[Sales]]/SalesData[[#This Row],[Quantity]]</f>
        <v>15.872</v>
      </c>
      <c r="N1141" t="str">
        <f>IF(SalesData[[#This Row],[Profit]]&gt;0,"Profit","Loss")</f>
        <v>Profit</v>
      </c>
    </row>
    <row r="1142" spans="1:14" x14ac:dyDescent="0.3">
      <c r="A1142" t="s">
        <v>3512</v>
      </c>
      <c r="B1142" s="3">
        <v>43045</v>
      </c>
      <c r="C1142" t="s">
        <v>13</v>
      </c>
      <c r="D1142" t="s">
        <v>21</v>
      </c>
      <c r="E1142" t="s">
        <v>3369</v>
      </c>
      <c r="F1142" s="1">
        <v>215.59200000000001</v>
      </c>
      <c r="G1142">
        <v>3</v>
      </c>
      <c r="H1142" s="1">
        <v>-48.508200000000002</v>
      </c>
      <c r="I1142" s="4">
        <f>SalesData[[#This Row],[Profit]]/SalesData[[#This Row],[Sales]]</f>
        <v>-0.22500000000000001</v>
      </c>
      <c r="J1142">
        <f>YEAR(SalesData[[#This Row],[Order Date]])</f>
        <v>2017</v>
      </c>
      <c r="K1142" t="str">
        <f>TEXT(SalesData[[#This Row],[Order Date]],"mmm")</f>
        <v>Nov</v>
      </c>
      <c r="L1142">
        <f>MONTH(SalesData[[#This Row],[Order Date]])</f>
        <v>11</v>
      </c>
      <c r="M1142">
        <f>SalesData[[#This Row],[Sales]]/SalesData[[#This Row],[Quantity]]</f>
        <v>71.864000000000004</v>
      </c>
      <c r="N1142" t="str">
        <f>IF(SalesData[[#This Row],[Profit]]&gt;0,"Profit","Loss")</f>
        <v>Loss</v>
      </c>
    </row>
    <row r="1143" spans="1:14" x14ac:dyDescent="0.3">
      <c r="A1143" t="s">
        <v>3514</v>
      </c>
      <c r="B1143" s="3">
        <v>43045</v>
      </c>
      <c r="C1143" t="s">
        <v>46</v>
      </c>
      <c r="D1143" t="s">
        <v>21</v>
      </c>
      <c r="E1143" t="s">
        <v>91</v>
      </c>
      <c r="F1143" s="1">
        <v>3.76</v>
      </c>
      <c r="G1143">
        <v>2</v>
      </c>
      <c r="H1143" s="1">
        <v>1.0904</v>
      </c>
      <c r="I1143" s="4">
        <f>SalesData[[#This Row],[Profit]]/SalesData[[#This Row],[Sales]]</f>
        <v>0.29000000000000004</v>
      </c>
      <c r="J1143">
        <f>YEAR(SalesData[[#This Row],[Order Date]])</f>
        <v>2017</v>
      </c>
      <c r="K1143" t="str">
        <f>TEXT(SalesData[[#This Row],[Order Date]],"mmm")</f>
        <v>Nov</v>
      </c>
      <c r="L1143">
        <f>MONTH(SalesData[[#This Row],[Order Date]])</f>
        <v>11</v>
      </c>
      <c r="M1143">
        <f>SalesData[[#This Row],[Sales]]/SalesData[[#This Row],[Quantity]]</f>
        <v>1.88</v>
      </c>
      <c r="N1143" t="str">
        <f>IF(SalesData[[#This Row],[Profit]]&gt;0,"Profit","Loss")</f>
        <v>Profit</v>
      </c>
    </row>
    <row r="1144" spans="1:14" x14ac:dyDescent="0.3">
      <c r="A1144" t="s">
        <v>3515</v>
      </c>
      <c r="B1144" s="3">
        <v>43045</v>
      </c>
      <c r="C1144" t="s">
        <v>13</v>
      </c>
      <c r="D1144" t="s">
        <v>21</v>
      </c>
      <c r="E1144" t="s">
        <v>2332</v>
      </c>
      <c r="F1144" s="1">
        <v>37.94</v>
      </c>
      <c r="G1144">
        <v>2</v>
      </c>
      <c r="H1144" s="1">
        <v>18.211200000000002</v>
      </c>
      <c r="I1144" s="4">
        <f>SalesData[[#This Row],[Profit]]/SalesData[[#This Row],[Sales]]</f>
        <v>0.48000000000000009</v>
      </c>
      <c r="J1144">
        <f>YEAR(SalesData[[#This Row],[Order Date]])</f>
        <v>2017</v>
      </c>
      <c r="K1144" t="str">
        <f>TEXT(SalesData[[#This Row],[Order Date]],"mmm")</f>
        <v>Nov</v>
      </c>
      <c r="L1144">
        <f>MONTH(SalesData[[#This Row],[Order Date]])</f>
        <v>11</v>
      </c>
      <c r="M1144">
        <f>SalesData[[#This Row],[Sales]]/SalesData[[#This Row],[Quantity]]</f>
        <v>18.97</v>
      </c>
      <c r="N1144" t="str">
        <f>IF(SalesData[[#This Row],[Profit]]&gt;0,"Profit","Loss")</f>
        <v>Profit</v>
      </c>
    </row>
    <row r="1145" spans="1:14" x14ac:dyDescent="0.3">
      <c r="A1145" t="s">
        <v>3515</v>
      </c>
      <c r="B1145" s="3">
        <v>43045</v>
      </c>
      <c r="C1145" t="s">
        <v>13</v>
      </c>
      <c r="D1145" t="s">
        <v>21</v>
      </c>
      <c r="E1145" t="s">
        <v>2793</v>
      </c>
      <c r="F1145" s="1">
        <v>18.288</v>
      </c>
      <c r="G1145">
        <v>6</v>
      </c>
      <c r="H1145" s="1">
        <v>6.6294000000000004</v>
      </c>
      <c r="I1145" s="4">
        <f>SalesData[[#This Row],[Profit]]/SalesData[[#This Row],[Sales]]</f>
        <v>0.36250000000000004</v>
      </c>
      <c r="J1145">
        <f>YEAR(SalesData[[#This Row],[Order Date]])</f>
        <v>2017</v>
      </c>
      <c r="K1145" t="str">
        <f>TEXT(SalesData[[#This Row],[Order Date]],"mmm")</f>
        <v>Nov</v>
      </c>
      <c r="L1145">
        <f>MONTH(SalesData[[#This Row],[Order Date]])</f>
        <v>11</v>
      </c>
      <c r="M1145">
        <f>SalesData[[#This Row],[Sales]]/SalesData[[#This Row],[Quantity]]</f>
        <v>3.048</v>
      </c>
      <c r="N1145" t="str">
        <f>IF(SalesData[[#This Row],[Profit]]&gt;0,"Profit","Loss")</f>
        <v>Profit</v>
      </c>
    </row>
    <row r="1146" spans="1:14" x14ac:dyDescent="0.3">
      <c r="A1146" t="s">
        <v>3515</v>
      </c>
      <c r="B1146" s="3">
        <v>43045</v>
      </c>
      <c r="C1146" t="s">
        <v>13</v>
      </c>
      <c r="D1146" t="s">
        <v>10</v>
      </c>
      <c r="E1146" t="s">
        <v>3516</v>
      </c>
      <c r="F1146" s="1">
        <v>385.8</v>
      </c>
      <c r="G1146">
        <v>5</v>
      </c>
      <c r="H1146" s="1">
        <v>130.20750000000001</v>
      </c>
      <c r="I1146" s="4">
        <f>SalesData[[#This Row],[Profit]]/SalesData[[#This Row],[Sales]]</f>
        <v>0.33750000000000002</v>
      </c>
      <c r="J1146">
        <f>YEAR(SalesData[[#This Row],[Order Date]])</f>
        <v>2017</v>
      </c>
      <c r="K1146" t="str">
        <f>TEXT(SalesData[[#This Row],[Order Date]],"mmm")</f>
        <v>Nov</v>
      </c>
      <c r="L1146">
        <f>MONTH(SalesData[[#This Row],[Order Date]])</f>
        <v>11</v>
      </c>
      <c r="M1146">
        <f>SalesData[[#This Row],[Sales]]/SalesData[[#This Row],[Quantity]]</f>
        <v>77.16</v>
      </c>
      <c r="N1146" t="str">
        <f>IF(SalesData[[#This Row],[Profit]]&gt;0,"Profit","Loss")</f>
        <v>Profit</v>
      </c>
    </row>
    <row r="1147" spans="1:14" x14ac:dyDescent="0.3">
      <c r="A1147" t="s">
        <v>3515</v>
      </c>
      <c r="B1147" s="3">
        <v>43045</v>
      </c>
      <c r="C1147" t="s">
        <v>13</v>
      </c>
      <c r="D1147" t="s">
        <v>21</v>
      </c>
      <c r="E1147" t="s">
        <v>1445</v>
      </c>
      <c r="F1147" s="1">
        <v>102.96</v>
      </c>
      <c r="G1147">
        <v>2</v>
      </c>
      <c r="H1147" s="1">
        <v>1.0296000000000001</v>
      </c>
      <c r="I1147" s="4">
        <f>SalesData[[#This Row],[Profit]]/SalesData[[#This Row],[Sales]]</f>
        <v>1.0000000000000002E-2</v>
      </c>
      <c r="J1147">
        <f>YEAR(SalesData[[#This Row],[Order Date]])</f>
        <v>2017</v>
      </c>
      <c r="K1147" t="str">
        <f>TEXT(SalesData[[#This Row],[Order Date]],"mmm")</f>
        <v>Nov</v>
      </c>
      <c r="L1147">
        <f>MONTH(SalesData[[#This Row],[Order Date]])</f>
        <v>11</v>
      </c>
      <c r="M1147">
        <f>SalesData[[#This Row],[Sales]]/SalesData[[#This Row],[Quantity]]</f>
        <v>51.48</v>
      </c>
      <c r="N1147" t="str">
        <f>IF(SalesData[[#This Row],[Profit]]&gt;0,"Profit","Loss")</f>
        <v>Profit</v>
      </c>
    </row>
    <row r="1148" spans="1:14" x14ac:dyDescent="0.3">
      <c r="A1148" t="s">
        <v>3515</v>
      </c>
      <c r="B1148" s="3">
        <v>43045</v>
      </c>
      <c r="C1148" t="s">
        <v>13</v>
      </c>
      <c r="D1148" t="s">
        <v>14</v>
      </c>
      <c r="E1148" t="s">
        <v>3212</v>
      </c>
      <c r="F1148" s="1">
        <v>174.42</v>
      </c>
      <c r="G1148">
        <v>3</v>
      </c>
      <c r="H1148" s="1">
        <v>41.860799999999998</v>
      </c>
      <c r="I1148" s="4">
        <f>SalesData[[#This Row],[Profit]]/SalesData[[#This Row],[Sales]]</f>
        <v>0.24</v>
      </c>
      <c r="J1148">
        <f>YEAR(SalesData[[#This Row],[Order Date]])</f>
        <v>2017</v>
      </c>
      <c r="K1148" t="str">
        <f>TEXT(SalesData[[#This Row],[Order Date]],"mmm")</f>
        <v>Nov</v>
      </c>
      <c r="L1148">
        <f>MONTH(SalesData[[#This Row],[Order Date]])</f>
        <v>11</v>
      </c>
      <c r="M1148">
        <f>SalesData[[#This Row],[Sales]]/SalesData[[#This Row],[Quantity]]</f>
        <v>58.139999999999993</v>
      </c>
      <c r="N1148" t="str">
        <f>IF(SalesData[[#This Row],[Profit]]&gt;0,"Profit","Loss")</f>
        <v>Profit</v>
      </c>
    </row>
    <row r="1149" spans="1:14" x14ac:dyDescent="0.3">
      <c r="A1149" t="s">
        <v>3517</v>
      </c>
      <c r="B1149" s="3">
        <v>43045</v>
      </c>
      <c r="C1149" t="s">
        <v>13</v>
      </c>
      <c r="D1149" t="s">
        <v>21</v>
      </c>
      <c r="E1149" t="s">
        <v>843</v>
      </c>
      <c r="F1149" s="1">
        <v>61.44</v>
      </c>
      <c r="G1149">
        <v>3</v>
      </c>
      <c r="H1149" s="1">
        <v>16.588799999999999</v>
      </c>
      <c r="I1149" s="4">
        <f>SalesData[[#This Row],[Profit]]/SalesData[[#This Row],[Sales]]</f>
        <v>0.27</v>
      </c>
      <c r="J1149">
        <f>YEAR(SalesData[[#This Row],[Order Date]])</f>
        <v>2017</v>
      </c>
      <c r="K1149" t="str">
        <f>TEXT(SalesData[[#This Row],[Order Date]],"mmm")</f>
        <v>Nov</v>
      </c>
      <c r="L1149">
        <f>MONTH(SalesData[[#This Row],[Order Date]])</f>
        <v>11</v>
      </c>
      <c r="M1149">
        <f>SalesData[[#This Row],[Sales]]/SalesData[[#This Row],[Quantity]]</f>
        <v>20.48</v>
      </c>
      <c r="N1149" t="str">
        <f>IF(SalesData[[#This Row],[Profit]]&gt;0,"Profit","Loss")</f>
        <v>Profit</v>
      </c>
    </row>
    <row r="1150" spans="1:14" x14ac:dyDescent="0.3">
      <c r="A1150" t="s">
        <v>3518</v>
      </c>
      <c r="B1150" s="3">
        <v>43045</v>
      </c>
      <c r="C1150" t="s">
        <v>46</v>
      </c>
      <c r="D1150" t="s">
        <v>21</v>
      </c>
      <c r="E1150" t="s">
        <v>2347</v>
      </c>
      <c r="F1150" s="1">
        <v>4.5720000000000001</v>
      </c>
      <c r="G1150">
        <v>4</v>
      </c>
      <c r="H1150" s="1">
        <v>-3.81</v>
      </c>
      <c r="I1150" s="4">
        <f>SalesData[[#This Row],[Profit]]/SalesData[[#This Row],[Sales]]</f>
        <v>-0.83333333333333337</v>
      </c>
      <c r="J1150">
        <f>YEAR(SalesData[[#This Row],[Order Date]])</f>
        <v>2017</v>
      </c>
      <c r="K1150" t="str">
        <f>TEXT(SalesData[[#This Row],[Order Date]],"mmm")</f>
        <v>Nov</v>
      </c>
      <c r="L1150">
        <f>MONTH(SalesData[[#This Row],[Order Date]])</f>
        <v>11</v>
      </c>
      <c r="M1150">
        <f>SalesData[[#This Row],[Sales]]/SalesData[[#This Row],[Quantity]]</f>
        <v>1.143</v>
      </c>
      <c r="N1150" t="str">
        <f>IF(SalesData[[#This Row],[Profit]]&gt;0,"Profit","Loss")</f>
        <v>Loss</v>
      </c>
    </row>
    <row r="1151" spans="1:14" x14ac:dyDescent="0.3">
      <c r="A1151" t="s">
        <v>3519</v>
      </c>
      <c r="B1151" s="3">
        <v>43046</v>
      </c>
      <c r="C1151" t="s">
        <v>13</v>
      </c>
      <c r="D1151" t="s">
        <v>21</v>
      </c>
      <c r="E1151" t="s">
        <v>821</v>
      </c>
      <c r="F1151" s="1">
        <v>8.67</v>
      </c>
      <c r="G1151">
        <v>3</v>
      </c>
      <c r="H1151" s="1">
        <v>4.0749000000000004</v>
      </c>
      <c r="I1151" s="4">
        <f>SalesData[[#This Row],[Profit]]/SalesData[[#This Row],[Sales]]</f>
        <v>0.47000000000000003</v>
      </c>
      <c r="J1151">
        <f>YEAR(SalesData[[#This Row],[Order Date]])</f>
        <v>2017</v>
      </c>
      <c r="K1151" t="str">
        <f>TEXT(SalesData[[#This Row],[Order Date]],"mmm")</f>
        <v>Nov</v>
      </c>
      <c r="L1151">
        <f>MONTH(SalesData[[#This Row],[Order Date]])</f>
        <v>11</v>
      </c>
      <c r="M1151">
        <f>SalesData[[#This Row],[Sales]]/SalesData[[#This Row],[Quantity]]</f>
        <v>2.89</v>
      </c>
      <c r="N1151" t="str">
        <f>IF(SalesData[[#This Row],[Profit]]&gt;0,"Profit","Loss")</f>
        <v>Profit</v>
      </c>
    </row>
    <row r="1152" spans="1:14" x14ac:dyDescent="0.3">
      <c r="A1152" t="s">
        <v>3520</v>
      </c>
      <c r="B1152" s="3">
        <v>43046</v>
      </c>
      <c r="C1152" t="s">
        <v>17</v>
      </c>
      <c r="D1152" t="s">
        <v>10</v>
      </c>
      <c r="E1152" t="s">
        <v>1090</v>
      </c>
      <c r="F1152" s="1">
        <v>132.6</v>
      </c>
      <c r="G1152">
        <v>6</v>
      </c>
      <c r="H1152" s="1">
        <v>17.238</v>
      </c>
      <c r="I1152" s="4">
        <f>SalesData[[#This Row],[Profit]]/SalesData[[#This Row],[Sales]]</f>
        <v>0.13</v>
      </c>
      <c r="J1152">
        <f>YEAR(SalesData[[#This Row],[Order Date]])</f>
        <v>2017</v>
      </c>
      <c r="K1152" t="str">
        <f>TEXT(SalesData[[#This Row],[Order Date]],"mmm")</f>
        <v>Nov</v>
      </c>
      <c r="L1152">
        <f>MONTH(SalesData[[#This Row],[Order Date]])</f>
        <v>11</v>
      </c>
      <c r="M1152">
        <f>SalesData[[#This Row],[Sales]]/SalesData[[#This Row],[Quantity]]</f>
        <v>22.099999999999998</v>
      </c>
      <c r="N1152" t="str">
        <f>IF(SalesData[[#This Row],[Profit]]&gt;0,"Profit","Loss")</f>
        <v>Profit</v>
      </c>
    </row>
    <row r="1153" spans="1:14" x14ac:dyDescent="0.3">
      <c r="A1153" t="s">
        <v>3521</v>
      </c>
      <c r="B1153" s="3">
        <v>43046</v>
      </c>
      <c r="C1153" t="s">
        <v>9</v>
      </c>
      <c r="D1153" t="s">
        <v>21</v>
      </c>
      <c r="E1153" t="s">
        <v>1730</v>
      </c>
      <c r="F1153" s="1">
        <v>30.32</v>
      </c>
      <c r="G1153">
        <v>4</v>
      </c>
      <c r="H1153" s="1">
        <v>11.8248</v>
      </c>
      <c r="I1153" s="4">
        <f>SalesData[[#This Row],[Profit]]/SalesData[[#This Row],[Sales]]</f>
        <v>0.39</v>
      </c>
      <c r="J1153">
        <f>YEAR(SalesData[[#This Row],[Order Date]])</f>
        <v>2017</v>
      </c>
      <c r="K1153" t="str">
        <f>TEXT(SalesData[[#This Row],[Order Date]],"mmm")</f>
        <v>Nov</v>
      </c>
      <c r="L1153">
        <f>MONTH(SalesData[[#This Row],[Order Date]])</f>
        <v>11</v>
      </c>
      <c r="M1153">
        <f>SalesData[[#This Row],[Sales]]/SalesData[[#This Row],[Quantity]]</f>
        <v>7.58</v>
      </c>
      <c r="N1153" t="str">
        <f>IF(SalesData[[#This Row],[Profit]]&gt;0,"Profit","Loss")</f>
        <v>Profit</v>
      </c>
    </row>
    <row r="1154" spans="1:14" x14ac:dyDescent="0.3">
      <c r="A1154" t="s">
        <v>3522</v>
      </c>
      <c r="B1154" s="3">
        <v>43046</v>
      </c>
      <c r="C1154" t="s">
        <v>13</v>
      </c>
      <c r="D1154" t="s">
        <v>10</v>
      </c>
      <c r="E1154" t="s">
        <v>2613</v>
      </c>
      <c r="F1154" s="1">
        <v>1287.45</v>
      </c>
      <c r="G1154">
        <v>5</v>
      </c>
      <c r="H1154" s="1">
        <v>244.6155</v>
      </c>
      <c r="I1154" s="4">
        <f>SalesData[[#This Row],[Profit]]/SalesData[[#This Row],[Sales]]</f>
        <v>0.19</v>
      </c>
      <c r="J1154">
        <f>YEAR(SalesData[[#This Row],[Order Date]])</f>
        <v>2017</v>
      </c>
      <c r="K1154" t="str">
        <f>TEXT(SalesData[[#This Row],[Order Date]],"mmm")</f>
        <v>Nov</v>
      </c>
      <c r="L1154">
        <f>MONTH(SalesData[[#This Row],[Order Date]])</f>
        <v>11</v>
      </c>
      <c r="M1154">
        <f>SalesData[[#This Row],[Sales]]/SalesData[[#This Row],[Quantity]]</f>
        <v>257.49</v>
      </c>
      <c r="N1154" t="str">
        <f>IF(SalesData[[#This Row],[Profit]]&gt;0,"Profit","Loss")</f>
        <v>Profit</v>
      </c>
    </row>
    <row r="1155" spans="1:14" x14ac:dyDescent="0.3">
      <c r="A1155" t="s">
        <v>3522</v>
      </c>
      <c r="B1155" s="3">
        <v>43046</v>
      </c>
      <c r="C1155" t="s">
        <v>13</v>
      </c>
      <c r="D1155" t="s">
        <v>21</v>
      </c>
      <c r="E1155" t="s">
        <v>2876</v>
      </c>
      <c r="F1155" s="1">
        <v>168.1</v>
      </c>
      <c r="G1155">
        <v>5</v>
      </c>
      <c r="H1155" s="1">
        <v>43.706000000000003</v>
      </c>
      <c r="I1155" s="4">
        <f>SalesData[[#This Row],[Profit]]/SalesData[[#This Row],[Sales]]</f>
        <v>0.26</v>
      </c>
      <c r="J1155">
        <f>YEAR(SalesData[[#This Row],[Order Date]])</f>
        <v>2017</v>
      </c>
      <c r="K1155" t="str">
        <f>TEXT(SalesData[[#This Row],[Order Date]],"mmm")</f>
        <v>Nov</v>
      </c>
      <c r="L1155">
        <f>MONTH(SalesData[[#This Row],[Order Date]])</f>
        <v>11</v>
      </c>
      <c r="M1155">
        <f>SalesData[[#This Row],[Sales]]/SalesData[[#This Row],[Quantity]]</f>
        <v>33.619999999999997</v>
      </c>
      <c r="N1155" t="str">
        <f>IF(SalesData[[#This Row],[Profit]]&gt;0,"Profit","Loss")</f>
        <v>Profit</v>
      </c>
    </row>
    <row r="1156" spans="1:14" x14ac:dyDescent="0.3">
      <c r="A1156" t="s">
        <v>3523</v>
      </c>
      <c r="B1156" s="3">
        <v>43046</v>
      </c>
      <c r="C1156" t="s">
        <v>13</v>
      </c>
      <c r="D1156" t="s">
        <v>10</v>
      </c>
      <c r="E1156" t="s">
        <v>3524</v>
      </c>
      <c r="F1156" s="1">
        <v>71.951999999999998</v>
      </c>
      <c r="G1156">
        <v>6</v>
      </c>
      <c r="H1156" s="1">
        <v>5.3963999999999999</v>
      </c>
      <c r="I1156" s="4">
        <f>SalesData[[#This Row],[Profit]]/SalesData[[#This Row],[Sales]]</f>
        <v>7.4999999999999997E-2</v>
      </c>
      <c r="J1156">
        <f>YEAR(SalesData[[#This Row],[Order Date]])</f>
        <v>2017</v>
      </c>
      <c r="K1156" t="str">
        <f>TEXT(SalesData[[#This Row],[Order Date]],"mmm")</f>
        <v>Nov</v>
      </c>
      <c r="L1156">
        <f>MONTH(SalesData[[#This Row],[Order Date]])</f>
        <v>11</v>
      </c>
      <c r="M1156">
        <f>SalesData[[#This Row],[Sales]]/SalesData[[#This Row],[Quantity]]</f>
        <v>11.991999999999999</v>
      </c>
      <c r="N1156" t="str">
        <f>IF(SalesData[[#This Row],[Profit]]&gt;0,"Profit","Loss")</f>
        <v>Profit</v>
      </c>
    </row>
    <row r="1157" spans="1:14" x14ac:dyDescent="0.3">
      <c r="A1157" t="s">
        <v>3523</v>
      </c>
      <c r="B1157" s="3">
        <v>43046</v>
      </c>
      <c r="C1157" t="s">
        <v>13</v>
      </c>
      <c r="D1157" t="s">
        <v>21</v>
      </c>
      <c r="E1157" t="s">
        <v>559</v>
      </c>
      <c r="F1157" s="1">
        <v>29.8</v>
      </c>
      <c r="G1157">
        <v>5</v>
      </c>
      <c r="H1157" s="1">
        <v>9.3125</v>
      </c>
      <c r="I1157" s="4">
        <f>SalesData[[#This Row],[Profit]]/SalesData[[#This Row],[Sales]]</f>
        <v>0.3125</v>
      </c>
      <c r="J1157">
        <f>YEAR(SalesData[[#This Row],[Order Date]])</f>
        <v>2017</v>
      </c>
      <c r="K1157" t="str">
        <f>TEXT(SalesData[[#This Row],[Order Date]],"mmm")</f>
        <v>Nov</v>
      </c>
      <c r="L1157">
        <f>MONTH(SalesData[[#This Row],[Order Date]])</f>
        <v>11</v>
      </c>
      <c r="M1157">
        <f>SalesData[[#This Row],[Sales]]/SalesData[[#This Row],[Quantity]]</f>
        <v>5.96</v>
      </c>
      <c r="N1157" t="str">
        <f>IF(SalesData[[#This Row],[Profit]]&gt;0,"Profit","Loss")</f>
        <v>Profit</v>
      </c>
    </row>
    <row r="1158" spans="1:14" x14ac:dyDescent="0.3">
      <c r="A1158" t="s">
        <v>3525</v>
      </c>
      <c r="B1158" s="3">
        <v>43047</v>
      </c>
      <c r="C1158" t="s">
        <v>9</v>
      </c>
      <c r="D1158" t="s">
        <v>21</v>
      </c>
      <c r="E1158" t="s">
        <v>969</v>
      </c>
      <c r="F1158" s="1">
        <v>29.664000000000001</v>
      </c>
      <c r="G1158">
        <v>4</v>
      </c>
      <c r="H1158" s="1">
        <v>10.0116</v>
      </c>
      <c r="I1158" s="4">
        <f>SalesData[[#This Row],[Profit]]/SalesData[[#This Row],[Sales]]</f>
        <v>0.33749999999999997</v>
      </c>
      <c r="J1158">
        <f>YEAR(SalesData[[#This Row],[Order Date]])</f>
        <v>2017</v>
      </c>
      <c r="K1158" t="str">
        <f>TEXT(SalesData[[#This Row],[Order Date]],"mmm")</f>
        <v>Nov</v>
      </c>
      <c r="L1158">
        <f>MONTH(SalesData[[#This Row],[Order Date]])</f>
        <v>11</v>
      </c>
      <c r="M1158">
        <f>SalesData[[#This Row],[Sales]]/SalesData[[#This Row],[Quantity]]</f>
        <v>7.4160000000000004</v>
      </c>
      <c r="N1158" t="str">
        <f>IF(SalesData[[#This Row],[Profit]]&gt;0,"Profit","Loss")</f>
        <v>Profit</v>
      </c>
    </row>
    <row r="1159" spans="1:14" x14ac:dyDescent="0.3">
      <c r="A1159" t="s">
        <v>3525</v>
      </c>
      <c r="B1159" s="3">
        <v>43047</v>
      </c>
      <c r="C1159" t="s">
        <v>9</v>
      </c>
      <c r="D1159" t="s">
        <v>21</v>
      </c>
      <c r="E1159" t="s">
        <v>2832</v>
      </c>
      <c r="F1159" s="1">
        <v>9.1839999999999993</v>
      </c>
      <c r="G1159">
        <v>7</v>
      </c>
      <c r="H1159" s="1">
        <v>2.87</v>
      </c>
      <c r="I1159" s="4">
        <f>SalesData[[#This Row],[Profit]]/SalesData[[#This Row],[Sales]]</f>
        <v>0.31250000000000006</v>
      </c>
      <c r="J1159">
        <f>YEAR(SalesData[[#This Row],[Order Date]])</f>
        <v>2017</v>
      </c>
      <c r="K1159" t="str">
        <f>TEXT(SalesData[[#This Row],[Order Date]],"mmm")</f>
        <v>Nov</v>
      </c>
      <c r="L1159">
        <f>MONTH(SalesData[[#This Row],[Order Date]])</f>
        <v>11</v>
      </c>
      <c r="M1159">
        <f>SalesData[[#This Row],[Sales]]/SalesData[[#This Row],[Quantity]]</f>
        <v>1.3119999999999998</v>
      </c>
      <c r="N1159" t="str">
        <f>IF(SalesData[[#This Row],[Profit]]&gt;0,"Profit","Loss")</f>
        <v>Profit</v>
      </c>
    </row>
    <row r="1160" spans="1:14" x14ac:dyDescent="0.3">
      <c r="A1160" t="s">
        <v>3525</v>
      </c>
      <c r="B1160" s="3">
        <v>43047</v>
      </c>
      <c r="C1160" t="s">
        <v>9</v>
      </c>
      <c r="D1160" t="s">
        <v>10</v>
      </c>
      <c r="E1160" t="s">
        <v>178</v>
      </c>
      <c r="F1160" s="1">
        <v>153.584</v>
      </c>
      <c r="G1160">
        <v>2</v>
      </c>
      <c r="H1160" s="1">
        <v>13.438599999999999</v>
      </c>
      <c r="I1160" s="4">
        <f>SalesData[[#This Row],[Profit]]/SalesData[[#This Row],[Sales]]</f>
        <v>8.7499999999999994E-2</v>
      </c>
      <c r="J1160">
        <f>YEAR(SalesData[[#This Row],[Order Date]])</f>
        <v>2017</v>
      </c>
      <c r="K1160" t="str">
        <f>TEXT(SalesData[[#This Row],[Order Date]],"mmm")</f>
        <v>Nov</v>
      </c>
      <c r="L1160">
        <f>MONTH(SalesData[[#This Row],[Order Date]])</f>
        <v>11</v>
      </c>
      <c r="M1160">
        <f>SalesData[[#This Row],[Sales]]/SalesData[[#This Row],[Quantity]]</f>
        <v>76.792000000000002</v>
      </c>
      <c r="N1160" t="str">
        <f>IF(SalesData[[#This Row],[Profit]]&gt;0,"Profit","Loss")</f>
        <v>Profit</v>
      </c>
    </row>
    <row r="1161" spans="1:14" x14ac:dyDescent="0.3">
      <c r="A1161" t="s">
        <v>3525</v>
      </c>
      <c r="B1161" s="3">
        <v>43047</v>
      </c>
      <c r="C1161" t="s">
        <v>9</v>
      </c>
      <c r="D1161" t="s">
        <v>21</v>
      </c>
      <c r="E1161" t="s">
        <v>402</v>
      </c>
      <c r="F1161" s="1">
        <v>12.864000000000001</v>
      </c>
      <c r="G1161">
        <v>8</v>
      </c>
      <c r="H1161" s="1">
        <v>-22.512</v>
      </c>
      <c r="I1161" s="4">
        <f>SalesData[[#This Row],[Profit]]/SalesData[[#This Row],[Sales]]</f>
        <v>-1.75</v>
      </c>
      <c r="J1161">
        <f>YEAR(SalesData[[#This Row],[Order Date]])</f>
        <v>2017</v>
      </c>
      <c r="K1161" t="str">
        <f>TEXT(SalesData[[#This Row],[Order Date]],"mmm")</f>
        <v>Nov</v>
      </c>
      <c r="L1161">
        <f>MONTH(SalesData[[#This Row],[Order Date]])</f>
        <v>11</v>
      </c>
      <c r="M1161">
        <f>SalesData[[#This Row],[Sales]]/SalesData[[#This Row],[Quantity]]</f>
        <v>1.6080000000000001</v>
      </c>
      <c r="N1161" t="str">
        <f>IF(SalesData[[#This Row],[Profit]]&gt;0,"Profit","Loss")</f>
        <v>Loss</v>
      </c>
    </row>
    <row r="1162" spans="1:14" x14ac:dyDescent="0.3">
      <c r="A1162" t="s">
        <v>3526</v>
      </c>
      <c r="B1162" s="3">
        <v>43047</v>
      </c>
      <c r="C1162" t="s">
        <v>46</v>
      </c>
      <c r="D1162" t="s">
        <v>21</v>
      </c>
      <c r="E1162" t="s">
        <v>621</v>
      </c>
      <c r="F1162" s="1">
        <v>477.51</v>
      </c>
      <c r="G1162">
        <v>11</v>
      </c>
      <c r="H1162" s="1">
        <v>219.65459999999999</v>
      </c>
      <c r="I1162" s="4">
        <f>SalesData[[#This Row],[Profit]]/SalesData[[#This Row],[Sales]]</f>
        <v>0.45999999999999996</v>
      </c>
      <c r="J1162">
        <f>YEAR(SalesData[[#This Row],[Order Date]])</f>
        <v>2017</v>
      </c>
      <c r="K1162" t="str">
        <f>TEXT(SalesData[[#This Row],[Order Date]],"mmm")</f>
        <v>Nov</v>
      </c>
      <c r="L1162">
        <f>MONTH(SalesData[[#This Row],[Order Date]])</f>
        <v>11</v>
      </c>
      <c r="M1162">
        <f>SalesData[[#This Row],[Sales]]/SalesData[[#This Row],[Quantity]]</f>
        <v>43.41</v>
      </c>
      <c r="N1162" t="str">
        <f>IF(SalesData[[#This Row],[Profit]]&gt;0,"Profit","Loss")</f>
        <v>Profit</v>
      </c>
    </row>
    <row r="1163" spans="1:14" x14ac:dyDescent="0.3">
      <c r="A1163" t="s">
        <v>3527</v>
      </c>
      <c r="B1163" s="3">
        <v>43047</v>
      </c>
      <c r="C1163" t="s">
        <v>17</v>
      </c>
      <c r="D1163" t="s">
        <v>21</v>
      </c>
      <c r="E1163" t="s">
        <v>580</v>
      </c>
      <c r="F1163" s="1">
        <v>25.92</v>
      </c>
      <c r="G1163">
        <v>4</v>
      </c>
      <c r="H1163" s="1">
        <v>12.441599999999999</v>
      </c>
      <c r="I1163" s="4">
        <f>SalesData[[#This Row],[Profit]]/SalesData[[#This Row],[Sales]]</f>
        <v>0.47999999999999993</v>
      </c>
      <c r="J1163">
        <f>YEAR(SalesData[[#This Row],[Order Date]])</f>
        <v>2017</v>
      </c>
      <c r="K1163" t="str">
        <f>TEXT(SalesData[[#This Row],[Order Date]],"mmm")</f>
        <v>Nov</v>
      </c>
      <c r="L1163">
        <f>MONTH(SalesData[[#This Row],[Order Date]])</f>
        <v>11</v>
      </c>
      <c r="M1163">
        <f>SalesData[[#This Row],[Sales]]/SalesData[[#This Row],[Quantity]]</f>
        <v>6.48</v>
      </c>
      <c r="N1163" t="str">
        <f>IF(SalesData[[#This Row],[Profit]]&gt;0,"Profit","Loss")</f>
        <v>Profit</v>
      </c>
    </row>
    <row r="1164" spans="1:14" x14ac:dyDescent="0.3">
      <c r="A1164" t="s">
        <v>3528</v>
      </c>
      <c r="B1164" s="3">
        <v>43048</v>
      </c>
      <c r="C1164" t="s">
        <v>46</v>
      </c>
      <c r="D1164" t="s">
        <v>14</v>
      </c>
      <c r="E1164" t="s">
        <v>590</v>
      </c>
      <c r="F1164" s="1">
        <v>34.503999999999998</v>
      </c>
      <c r="G1164">
        <v>1</v>
      </c>
      <c r="H1164" s="1">
        <v>6.0381999999999998</v>
      </c>
      <c r="I1164" s="4">
        <f>SalesData[[#This Row],[Profit]]/SalesData[[#This Row],[Sales]]</f>
        <v>0.17500000000000002</v>
      </c>
      <c r="J1164">
        <f>YEAR(SalesData[[#This Row],[Order Date]])</f>
        <v>2017</v>
      </c>
      <c r="K1164" t="str">
        <f>TEXT(SalesData[[#This Row],[Order Date]],"mmm")</f>
        <v>Nov</v>
      </c>
      <c r="L1164">
        <f>MONTH(SalesData[[#This Row],[Order Date]])</f>
        <v>11</v>
      </c>
      <c r="M1164">
        <f>SalesData[[#This Row],[Sales]]/SalesData[[#This Row],[Quantity]]</f>
        <v>34.503999999999998</v>
      </c>
      <c r="N1164" t="str">
        <f>IF(SalesData[[#This Row],[Profit]]&gt;0,"Profit","Loss")</f>
        <v>Profit</v>
      </c>
    </row>
    <row r="1165" spans="1:14" x14ac:dyDescent="0.3">
      <c r="A1165" t="s">
        <v>3529</v>
      </c>
      <c r="B1165" s="3">
        <v>43048</v>
      </c>
      <c r="C1165" t="s">
        <v>46</v>
      </c>
      <c r="D1165" t="s">
        <v>21</v>
      </c>
      <c r="E1165" t="s">
        <v>1265</v>
      </c>
      <c r="F1165" s="1">
        <v>184.66</v>
      </c>
      <c r="G1165">
        <v>7</v>
      </c>
      <c r="H1165" s="1">
        <v>84.943600000000004</v>
      </c>
      <c r="I1165" s="4">
        <f>SalesData[[#This Row],[Profit]]/SalesData[[#This Row],[Sales]]</f>
        <v>0.46</v>
      </c>
      <c r="J1165">
        <f>YEAR(SalesData[[#This Row],[Order Date]])</f>
        <v>2017</v>
      </c>
      <c r="K1165" t="str">
        <f>TEXT(SalesData[[#This Row],[Order Date]],"mmm")</f>
        <v>Nov</v>
      </c>
      <c r="L1165">
        <f>MONTH(SalesData[[#This Row],[Order Date]])</f>
        <v>11</v>
      </c>
      <c r="M1165">
        <f>SalesData[[#This Row],[Sales]]/SalesData[[#This Row],[Quantity]]</f>
        <v>26.38</v>
      </c>
      <c r="N1165" t="str">
        <f>IF(SalesData[[#This Row],[Profit]]&gt;0,"Profit","Loss")</f>
        <v>Profit</v>
      </c>
    </row>
    <row r="1166" spans="1:14" x14ac:dyDescent="0.3">
      <c r="A1166" t="s">
        <v>3530</v>
      </c>
      <c r="B1166" s="3">
        <v>43048</v>
      </c>
      <c r="C1166" t="s">
        <v>13</v>
      </c>
      <c r="D1166" t="s">
        <v>21</v>
      </c>
      <c r="E1166" t="s">
        <v>2566</v>
      </c>
      <c r="F1166" s="1">
        <v>12.96</v>
      </c>
      <c r="G1166">
        <v>2</v>
      </c>
      <c r="H1166" s="1">
        <v>6.2207999999999997</v>
      </c>
      <c r="I1166" s="4">
        <f>SalesData[[#This Row],[Profit]]/SalesData[[#This Row],[Sales]]</f>
        <v>0.47999999999999993</v>
      </c>
      <c r="J1166">
        <f>YEAR(SalesData[[#This Row],[Order Date]])</f>
        <v>2017</v>
      </c>
      <c r="K1166" t="str">
        <f>TEXT(SalesData[[#This Row],[Order Date]],"mmm")</f>
        <v>Nov</v>
      </c>
      <c r="L1166">
        <f>MONTH(SalesData[[#This Row],[Order Date]])</f>
        <v>11</v>
      </c>
      <c r="M1166">
        <f>SalesData[[#This Row],[Sales]]/SalesData[[#This Row],[Quantity]]</f>
        <v>6.48</v>
      </c>
      <c r="N1166" t="str">
        <f>IF(SalesData[[#This Row],[Profit]]&gt;0,"Profit","Loss")</f>
        <v>Profit</v>
      </c>
    </row>
    <row r="1167" spans="1:14" x14ac:dyDescent="0.3">
      <c r="A1167" t="s">
        <v>3530</v>
      </c>
      <c r="B1167" s="3">
        <v>43048</v>
      </c>
      <c r="C1167" t="s">
        <v>13</v>
      </c>
      <c r="D1167" t="s">
        <v>21</v>
      </c>
      <c r="E1167" t="s">
        <v>2396</v>
      </c>
      <c r="F1167" s="1">
        <v>22.18</v>
      </c>
      <c r="G1167">
        <v>2</v>
      </c>
      <c r="H1167" s="1">
        <v>10.8682</v>
      </c>
      <c r="I1167" s="4">
        <f>SalesData[[#This Row],[Profit]]/SalesData[[#This Row],[Sales]]</f>
        <v>0.49</v>
      </c>
      <c r="J1167">
        <f>YEAR(SalesData[[#This Row],[Order Date]])</f>
        <v>2017</v>
      </c>
      <c r="K1167" t="str">
        <f>TEXT(SalesData[[#This Row],[Order Date]],"mmm")</f>
        <v>Nov</v>
      </c>
      <c r="L1167">
        <f>MONTH(SalesData[[#This Row],[Order Date]])</f>
        <v>11</v>
      </c>
      <c r="M1167">
        <f>SalesData[[#This Row],[Sales]]/SalesData[[#This Row],[Quantity]]</f>
        <v>11.09</v>
      </c>
      <c r="N1167" t="str">
        <f>IF(SalesData[[#This Row],[Profit]]&gt;0,"Profit","Loss")</f>
        <v>Profit</v>
      </c>
    </row>
    <row r="1168" spans="1:14" x14ac:dyDescent="0.3">
      <c r="A1168" t="s">
        <v>3530</v>
      </c>
      <c r="B1168" s="3">
        <v>43048</v>
      </c>
      <c r="C1168" t="s">
        <v>13</v>
      </c>
      <c r="D1168" t="s">
        <v>14</v>
      </c>
      <c r="E1168" t="s">
        <v>834</v>
      </c>
      <c r="F1168" s="1">
        <v>2054.2719999999999</v>
      </c>
      <c r="G1168">
        <v>8</v>
      </c>
      <c r="H1168" s="1">
        <v>256.78399999999999</v>
      </c>
      <c r="I1168" s="4">
        <f>SalesData[[#This Row],[Profit]]/SalesData[[#This Row],[Sales]]</f>
        <v>0.125</v>
      </c>
      <c r="J1168">
        <f>YEAR(SalesData[[#This Row],[Order Date]])</f>
        <v>2017</v>
      </c>
      <c r="K1168" t="str">
        <f>TEXT(SalesData[[#This Row],[Order Date]],"mmm")</f>
        <v>Nov</v>
      </c>
      <c r="L1168">
        <f>MONTH(SalesData[[#This Row],[Order Date]])</f>
        <v>11</v>
      </c>
      <c r="M1168">
        <f>SalesData[[#This Row],[Sales]]/SalesData[[#This Row],[Quantity]]</f>
        <v>256.78399999999999</v>
      </c>
      <c r="N1168" t="str">
        <f>IF(SalesData[[#This Row],[Profit]]&gt;0,"Profit","Loss")</f>
        <v>Profit</v>
      </c>
    </row>
    <row r="1169" spans="1:14" x14ac:dyDescent="0.3">
      <c r="A1169" t="s">
        <v>3531</v>
      </c>
      <c r="B1169" s="3">
        <v>43048</v>
      </c>
      <c r="C1169" t="s">
        <v>9</v>
      </c>
      <c r="D1169" t="s">
        <v>21</v>
      </c>
      <c r="E1169" t="s">
        <v>614</v>
      </c>
      <c r="F1169" s="1">
        <v>10.528</v>
      </c>
      <c r="G1169">
        <v>4</v>
      </c>
      <c r="H1169" s="1">
        <v>3.29</v>
      </c>
      <c r="I1169" s="4">
        <f>SalesData[[#This Row],[Profit]]/SalesData[[#This Row],[Sales]]</f>
        <v>0.3125</v>
      </c>
      <c r="J1169">
        <f>YEAR(SalesData[[#This Row],[Order Date]])</f>
        <v>2017</v>
      </c>
      <c r="K1169" t="str">
        <f>TEXT(SalesData[[#This Row],[Order Date]],"mmm")</f>
        <v>Nov</v>
      </c>
      <c r="L1169">
        <f>MONTH(SalesData[[#This Row],[Order Date]])</f>
        <v>11</v>
      </c>
      <c r="M1169">
        <f>SalesData[[#This Row],[Sales]]/SalesData[[#This Row],[Quantity]]</f>
        <v>2.6320000000000001</v>
      </c>
      <c r="N1169" t="str">
        <f>IF(SalesData[[#This Row],[Profit]]&gt;0,"Profit","Loss")</f>
        <v>Profit</v>
      </c>
    </row>
    <row r="1170" spans="1:14" x14ac:dyDescent="0.3">
      <c r="A1170" t="s">
        <v>3531</v>
      </c>
      <c r="B1170" s="3">
        <v>43048</v>
      </c>
      <c r="C1170" t="s">
        <v>9</v>
      </c>
      <c r="D1170" t="s">
        <v>21</v>
      </c>
      <c r="E1170" t="s">
        <v>3507</v>
      </c>
      <c r="F1170" s="1">
        <v>20.544</v>
      </c>
      <c r="G1170">
        <v>6</v>
      </c>
      <c r="H1170" s="1">
        <v>6.42</v>
      </c>
      <c r="I1170" s="4">
        <f>SalesData[[#This Row],[Profit]]/SalesData[[#This Row],[Sales]]</f>
        <v>0.3125</v>
      </c>
      <c r="J1170">
        <f>YEAR(SalesData[[#This Row],[Order Date]])</f>
        <v>2017</v>
      </c>
      <c r="K1170" t="str">
        <f>TEXT(SalesData[[#This Row],[Order Date]],"mmm")</f>
        <v>Nov</v>
      </c>
      <c r="L1170">
        <f>MONTH(SalesData[[#This Row],[Order Date]])</f>
        <v>11</v>
      </c>
      <c r="M1170">
        <f>SalesData[[#This Row],[Sales]]/SalesData[[#This Row],[Quantity]]</f>
        <v>3.4239999999999999</v>
      </c>
      <c r="N1170" t="str">
        <f>IF(SalesData[[#This Row],[Profit]]&gt;0,"Profit","Loss")</f>
        <v>Profit</v>
      </c>
    </row>
    <row r="1171" spans="1:14" x14ac:dyDescent="0.3">
      <c r="A1171" t="s">
        <v>3532</v>
      </c>
      <c r="B1171" s="3">
        <v>43048</v>
      </c>
      <c r="C1171" t="s">
        <v>13</v>
      </c>
      <c r="D1171" t="s">
        <v>14</v>
      </c>
      <c r="E1171" t="s">
        <v>2132</v>
      </c>
      <c r="F1171" s="1">
        <v>32.36</v>
      </c>
      <c r="G1171">
        <v>4</v>
      </c>
      <c r="H1171" s="1">
        <v>11.6496</v>
      </c>
      <c r="I1171" s="4">
        <f>SalesData[[#This Row],[Profit]]/SalesData[[#This Row],[Sales]]</f>
        <v>0.36</v>
      </c>
      <c r="J1171">
        <f>YEAR(SalesData[[#This Row],[Order Date]])</f>
        <v>2017</v>
      </c>
      <c r="K1171" t="str">
        <f>TEXT(SalesData[[#This Row],[Order Date]],"mmm")</f>
        <v>Nov</v>
      </c>
      <c r="L1171">
        <f>MONTH(SalesData[[#This Row],[Order Date]])</f>
        <v>11</v>
      </c>
      <c r="M1171">
        <f>SalesData[[#This Row],[Sales]]/SalesData[[#This Row],[Quantity]]</f>
        <v>8.09</v>
      </c>
      <c r="N1171" t="str">
        <f>IF(SalesData[[#This Row],[Profit]]&gt;0,"Profit","Loss")</f>
        <v>Profit</v>
      </c>
    </row>
    <row r="1172" spans="1:14" x14ac:dyDescent="0.3">
      <c r="A1172" t="s">
        <v>3532</v>
      </c>
      <c r="B1172" s="3">
        <v>43048</v>
      </c>
      <c r="C1172" t="s">
        <v>13</v>
      </c>
      <c r="D1172" t="s">
        <v>21</v>
      </c>
      <c r="E1172" t="s">
        <v>1745</v>
      </c>
      <c r="F1172" s="1">
        <v>406.6</v>
      </c>
      <c r="G1172">
        <v>5</v>
      </c>
      <c r="H1172" s="1">
        <v>113.848</v>
      </c>
      <c r="I1172" s="4">
        <f>SalesData[[#This Row],[Profit]]/SalesData[[#This Row],[Sales]]</f>
        <v>0.27999999999999997</v>
      </c>
      <c r="J1172">
        <f>YEAR(SalesData[[#This Row],[Order Date]])</f>
        <v>2017</v>
      </c>
      <c r="K1172" t="str">
        <f>TEXT(SalesData[[#This Row],[Order Date]],"mmm")</f>
        <v>Nov</v>
      </c>
      <c r="L1172">
        <f>MONTH(SalesData[[#This Row],[Order Date]])</f>
        <v>11</v>
      </c>
      <c r="M1172">
        <f>SalesData[[#This Row],[Sales]]/SalesData[[#This Row],[Quantity]]</f>
        <v>81.320000000000007</v>
      </c>
      <c r="N1172" t="str">
        <f>IF(SalesData[[#This Row],[Profit]]&gt;0,"Profit","Loss")</f>
        <v>Profit</v>
      </c>
    </row>
    <row r="1173" spans="1:14" x14ac:dyDescent="0.3">
      <c r="A1173" t="s">
        <v>3533</v>
      </c>
      <c r="B1173" s="3">
        <v>43048</v>
      </c>
      <c r="C1173" t="s">
        <v>13</v>
      </c>
      <c r="D1173" t="s">
        <v>14</v>
      </c>
      <c r="E1173" t="s">
        <v>2055</v>
      </c>
      <c r="F1173" s="1">
        <v>177.56800000000001</v>
      </c>
      <c r="G1173">
        <v>2</v>
      </c>
      <c r="H1173" s="1">
        <v>8.8783999999999992</v>
      </c>
      <c r="I1173" s="4">
        <f>SalesData[[#This Row],[Profit]]/SalesData[[#This Row],[Sales]]</f>
        <v>4.9999999999999989E-2</v>
      </c>
      <c r="J1173">
        <f>YEAR(SalesData[[#This Row],[Order Date]])</f>
        <v>2017</v>
      </c>
      <c r="K1173" t="str">
        <f>TEXT(SalesData[[#This Row],[Order Date]],"mmm")</f>
        <v>Nov</v>
      </c>
      <c r="L1173">
        <f>MONTH(SalesData[[#This Row],[Order Date]])</f>
        <v>11</v>
      </c>
      <c r="M1173">
        <f>SalesData[[#This Row],[Sales]]/SalesData[[#This Row],[Quantity]]</f>
        <v>88.784000000000006</v>
      </c>
      <c r="N1173" t="str">
        <f>IF(SalesData[[#This Row],[Profit]]&gt;0,"Profit","Loss")</f>
        <v>Profit</v>
      </c>
    </row>
    <row r="1174" spans="1:14" x14ac:dyDescent="0.3">
      <c r="A1174" t="s">
        <v>3533</v>
      </c>
      <c r="B1174" s="3">
        <v>43048</v>
      </c>
      <c r="C1174" t="s">
        <v>13</v>
      </c>
      <c r="D1174" t="s">
        <v>21</v>
      </c>
      <c r="E1174" t="s">
        <v>484</v>
      </c>
      <c r="F1174" s="1">
        <v>19.440000000000001</v>
      </c>
      <c r="G1174">
        <v>3</v>
      </c>
      <c r="H1174" s="1">
        <v>9.3312000000000008</v>
      </c>
      <c r="I1174" s="4">
        <f>SalesData[[#This Row],[Profit]]/SalesData[[#This Row],[Sales]]</f>
        <v>0.48000000000000004</v>
      </c>
      <c r="J1174">
        <f>YEAR(SalesData[[#This Row],[Order Date]])</f>
        <v>2017</v>
      </c>
      <c r="K1174" t="str">
        <f>TEXT(SalesData[[#This Row],[Order Date]],"mmm")</f>
        <v>Nov</v>
      </c>
      <c r="L1174">
        <f>MONTH(SalesData[[#This Row],[Order Date]])</f>
        <v>11</v>
      </c>
      <c r="M1174">
        <f>SalesData[[#This Row],[Sales]]/SalesData[[#This Row],[Quantity]]</f>
        <v>6.48</v>
      </c>
      <c r="N1174" t="str">
        <f>IF(SalesData[[#This Row],[Profit]]&gt;0,"Profit","Loss")</f>
        <v>Profit</v>
      </c>
    </row>
    <row r="1175" spans="1:14" x14ac:dyDescent="0.3">
      <c r="A1175" t="s">
        <v>3533</v>
      </c>
      <c r="B1175" s="3">
        <v>43048</v>
      </c>
      <c r="C1175" t="s">
        <v>13</v>
      </c>
      <c r="D1175" t="s">
        <v>21</v>
      </c>
      <c r="E1175" t="s">
        <v>1716</v>
      </c>
      <c r="F1175" s="1">
        <v>71.28</v>
      </c>
      <c r="G1175">
        <v>11</v>
      </c>
      <c r="H1175" s="1">
        <v>34.214399999999998</v>
      </c>
      <c r="I1175" s="4">
        <f>SalesData[[#This Row],[Profit]]/SalesData[[#This Row],[Sales]]</f>
        <v>0.48</v>
      </c>
      <c r="J1175">
        <f>YEAR(SalesData[[#This Row],[Order Date]])</f>
        <v>2017</v>
      </c>
      <c r="K1175" t="str">
        <f>TEXT(SalesData[[#This Row],[Order Date]],"mmm")</f>
        <v>Nov</v>
      </c>
      <c r="L1175">
        <f>MONTH(SalesData[[#This Row],[Order Date]])</f>
        <v>11</v>
      </c>
      <c r="M1175">
        <f>SalesData[[#This Row],[Sales]]/SalesData[[#This Row],[Quantity]]</f>
        <v>6.48</v>
      </c>
      <c r="N1175" t="str">
        <f>IF(SalesData[[#This Row],[Profit]]&gt;0,"Profit","Loss")</f>
        <v>Profit</v>
      </c>
    </row>
    <row r="1176" spans="1:14" x14ac:dyDescent="0.3">
      <c r="A1176" t="s">
        <v>3533</v>
      </c>
      <c r="B1176" s="3">
        <v>43048</v>
      </c>
      <c r="C1176" t="s">
        <v>13</v>
      </c>
      <c r="D1176" t="s">
        <v>21</v>
      </c>
      <c r="E1176" t="s">
        <v>774</v>
      </c>
      <c r="F1176" s="1">
        <v>1471.96</v>
      </c>
      <c r="G1176">
        <v>5</v>
      </c>
      <c r="H1176" s="1">
        <v>459.98750000000001</v>
      </c>
      <c r="I1176" s="4">
        <f>SalesData[[#This Row],[Profit]]/SalesData[[#This Row],[Sales]]</f>
        <v>0.3125</v>
      </c>
      <c r="J1176">
        <f>YEAR(SalesData[[#This Row],[Order Date]])</f>
        <v>2017</v>
      </c>
      <c r="K1176" t="str">
        <f>TEXT(SalesData[[#This Row],[Order Date]],"mmm")</f>
        <v>Nov</v>
      </c>
      <c r="L1176">
        <f>MONTH(SalesData[[#This Row],[Order Date]])</f>
        <v>11</v>
      </c>
      <c r="M1176">
        <f>SalesData[[#This Row],[Sales]]/SalesData[[#This Row],[Quantity]]</f>
        <v>294.392</v>
      </c>
      <c r="N1176" t="str">
        <f>IF(SalesData[[#This Row],[Profit]]&gt;0,"Profit","Loss")</f>
        <v>Profit</v>
      </c>
    </row>
    <row r="1177" spans="1:14" x14ac:dyDescent="0.3">
      <c r="A1177" t="s">
        <v>3533</v>
      </c>
      <c r="B1177" s="3">
        <v>43048</v>
      </c>
      <c r="C1177" t="s">
        <v>13</v>
      </c>
      <c r="D1177" t="s">
        <v>10</v>
      </c>
      <c r="E1177" t="s">
        <v>3066</v>
      </c>
      <c r="F1177" s="1">
        <v>79.959999999999994</v>
      </c>
      <c r="G1177">
        <v>5</v>
      </c>
      <c r="H1177" s="1">
        <v>-17.991</v>
      </c>
      <c r="I1177" s="4">
        <f>SalesData[[#This Row],[Profit]]/SalesData[[#This Row],[Sales]]</f>
        <v>-0.22500000000000001</v>
      </c>
      <c r="J1177">
        <f>YEAR(SalesData[[#This Row],[Order Date]])</f>
        <v>2017</v>
      </c>
      <c r="K1177" t="str">
        <f>TEXT(SalesData[[#This Row],[Order Date]],"mmm")</f>
        <v>Nov</v>
      </c>
      <c r="L1177">
        <f>MONTH(SalesData[[#This Row],[Order Date]])</f>
        <v>11</v>
      </c>
      <c r="M1177">
        <f>SalesData[[#This Row],[Sales]]/SalesData[[#This Row],[Quantity]]</f>
        <v>15.991999999999999</v>
      </c>
      <c r="N1177" t="str">
        <f>IF(SalesData[[#This Row],[Profit]]&gt;0,"Profit","Loss")</f>
        <v>Loss</v>
      </c>
    </row>
    <row r="1178" spans="1:14" x14ac:dyDescent="0.3">
      <c r="A1178" t="s">
        <v>3534</v>
      </c>
      <c r="B1178" s="3">
        <v>43048</v>
      </c>
      <c r="C1178" t="s">
        <v>9</v>
      </c>
      <c r="D1178" t="s">
        <v>21</v>
      </c>
      <c r="E1178" t="s">
        <v>1818</v>
      </c>
      <c r="F1178" s="1">
        <v>10.272</v>
      </c>
      <c r="G1178">
        <v>3</v>
      </c>
      <c r="H1178" s="1">
        <v>3.21</v>
      </c>
      <c r="I1178" s="4">
        <f>SalesData[[#This Row],[Profit]]/SalesData[[#This Row],[Sales]]</f>
        <v>0.3125</v>
      </c>
      <c r="J1178">
        <f>YEAR(SalesData[[#This Row],[Order Date]])</f>
        <v>2017</v>
      </c>
      <c r="K1178" t="str">
        <f>TEXT(SalesData[[#This Row],[Order Date]],"mmm")</f>
        <v>Nov</v>
      </c>
      <c r="L1178">
        <f>MONTH(SalesData[[#This Row],[Order Date]])</f>
        <v>11</v>
      </c>
      <c r="M1178">
        <f>SalesData[[#This Row],[Sales]]/SalesData[[#This Row],[Quantity]]</f>
        <v>3.4239999999999999</v>
      </c>
      <c r="N1178" t="str">
        <f>IF(SalesData[[#This Row],[Profit]]&gt;0,"Profit","Loss")</f>
        <v>Profit</v>
      </c>
    </row>
    <row r="1179" spans="1:14" x14ac:dyDescent="0.3">
      <c r="A1179" t="s">
        <v>3534</v>
      </c>
      <c r="B1179" s="3">
        <v>43048</v>
      </c>
      <c r="C1179" t="s">
        <v>9</v>
      </c>
      <c r="D1179" t="s">
        <v>14</v>
      </c>
      <c r="E1179" t="s">
        <v>1672</v>
      </c>
      <c r="F1179" s="1">
        <v>512.19000000000005</v>
      </c>
      <c r="G1179">
        <v>5</v>
      </c>
      <c r="H1179" s="1">
        <v>-65.852999999999994</v>
      </c>
      <c r="I1179" s="4">
        <f>SalesData[[#This Row],[Profit]]/SalesData[[#This Row],[Sales]]</f>
        <v>-0.12857142857142856</v>
      </c>
      <c r="J1179">
        <f>YEAR(SalesData[[#This Row],[Order Date]])</f>
        <v>2017</v>
      </c>
      <c r="K1179" t="str">
        <f>TEXT(SalesData[[#This Row],[Order Date]],"mmm")</f>
        <v>Nov</v>
      </c>
      <c r="L1179">
        <f>MONTH(SalesData[[#This Row],[Order Date]])</f>
        <v>11</v>
      </c>
      <c r="M1179">
        <f>SalesData[[#This Row],[Sales]]/SalesData[[#This Row],[Quantity]]</f>
        <v>102.43800000000002</v>
      </c>
      <c r="N1179" t="str">
        <f>IF(SalesData[[#This Row],[Profit]]&gt;0,"Profit","Loss")</f>
        <v>Loss</v>
      </c>
    </row>
    <row r="1180" spans="1:14" x14ac:dyDescent="0.3">
      <c r="A1180" t="s">
        <v>3534</v>
      </c>
      <c r="B1180" s="3">
        <v>43048</v>
      </c>
      <c r="C1180" t="s">
        <v>9</v>
      </c>
      <c r="D1180" t="s">
        <v>21</v>
      </c>
      <c r="E1180" t="s">
        <v>338</v>
      </c>
      <c r="F1180" s="1">
        <v>1.556</v>
      </c>
      <c r="G1180">
        <v>2</v>
      </c>
      <c r="H1180" s="1">
        <v>-4.2012</v>
      </c>
      <c r="I1180" s="4">
        <f>SalesData[[#This Row],[Profit]]/SalesData[[#This Row],[Sales]]</f>
        <v>-2.6999999999999997</v>
      </c>
      <c r="J1180">
        <f>YEAR(SalesData[[#This Row],[Order Date]])</f>
        <v>2017</v>
      </c>
      <c r="K1180" t="str">
        <f>TEXT(SalesData[[#This Row],[Order Date]],"mmm")</f>
        <v>Nov</v>
      </c>
      <c r="L1180">
        <f>MONTH(SalesData[[#This Row],[Order Date]])</f>
        <v>11</v>
      </c>
      <c r="M1180">
        <f>SalesData[[#This Row],[Sales]]/SalesData[[#This Row],[Quantity]]</f>
        <v>0.77800000000000002</v>
      </c>
      <c r="N1180" t="str">
        <f>IF(SalesData[[#This Row],[Profit]]&gt;0,"Profit","Loss")</f>
        <v>Loss</v>
      </c>
    </row>
    <row r="1181" spans="1:14" x14ac:dyDescent="0.3">
      <c r="A1181" t="s">
        <v>3535</v>
      </c>
      <c r="B1181" s="3">
        <v>43048</v>
      </c>
      <c r="C1181" t="s">
        <v>13</v>
      </c>
      <c r="D1181" t="s">
        <v>10</v>
      </c>
      <c r="E1181" t="s">
        <v>2116</v>
      </c>
      <c r="F1181" s="1">
        <v>143.952</v>
      </c>
      <c r="G1181">
        <v>6</v>
      </c>
      <c r="H1181" s="1">
        <v>17.994</v>
      </c>
      <c r="I1181" s="4">
        <f>SalesData[[#This Row],[Profit]]/SalesData[[#This Row],[Sales]]</f>
        <v>0.125</v>
      </c>
      <c r="J1181">
        <f>YEAR(SalesData[[#This Row],[Order Date]])</f>
        <v>2017</v>
      </c>
      <c r="K1181" t="str">
        <f>TEXT(SalesData[[#This Row],[Order Date]],"mmm")</f>
        <v>Nov</v>
      </c>
      <c r="L1181">
        <f>MONTH(SalesData[[#This Row],[Order Date]])</f>
        <v>11</v>
      </c>
      <c r="M1181">
        <f>SalesData[[#This Row],[Sales]]/SalesData[[#This Row],[Quantity]]</f>
        <v>23.992000000000001</v>
      </c>
      <c r="N1181" t="str">
        <f>IF(SalesData[[#This Row],[Profit]]&gt;0,"Profit","Loss")</f>
        <v>Profit</v>
      </c>
    </row>
    <row r="1182" spans="1:14" x14ac:dyDescent="0.3">
      <c r="A1182" t="s">
        <v>3535</v>
      </c>
      <c r="B1182" s="3">
        <v>43048</v>
      </c>
      <c r="C1182" t="s">
        <v>13</v>
      </c>
      <c r="D1182" t="s">
        <v>21</v>
      </c>
      <c r="E1182" t="s">
        <v>1473</v>
      </c>
      <c r="F1182" s="1">
        <v>19.440000000000001</v>
      </c>
      <c r="G1182">
        <v>3</v>
      </c>
      <c r="H1182" s="1">
        <v>9.3312000000000008</v>
      </c>
      <c r="I1182" s="4">
        <f>SalesData[[#This Row],[Profit]]/SalesData[[#This Row],[Sales]]</f>
        <v>0.48000000000000004</v>
      </c>
      <c r="J1182">
        <f>YEAR(SalesData[[#This Row],[Order Date]])</f>
        <v>2017</v>
      </c>
      <c r="K1182" t="str">
        <f>TEXT(SalesData[[#This Row],[Order Date]],"mmm")</f>
        <v>Nov</v>
      </c>
      <c r="L1182">
        <f>MONTH(SalesData[[#This Row],[Order Date]])</f>
        <v>11</v>
      </c>
      <c r="M1182">
        <f>SalesData[[#This Row],[Sales]]/SalesData[[#This Row],[Quantity]]</f>
        <v>6.48</v>
      </c>
      <c r="N1182" t="str">
        <f>IF(SalesData[[#This Row],[Profit]]&gt;0,"Profit","Loss")</f>
        <v>Profit</v>
      </c>
    </row>
    <row r="1183" spans="1:14" x14ac:dyDescent="0.3">
      <c r="A1183" t="s">
        <v>3536</v>
      </c>
      <c r="B1183" s="3">
        <v>43048</v>
      </c>
      <c r="C1183" t="s">
        <v>46</v>
      </c>
      <c r="D1183" t="s">
        <v>21</v>
      </c>
      <c r="E1183" t="s">
        <v>2797</v>
      </c>
      <c r="F1183" s="1">
        <v>67.900000000000006</v>
      </c>
      <c r="G1183">
        <v>5</v>
      </c>
      <c r="H1183" s="1">
        <v>20.37</v>
      </c>
      <c r="I1183" s="4">
        <f>SalesData[[#This Row],[Profit]]/SalesData[[#This Row],[Sales]]</f>
        <v>0.3</v>
      </c>
      <c r="J1183">
        <f>YEAR(SalesData[[#This Row],[Order Date]])</f>
        <v>2017</v>
      </c>
      <c r="K1183" t="str">
        <f>TEXT(SalesData[[#This Row],[Order Date]],"mmm")</f>
        <v>Nov</v>
      </c>
      <c r="L1183">
        <f>MONTH(SalesData[[#This Row],[Order Date]])</f>
        <v>11</v>
      </c>
      <c r="M1183">
        <f>SalesData[[#This Row],[Sales]]/SalesData[[#This Row],[Quantity]]</f>
        <v>13.580000000000002</v>
      </c>
      <c r="N1183" t="str">
        <f>IF(SalesData[[#This Row],[Profit]]&gt;0,"Profit","Loss")</f>
        <v>Profit</v>
      </c>
    </row>
    <row r="1184" spans="1:14" x14ac:dyDescent="0.3">
      <c r="A1184" t="s">
        <v>3537</v>
      </c>
      <c r="B1184" s="3">
        <v>43048</v>
      </c>
      <c r="C1184" t="s">
        <v>46</v>
      </c>
      <c r="D1184" t="s">
        <v>21</v>
      </c>
      <c r="E1184" t="s">
        <v>888</v>
      </c>
      <c r="F1184" s="1">
        <v>195.68</v>
      </c>
      <c r="G1184">
        <v>4</v>
      </c>
      <c r="H1184" s="1">
        <v>50.876800000000003</v>
      </c>
      <c r="I1184" s="4">
        <f>SalesData[[#This Row],[Profit]]/SalesData[[#This Row],[Sales]]</f>
        <v>0.26</v>
      </c>
      <c r="J1184">
        <f>YEAR(SalesData[[#This Row],[Order Date]])</f>
        <v>2017</v>
      </c>
      <c r="K1184" t="str">
        <f>TEXT(SalesData[[#This Row],[Order Date]],"mmm")</f>
        <v>Nov</v>
      </c>
      <c r="L1184">
        <f>MONTH(SalesData[[#This Row],[Order Date]])</f>
        <v>11</v>
      </c>
      <c r="M1184">
        <f>SalesData[[#This Row],[Sales]]/SalesData[[#This Row],[Quantity]]</f>
        <v>48.92</v>
      </c>
      <c r="N1184" t="str">
        <f>IF(SalesData[[#This Row],[Profit]]&gt;0,"Profit","Loss")</f>
        <v>Profit</v>
      </c>
    </row>
    <row r="1185" spans="1:14" x14ac:dyDescent="0.3">
      <c r="A1185" t="s">
        <v>3537</v>
      </c>
      <c r="B1185" s="3">
        <v>43048</v>
      </c>
      <c r="C1185" t="s">
        <v>46</v>
      </c>
      <c r="D1185" t="s">
        <v>21</v>
      </c>
      <c r="E1185" t="s">
        <v>65</v>
      </c>
      <c r="F1185" s="1">
        <v>14.2</v>
      </c>
      <c r="G1185">
        <v>4</v>
      </c>
      <c r="H1185" s="1">
        <v>6.6740000000000004</v>
      </c>
      <c r="I1185" s="4">
        <f>SalesData[[#This Row],[Profit]]/SalesData[[#This Row],[Sales]]</f>
        <v>0.47000000000000003</v>
      </c>
      <c r="J1185">
        <f>YEAR(SalesData[[#This Row],[Order Date]])</f>
        <v>2017</v>
      </c>
      <c r="K1185" t="str">
        <f>TEXT(SalesData[[#This Row],[Order Date]],"mmm")</f>
        <v>Nov</v>
      </c>
      <c r="L1185">
        <f>MONTH(SalesData[[#This Row],[Order Date]])</f>
        <v>11</v>
      </c>
      <c r="M1185">
        <f>SalesData[[#This Row],[Sales]]/SalesData[[#This Row],[Quantity]]</f>
        <v>3.55</v>
      </c>
      <c r="N1185" t="str">
        <f>IF(SalesData[[#This Row],[Profit]]&gt;0,"Profit","Loss")</f>
        <v>Profit</v>
      </c>
    </row>
    <row r="1186" spans="1:14" x14ac:dyDescent="0.3">
      <c r="A1186" t="s">
        <v>3538</v>
      </c>
      <c r="B1186" s="3">
        <v>43050</v>
      </c>
      <c r="C1186" t="s">
        <v>9</v>
      </c>
      <c r="D1186" t="s">
        <v>21</v>
      </c>
      <c r="E1186" t="s">
        <v>1728</v>
      </c>
      <c r="F1186" s="1">
        <v>10.44</v>
      </c>
      <c r="G1186">
        <v>5</v>
      </c>
      <c r="H1186" s="1">
        <v>3.3929999999999998</v>
      </c>
      <c r="I1186" s="4">
        <f>SalesData[[#This Row],[Profit]]/SalesData[[#This Row],[Sales]]</f>
        <v>0.32500000000000001</v>
      </c>
      <c r="J1186">
        <f>YEAR(SalesData[[#This Row],[Order Date]])</f>
        <v>2017</v>
      </c>
      <c r="K1186" t="str">
        <f>TEXT(SalesData[[#This Row],[Order Date]],"mmm")</f>
        <v>Nov</v>
      </c>
      <c r="L1186">
        <f>MONTH(SalesData[[#This Row],[Order Date]])</f>
        <v>11</v>
      </c>
      <c r="M1186">
        <f>SalesData[[#This Row],[Sales]]/SalesData[[#This Row],[Quantity]]</f>
        <v>2.0880000000000001</v>
      </c>
      <c r="N1186" t="str">
        <f>IF(SalesData[[#This Row],[Profit]]&gt;0,"Profit","Loss")</f>
        <v>Profit</v>
      </c>
    </row>
    <row r="1187" spans="1:14" x14ac:dyDescent="0.3">
      <c r="A1187" t="s">
        <v>3538</v>
      </c>
      <c r="B1187" s="3">
        <v>43050</v>
      </c>
      <c r="C1187" t="s">
        <v>9</v>
      </c>
      <c r="D1187" t="s">
        <v>21</v>
      </c>
      <c r="E1187" t="s">
        <v>1080</v>
      </c>
      <c r="F1187" s="1">
        <v>18.335999999999999</v>
      </c>
      <c r="G1187">
        <v>4</v>
      </c>
      <c r="H1187" s="1">
        <v>-32.088000000000001</v>
      </c>
      <c r="I1187" s="4">
        <f>SalesData[[#This Row],[Profit]]/SalesData[[#This Row],[Sales]]</f>
        <v>-1.7500000000000002</v>
      </c>
      <c r="J1187">
        <f>YEAR(SalesData[[#This Row],[Order Date]])</f>
        <v>2017</v>
      </c>
      <c r="K1187" t="str">
        <f>TEXT(SalesData[[#This Row],[Order Date]],"mmm")</f>
        <v>Nov</v>
      </c>
      <c r="L1187">
        <f>MONTH(SalesData[[#This Row],[Order Date]])</f>
        <v>11</v>
      </c>
      <c r="M1187">
        <f>SalesData[[#This Row],[Sales]]/SalesData[[#This Row],[Quantity]]</f>
        <v>4.5839999999999996</v>
      </c>
      <c r="N1187" t="str">
        <f>IF(SalesData[[#This Row],[Profit]]&gt;0,"Profit","Loss")</f>
        <v>Loss</v>
      </c>
    </row>
    <row r="1188" spans="1:14" x14ac:dyDescent="0.3">
      <c r="A1188" t="s">
        <v>3539</v>
      </c>
      <c r="B1188" s="3">
        <v>43050</v>
      </c>
      <c r="C1188" t="s">
        <v>17</v>
      </c>
      <c r="D1188" t="s">
        <v>21</v>
      </c>
      <c r="E1188" t="s">
        <v>1754</v>
      </c>
      <c r="F1188" s="1">
        <v>10.368</v>
      </c>
      <c r="G1188">
        <v>2</v>
      </c>
      <c r="H1188" s="1">
        <v>3.6288</v>
      </c>
      <c r="I1188" s="4">
        <f>SalesData[[#This Row],[Profit]]/SalesData[[#This Row],[Sales]]</f>
        <v>0.35</v>
      </c>
      <c r="J1188">
        <f>YEAR(SalesData[[#This Row],[Order Date]])</f>
        <v>2017</v>
      </c>
      <c r="K1188" t="str">
        <f>TEXT(SalesData[[#This Row],[Order Date]],"mmm")</f>
        <v>Nov</v>
      </c>
      <c r="L1188">
        <f>MONTH(SalesData[[#This Row],[Order Date]])</f>
        <v>11</v>
      </c>
      <c r="M1188">
        <f>SalesData[[#This Row],[Sales]]/SalesData[[#This Row],[Quantity]]</f>
        <v>5.1840000000000002</v>
      </c>
      <c r="N1188" t="str">
        <f>IF(SalesData[[#This Row],[Profit]]&gt;0,"Profit","Loss")</f>
        <v>Profit</v>
      </c>
    </row>
    <row r="1189" spans="1:14" x14ac:dyDescent="0.3">
      <c r="A1189" t="s">
        <v>3540</v>
      </c>
      <c r="B1189" s="3">
        <v>43050</v>
      </c>
      <c r="C1189" t="s">
        <v>13</v>
      </c>
      <c r="D1189" t="s">
        <v>21</v>
      </c>
      <c r="E1189" t="s">
        <v>142</v>
      </c>
      <c r="F1189" s="1">
        <v>10.89</v>
      </c>
      <c r="G1189">
        <v>1</v>
      </c>
      <c r="H1189" s="1">
        <v>2.8313999999999999</v>
      </c>
      <c r="I1189" s="4">
        <f>SalesData[[#This Row],[Profit]]/SalesData[[#This Row],[Sales]]</f>
        <v>0.25999999999999995</v>
      </c>
      <c r="J1189">
        <f>YEAR(SalesData[[#This Row],[Order Date]])</f>
        <v>2017</v>
      </c>
      <c r="K1189" t="str">
        <f>TEXT(SalesData[[#This Row],[Order Date]],"mmm")</f>
        <v>Nov</v>
      </c>
      <c r="L1189">
        <f>MONTH(SalesData[[#This Row],[Order Date]])</f>
        <v>11</v>
      </c>
      <c r="M1189">
        <f>SalesData[[#This Row],[Sales]]/SalesData[[#This Row],[Quantity]]</f>
        <v>10.89</v>
      </c>
      <c r="N1189" t="str">
        <f>IF(SalesData[[#This Row],[Profit]]&gt;0,"Profit","Loss")</f>
        <v>Profit</v>
      </c>
    </row>
    <row r="1190" spans="1:14" x14ac:dyDescent="0.3">
      <c r="A1190" t="s">
        <v>3540</v>
      </c>
      <c r="B1190" s="3">
        <v>43050</v>
      </c>
      <c r="C1190" t="s">
        <v>13</v>
      </c>
      <c r="D1190" t="s">
        <v>21</v>
      </c>
      <c r="E1190" t="s">
        <v>1731</v>
      </c>
      <c r="F1190" s="1">
        <v>19.440000000000001</v>
      </c>
      <c r="G1190">
        <v>3</v>
      </c>
      <c r="H1190" s="1">
        <v>9.3312000000000008</v>
      </c>
      <c r="I1190" s="4">
        <f>SalesData[[#This Row],[Profit]]/SalesData[[#This Row],[Sales]]</f>
        <v>0.48000000000000004</v>
      </c>
      <c r="J1190">
        <f>YEAR(SalesData[[#This Row],[Order Date]])</f>
        <v>2017</v>
      </c>
      <c r="K1190" t="str">
        <f>TEXT(SalesData[[#This Row],[Order Date]],"mmm")</f>
        <v>Nov</v>
      </c>
      <c r="L1190">
        <f>MONTH(SalesData[[#This Row],[Order Date]])</f>
        <v>11</v>
      </c>
      <c r="M1190">
        <f>SalesData[[#This Row],[Sales]]/SalesData[[#This Row],[Quantity]]</f>
        <v>6.48</v>
      </c>
      <c r="N1190" t="str">
        <f>IF(SalesData[[#This Row],[Profit]]&gt;0,"Profit","Loss")</f>
        <v>Profit</v>
      </c>
    </row>
    <row r="1191" spans="1:14" x14ac:dyDescent="0.3">
      <c r="A1191" t="s">
        <v>3540</v>
      </c>
      <c r="B1191" s="3">
        <v>43050</v>
      </c>
      <c r="C1191" t="s">
        <v>13</v>
      </c>
      <c r="D1191" t="s">
        <v>21</v>
      </c>
      <c r="E1191" t="s">
        <v>2136</v>
      </c>
      <c r="F1191" s="1">
        <v>121.6</v>
      </c>
      <c r="G1191">
        <v>5</v>
      </c>
      <c r="H1191" s="1">
        <v>39.520000000000003</v>
      </c>
      <c r="I1191" s="4">
        <f>SalesData[[#This Row],[Profit]]/SalesData[[#This Row],[Sales]]</f>
        <v>0.32500000000000007</v>
      </c>
      <c r="J1191">
        <f>YEAR(SalesData[[#This Row],[Order Date]])</f>
        <v>2017</v>
      </c>
      <c r="K1191" t="str">
        <f>TEXT(SalesData[[#This Row],[Order Date]],"mmm")</f>
        <v>Nov</v>
      </c>
      <c r="L1191">
        <f>MONTH(SalesData[[#This Row],[Order Date]])</f>
        <v>11</v>
      </c>
      <c r="M1191">
        <f>SalesData[[#This Row],[Sales]]/SalesData[[#This Row],[Quantity]]</f>
        <v>24.32</v>
      </c>
      <c r="N1191" t="str">
        <f>IF(SalesData[[#This Row],[Profit]]&gt;0,"Profit","Loss")</f>
        <v>Profit</v>
      </c>
    </row>
    <row r="1192" spans="1:14" x14ac:dyDescent="0.3">
      <c r="A1192" t="s">
        <v>3541</v>
      </c>
      <c r="B1192" s="3">
        <v>43050</v>
      </c>
      <c r="C1192" t="s">
        <v>9</v>
      </c>
      <c r="D1192" t="s">
        <v>21</v>
      </c>
      <c r="E1192" t="s">
        <v>3244</v>
      </c>
      <c r="F1192" s="1">
        <v>181.86</v>
      </c>
      <c r="G1192">
        <v>7</v>
      </c>
      <c r="H1192" s="1">
        <v>50.9208</v>
      </c>
      <c r="I1192" s="4">
        <f>SalesData[[#This Row],[Profit]]/SalesData[[#This Row],[Sales]]</f>
        <v>0.27999999999999997</v>
      </c>
      <c r="J1192">
        <f>YEAR(SalesData[[#This Row],[Order Date]])</f>
        <v>2017</v>
      </c>
      <c r="K1192" t="str">
        <f>TEXT(SalesData[[#This Row],[Order Date]],"mmm")</f>
        <v>Nov</v>
      </c>
      <c r="L1192">
        <f>MONTH(SalesData[[#This Row],[Order Date]])</f>
        <v>11</v>
      </c>
      <c r="M1192">
        <f>SalesData[[#This Row],[Sales]]/SalesData[[#This Row],[Quantity]]</f>
        <v>25.98</v>
      </c>
      <c r="N1192" t="str">
        <f>IF(SalesData[[#This Row],[Profit]]&gt;0,"Profit","Loss")</f>
        <v>Profit</v>
      </c>
    </row>
    <row r="1193" spans="1:14" x14ac:dyDescent="0.3">
      <c r="A1193" t="s">
        <v>3542</v>
      </c>
      <c r="B1193" s="3">
        <v>43050</v>
      </c>
      <c r="C1193" t="s">
        <v>9</v>
      </c>
      <c r="D1193" t="s">
        <v>21</v>
      </c>
      <c r="E1193" t="s">
        <v>927</v>
      </c>
      <c r="F1193" s="1">
        <v>45.92</v>
      </c>
      <c r="G1193">
        <v>4</v>
      </c>
      <c r="H1193" s="1">
        <v>21.5824</v>
      </c>
      <c r="I1193" s="4">
        <f>SalesData[[#This Row],[Profit]]/SalesData[[#This Row],[Sales]]</f>
        <v>0.47</v>
      </c>
      <c r="J1193">
        <f>YEAR(SalesData[[#This Row],[Order Date]])</f>
        <v>2017</v>
      </c>
      <c r="K1193" t="str">
        <f>TEXT(SalesData[[#This Row],[Order Date]],"mmm")</f>
        <v>Nov</v>
      </c>
      <c r="L1193">
        <f>MONTH(SalesData[[#This Row],[Order Date]])</f>
        <v>11</v>
      </c>
      <c r="M1193">
        <f>SalesData[[#This Row],[Sales]]/SalesData[[#This Row],[Quantity]]</f>
        <v>11.48</v>
      </c>
      <c r="N1193" t="str">
        <f>IF(SalesData[[#This Row],[Profit]]&gt;0,"Profit","Loss")</f>
        <v>Profit</v>
      </c>
    </row>
    <row r="1194" spans="1:14" x14ac:dyDescent="0.3">
      <c r="A1194" t="s">
        <v>3543</v>
      </c>
      <c r="B1194" s="3">
        <v>43050</v>
      </c>
      <c r="C1194" t="s">
        <v>9</v>
      </c>
      <c r="D1194" t="s">
        <v>21</v>
      </c>
      <c r="E1194" t="s">
        <v>69</v>
      </c>
      <c r="F1194" s="1">
        <v>18.239999999999998</v>
      </c>
      <c r="G1194">
        <v>3</v>
      </c>
      <c r="H1194" s="1">
        <v>8.5728000000000009</v>
      </c>
      <c r="I1194" s="4">
        <f>SalesData[[#This Row],[Profit]]/SalesData[[#This Row],[Sales]]</f>
        <v>0.47000000000000008</v>
      </c>
      <c r="J1194">
        <f>YEAR(SalesData[[#This Row],[Order Date]])</f>
        <v>2017</v>
      </c>
      <c r="K1194" t="str">
        <f>TEXT(SalesData[[#This Row],[Order Date]],"mmm")</f>
        <v>Nov</v>
      </c>
      <c r="L1194">
        <f>MONTH(SalesData[[#This Row],[Order Date]])</f>
        <v>11</v>
      </c>
      <c r="M1194">
        <f>SalesData[[#This Row],[Sales]]/SalesData[[#This Row],[Quantity]]</f>
        <v>6.0799999999999992</v>
      </c>
      <c r="N1194" t="str">
        <f>IF(SalesData[[#This Row],[Profit]]&gt;0,"Profit","Loss")</f>
        <v>Profit</v>
      </c>
    </row>
    <row r="1195" spans="1:14" x14ac:dyDescent="0.3">
      <c r="A1195" t="s">
        <v>3544</v>
      </c>
      <c r="B1195" s="3">
        <v>43050</v>
      </c>
      <c r="C1195" t="s">
        <v>17</v>
      </c>
      <c r="D1195" t="s">
        <v>21</v>
      </c>
      <c r="E1195" t="s">
        <v>2162</v>
      </c>
      <c r="F1195" s="1">
        <v>35.479999999999997</v>
      </c>
      <c r="G1195">
        <v>1</v>
      </c>
      <c r="H1195" s="1">
        <v>0</v>
      </c>
      <c r="I1195" s="4">
        <f>SalesData[[#This Row],[Profit]]/SalesData[[#This Row],[Sales]]</f>
        <v>0</v>
      </c>
      <c r="J1195">
        <f>YEAR(SalesData[[#This Row],[Order Date]])</f>
        <v>2017</v>
      </c>
      <c r="K1195" t="str">
        <f>TEXT(SalesData[[#This Row],[Order Date]],"mmm")</f>
        <v>Nov</v>
      </c>
      <c r="L1195">
        <f>MONTH(SalesData[[#This Row],[Order Date]])</f>
        <v>11</v>
      </c>
      <c r="M1195">
        <f>SalesData[[#This Row],[Sales]]/SalesData[[#This Row],[Quantity]]</f>
        <v>35.479999999999997</v>
      </c>
      <c r="N1195" t="str">
        <f>IF(SalesData[[#This Row],[Profit]]&gt;0,"Profit","Loss")</f>
        <v>Loss</v>
      </c>
    </row>
    <row r="1196" spans="1:14" x14ac:dyDescent="0.3">
      <c r="A1196" t="s">
        <v>3545</v>
      </c>
      <c r="B1196" s="3">
        <v>43050</v>
      </c>
      <c r="C1196" t="s">
        <v>46</v>
      </c>
      <c r="D1196" t="s">
        <v>21</v>
      </c>
      <c r="E1196" t="s">
        <v>1468</v>
      </c>
      <c r="F1196" s="1">
        <v>1158.1199999999999</v>
      </c>
      <c r="G1196">
        <v>5</v>
      </c>
      <c r="H1196" s="1">
        <v>130.2885</v>
      </c>
      <c r="I1196" s="4">
        <f>SalesData[[#This Row],[Profit]]/SalesData[[#This Row],[Sales]]</f>
        <v>0.11250000000000002</v>
      </c>
      <c r="J1196">
        <f>YEAR(SalesData[[#This Row],[Order Date]])</f>
        <v>2017</v>
      </c>
      <c r="K1196" t="str">
        <f>TEXT(SalesData[[#This Row],[Order Date]],"mmm")</f>
        <v>Nov</v>
      </c>
      <c r="L1196">
        <f>MONTH(SalesData[[#This Row],[Order Date]])</f>
        <v>11</v>
      </c>
      <c r="M1196">
        <f>SalesData[[#This Row],[Sales]]/SalesData[[#This Row],[Quantity]]</f>
        <v>231.62399999999997</v>
      </c>
      <c r="N1196" t="str">
        <f>IF(SalesData[[#This Row],[Profit]]&gt;0,"Profit","Loss")</f>
        <v>Profit</v>
      </c>
    </row>
    <row r="1197" spans="1:14" x14ac:dyDescent="0.3">
      <c r="A1197" t="s">
        <v>3546</v>
      </c>
      <c r="B1197" s="3">
        <v>43050</v>
      </c>
      <c r="C1197" t="s">
        <v>46</v>
      </c>
      <c r="D1197" t="s">
        <v>14</v>
      </c>
      <c r="E1197" t="s">
        <v>1385</v>
      </c>
      <c r="F1197" s="1">
        <v>88.92</v>
      </c>
      <c r="G1197">
        <v>5</v>
      </c>
      <c r="H1197" s="1">
        <v>14.4495</v>
      </c>
      <c r="I1197" s="4">
        <f>SalesData[[#This Row],[Profit]]/SalesData[[#This Row],[Sales]]</f>
        <v>0.16250000000000001</v>
      </c>
      <c r="J1197">
        <f>YEAR(SalesData[[#This Row],[Order Date]])</f>
        <v>2017</v>
      </c>
      <c r="K1197" t="str">
        <f>TEXT(SalesData[[#This Row],[Order Date]],"mmm")</f>
        <v>Nov</v>
      </c>
      <c r="L1197">
        <f>MONTH(SalesData[[#This Row],[Order Date]])</f>
        <v>11</v>
      </c>
      <c r="M1197">
        <f>SalesData[[#This Row],[Sales]]/SalesData[[#This Row],[Quantity]]</f>
        <v>17.783999999999999</v>
      </c>
      <c r="N1197" t="str">
        <f>IF(SalesData[[#This Row],[Profit]]&gt;0,"Profit","Loss")</f>
        <v>Profit</v>
      </c>
    </row>
    <row r="1198" spans="1:14" x14ac:dyDescent="0.3">
      <c r="A1198" t="s">
        <v>3547</v>
      </c>
      <c r="B1198" s="3">
        <v>43050</v>
      </c>
      <c r="C1198" t="s">
        <v>13</v>
      </c>
      <c r="D1198" t="s">
        <v>14</v>
      </c>
      <c r="E1198" t="s">
        <v>2688</v>
      </c>
      <c r="F1198" s="1">
        <v>34.92</v>
      </c>
      <c r="G1198">
        <v>4</v>
      </c>
      <c r="H1198" s="1">
        <v>11.8728</v>
      </c>
      <c r="I1198" s="4">
        <f>SalesData[[#This Row],[Profit]]/SalesData[[#This Row],[Sales]]</f>
        <v>0.33999999999999997</v>
      </c>
      <c r="J1198">
        <f>YEAR(SalesData[[#This Row],[Order Date]])</f>
        <v>2017</v>
      </c>
      <c r="K1198" t="str">
        <f>TEXT(SalesData[[#This Row],[Order Date]],"mmm")</f>
        <v>Nov</v>
      </c>
      <c r="L1198">
        <f>MONTH(SalesData[[#This Row],[Order Date]])</f>
        <v>11</v>
      </c>
      <c r="M1198">
        <f>SalesData[[#This Row],[Sales]]/SalesData[[#This Row],[Quantity]]</f>
        <v>8.73</v>
      </c>
      <c r="N1198" t="str">
        <f>IF(SalesData[[#This Row],[Profit]]&gt;0,"Profit","Loss")</f>
        <v>Profit</v>
      </c>
    </row>
    <row r="1199" spans="1:14" x14ac:dyDescent="0.3">
      <c r="A1199" t="s">
        <v>3548</v>
      </c>
      <c r="B1199" s="3">
        <v>43050</v>
      </c>
      <c r="C1199" t="s">
        <v>9</v>
      </c>
      <c r="D1199" t="s">
        <v>10</v>
      </c>
      <c r="E1199" t="s">
        <v>1744</v>
      </c>
      <c r="F1199" s="1">
        <v>35.183999999999997</v>
      </c>
      <c r="G1199">
        <v>2</v>
      </c>
      <c r="H1199" s="1">
        <v>12.314399999999999</v>
      </c>
      <c r="I1199" s="4">
        <f>SalesData[[#This Row],[Profit]]/SalesData[[#This Row],[Sales]]</f>
        <v>0.35</v>
      </c>
      <c r="J1199">
        <f>YEAR(SalesData[[#This Row],[Order Date]])</f>
        <v>2017</v>
      </c>
      <c r="K1199" t="str">
        <f>TEXT(SalesData[[#This Row],[Order Date]],"mmm")</f>
        <v>Nov</v>
      </c>
      <c r="L1199">
        <f>MONTH(SalesData[[#This Row],[Order Date]])</f>
        <v>11</v>
      </c>
      <c r="M1199">
        <f>SalesData[[#This Row],[Sales]]/SalesData[[#This Row],[Quantity]]</f>
        <v>17.591999999999999</v>
      </c>
      <c r="N1199" t="str">
        <f>IF(SalesData[[#This Row],[Profit]]&gt;0,"Profit","Loss")</f>
        <v>Profit</v>
      </c>
    </row>
    <row r="1200" spans="1:14" x14ac:dyDescent="0.3">
      <c r="A1200" t="s">
        <v>3549</v>
      </c>
      <c r="B1200" s="3">
        <v>43050</v>
      </c>
      <c r="C1200" t="s">
        <v>9</v>
      </c>
      <c r="D1200" t="s">
        <v>21</v>
      </c>
      <c r="E1200" t="s">
        <v>1383</v>
      </c>
      <c r="F1200" s="1">
        <v>25.5</v>
      </c>
      <c r="G1200">
        <v>3</v>
      </c>
      <c r="H1200" s="1">
        <v>6.63</v>
      </c>
      <c r="I1200" s="4">
        <f>SalesData[[#This Row],[Profit]]/SalesData[[#This Row],[Sales]]</f>
        <v>0.26</v>
      </c>
      <c r="J1200">
        <f>YEAR(SalesData[[#This Row],[Order Date]])</f>
        <v>2017</v>
      </c>
      <c r="K1200" t="str">
        <f>TEXT(SalesData[[#This Row],[Order Date]],"mmm")</f>
        <v>Nov</v>
      </c>
      <c r="L1200">
        <f>MONTH(SalesData[[#This Row],[Order Date]])</f>
        <v>11</v>
      </c>
      <c r="M1200">
        <f>SalesData[[#This Row],[Sales]]/SalesData[[#This Row],[Quantity]]</f>
        <v>8.5</v>
      </c>
      <c r="N1200" t="str">
        <f>IF(SalesData[[#This Row],[Profit]]&gt;0,"Profit","Loss")</f>
        <v>Profit</v>
      </c>
    </row>
    <row r="1201" spans="1:14" x14ac:dyDescent="0.3">
      <c r="A1201" t="s">
        <v>3550</v>
      </c>
      <c r="B1201" s="3">
        <v>43051</v>
      </c>
      <c r="C1201" t="s">
        <v>17</v>
      </c>
      <c r="D1201" t="s">
        <v>21</v>
      </c>
      <c r="E1201" t="s">
        <v>199</v>
      </c>
      <c r="F1201" s="1">
        <v>23.36</v>
      </c>
      <c r="G1201">
        <v>4</v>
      </c>
      <c r="H1201" s="1">
        <v>7.8840000000000003</v>
      </c>
      <c r="I1201" s="4">
        <f>SalesData[[#This Row],[Profit]]/SalesData[[#This Row],[Sales]]</f>
        <v>0.33750000000000002</v>
      </c>
      <c r="J1201">
        <f>YEAR(SalesData[[#This Row],[Order Date]])</f>
        <v>2017</v>
      </c>
      <c r="K1201" t="str">
        <f>TEXT(SalesData[[#This Row],[Order Date]],"mmm")</f>
        <v>Nov</v>
      </c>
      <c r="L1201">
        <f>MONTH(SalesData[[#This Row],[Order Date]])</f>
        <v>11</v>
      </c>
      <c r="M1201">
        <f>SalesData[[#This Row],[Sales]]/SalesData[[#This Row],[Quantity]]</f>
        <v>5.84</v>
      </c>
      <c r="N1201" t="str">
        <f>IF(SalesData[[#This Row],[Profit]]&gt;0,"Profit","Loss")</f>
        <v>Profit</v>
      </c>
    </row>
    <row r="1202" spans="1:14" x14ac:dyDescent="0.3">
      <c r="A1202" t="s">
        <v>3550</v>
      </c>
      <c r="B1202" s="3">
        <v>43051</v>
      </c>
      <c r="C1202" t="s">
        <v>17</v>
      </c>
      <c r="D1202" t="s">
        <v>10</v>
      </c>
      <c r="E1202" t="s">
        <v>1779</v>
      </c>
      <c r="F1202" s="1">
        <v>39.979999999999997</v>
      </c>
      <c r="G1202">
        <v>2</v>
      </c>
      <c r="H1202" s="1">
        <v>13.5932</v>
      </c>
      <c r="I1202" s="4">
        <f>SalesData[[#This Row],[Profit]]/SalesData[[#This Row],[Sales]]</f>
        <v>0.34</v>
      </c>
      <c r="J1202">
        <f>YEAR(SalesData[[#This Row],[Order Date]])</f>
        <v>2017</v>
      </c>
      <c r="K1202" t="str">
        <f>TEXT(SalesData[[#This Row],[Order Date]],"mmm")</f>
        <v>Nov</v>
      </c>
      <c r="L1202">
        <f>MONTH(SalesData[[#This Row],[Order Date]])</f>
        <v>11</v>
      </c>
      <c r="M1202">
        <f>SalesData[[#This Row],[Sales]]/SalesData[[#This Row],[Quantity]]</f>
        <v>19.989999999999998</v>
      </c>
      <c r="N1202" t="str">
        <f>IF(SalesData[[#This Row],[Profit]]&gt;0,"Profit","Loss")</f>
        <v>Profit</v>
      </c>
    </row>
    <row r="1203" spans="1:14" x14ac:dyDescent="0.3">
      <c r="A1203" t="s">
        <v>3551</v>
      </c>
      <c r="B1203" s="3">
        <v>43051</v>
      </c>
      <c r="C1203" t="s">
        <v>17</v>
      </c>
      <c r="D1203" t="s">
        <v>14</v>
      </c>
      <c r="E1203" t="s">
        <v>3552</v>
      </c>
      <c r="F1203" s="1">
        <v>63.686</v>
      </c>
      <c r="G1203">
        <v>1</v>
      </c>
      <c r="H1203" s="1">
        <v>-9.0980000000000008</v>
      </c>
      <c r="I1203" s="4">
        <f>SalesData[[#This Row],[Profit]]/SalesData[[#This Row],[Sales]]</f>
        <v>-0.14285714285714288</v>
      </c>
      <c r="J1203">
        <f>YEAR(SalesData[[#This Row],[Order Date]])</f>
        <v>2017</v>
      </c>
      <c r="K1203" t="str">
        <f>TEXT(SalesData[[#This Row],[Order Date]],"mmm")</f>
        <v>Nov</v>
      </c>
      <c r="L1203">
        <f>MONTH(SalesData[[#This Row],[Order Date]])</f>
        <v>11</v>
      </c>
      <c r="M1203">
        <f>SalesData[[#This Row],[Sales]]/SalesData[[#This Row],[Quantity]]</f>
        <v>63.686</v>
      </c>
      <c r="N1203" t="str">
        <f>IF(SalesData[[#This Row],[Profit]]&gt;0,"Profit","Loss")</f>
        <v>Loss</v>
      </c>
    </row>
    <row r="1204" spans="1:14" x14ac:dyDescent="0.3">
      <c r="A1204" t="s">
        <v>3553</v>
      </c>
      <c r="B1204" s="3">
        <v>43051</v>
      </c>
      <c r="C1204" t="s">
        <v>9</v>
      </c>
      <c r="D1204" t="s">
        <v>21</v>
      </c>
      <c r="E1204" t="s">
        <v>767</v>
      </c>
      <c r="F1204" s="1">
        <v>10.368</v>
      </c>
      <c r="G1204">
        <v>2</v>
      </c>
      <c r="H1204" s="1">
        <v>3.6288</v>
      </c>
      <c r="I1204" s="4">
        <f>SalesData[[#This Row],[Profit]]/SalesData[[#This Row],[Sales]]</f>
        <v>0.35</v>
      </c>
      <c r="J1204">
        <f>YEAR(SalesData[[#This Row],[Order Date]])</f>
        <v>2017</v>
      </c>
      <c r="K1204" t="str">
        <f>TEXT(SalesData[[#This Row],[Order Date]],"mmm")</f>
        <v>Nov</v>
      </c>
      <c r="L1204">
        <f>MONTH(SalesData[[#This Row],[Order Date]])</f>
        <v>11</v>
      </c>
      <c r="M1204">
        <f>SalesData[[#This Row],[Sales]]/SalesData[[#This Row],[Quantity]]</f>
        <v>5.1840000000000002</v>
      </c>
      <c r="N1204" t="str">
        <f>IF(SalesData[[#This Row],[Profit]]&gt;0,"Profit","Loss")</f>
        <v>Profit</v>
      </c>
    </row>
    <row r="1205" spans="1:14" x14ac:dyDescent="0.3">
      <c r="A1205" t="s">
        <v>3553</v>
      </c>
      <c r="B1205" s="3">
        <v>43051</v>
      </c>
      <c r="C1205" t="s">
        <v>9</v>
      </c>
      <c r="D1205" t="s">
        <v>14</v>
      </c>
      <c r="E1205" t="s">
        <v>2289</v>
      </c>
      <c r="F1205" s="1">
        <v>77.72</v>
      </c>
      <c r="G1205">
        <v>1</v>
      </c>
      <c r="H1205" s="1">
        <v>-66.061999999999998</v>
      </c>
      <c r="I1205" s="4">
        <f>SalesData[[#This Row],[Profit]]/SalesData[[#This Row],[Sales]]</f>
        <v>-0.85</v>
      </c>
      <c r="J1205">
        <f>YEAR(SalesData[[#This Row],[Order Date]])</f>
        <v>2017</v>
      </c>
      <c r="K1205" t="str">
        <f>TEXT(SalesData[[#This Row],[Order Date]],"mmm")</f>
        <v>Nov</v>
      </c>
      <c r="L1205">
        <f>MONTH(SalesData[[#This Row],[Order Date]])</f>
        <v>11</v>
      </c>
      <c r="M1205">
        <f>SalesData[[#This Row],[Sales]]/SalesData[[#This Row],[Quantity]]</f>
        <v>77.72</v>
      </c>
      <c r="N1205" t="str">
        <f>IF(SalesData[[#This Row],[Profit]]&gt;0,"Profit","Loss")</f>
        <v>Loss</v>
      </c>
    </row>
    <row r="1206" spans="1:14" x14ac:dyDescent="0.3">
      <c r="A1206" t="s">
        <v>3553</v>
      </c>
      <c r="B1206" s="3">
        <v>43051</v>
      </c>
      <c r="C1206" t="s">
        <v>9</v>
      </c>
      <c r="D1206" t="s">
        <v>14</v>
      </c>
      <c r="E1206" t="s">
        <v>841</v>
      </c>
      <c r="F1206" s="1">
        <v>520.46400000000006</v>
      </c>
      <c r="G1206">
        <v>2</v>
      </c>
      <c r="H1206" s="1">
        <v>-14.8704</v>
      </c>
      <c r="I1206" s="4">
        <f>SalesData[[#This Row],[Profit]]/SalesData[[#This Row],[Sales]]</f>
        <v>-2.8571428571428567E-2</v>
      </c>
      <c r="J1206">
        <f>YEAR(SalesData[[#This Row],[Order Date]])</f>
        <v>2017</v>
      </c>
      <c r="K1206" t="str">
        <f>TEXT(SalesData[[#This Row],[Order Date]],"mmm")</f>
        <v>Nov</v>
      </c>
      <c r="L1206">
        <f>MONTH(SalesData[[#This Row],[Order Date]])</f>
        <v>11</v>
      </c>
      <c r="M1206">
        <f>SalesData[[#This Row],[Sales]]/SalesData[[#This Row],[Quantity]]</f>
        <v>260.23200000000003</v>
      </c>
      <c r="N1206" t="str">
        <f>IF(SalesData[[#This Row],[Profit]]&gt;0,"Profit","Loss")</f>
        <v>Loss</v>
      </c>
    </row>
    <row r="1207" spans="1:14" x14ac:dyDescent="0.3">
      <c r="A1207" t="s">
        <v>3554</v>
      </c>
      <c r="B1207" s="3">
        <v>43051</v>
      </c>
      <c r="C1207" t="s">
        <v>17</v>
      </c>
      <c r="D1207" t="s">
        <v>10</v>
      </c>
      <c r="E1207" t="s">
        <v>1096</v>
      </c>
      <c r="F1207" s="1">
        <v>128.85</v>
      </c>
      <c r="G1207">
        <v>3</v>
      </c>
      <c r="H1207" s="1">
        <v>3.8654999999999999</v>
      </c>
      <c r="I1207" s="4">
        <f>SalesData[[#This Row],[Profit]]/SalesData[[#This Row],[Sales]]</f>
        <v>3.0000000000000002E-2</v>
      </c>
      <c r="J1207">
        <f>YEAR(SalesData[[#This Row],[Order Date]])</f>
        <v>2017</v>
      </c>
      <c r="K1207" t="str">
        <f>TEXT(SalesData[[#This Row],[Order Date]],"mmm")</f>
        <v>Nov</v>
      </c>
      <c r="L1207">
        <f>MONTH(SalesData[[#This Row],[Order Date]])</f>
        <v>11</v>
      </c>
      <c r="M1207">
        <f>SalesData[[#This Row],[Sales]]/SalesData[[#This Row],[Quantity]]</f>
        <v>42.949999999999996</v>
      </c>
      <c r="N1207" t="str">
        <f>IF(SalesData[[#This Row],[Profit]]&gt;0,"Profit","Loss")</f>
        <v>Profit</v>
      </c>
    </row>
    <row r="1208" spans="1:14" x14ac:dyDescent="0.3">
      <c r="A1208" t="s">
        <v>3555</v>
      </c>
      <c r="B1208" s="3">
        <v>43051</v>
      </c>
      <c r="C1208" t="s">
        <v>9</v>
      </c>
      <c r="D1208" t="s">
        <v>10</v>
      </c>
      <c r="E1208" t="s">
        <v>235</v>
      </c>
      <c r="F1208" s="1">
        <v>116.312</v>
      </c>
      <c r="G1208">
        <v>7</v>
      </c>
      <c r="H1208" s="1">
        <v>23.2624</v>
      </c>
      <c r="I1208" s="4">
        <f>SalesData[[#This Row],[Profit]]/SalesData[[#This Row],[Sales]]</f>
        <v>0.2</v>
      </c>
      <c r="J1208">
        <f>YEAR(SalesData[[#This Row],[Order Date]])</f>
        <v>2017</v>
      </c>
      <c r="K1208" t="str">
        <f>TEXT(SalesData[[#This Row],[Order Date]],"mmm")</f>
        <v>Nov</v>
      </c>
      <c r="L1208">
        <f>MONTH(SalesData[[#This Row],[Order Date]])</f>
        <v>11</v>
      </c>
      <c r="M1208">
        <f>SalesData[[#This Row],[Sales]]/SalesData[[#This Row],[Quantity]]</f>
        <v>16.616</v>
      </c>
      <c r="N1208" t="str">
        <f>IF(SalesData[[#This Row],[Profit]]&gt;0,"Profit","Loss")</f>
        <v>Profit</v>
      </c>
    </row>
    <row r="1209" spans="1:14" x14ac:dyDescent="0.3">
      <c r="A1209" t="s">
        <v>3556</v>
      </c>
      <c r="B1209" s="3">
        <v>43051</v>
      </c>
      <c r="C1209" t="s">
        <v>17</v>
      </c>
      <c r="D1209" t="s">
        <v>21</v>
      </c>
      <c r="E1209" t="s">
        <v>1663</v>
      </c>
      <c r="F1209" s="1">
        <v>14.952</v>
      </c>
      <c r="G1209">
        <v>1</v>
      </c>
      <c r="H1209" s="1">
        <v>5.0462999999999996</v>
      </c>
      <c r="I1209" s="4">
        <f>SalesData[[#This Row],[Profit]]/SalesData[[#This Row],[Sales]]</f>
        <v>0.33749999999999997</v>
      </c>
      <c r="J1209">
        <f>YEAR(SalesData[[#This Row],[Order Date]])</f>
        <v>2017</v>
      </c>
      <c r="K1209" t="str">
        <f>TEXT(SalesData[[#This Row],[Order Date]],"mmm")</f>
        <v>Nov</v>
      </c>
      <c r="L1209">
        <f>MONTH(SalesData[[#This Row],[Order Date]])</f>
        <v>11</v>
      </c>
      <c r="M1209">
        <f>SalesData[[#This Row],[Sales]]/SalesData[[#This Row],[Quantity]]</f>
        <v>14.952</v>
      </c>
      <c r="N1209" t="str">
        <f>IF(SalesData[[#This Row],[Profit]]&gt;0,"Profit","Loss")</f>
        <v>Profit</v>
      </c>
    </row>
    <row r="1210" spans="1:14" x14ac:dyDescent="0.3">
      <c r="A1210" t="s">
        <v>3556</v>
      </c>
      <c r="B1210" s="3">
        <v>43051</v>
      </c>
      <c r="C1210" t="s">
        <v>17</v>
      </c>
      <c r="D1210" t="s">
        <v>21</v>
      </c>
      <c r="E1210" t="s">
        <v>757</v>
      </c>
      <c r="F1210" s="1">
        <v>17.940000000000001</v>
      </c>
      <c r="G1210">
        <v>3</v>
      </c>
      <c r="H1210" s="1">
        <v>8.0730000000000004</v>
      </c>
      <c r="I1210" s="4">
        <f>SalesData[[#This Row],[Profit]]/SalesData[[#This Row],[Sales]]</f>
        <v>0.45</v>
      </c>
      <c r="J1210">
        <f>YEAR(SalesData[[#This Row],[Order Date]])</f>
        <v>2017</v>
      </c>
      <c r="K1210" t="str">
        <f>TEXT(SalesData[[#This Row],[Order Date]],"mmm")</f>
        <v>Nov</v>
      </c>
      <c r="L1210">
        <f>MONTH(SalesData[[#This Row],[Order Date]])</f>
        <v>11</v>
      </c>
      <c r="M1210">
        <f>SalesData[[#This Row],[Sales]]/SalesData[[#This Row],[Quantity]]</f>
        <v>5.98</v>
      </c>
      <c r="N1210" t="str">
        <f>IF(SalesData[[#This Row],[Profit]]&gt;0,"Profit","Loss")</f>
        <v>Profit</v>
      </c>
    </row>
    <row r="1211" spans="1:14" x14ac:dyDescent="0.3">
      <c r="A1211" t="s">
        <v>3556</v>
      </c>
      <c r="B1211" s="3">
        <v>43051</v>
      </c>
      <c r="C1211" t="s">
        <v>17</v>
      </c>
      <c r="D1211" t="s">
        <v>10</v>
      </c>
      <c r="E1211" t="s">
        <v>1627</v>
      </c>
      <c r="F1211" s="1">
        <v>116.98</v>
      </c>
      <c r="G1211">
        <v>2</v>
      </c>
      <c r="H1211" s="1">
        <v>29.245000000000001</v>
      </c>
      <c r="I1211" s="4">
        <f>SalesData[[#This Row],[Profit]]/SalesData[[#This Row],[Sales]]</f>
        <v>0.25</v>
      </c>
      <c r="J1211">
        <f>YEAR(SalesData[[#This Row],[Order Date]])</f>
        <v>2017</v>
      </c>
      <c r="K1211" t="str">
        <f>TEXT(SalesData[[#This Row],[Order Date]],"mmm")</f>
        <v>Nov</v>
      </c>
      <c r="L1211">
        <f>MONTH(SalesData[[#This Row],[Order Date]])</f>
        <v>11</v>
      </c>
      <c r="M1211">
        <f>SalesData[[#This Row],[Sales]]/SalesData[[#This Row],[Quantity]]</f>
        <v>58.49</v>
      </c>
      <c r="N1211" t="str">
        <f>IF(SalesData[[#This Row],[Profit]]&gt;0,"Profit","Loss")</f>
        <v>Profit</v>
      </c>
    </row>
    <row r="1212" spans="1:14" x14ac:dyDescent="0.3">
      <c r="A1212" t="s">
        <v>3557</v>
      </c>
      <c r="B1212" s="3">
        <v>43051</v>
      </c>
      <c r="C1212" t="s">
        <v>9</v>
      </c>
      <c r="D1212" t="s">
        <v>21</v>
      </c>
      <c r="E1212" t="s">
        <v>3558</v>
      </c>
      <c r="F1212" s="1">
        <v>1.3919999999999999</v>
      </c>
      <c r="G1212">
        <v>2</v>
      </c>
      <c r="H1212" s="1">
        <v>-3.7584</v>
      </c>
      <c r="I1212" s="4">
        <f>SalesData[[#This Row],[Profit]]/SalesData[[#This Row],[Sales]]</f>
        <v>-2.7</v>
      </c>
      <c r="J1212">
        <f>YEAR(SalesData[[#This Row],[Order Date]])</f>
        <v>2017</v>
      </c>
      <c r="K1212" t="str">
        <f>TEXT(SalesData[[#This Row],[Order Date]],"mmm")</f>
        <v>Nov</v>
      </c>
      <c r="L1212">
        <f>MONTH(SalesData[[#This Row],[Order Date]])</f>
        <v>11</v>
      </c>
      <c r="M1212">
        <f>SalesData[[#This Row],[Sales]]/SalesData[[#This Row],[Quantity]]</f>
        <v>0.69599999999999995</v>
      </c>
      <c r="N1212" t="str">
        <f>IF(SalesData[[#This Row],[Profit]]&gt;0,"Profit","Loss")</f>
        <v>Loss</v>
      </c>
    </row>
    <row r="1213" spans="1:14" x14ac:dyDescent="0.3">
      <c r="A1213" t="s">
        <v>3559</v>
      </c>
      <c r="B1213" s="3">
        <v>43051</v>
      </c>
      <c r="C1213" t="s">
        <v>46</v>
      </c>
      <c r="D1213" t="s">
        <v>14</v>
      </c>
      <c r="E1213" t="s">
        <v>250</v>
      </c>
      <c r="F1213" s="1">
        <v>721.875</v>
      </c>
      <c r="G1213">
        <v>6</v>
      </c>
      <c r="H1213" s="1">
        <v>-420</v>
      </c>
      <c r="I1213" s="4">
        <f>SalesData[[#This Row],[Profit]]/SalesData[[#This Row],[Sales]]</f>
        <v>-0.58181818181818179</v>
      </c>
      <c r="J1213">
        <f>YEAR(SalesData[[#This Row],[Order Date]])</f>
        <v>2017</v>
      </c>
      <c r="K1213" t="str">
        <f>TEXT(SalesData[[#This Row],[Order Date]],"mmm")</f>
        <v>Nov</v>
      </c>
      <c r="L1213">
        <f>MONTH(SalesData[[#This Row],[Order Date]])</f>
        <v>11</v>
      </c>
      <c r="M1213">
        <f>SalesData[[#This Row],[Sales]]/SalesData[[#This Row],[Quantity]]</f>
        <v>120.3125</v>
      </c>
      <c r="N1213" t="str">
        <f>IF(SalesData[[#This Row],[Profit]]&gt;0,"Profit","Loss")</f>
        <v>Loss</v>
      </c>
    </row>
    <row r="1214" spans="1:14" x14ac:dyDescent="0.3">
      <c r="A1214" t="s">
        <v>3559</v>
      </c>
      <c r="B1214" s="3">
        <v>43051</v>
      </c>
      <c r="C1214" t="s">
        <v>46</v>
      </c>
      <c r="D1214" t="s">
        <v>10</v>
      </c>
      <c r="E1214" t="s">
        <v>2452</v>
      </c>
      <c r="F1214" s="1">
        <v>73.567999999999998</v>
      </c>
      <c r="G1214">
        <v>4</v>
      </c>
      <c r="H1214" s="1">
        <v>-16.552800000000001</v>
      </c>
      <c r="I1214" s="4">
        <f>SalesData[[#This Row],[Profit]]/SalesData[[#This Row],[Sales]]</f>
        <v>-0.22500000000000003</v>
      </c>
      <c r="J1214">
        <f>YEAR(SalesData[[#This Row],[Order Date]])</f>
        <v>2017</v>
      </c>
      <c r="K1214" t="str">
        <f>TEXT(SalesData[[#This Row],[Order Date]],"mmm")</f>
        <v>Nov</v>
      </c>
      <c r="L1214">
        <f>MONTH(SalesData[[#This Row],[Order Date]])</f>
        <v>11</v>
      </c>
      <c r="M1214">
        <f>SalesData[[#This Row],[Sales]]/SalesData[[#This Row],[Quantity]]</f>
        <v>18.391999999999999</v>
      </c>
      <c r="N1214" t="str">
        <f>IF(SalesData[[#This Row],[Profit]]&gt;0,"Profit","Loss")</f>
        <v>Loss</v>
      </c>
    </row>
    <row r="1215" spans="1:14" x14ac:dyDescent="0.3">
      <c r="A1215" t="s">
        <v>3559</v>
      </c>
      <c r="B1215" s="3">
        <v>43051</v>
      </c>
      <c r="C1215" t="s">
        <v>46</v>
      </c>
      <c r="D1215" t="s">
        <v>21</v>
      </c>
      <c r="E1215" t="s">
        <v>1991</v>
      </c>
      <c r="F1215" s="1">
        <v>13.584</v>
      </c>
      <c r="G1215">
        <v>1</v>
      </c>
      <c r="H1215" s="1">
        <v>1.3584000000000001</v>
      </c>
      <c r="I1215" s="4">
        <f>SalesData[[#This Row],[Profit]]/SalesData[[#This Row],[Sales]]</f>
        <v>0.1</v>
      </c>
      <c r="J1215">
        <f>YEAR(SalesData[[#This Row],[Order Date]])</f>
        <v>2017</v>
      </c>
      <c r="K1215" t="str">
        <f>TEXT(SalesData[[#This Row],[Order Date]],"mmm")</f>
        <v>Nov</v>
      </c>
      <c r="L1215">
        <f>MONTH(SalesData[[#This Row],[Order Date]])</f>
        <v>11</v>
      </c>
      <c r="M1215">
        <f>SalesData[[#This Row],[Sales]]/SalesData[[#This Row],[Quantity]]</f>
        <v>13.584</v>
      </c>
      <c r="N1215" t="str">
        <f>IF(SalesData[[#This Row],[Profit]]&gt;0,"Profit","Loss")</f>
        <v>Profit</v>
      </c>
    </row>
    <row r="1216" spans="1:14" x14ac:dyDescent="0.3">
      <c r="A1216" t="s">
        <v>3559</v>
      </c>
      <c r="B1216" s="3">
        <v>43051</v>
      </c>
      <c r="C1216" t="s">
        <v>46</v>
      </c>
      <c r="D1216" t="s">
        <v>14</v>
      </c>
      <c r="E1216" t="s">
        <v>973</v>
      </c>
      <c r="F1216" s="1">
        <v>64.784000000000006</v>
      </c>
      <c r="G1216">
        <v>1</v>
      </c>
      <c r="H1216" s="1">
        <v>-12.147</v>
      </c>
      <c r="I1216" s="4">
        <f>SalesData[[#This Row],[Profit]]/SalesData[[#This Row],[Sales]]</f>
        <v>-0.1875</v>
      </c>
      <c r="J1216">
        <f>YEAR(SalesData[[#This Row],[Order Date]])</f>
        <v>2017</v>
      </c>
      <c r="K1216" t="str">
        <f>TEXT(SalesData[[#This Row],[Order Date]],"mmm")</f>
        <v>Nov</v>
      </c>
      <c r="L1216">
        <f>MONTH(SalesData[[#This Row],[Order Date]])</f>
        <v>11</v>
      </c>
      <c r="M1216">
        <f>SalesData[[#This Row],[Sales]]/SalesData[[#This Row],[Quantity]]</f>
        <v>64.784000000000006</v>
      </c>
      <c r="N1216" t="str">
        <f>IF(SalesData[[#This Row],[Profit]]&gt;0,"Profit","Loss")</f>
        <v>Loss</v>
      </c>
    </row>
    <row r="1217" spans="1:14" x14ac:dyDescent="0.3">
      <c r="A1217" t="s">
        <v>3560</v>
      </c>
      <c r="B1217" s="3">
        <v>43051</v>
      </c>
      <c r="C1217" t="s">
        <v>9</v>
      </c>
      <c r="D1217" t="s">
        <v>21</v>
      </c>
      <c r="E1217" t="s">
        <v>3561</v>
      </c>
      <c r="F1217" s="1">
        <v>7.28</v>
      </c>
      <c r="G1217">
        <v>1</v>
      </c>
      <c r="H1217" s="1">
        <v>3.4944000000000002</v>
      </c>
      <c r="I1217" s="4">
        <f>SalesData[[#This Row],[Profit]]/SalesData[[#This Row],[Sales]]</f>
        <v>0.48</v>
      </c>
      <c r="J1217">
        <f>YEAR(SalesData[[#This Row],[Order Date]])</f>
        <v>2017</v>
      </c>
      <c r="K1217" t="str">
        <f>TEXT(SalesData[[#This Row],[Order Date]],"mmm")</f>
        <v>Nov</v>
      </c>
      <c r="L1217">
        <f>MONTH(SalesData[[#This Row],[Order Date]])</f>
        <v>11</v>
      </c>
      <c r="M1217">
        <f>SalesData[[#This Row],[Sales]]/SalesData[[#This Row],[Quantity]]</f>
        <v>7.28</v>
      </c>
      <c r="N1217" t="str">
        <f>IF(SalesData[[#This Row],[Profit]]&gt;0,"Profit","Loss")</f>
        <v>Profit</v>
      </c>
    </row>
    <row r="1218" spans="1:14" x14ac:dyDescent="0.3">
      <c r="A1218" t="s">
        <v>3560</v>
      </c>
      <c r="B1218" s="3">
        <v>43051</v>
      </c>
      <c r="C1218" t="s">
        <v>9</v>
      </c>
      <c r="D1218" t="s">
        <v>21</v>
      </c>
      <c r="E1218" t="s">
        <v>2726</v>
      </c>
      <c r="F1218" s="1">
        <v>5.4</v>
      </c>
      <c r="G1218">
        <v>3</v>
      </c>
      <c r="H1218" s="1">
        <v>2.5920000000000001</v>
      </c>
      <c r="I1218" s="4">
        <f>SalesData[[#This Row],[Profit]]/SalesData[[#This Row],[Sales]]</f>
        <v>0.48</v>
      </c>
      <c r="J1218">
        <f>YEAR(SalesData[[#This Row],[Order Date]])</f>
        <v>2017</v>
      </c>
      <c r="K1218" t="str">
        <f>TEXT(SalesData[[#This Row],[Order Date]],"mmm")</f>
        <v>Nov</v>
      </c>
      <c r="L1218">
        <f>MONTH(SalesData[[#This Row],[Order Date]])</f>
        <v>11</v>
      </c>
      <c r="M1218">
        <f>SalesData[[#This Row],[Sales]]/SalesData[[#This Row],[Quantity]]</f>
        <v>1.8</v>
      </c>
      <c r="N1218" t="str">
        <f>IF(SalesData[[#This Row],[Profit]]&gt;0,"Profit","Loss")</f>
        <v>Profit</v>
      </c>
    </row>
    <row r="1219" spans="1:14" x14ac:dyDescent="0.3">
      <c r="A1219" t="s">
        <v>3562</v>
      </c>
      <c r="B1219" s="3">
        <v>43051</v>
      </c>
      <c r="C1219" t="s">
        <v>17</v>
      </c>
      <c r="D1219" t="s">
        <v>21</v>
      </c>
      <c r="E1219" t="s">
        <v>885</v>
      </c>
      <c r="F1219" s="1">
        <v>6.54</v>
      </c>
      <c r="G1219">
        <v>3</v>
      </c>
      <c r="H1219" s="1">
        <v>2.1581999999999999</v>
      </c>
      <c r="I1219" s="4">
        <f>SalesData[[#This Row],[Profit]]/SalesData[[#This Row],[Sales]]</f>
        <v>0.32999999999999996</v>
      </c>
      <c r="J1219">
        <f>YEAR(SalesData[[#This Row],[Order Date]])</f>
        <v>2017</v>
      </c>
      <c r="K1219" t="str">
        <f>TEXT(SalesData[[#This Row],[Order Date]],"mmm")</f>
        <v>Nov</v>
      </c>
      <c r="L1219">
        <f>MONTH(SalesData[[#This Row],[Order Date]])</f>
        <v>11</v>
      </c>
      <c r="M1219">
        <f>SalesData[[#This Row],[Sales]]/SalesData[[#This Row],[Quantity]]</f>
        <v>2.1800000000000002</v>
      </c>
      <c r="N1219" t="str">
        <f>IF(SalesData[[#This Row],[Profit]]&gt;0,"Profit","Loss")</f>
        <v>Profit</v>
      </c>
    </row>
    <row r="1220" spans="1:14" x14ac:dyDescent="0.3">
      <c r="A1220" t="s">
        <v>3563</v>
      </c>
      <c r="B1220" s="3">
        <v>43051</v>
      </c>
      <c r="C1220" t="s">
        <v>17</v>
      </c>
      <c r="D1220" t="s">
        <v>21</v>
      </c>
      <c r="E1220" t="s">
        <v>402</v>
      </c>
      <c r="F1220" s="1">
        <v>40.200000000000003</v>
      </c>
      <c r="G1220">
        <v>5</v>
      </c>
      <c r="H1220" s="1">
        <v>18.09</v>
      </c>
      <c r="I1220" s="4">
        <f>SalesData[[#This Row],[Profit]]/SalesData[[#This Row],[Sales]]</f>
        <v>0.44999999999999996</v>
      </c>
      <c r="J1220">
        <f>YEAR(SalesData[[#This Row],[Order Date]])</f>
        <v>2017</v>
      </c>
      <c r="K1220" t="str">
        <f>TEXT(SalesData[[#This Row],[Order Date]],"mmm")</f>
        <v>Nov</v>
      </c>
      <c r="L1220">
        <f>MONTH(SalesData[[#This Row],[Order Date]])</f>
        <v>11</v>
      </c>
      <c r="M1220">
        <f>SalesData[[#This Row],[Sales]]/SalesData[[#This Row],[Quantity]]</f>
        <v>8.0400000000000009</v>
      </c>
      <c r="N1220" t="str">
        <f>IF(SalesData[[#This Row],[Profit]]&gt;0,"Profit","Loss")</f>
        <v>Profit</v>
      </c>
    </row>
    <row r="1221" spans="1:14" x14ac:dyDescent="0.3">
      <c r="A1221" t="s">
        <v>3563</v>
      </c>
      <c r="B1221" s="3">
        <v>43051</v>
      </c>
      <c r="C1221" t="s">
        <v>17</v>
      </c>
      <c r="D1221" t="s">
        <v>21</v>
      </c>
      <c r="E1221" t="s">
        <v>774</v>
      </c>
      <c r="F1221" s="1">
        <v>735.98</v>
      </c>
      <c r="G1221">
        <v>2</v>
      </c>
      <c r="H1221" s="1">
        <v>331.19099999999997</v>
      </c>
      <c r="I1221" s="4">
        <f>SalesData[[#This Row],[Profit]]/SalesData[[#This Row],[Sales]]</f>
        <v>0.44999999999999996</v>
      </c>
      <c r="J1221">
        <f>YEAR(SalesData[[#This Row],[Order Date]])</f>
        <v>2017</v>
      </c>
      <c r="K1221" t="str">
        <f>TEXT(SalesData[[#This Row],[Order Date]],"mmm")</f>
        <v>Nov</v>
      </c>
      <c r="L1221">
        <f>MONTH(SalesData[[#This Row],[Order Date]])</f>
        <v>11</v>
      </c>
      <c r="M1221">
        <f>SalesData[[#This Row],[Sales]]/SalesData[[#This Row],[Quantity]]</f>
        <v>367.99</v>
      </c>
      <c r="N1221" t="str">
        <f>IF(SalesData[[#This Row],[Profit]]&gt;0,"Profit","Loss")</f>
        <v>Profit</v>
      </c>
    </row>
    <row r="1222" spans="1:14" x14ac:dyDescent="0.3">
      <c r="A1222" t="s">
        <v>3563</v>
      </c>
      <c r="B1222" s="3">
        <v>43051</v>
      </c>
      <c r="C1222" t="s">
        <v>17</v>
      </c>
      <c r="D1222" t="s">
        <v>21</v>
      </c>
      <c r="E1222" t="s">
        <v>251</v>
      </c>
      <c r="F1222" s="1">
        <v>22.75</v>
      </c>
      <c r="G1222">
        <v>7</v>
      </c>
      <c r="H1222" s="1">
        <v>6.5975000000000001</v>
      </c>
      <c r="I1222" s="4">
        <f>SalesData[[#This Row],[Profit]]/SalesData[[#This Row],[Sales]]</f>
        <v>0.28999999999999998</v>
      </c>
      <c r="J1222">
        <f>YEAR(SalesData[[#This Row],[Order Date]])</f>
        <v>2017</v>
      </c>
      <c r="K1222" t="str">
        <f>TEXT(SalesData[[#This Row],[Order Date]],"mmm")</f>
        <v>Nov</v>
      </c>
      <c r="L1222">
        <f>MONTH(SalesData[[#This Row],[Order Date]])</f>
        <v>11</v>
      </c>
      <c r="M1222">
        <f>SalesData[[#This Row],[Sales]]/SalesData[[#This Row],[Quantity]]</f>
        <v>3.25</v>
      </c>
      <c r="N1222" t="str">
        <f>IF(SalesData[[#This Row],[Profit]]&gt;0,"Profit","Loss")</f>
        <v>Profit</v>
      </c>
    </row>
    <row r="1223" spans="1:14" x14ac:dyDescent="0.3">
      <c r="A1223" t="s">
        <v>3564</v>
      </c>
      <c r="B1223" s="3">
        <v>43070</v>
      </c>
      <c r="C1223" t="s">
        <v>17</v>
      </c>
      <c r="D1223" t="s">
        <v>21</v>
      </c>
      <c r="E1223" t="s">
        <v>813</v>
      </c>
      <c r="F1223" s="1">
        <v>40.08</v>
      </c>
      <c r="G1223">
        <v>6</v>
      </c>
      <c r="H1223" s="1">
        <v>19.238399999999999</v>
      </c>
      <c r="I1223" s="4">
        <f>SalesData[[#This Row],[Profit]]/SalesData[[#This Row],[Sales]]</f>
        <v>0.48</v>
      </c>
      <c r="J1223">
        <f>YEAR(SalesData[[#This Row],[Order Date]])</f>
        <v>2017</v>
      </c>
      <c r="K1223" t="str">
        <f>TEXT(SalesData[[#This Row],[Order Date]],"mmm")</f>
        <v>Dec</v>
      </c>
      <c r="L1223">
        <f>MONTH(SalesData[[#This Row],[Order Date]])</f>
        <v>12</v>
      </c>
      <c r="M1223">
        <f>SalesData[[#This Row],[Sales]]/SalesData[[#This Row],[Quantity]]</f>
        <v>6.68</v>
      </c>
      <c r="N1223" t="str">
        <f>IF(SalesData[[#This Row],[Profit]]&gt;0,"Profit","Loss")</f>
        <v>Profit</v>
      </c>
    </row>
    <row r="1224" spans="1:14" x14ac:dyDescent="0.3">
      <c r="A1224" t="s">
        <v>3564</v>
      </c>
      <c r="B1224" s="3">
        <v>43070</v>
      </c>
      <c r="C1224" t="s">
        <v>17</v>
      </c>
      <c r="D1224" t="s">
        <v>14</v>
      </c>
      <c r="E1224" t="s">
        <v>2344</v>
      </c>
      <c r="F1224" s="1">
        <v>37.68</v>
      </c>
      <c r="G1224">
        <v>2</v>
      </c>
      <c r="H1224" s="1">
        <v>15.8256</v>
      </c>
      <c r="I1224" s="4">
        <f>SalesData[[#This Row],[Profit]]/SalesData[[#This Row],[Sales]]</f>
        <v>0.42</v>
      </c>
      <c r="J1224">
        <f>YEAR(SalesData[[#This Row],[Order Date]])</f>
        <v>2017</v>
      </c>
      <c r="K1224" t="str">
        <f>TEXT(SalesData[[#This Row],[Order Date]],"mmm")</f>
        <v>Dec</v>
      </c>
      <c r="L1224">
        <f>MONTH(SalesData[[#This Row],[Order Date]])</f>
        <v>12</v>
      </c>
      <c r="M1224">
        <f>SalesData[[#This Row],[Sales]]/SalesData[[#This Row],[Quantity]]</f>
        <v>18.84</v>
      </c>
      <c r="N1224" t="str">
        <f>IF(SalesData[[#This Row],[Profit]]&gt;0,"Profit","Loss")</f>
        <v>Profit</v>
      </c>
    </row>
    <row r="1225" spans="1:14" x14ac:dyDescent="0.3">
      <c r="A1225" t="s">
        <v>3565</v>
      </c>
      <c r="B1225" s="3">
        <v>43070</v>
      </c>
      <c r="C1225" t="s">
        <v>13</v>
      </c>
      <c r="D1225" t="s">
        <v>21</v>
      </c>
      <c r="E1225" t="s">
        <v>127</v>
      </c>
      <c r="F1225" s="1">
        <v>9.7799999999999994</v>
      </c>
      <c r="G1225">
        <v>1</v>
      </c>
      <c r="H1225" s="1">
        <v>4.8899999999999997</v>
      </c>
      <c r="I1225" s="4">
        <f>SalesData[[#This Row],[Profit]]/SalesData[[#This Row],[Sales]]</f>
        <v>0.5</v>
      </c>
      <c r="J1225">
        <f>YEAR(SalesData[[#This Row],[Order Date]])</f>
        <v>2017</v>
      </c>
      <c r="K1225" t="str">
        <f>TEXT(SalesData[[#This Row],[Order Date]],"mmm")</f>
        <v>Dec</v>
      </c>
      <c r="L1225">
        <f>MONTH(SalesData[[#This Row],[Order Date]])</f>
        <v>12</v>
      </c>
      <c r="M1225">
        <f>SalesData[[#This Row],[Sales]]/SalesData[[#This Row],[Quantity]]</f>
        <v>9.7799999999999994</v>
      </c>
      <c r="N1225" t="str">
        <f>IF(SalesData[[#This Row],[Profit]]&gt;0,"Profit","Loss")</f>
        <v>Profit</v>
      </c>
    </row>
    <row r="1226" spans="1:14" x14ac:dyDescent="0.3">
      <c r="A1226" t="s">
        <v>3566</v>
      </c>
      <c r="B1226" s="3">
        <v>43070</v>
      </c>
      <c r="C1226" t="s">
        <v>9</v>
      </c>
      <c r="D1226" t="s">
        <v>21</v>
      </c>
      <c r="E1226" t="s">
        <v>1315</v>
      </c>
      <c r="F1226" s="1">
        <v>760.98</v>
      </c>
      <c r="G1226">
        <v>5</v>
      </c>
      <c r="H1226" s="1">
        <v>-1141.47</v>
      </c>
      <c r="I1226" s="4">
        <f>SalesData[[#This Row],[Profit]]/SalesData[[#This Row],[Sales]]</f>
        <v>-1.5</v>
      </c>
      <c r="J1226">
        <f>YEAR(SalesData[[#This Row],[Order Date]])</f>
        <v>2017</v>
      </c>
      <c r="K1226" t="str">
        <f>TEXT(SalesData[[#This Row],[Order Date]],"mmm")</f>
        <v>Dec</v>
      </c>
      <c r="L1226">
        <f>MONTH(SalesData[[#This Row],[Order Date]])</f>
        <v>12</v>
      </c>
      <c r="M1226">
        <f>SalesData[[#This Row],[Sales]]/SalesData[[#This Row],[Quantity]]</f>
        <v>152.196</v>
      </c>
      <c r="N1226" t="str">
        <f>IF(SalesData[[#This Row],[Profit]]&gt;0,"Profit","Loss")</f>
        <v>Loss</v>
      </c>
    </row>
    <row r="1227" spans="1:14" x14ac:dyDescent="0.3">
      <c r="A1227" t="s">
        <v>3567</v>
      </c>
      <c r="B1227" s="3">
        <v>43072</v>
      </c>
      <c r="C1227" t="s">
        <v>17</v>
      </c>
      <c r="D1227" t="s">
        <v>10</v>
      </c>
      <c r="E1227" t="s">
        <v>224</v>
      </c>
      <c r="F1227" s="1">
        <v>69.930000000000007</v>
      </c>
      <c r="G1227">
        <v>7</v>
      </c>
      <c r="H1227" s="1">
        <v>32.1678</v>
      </c>
      <c r="I1227" s="4">
        <f>SalesData[[#This Row],[Profit]]/SalesData[[#This Row],[Sales]]</f>
        <v>0.45999999999999996</v>
      </c>
      <c r="J1227">
        <f>YEAR(SalesData[[#This Row],[Order Date]])</f>
        <v>2017</v>
      </c>
      <c r="K1227" t="str">
        <f>TEXT(SalesData[[#This Row],[Order Date]],"mmm")</f>
        <v>Dec</v>
      </c>
      <c r="L1227">
        <f>MONTH(SalesData[[#This Row],[Order Date]])</f>
        <v>12</v>
      </c>
      <c r="M1227">
        <f>SalesData[[#This Row],[Sales]]/SalesData[[#This Row],[Quantity]]</f>
        <v>9.99</v>
      </c>
      <c r="N1227" t="str">
        <f>IF(SalesData[[#This Row],[Profit]]&gt;0,"Profit","Loss")</f>
        <v>Profit</v>
      </c>
    </row>
    <row r="1228" spans="1:14" x14ac:dyDescent="0.3">
      <c r="A1228" t="s">
        <v>3568</v>
      </c>
      <c r="B1228" s="3">
        <v>43072</v>
      </c>
      <c r="C1228" t="s">
        <v>13</v>
      </c>
      <c r="D1228" t="s">
        <v>21</v>
      </c>
      <c r="E1228" t="s">
        <v>702</v>
      </c>
      <c r="F1228" s="1">
        <v>242.94</v>
      </c>
      <c r="G1228">
        <v>3</v>
      </c>
      <c r="H1228" s="1">
        <v>9.7175999999999991</v>
      </c>
      <c r="I1228" s="4">
        <f>SalesData[[#This Row],[Profit]]/SalesData[[#This Row],[Sales]]</f>
        <v>3.9999999999999994E-2</v>
      </c>
      <c r="J1228">
        <f>YEAR(SalesData[[#This Row],[Order Date]])</f>
        <v>2017</v>
      </c>
      <c r="K1228" t="str">
        <f>TEXT(SalesData[[#This Row],[Order Date]],"mmm")</f>
        <v>Dec</v>
      </c>
      <c r="L1228">
        <f>MONTH(SalesData[[#This Row],[Order Date]])</f>
        <v>12</v>
      </c>
      <c r="M1228">
        <f>SalesData[[#This Row],[Sales]]/SalesData[[#This Row],[Quantity]]</f>
        <v>80.98</v>
      </c>
      <c r="N1228" t="str">
        <f>IF(SalesData[[#This Row],[Profit]]&gt;0,"Profit","Loss")</f>
        <v>Profit</v>
      </c>
    </row>
    <row r="1229" spans="1:14" x14ac:dyDescent="0.3">
      <c r="A1229" t="s">
        <v>3569</v>
      </c>
      <c r="B1229" s="3">
        <v>43072</v>
      </c>
      <c r="C1229" t="s">
        <v>46</v>
      </c>
      <c r="D1229" t="s">
        <v>21</v>
      </c>
      <c r="E1229" t="s">
        <v>319</v>
      </c>
      <c r="F1229" s="1">
        <v>40.409999999999997</v>
      </c>
      <c r="G1229">
        <v>9</v>
      </c>
      <c r="H1229" s="1">
        <v>18.5886</v>
      </c>
      <c r="I1229" s="4">
        <f>SalesData[[#This Row],[Profit]]/SalesData[[#This Row],[Sales]]</f>
        <v>0.46</v>
      </c>
      <c r="J1229">
        <f>YEAR(SalesData[[#This Row],[Order Date]])</f>
        <v>2017</v>
      </c>
      <c r="K1229" t="str">
        <f>TEXT(SalesData[[#This Row],[Order Date]],"mmm")</f>
        <v>Dec</v>
      </c>
      <c r="L1229">
        <f>MONTH(SalesData[[#This Row],[Order Date]])</f>
        <v>12</v>
      </c>
      <c r="M1229">
        <f>SalesData[[#This Row],[Sales]]/SalesData[[#This Row],[Quantity]]</f>
        <v>4.4899999999999993</v>
      </c>
      <c r="N1229" t="str">
        <f>IF(SalesData[[#This Row],[Profit]]&gt;0,"Profit","Loss")</f>
        <v>Profit</v>
      </c>
    </row>
    <row r="1230" spans="1:14" x14ac:dyDescent="0.3">
      <c r="A1230" t="s">
        <v>3570</v>
      </c>
      <c r="B1230" s="3">
        <v>43073</v>
      </c>
      <c r="C1230" t="s">
        <v>17</v>
      </c>
      <c r="D1230" t="s">
        <v>21</v>
      </c>
      <c r="E1230" t="s">
        <v>415</v>
      </c>
      <c r="F1230" s="1">
        <v>29.7</v>
      </c>
      <c r="G1230">
        <v>5</v>
      </c>
      <c r="H1230" s="1">
        <v>13.365</v>
      </c>
      <c r="I1230" s="4">
        <f>SalesData[[#This Row],[Profit]]/SalesData[[#This Row],[Sales]]</f>
        <v>0.45</v>
      </c>
      <c r="J1230">
        <f>YEAR(SalesData[[#This Row],[Order Date]])</f>
        <v>2017</v>
      </c>
      <c r="K1230" t="str">
        <f>TEXT(SalesData[[#This Row],[Order Date]],"mmm")</f>
        <v>Dec</v>
      </c>
      <c r="L1230">
        <f>MONTH(SalesData[[#This Row],[Order Date]])</f>
        <v>12</v>
      </c>
      <c r="M1230">
        <f>SalesData[[#This Row],[Sales]]/SalesData[[#This Row],[Quantity]]</f>
        <v>5.9399999999999995</v>
      </c>
      <c r="N1230" t="str">
        <f>IF(SalesData[[#This Row],[Profit]]&gt;0,"Profit","Loss")</f>
        <v>Profit</v>
      </c>
    </row>
    <row r="1231" spans="1:14" x14ac:dyDescent="0.3">
      <c r="A1231" t="s">
        <v>3570</v>
      </c>
      <c r="B1231" s="3">
        <v>43073</v>
      </c>
      <c r="C1231" t="s">
        <v>17</v>
      </c>
      <c r="D1231" t="s">
        <v>21</v>
      </c>
      <c r="E1231" t="s">
        <v>3571</v>
      </c>
      <c r="F1231" s="1">
        <v>39.96</v>
      </c>
      <c r="G1231">
        <v>4</v>
      </c>
      <c r="H1231" s="1">
        <v>17.981999999999999</v>
      </c>
      <c r="I1231" s="4">
        <f>SalesData[[#This Row],[Profit]]/SalesData[[#This Row],[Sales]]</f>
        <v>0.44999999999999996</v>
      </c>
      <c r="J1231">
        <f>YEAR(SalesData[[#This Row],[Order Date]])</f>
        <v>2017</v>
      </c>
      <c r="K1231" t="str">
        <f>TEXT(SalesData[[#This Row],[Order Date]],"mmm")</f>
        <v>Dec</v>
      </c>
      <c r="L1231">
        <f>MONTH(SalesData[[#This Row],[Order Date]])</f>
        <v>12</v>
      </c>
      <c r="M1231">
        <f>SalesData[[#This Row],[Sales]]/SalesData[[#This Row],[Quantity]]</f>
        <v>9.99</v>
      </c>
      <c r="N1231" t="str">
        <f>IF(SalesData[[#This Row],[Profit]]&gt;0,"Profit","Loss")</f>
        <v>Profit</v>
      </c>
    </row>
    <row r="1232" spans="1:14" x14ac:dyDescent="0.3">
      <c r="A1232" t="s">
        <v>3572</v>
      </c>
      <c r="B1232" s="3">
        <v>43074</v>
      </c>
      <c r="C1232" t="s">
        <v>9</v>
      </c>
      <c r="D1232" t="s">
        <v>21</v>
      </c>
      <c r="E1232" t="s">
        <v>422</v>
      </c>
      <c r="F1232" s="1">
        <v>127.92</v>
      </c>
      <c r="G1232">
        <v>5</v>
      </c>
      <c r="H1232" s="1">
        <v>-15.99</v>
      </c>
      <c r="I1232" s="4">
        <f>SalesData[[#This Row],[Profit]]/SalesData[[#This Row],[Sales]]</f>
        <v>-0.125</v>
      </c>
      <c r="J1232">
        <f>YEAR(SalesData[[#This Row],[Order Date]])</f>
        <v>2017</v>
      </c>
      <c r="K1232" t="str">
        <f>TEXT(SalesData[[#This Row],[Order Date]],"mmm")</f>
        <v>Dec</v>
      </c>
      <c r="L1232">
        <f>MONTH(SalesData[[#This Row],[Order Date]])</f>
        <v>12</v>
      </c>
      <c r="M1232">
        <f>SalesData[[#This Row],[Sales]]/SalesData[[#This Row],[Quantity]]</f>
        <v>25.584</v>
      </c>
      <c r="N1232" t="str">
        <f>IF(SalesData[[#This Row],[Profit]]&gt;0,"Profit","Loss")</f>
        <v>Loss</v>
      </c>
    </row>
    <row r="1233" spans="1:14" x14ac:dyDescent="0.3">
      <c r="A1233" t="s">
        <v>3572</v>
      </c>
      <c r="B1233" s="3">
        <v>43074</v>
      </c>
      <c r="C1233" t="s">
        <v>9</v>
      </c>
      <c r="D1233" t="s">
        <v>21</v>
      </c>
      <c r="E1233" t="s">
        <v>1629</v>
      </c>
      <c r="F1233" s="1">
        <v>34.24</v>
      </c>
      <c r="G1233">
        <v>4</v>
      </c>
      <c r="H1233" s="1">
        <v>-53.072000000000003</v>
      </c>
      <c r="I1233" s="4">
        <f>SalesData[[#This Row],[Profit]]/SalesData[[#This Row],[Sales]]</f>
        <v>-1.55</v>
      </c>
      <c r="J1233">
        <f>YEAR(SalesData[[#This Row],[Order Date]])</f>
        <v>2017</v>
      </c>
      <c r="K1233" t="str">
        <f>TEXT(SalesData[[#This Row],[Order Date]],"mmm")</f>
        <v>Dec</v>
      </c>
      <c r="L1233">
        <f>MONTH(SalesData[[#This Row],[Order Date]])</f>
        <v>12</v>
      </c>
      <c r="M1233">
        <f>SalesData[[#This Row],[Sales]]/SalesData[[#This Row],[Quantity]]</f>
        <v>8.56</v>
      </c>
      <c r="N1233" t="str">
        <f>IF(SalesData[[#This Row],[Profit]]&gt;0,"Profit","Loss")</f>
        <v>Loss</v>
      </c>
    </row>
    <row r="1234" spans="1:14" x14ac:dyDescent="0.3">
      <c r="A1234" t="s">
        <v>3573</v>
      </c>
      <c r="B1234" s="3">
        <v>43074</v>
      </c>
      <c r="C1234" t="s">
        <v>17</v>
      </c>
      <c r="D1234" t="s">
        <v>21</v>
      </c>
      <c r="E1234" t="s">
        <v>3574</v>
      </c>
      <c r="F1234" s="1">
        <v>87.6</v>
      </c>
      <c r="G1234">
        <v>5</v>
      </c>
      <c r="H1234" s="1">
        <v>42.048000000000002</v>
      </c>
      <c r="I1234" s="4">
        <f>SalesData[[#This Row],[Profit]]/SalesData[[#This Row],[Sales]]</f>
        <v>0.48000000000000004</v>
      </c>
      <c r="J1234">
        <f>YEAR(SalesData[[#This Row],[Order Date]])</f>
        <v>2017</v>
      </c>
      <c r="K1234" t="str">
        <f>TEXT(SalesData[[#This Row],[Order Date]],"mmm")</f>
        <v>Dec</v>
      </c>
      <c r="L1234">
        <f>MONTH(SalesData[[#This Row],[Order Date]])</f>
        <v>12</v>
      </c>
      <c r="M1234">
        <f>SalesData[[#This Row],[Sales]]/SalesData[[#This Row],[Quantity]]</f>
        <v>17.52</v>
      </c>
      <c r="N1234" t="str">
        <f>IF(SalesData[[#This Row],[Profit]]&gt;0,"Profit","Loss")</f>
        <v>Profit</v>
      </c>
    </row>
    <row r="1235" spans="1:14" x14ac:dyDescent="0.3">
      <c r="A1235" t="s">
        <v>3575</v>
      </c>
      <c r="B1235" s="3">
        <v>43074</v>
      </c>
      <c r="C1235" t="s">
        <v>17</v>
      </c>
      <c r="D1235" t="s">
        <v>21</v>
      </c>
      <c r="E1235" t="s">
        <v>3576</v>
      </c>
      <c r="F1235" s="1">
        <v>10.272</v>
      </c>
      <c r="G1235">
        <v>3</v>
      </c>
      <c r="H1235" s="1">
        <v>1.1556</v>
      </c>
      <c r="I1235" s="4">
        <f>SalesData[[#This Row],[Profit]]/SalesData[[#This Row],[Sales]]</f>
        <v>0.11249999999999999</v>
      </c>
      <c r="J1235">
        <f>YEAR(SalesData[[#This Row],[Order Date]])</f>
        <v>2017</v>
      </c>
      <c r="K1235" t="str">
        <f>TEXT(SalesData[[#This Row],[Order Date]],"mmm")</f>
        <v>Dec</v>
      </c>
      <c r="L1235">
        <f>MONTH(SalesData[[#This Row],[Order Date]])</f>
        <v>12</v>
      </c>
      <c r="M1235">
        <f>SalesData[[#This Row],[Sales]]/SalesData[[#This Row],[Quantity]]</f>
        <v>3.4239999999999999</v>
      </c>
      <c r="N1235" t="str">
        <f>IF(SalesData[[#This Row],[Profit]]&gt;0,"Profit","Loss")</f>
        <v>Profit</v>
      </c>
    </row>
    <row r="1236" spans="1:14" x14ac:dyDescent="0.3">
      <c r="A1236" t="s">
        <v>3577</v>
      </c>
      <c r="B1236" s="3">
        <v>43074</v>
      </c>
      <c r="C1236" t="s">
        <v>13</v>
      </c>
      <c r="D1236" t="s">
        <v>21</v>
      </c>
      <c r="E1236" t="s">
        <v>279</v>
      </c>
      <c r="F1236" s="1">
        <v>238.62</v>
      </c>
      <c r="G1236">
        <v>2</v>
      </c>
      <c r="H1236" s="1">
        <v>4.7724000000000002</v>
      </c>
      <c r="I1236" s="4">
        <f>SalesData[[#This Row],[Profit]]/SalesData[[#This Row],[Sales]]</f>
        <v>0.02</v>
      </c>
      <c r="J1236">
        <f>YEAR(SalesData[[#This Row],[Order Date]])</f>
        <v>2017</v>
      </c>
      <c r="K1236" t="str">
        <f>TEXT(SalesData[[#This Row],[Order Date]],"mmm")</f>
        <v>Dec</v>
      </c>
      <c r="L1236">
        <f>MONTH(SalesData[[#This Row],[Order Date]])</f>
        <v>12</v>
      </c>
      <c r="M1236">
        <f>SalesData[[#This Row],[Sales]]/SalesData[[#This Row],[Quantity]]</f>
        <v>119.31</v>
      </c>
      <c r="N1236" t="str">
        <f>IF(SalesData[[#This Row],[Profit]]&gt;0,"Profit","Loss")</f>
        <v>Profit</v>
      </c>
    </row>
    <row r="1237" spans="1:14" x14ac:dyDescent="0.3">
      <c r="A1237" t="s">
        <v>3577</v>
      </c>
      <c r="B1237" s="3">
        <v>43074</v>
      </c>
      <c r="C1237" t="s">
        <v>13</v>
      </c>
      <c r="D1237" t="s">
        <v>21</v>
      </c>
      <c r="E1237" t="s">
        <v>3578</v>
      </c>
      <c r="F1237" s="1">
        <v>7.77</v>
      </c>
      <c r="G1237">
        <v>1</v>
      </c>
      <c r="H1237" s="1">
        <v>2.0979000000000001</v>
      </c>
      <c r="I1237" s="4">
        <f>SalesData[[#This Row],[Profit]]/SalesData[[#This Row],[Sales]]</f>
        <v>0.27</v>
      </c>
      <c r="J1237">
        <f>YEAR(SalesData[[#This Row],[Order Date]])</f>
        <v>2017</v>
      </c>
      <c r="K1237" t="str">
        <f>TEXT(SalesData[[#This Row],[Order Date]],"mmm")</f>
        <v>Dec</v>
      </c>
      <c r="L1237">
        <f>MONTH(SalesData[[#This Row],[Order Date]])</f>
        <v>12</v>
      </c>
      <c r="M1237">
        <f>SalesData[[#This Row],[Sales]]/SalesData[[#This Row],[Quantity]]</f>
        <v>7.77</v>
      </c>
      <c r="N1237" t="str">
        <f>IF(SalesData[[#This Row],[Profit]]&gt;0,"Profit","Loss")</f>
        <v>Profit</v>
      </c>
    </row>
    <row r="1238" spans="1:14" x14ac:dyDescent="0.3">
      <c r="A1238" t="s">
        <v>3577</v>
      </c>
      <c r="B1238" s="3">
        <v>43074</v>
      </c>
      <c r="C1238" t="s">
        <v>13</v>
      </c>
      <c r="D1238" t="s">
        <v>14</v>
      </c>
      <c r="E1238" t="s">
        <v>1767</v>
      </c>
      <c r="F1238" s="1">
        <v>285.48</v>
      </c>
      <c r="G1238">
        <v>5</v>
      </c>
      <c r="H1238" s="1">
        <v>-10.705500000000001</v>
      </c>
      <c r="I1238" s="4">
        <f>SalesData[[#This Row],[Profit]]/SalesData[[#This Row],[Sales]]</f>
        <v>-3.7499999999999999E-2</v>
      </c>
      <c r="J1238">
        <f>YEAR(SalesData[[#This Row],[Order Date]])</f>
        <v>2017</v>
      </c>
      <c r="K1238" t="str">
        <f>TEXT(SalesData[[#This Row],[Order Date]],"mmm")</f>
        <v>Dec</v>
      </c>
      <c r="L1238">
        <f>MONTH(SalesData[[#This Row],[Order Date]])</f>
        <v>12</v>
      </c>
      <c r="M1238">
        <f>SalesData[[#This Row],[Sales]]/SalesData[[#This Row],[Quantity]]</f>
        <v>57.096000000000004</v>
      </c>
      <c r="N1238" t="str">
        <f>IF(SalesData[[#This Row],[Profit]]&gt;0,"Profit","Loss")</f>
        <v>Loss</v>
      </c>
    </row>
    <row r="1239" spans="1:14" x14ac:dyDescent="0.3">
      <c r="A1239" t="s">
        <v>3577</v>
      </c>
      <c r="B1239" s="3">
        <v>43074</v>
      </c>
      <c r="C1239" t="s">
        <v>13</v>
      </c>
      <c r="D1239" t="s">
        <v>21</v>
      </c>
      <c r="E1239" t="s">
        <v>1359</v>
      </c>
      <c r="F1239" s="1">
        <v>19.167999999999999</v>
      </c>
      <c r="G1239">
        <v>4</v>
      </c>
      <c r="H1239" s="1">
        <v>6.4691999999999998</v>
      </c>
      <c r="I1239" s="4">
        <f>SalesData[[#This Row],[Profit]]/SalesData[[#This Row],[Sales]]</f>
        <v>0.33750000000000002</v>
      </c>
      <c r="J1239">
        <f>YEAR(SalesData[[#This Row],[Order Date]])</f>
        <v>2017</v>
      </c>
      <c r="K1239" t="str">
        <f>TEXT(SalesData[[#This Row],[Order Date]],"mmm")</f>
        <v>Dec</v>
      </c>
      <c r="L1239">
        <f>MONTH(SalesData[[#This Row],[Order Date]])</f>
        <v>12</v>
      </c>
      <c r="M1239">
        <f>SalesData[[#This Row],[Sales]]/SalesData[[#This Row],[Quantity]]</f>
        <v>4.7919999999999998</v>
      </c>
      <c r="N1239" t="str">
        <f>IF(SalesData[[#This Row],[Profit]]&gt;0,"Profit","Loss")</f>
        <v>Profit</v>
      </c>
    </row>
    <row r="1240" spans="1:14" x14ac:dyDescent="0.3">
      <c r="A1240" t="s">
        <v>3579</v>
      </c>
      <c r="B1240" s="3">
        <v>43074</v>
      </c>
      <c r="C1240" t="s">
        <v>17</v>
      </c>
      <c r="D1240" t="s">
        <v>21</v>
      </c>
      <c r="E1240" t="s">
        <v>1006</v>
      </c>
      <c r="F1240" s="1">
        <v>5.9039999999999999</v>
      </c>
      <c r="G1240">
        <v>2</v>
      </c>
      <c r="H1240" s="1">
        <v>1.9925999999999999</v>
      </c>
      <c r="I1240" s="4">
        <f>SalesData[[#This Row],[Profit]]/SalesData[[#This Row],[Sales]]</f>
        <v>0.33749999999999997</v>
      </c>
      <c r="J1240">
        <f>YEAR(SalesData[[#This Row],[Order Date]])</f>
        <v>2017</v>
      </c>
      <c r="K1240" t="str">
        <f>TEXT(SalesData[[#This Row],[Order Date]],"mmm")</f>
        <v>Dec</v>
      </c>
      <c r="L1240">
        <f>MONTH(SalesData[[#This Row],[Order Date]])</f>
        <v>12</v>
      </c>
      <c r="M1240">
        <f>SalesData[[#This Row],[Sales]]/SalesData[[#This Row],[Quantity]]</f>
        <v>2.952</v>
      </c>
      <c r="N1240" t="str">
        <f>IF(SalesData[[#This Row],[Profit]]&gt;0,"Profit","Loss")</f>
        <v>Profit</v>
      </c>
    </row>
    <row r="1241" spans="1:14" x14ac:dyDescent="0.3">
      <c r="A1241" t="s">
        <v>3580</v>
      </c>
      <c r="B1241" s="3">
        <v>43074</v>
      </c>
      <c r="C1241" t="s">
        <v>17</v>
      </c>
      <c r="D1241" t="s">
        <v>14</v>
      </c>
      <c r="E1241" t="s">
        <v>3581</v>
      </c>
      <c r="F1241" s="1">
        <v>42.85</v>
      </c>
      <c r="G1241">
        <v>5</v>
      </c>
      <c r="H1241" s="1">
        <v>15.426</v>
      </c>
      <c r="I1241" s="4">
        <f>SalesData[[#This Row],[Profit]]/SalesData[[#This Row],[Sales]]</f>
        <v>0.36</v>
      </c>
      <c r="J1241">
        <f>YEAR(SalesData[[#This Row],[Order Date]])</f>
        <v>2017</v>
      </c>
      <c r="K1241" t="str">
        <f>TEXT(SalesData[[#This Row],[Order Date]],"mmm")</f>
        <v>Dec</v>
      </c>
      <c r="L1241">
        <f>MONTH(SalesData[[#This Row],[Order Date]])</f>
        <v>12</v>
      </c>
      <c r="M1241">
        <f>SalesData[[#This Row],[Sales]]/SalesData[[#This Row],[Quantity]]</f>
        <v>8.57</v>
      </c>
      <c r="N1241" t="str">
        <f>IF(SalesData[[#This Row],[Profit]]&gt;0,"Profit","Loss")</f>
        <v>Profit</v>
      </c>
    </row>
    <row r="1242" spans="1:14" x14ac:dyDescent="0.3">
      <c r="A1242" t="s">
        <v>3580</v>
      </c>
      <c r="B1242" s="3">
        <v>43074</v>
      </c>
      <c r="C1242" t="s">
        <v>17</v>
      </c>
      <c r="D1242" t="s">
        <v>21</v>
      </c>
      <c r="E1242" t="s">
        <v>276</v>
      </c>
      <c r="F1242" s="1">
        <v>6.16</v>
      </c>
      <c r="G1242">
        <v>2</v>
      </c>
      <c r="H1242" s="1">
        <v>2.9567999999999999</v>
      </c>
      <c r="I1242" s="4">
        <f>SalesData[[#This Row],[Profit]]/SalesData[[#This Row],[Sales]]</f>
        <v>0.48</v>
      </c>
      <c r="J1242">
        <f>YEAR(SalesData[[#This Row],[Order Date]])</f>
        <v>2017</v>
      </c>
      <c r="K1242" t="str">
        <f>TEXT(SalesData[[#This Row],[Order Date]],"mmm")</f>
        <v>Dec</v>
      </c>
      <c r="L1242">
        <f>MONTH(SalesData[[#This Row],[Order Date]])</f>
        <v>12</v>
      </c>
      <c r="M1242">
        <f>SalesData[[#This Row],[Sales]]/SalesData[[#This Row],[Quantity]]</f>
        <v>3.08</v>
      </c>
      <c r="N1242" t="str">
        <f>IF(SalesData[[#This Row],[Profit]]&gt;0,"Profit","Loss")</f>
        <v>Profit</v>
      </c>
    </row>
    <row r="1243" spans="1:14" x14ac:dyDescent="0.3">
      <c r="A1243" t="s">
        <v>3580</v>
      </c>
      <c r="B1243" s="3">
        <v>43074</v>
      </c>
      <c r="C1243" t="s">
        <v>17</v>
      </c>
      <c r="D1243" t="s">
        <v>21</v>
      </c>
      <c r="E1243" t="s">
        <v>1383</v>
      </c>
      <c r="F1243" s="1">
        <v>17</v>
      </c>
      <c r="G1243">
        <v>2</v>
      </c>
      <c r="H1243" s="1">
        <v>4.42</v>
      </c>
      <c r="I1243" s="4">
        <f>SalesData[[#This Row],[Profit]]/SalesData[[#This Row],[Sales]]</f>
        <v>0.26</v>
      </c>
      <c r="J1243">
        <f>YEAR(SalesData[[#This Row],[Order Date]])</f>
        <v>2017</v>
      </c>
      <c r="K1243" t="str">
        <f>TEXT(SalesData[[#This Row],[Order Date]],"mmm")</f>
        <v>Dec</v>
      </c>
      <c r="L1243">
        <f>MONTH(SalesData[[#This Row],[Order Date]])</f>
        <v>12</v>
      </c>
      <c r="M1243">
        <f>SalesData[[#This Row],[Sales]]/SalesData[[#This Row],[Quantity]]</f>
        <v>8.5</v>
      </c>
      <c r="N1243" t="str">
        <f>IF(SalesData[[#This Row],[Profit]]&gt;0,"Profit","Loss")</f>
        <v>Profit</v>
      </c>
    </row>
    <row r="1244" spans="1:14" x14ac:dyDescent="0.3">
      <c r="A1244" t="s">
        <v>3580</v>
      </c>
      <c r="B1244" s="3">
        <v>43074</v>
      </c>
      <c r="C1244" t="s">
        <v>17</v>
      </c>
      <c r="D1244" t="s">
        <v>10</v>
      </c>
      <c r="E1244" t="s">
        <v>3408</v>
      </c>
      <c r="F1244" s="1">
        <v>87.4</v>
      </c>
      <c r="G1244">
        <v>5</v>
      </c>
      <c r="H1244" s="1">
        <v>34.96</v>
      </c>
      <c r="I1244" s="4">
        <f>SalesData[[#This Row],[Profit]]/SalesData[[#This Row],[Sales]]</f>
        <v>0.39999999999999997</v>
      </c>
      <c r="J1244">
        <f>YEAR(SalesData[[#This Row],[Order Date]])</f>
        <v>2017</v>
      </c>
      <c r="K1244" t="str">
        <f>TEXT(SalesData[[#This Row],[Order Date]],"mmm")</f>
        <v>Dec</v>
      </c>
      <c r="L1244">
        <f>MONTH(SalesData[[#This Row],[Order Date]])</f>
        <v>12</v>
      </c>
      <c r="M1244">
        <f>SalesData[[#This Row],[Sales]]/SalesData[[#This Row],[Quantity]]</f>
        <v>17.48</v>
      </c>
      <c r="N1244" t="str">
        <f>IF(SalesData[[#This Row],[Profit]]&gt;0,"Profit","Loss")</f>
        <v>Profit</v>
      </c>
    </row>
    <row r="1245" spans="1:14" x14ac:dyDescent="0.3">
      <c r="A1245" t="s">
        <v>3582</v>
      </c>
      <c r="B1245" s="3">
        <v>43075</v>
      </c>
      <c r="C1245" t="s">
        <v>46</v>
      </c>
      <c r="D1245" t="s">
        <v>21</v>
      </c>
      <c r="E1245" t="s">
        <v>2136</v>
      </c>
      <c r="F1245" s="1">
        <v>91.2</v>
      </c>
      <c r="G1245">
        <v>3</v>
      </c>
      <c r="H1245" s="1">
        <v>41.951999999999998</v>
      </c>
      <c r="I1245" s="4">
        <f>SalesData[[#This Row],[Profit]]/SalesData[[#This Row],[Sales]]</f>
        <v>0.45999999999999996</v>
      </c>
      <c r="J1245">
        <f>YEAR(SalesData[[#This Row],[Order Date]])</f>
        <v>2017</v>
      </c>
      <c r="K1245" t="str">
        <f>TEXT(SalesData[[#This Row],[Order Date]],"mmm")</f>
        <v>Dec</v>
      </c>
      <c r="L1245">
        <f>MONTH(SalesData[[#This Row],[Order Date]])</f>
        <v>12</v>
      </c>
      <c r="M1245">
        <f>SalesData[[#This Row],[Sales]]/SalesData[[#This Row],[Quantity]]</f>
        <v>30.400000000000002</v>
      </c>
      <c r="N1245" t="str">
        <f>IF(SalesData[[#This Row],[Profit]]&gt;0,"Profit","Loss")</f>
        <v>Profit</v>
      </c>
    </row>
    <row r="1246" spans="1:14" x14ac:dyDescent="0.3">
      <c r="A1246" t="s">
        <v>3582</v>
      </c>
      <c r="B1246" s="3">
        <v>43075</v>
      </c>
      <c r="C1246" t="s">
        <v>46</v>
      </c>
      <c r="D1246" t="s">
        <v>14</v>
      </c>
      <c r="E1246" t="s">
        <v>1101</v>
      </c>
      <c r="F1246" s="1">
        <v>452.94</v>
      </c>
      <c r="G1246">
        <v>3</v>
      </c>
      <c r="H1246" s="1">
        <v>67.941000000000003</v>
      </c>
      <c r="I1246" s="4">
        <f>SalesData[[#This Row],[Profit]]/SalesData[[#This Row],[Sales]]</f>
        <v>0.15</v>
      </c>
      <c r="J1246">
        <f>YEAR(SalesData[[#This Row],[Order Date]])</f>
        <v>2017</v>
      </c>
      <c r="K1246" t="str">
        <f>TEXT(SalesData[[#This Row],[Order Date]],"mmm")</f>
        <v>Dec</v>
      </c>
      <c r="L1246">
        <f>MONTH(SalesData[[#This Row],[Order Date]])</f>
        <v>12</v>
      </c>
      <c r="M1246">
        <f>SalesData[[#This Row],[Sales]]/SalesData[[#This Row],[Quantity]]</f>
        <v>150.97999999999999</v>
      </c>
      <c r="N1246" t="str">
        <f>IF(SalesData[[#This Row],[Profit]]&gt;0,"Profit","Loss")</f>
        <v>Profit</v>
      </c>
    </row>
    <row r="1247" spans="1:14" x14ac:dyDescent="0.3">
      <c r="A1247" t="s">
        <v>3583</v>
      </c>
      <c r="B1247" s="3">
        <v>43075</v>
      </c>
      <c r="C1247" t="s">
        <v>17</v>
      </c>
      <c r="D1247" t="s">
        <v>21</v>
      </c>
      <c r="E1247" t="s">
        <v>3584</v>
      </c>
      <c r="F1247" s="1">
        <v>19.04</v>
      </c>
      <c r="G1247">
        <v>4</v>
      </c>
      <c r="H1247" s="1">
        <v>9.3295999999999992</v>
      </c>
      <c r="I1247" s="4">
        <f>SalesData[[#This Row],[Profit]]/SalesData[[#This Row],[Sales]]</f>
        <v>0.49</v>
      </c>
      <c r="J1247">
        <f>YEAR(SalesData[[#This Row],[Order Date]])</f>
        <v>2017</v>
      </c>
      <c r="K1247" t="str">
        <f>TEXT(SalesData[[#This Row],[Order Date]],"mmm")</f>
        <v>Dec</v>
      </c>
      <c r="L1247">
        <f>MONTH(SalesData[[#This Row],[Order Date]])</f>
        <v>12</v>
      </c>
      <c r="M1247">
        <f>SalesData[[#This Row],[Sales]]/SalesData[[#This Row],[Quantity]]</f>
        <v>4.76</v>
      </c>
      <c r="N1247" t="str">
        <f>IF(SalesData[[#This Row],[Profit]]&gt;0,"Profit","Loss")</f>
        <v>Profit</v>
      </c>
    </row>
    <row r="1248" spans="1:14" x14ac:dyDescent="0.3">
      <c r="A1248" t="s">
        <v>3583</v>
      </c>
      <c r="B1248" s="3">
        <v>43075</v>
      </c>
      <c r="C1248" t="s">
        <v>17</v>
      </c>
      <c r="D1248" t="s">
        <v>21</v>
      </c>
      <c r="E1248" t="s">
        <v>1501</v>
      </c>
      <c r="F1248" s="1">
        <v>13.128</v>
      </c>
      <c r="G1248">
        <v>3</v>
      </c>
      <c r="H1248" s="1">
        <v>4.2666000000000004</v>
      </c>
      <c r="I1248" s="4">
        <f>SalesData[[#This Row],[Profit]]/SalesData[[#This Row],[Sales]]</f>
        <v>0.32500000000000001</v>
      </c>
      <c r="J1248">
        <f>YEAR(SalesData[[#This Row],[Order Date]])</f>
        <v>2017</v>
      </c>
      <c r="K1248" t="str">
        <f>TEXT(SalesData[[#This Row],[Order Date]],"mmm")</f>
        <v>Dec</v>
      </c>
      <c r="L1248">
        <f>MONTH(SalesData[[#This Row],[Order Date]])</f>
        <v>12</v>
      </c>
      <c r="M1248">
        <f>SalesData[[#This Row],[Sales]]/SalesData[[#This Row],[Quantity]]</f>
        <v>4.3760000000000003</v>
      </c>
      <c r="N1248" t="str">
        <f>IF(SalesData[[#This Row],[Profit]]&gt;0,"Profit","Loss")</f>
        <v>Profit</v>
      </c>
    </row>
    <row r="1249" spans="1:14" x14ac:dyDescent="0.3">
      <c r="A1249" t="s">
        <v>3583</v>
      </c>
      <c r="B1249" s="3">
        <v>43075</v>
      </c>
      <c r="C1249" t="s">
        <v>17</v>
      </c>
      <c r="D1249" t="s">
        <v>21</v>
      </c>
      <c r="E1249" t="s">
        <v>1610</v>
      </c>
      <c r="F1249" s="1">
        <v>64.14</v>
      </c>
      <c r="G1249">
        <v>3</v>
      </c>
      <c r="H1249" s="1">
        <v>16.676400000000001</v>
      </c>
      <c r="I1249" s="4">
        <f>SalesData[[#This Row],[Profit]]/SalesData[[#This Row],[Sales]]</f>
        <v>0.26</v>
      </c>
      <c r="J1249">
        <f>YEAR(SalesData[[#This Row],[Order Date]])</f>
        <v>2017</v>
      </c>
      <c r="K1249" t="str">
        <f>TEXT(SalesData[[#This Row],[Order Date]],"mmm")</f>
        <v>Dec</v>
      </c>
      <c r="L1249">
        <f>MONTH(SalesData[[#This Row],[Order Date]])</f>
        <v>12</v>
      </c>
      <c r="M1249">
        <f>SalesData[[#This Row],[Sales]]/SalesData[[#This Row],[Quantity]]</f>
        <v>21.38</v>
      </c>
      <c r="N1249" t="str">
        <f>IF(SalesData[[#This Row],[Profit]]&gt;0,"Profit","Loss")</f>
        <v>Profit</v>
      </c>
    </row>
    <row r="1250" spans="1:14" x14ac:dyDescent="0.3">
      <c r="A1250" t="s">
        <v>3583</v>
      </c>
      <c r="B1250" s="3">
        <v>43075</v>
      </c>
      <c r="C1250" t="s">
        <v>17</v>
      </c>
      <c r="D1250" t="s">
        <v>14</v>
      </c>
      <c r="E1250" t="s">
        <v>1510</v>
      </c>
      <c r="F1250" s="1">
        <v>858.24</v>
      </c>
      <c r="G1250">
        <v>4</v>
      </c>
      <c r="H1250" s="1">
        <v>143.04</v>
      </c>
      <c r="I1250" s="4">
        <f>SalesData[[#This Row],[Profit]]/SalesData[[#This Row],[Sales]]</f>
        <v>0.16666666666666666</v>
      </c>
      <c r="J1250">
        <f>YEAR(SalesData[[#This Row],[Order Date]])</f>
        <v>2017</v>
      </c>
      <c r="K1250" t="str">
        <f>TEXT(SalesData[[#This Row],[Order Date]],"mmm")</f>
        <v>Dec</v>
      </c>
      <c r="L1250">
        <f>MONTH(SalesData[[#This Row],[Order Date]])</f>
        <v>12</v>
      </c>
      <c r="M1250">
        <f>SalesData[[#This Row],[Sales]]/SalesData[[#This Row],[Quantity]]</f>
        <v>214.56</v>
      </c>
      <c r="N1250" t="str">
        <f>IF(SalesData[[#This Row],[Profit]]&gt;0,"Profit","Loss")</f>
        <v>Profit</v>
      </c>
    </row>
    <row r="1251" spans="1:14" x14ac:dyDescent="0.3">
      <c r="A1251" t="s">
        <v>3585</v>
      </c>
      <c r="B1251" s="3">
        <v>43075</v>
      </c>
      <c r="C1251" t="s">
        <v>46</v>
      </c>
      <c r="D1251" t="s">
        <v>14</v>
      </c>
      <c r="E1251" t="s">
        <v>3586</v>
      </c>
      <c r="F1251" s="1">
        <v>17.088000000000001</v>
      </c>
      <c r="G1251">
        <v>2</v>
      </c>
      <c r="H1251" s="1">
        <v>1.0680000000000001</v>
      </c>
      <c r="I1251" s="4">
        <f>SalesData[[#This Row],[Profit]]/SalesData[[#This Row],[Sales]]</f>
        <v>6.25E-2</v>
      </c>
      <c r="J1251">
        <f>YEAR(SalesData[[#This Row],[Order Date]])</f>
        <v>2017</v>
      </c>
      <c r="K1251" t="str">
        <f>TEXT(SalesData[[#This Row],[Order Date]],"mmm")</f>
        <v>Dec</v>
      </c>
      <c r="L1251">
        <f>MONTH(SalesData[[#This Row],[Order Date]])</f>
        <v>12</v>
      </c>
      <c r="M1251">
        <f>SalesData[[#This Row],[Sales]]/SalesData[[#This Row],[Quantity]]</f>
        <v>8.5440000000000005</v>
      </c>
      <c r="N1251" t="str">
        <f>IF(SalesData[[#This Row],[Profit]]&gt;0,"Profit","Loss")</f>
        <v>Profit</v>
      </c>
    </row>
    <row r="1252" spans="1:14" x14ac:dyDescent="0.3">
      <c r="A1252" t="s">
        <v>3587</v>
      </c>
      <c r="B1252" s="3">
        <v>43075</v>
      </c>
      <c r="C1252" t="s">
        <v>17</v>
      </c>
      <c r="D1252" t="s">
        <v>10</v>
      </c>
      <c r="E1252" t="s">
        <v>1465</v>
      </c>
      <c r="F1252" s="1">
        <v>63.92</v>
      </c>
      <c r="G1252">
        <v>2</v>
      </c>
      <c r="H1252" s="1">
        <v>19.175999999999998</v>
      </c>
      <c r="I1252" s="4">
        <f>SalesData[[#This Row],[Profit]]/SalesData[[#This Row],[Sales]]</f>
        <v>0.3</v>
      </c>
      <c r="J1252">
        <f>YEAR(SalesData[[#This Row],[Order Date]])</f>
        <v>2017</v>
      </c>
      <c r="K1252" t="str">
        <f>TEXT(SalesData[[#This Row],[Order Date]],"mmm")</f>
        <v>Dec</v>
      </c>
      <c r="L1252">
        <f>MONTH(SalesData[[#This Row],[Order Date]])</f>
        <v>12</v>
      </c>
      <c r="M1252">
        <f>SalesData[[#This Row],[Sales]]/SalesData[[#This Row],[Quantity]]</f>
        <v>31.96</v>
      </c>
      <c r="N1252" t="str">
        <f>IF(SalesData[[#This Row],[Profit]]&gt;0,"Profit","Loss")</f>
        <v>Profit</v>
      </c>
    </row>
    <row r="1253" spans="1:14" x14ac:dyDescent="0.3">
      <c r="A1253" t="s">
        <v>3588</v>
      </c>
      <c r="B1253" s="3">
        <v>43075</v>
      </c>
      <c r="C1253" t="s">
        <v>13</v>
      </c>
      <c r="D1253" t="s">
        <v>10</v>
      </c>
      <c r="E1253" t="s">
        <v>2116</v>
      </c>
      <c r="F1253" s="1">
        <v>71.975999999999999</v>
      </c>
      <c r="G1253">
        <v>3</v>
      </c>
      <c r="H1253" s="1">
        <v>8.9969999999999999</v>
      </c>
      <c r="I1253" s="4">
        <f>SalesData[[#This Row],[Profit]]/SalesData[[#This Row],[Sales]]</f>
        <v>0.125</v>
      </c>
      <c r="J1253">
        <f>YEAR(SalesData[[#This Row],[Order Date]])</f>
        <v>2017</v>
      </c>
      <c r="K1253" t="str">
        <f>TEXT(SalesData[[#This Row],[Order Date]],"mmm")</f>
        <v>Dec</v>
      </c>
      <c r="L1253">
        <f>MONTH(SalesData[[#This Row],[Order Date]])</f>
        <v>12</v>
      </c>
      <c r="M1253">
        <f>SalesData[[#This Row],[Sales]]/SalesData[[#This Row],[Quantity]]</f>
        <v>23.992000000000001</v>
      </c>
      <c r="N1253" t="str">
        <f>IF(SalesData[[#This Row],[Profit]]&gt;0,"Profit","Loss")</f>
        <v>Profit</v>
      </c>
    </row>
    <row r="1254" spans="1:14" x14ac:dyDescent="0.3">
      <c r="A1254" t="s">
        <v>3588</v>
      </c>
      <c r="B1254" s="3">
        <v>43075</v>
      </c>
      <c r="C1254" t="s">
        <v>13</v>
      </c>
      <c r="D1254" t="s">
        <v>21</v>
      </c>
      <c r="E1254" t="s">
        <v>3589</v>
      </c>
      <c r="F1254" s="1">
        <v>19.440000000000001</v>
      </c>
      <c r="G1254">
        <v>3</v>
      </c>
      <c r="H1254" s="1">
        <v>9.3312000000000008</v>
      </c>
      <c r="I1254" s="4">
        <f>SalesData[[#This Row],[Profit]]/SalesData[[#This Row],[Sales]]</f>
        <v>0.48000000000000004</v>
      </c>
      <c r="J1254">
        <f>YEAR(SalesData[[#This Row],[Order Date]])</f>
        <v>2017</v>
      </c>
      <c r="K1254" t="str">
        <f>TEXT(SalesData[[#This Row],[Order Date]],"mmm")</f>
        <v>Dec</v>
      </c>
      <c r="L1254">
        <f>MONTH(SalesData[[#This Row],[Order Date]])</f>
        <v>12</v>
      </c>
      <c r="M1254">
        <f>SalesData[[#This Row],[Sales]]/SalesData[[#This Row],[Quantity]]</f>
        <v>6.48</v>
      </c>
      <c r="N1254" t="str">
        <f>IF(SalesData[[#This Row],[Profit]]&gt;0,"Profit","Loss")</f>
        <v>Profit</v>
      </c>
    </row>
    <row r="1255" spans="1:14" x14ac:dyDescent="0.3">
      <c r="A1255" t="s">
        <v>3590</v>
      </c>
      <c r="B1255" s="3">
        <v>43075</v>
      </c>
      <c r="C1255" t="s">
        <v>9</v>
      </c>
      <c r="D1255" t="s">
        <v>14</v>
      </c>
      <c r="E1255" t="s">
        <v>1356</v>
      </c>
      <c r="F1255" s="1">
        <v>8.8559999999999999</v>
      </c>
      <c r="G1255">
        <v>3</v>
      </c>
      <c r="H1255" s="1">
        <v>-6.8634000000000004</v>
      </c>
      <c r="I1255" s="4">
        <f>SalesData[[#This Row],[Profit]]/SalesData[[#This Row],[Sales]]</f>
        <v>-0.77500000000000002</v>
      </c>
      <c r="J1255">
        <f>YEAR(SalesData[[#This Row],[Order Date]])</f>
        <v>2017</v>
      </c>
      <c r="K1255" t="str">
        <f>TEXT(SalesData[[#This Row],[Order Date]],"mmm")</f>
        <v>Dec</v>
      </c>
      <c r="L1255">
        <f>MONTH(SalesData[[#This Row],[Order Date]])</f>
        <v>12</v>
      </c>
      <c r="M1255">
        <f>SalesData[[#This Row],[Sales]]/SalesData[[#This Row],[Quantity]]</f>
        <v>2.952</v>
      </c>
      <c r="N1255" t="str">
        <f>IF(SalesData[[#This Row],[Profit]]&gt;0,"Profit","Loss")</f>
        <v>Loss</v>
      </c>
    </row>
    <row r="1256" spans="1:14" x14ac:dyDescent="0.3">
      <c r="A1256" t="s">
        <v>3591</v>
      </c>
      <c r="B1256" s="3">
        <v>43076</v>
      </c>
      <c r="C1256" t="s">
        <v>17</v>
      </c>
      <c r="D1256" t="s">
        <v>21</v>
      </c>
      <c r="E1256" t="s">
        <v>1538</v>
      </c>
      <c r="F1256" s="1">
        <v>3.8159999999999998</v>
      </c>
      <c r="G1256">
        <v>1</v>
      </c>
      <c r="H1256" s="1">
        <v>1.1924999999999999</v>
      </c>
      <c r="I1256" s="4">
        <f>SalesData[[#This Row],[Profit]]/SalesData[[#This Row],[Sales]]</f>
        <v>0.3125</v>
      </c>
      <c r="J1256">
        <f>YEAR(SalesData[[#This Row],[Order Date]])</f>
        <v>2017</v>
      </c>
      <c r="K1256" t="str">
        <f>TEXT(SalesData[[#This Row],[Order Date]],"mmm")</f>
        <v>Dec</v>
      </c>
      <c r="L1256">
        <f>MONTH(SalesData[[#This Row],[Order Date]])</f>
        <v>12</v>
      </c>
      <c r="M1256">
        <f>SalesData[[#This Row],[Sales]]/SalesData[[#This Row],[Quantity]]</f>
        <v>3.8159999999999998</v>
      </c>
      <c r="N1256" t="str">
        <f>IF(SalesData[[#This Row],[Profit]]&gt;0,"Profit","Loss")</f>
        <v>Profit</v>
      </c>
    </row>
    <row r="1257" spans="1:14" x14ac:dyDescent="0.3">
      <c r="A1257" t="s">
        <v>3592</v>
      </c>
      <c r="B1257" s="3">
        <v>43077</v>
      </c>
      <c r="C1257" t="s">
        <v>46</v>
      </c>
      <c r="D1257" t="s">
        <v>21</v>
      </c>
      <c r="E1257" t="s">
        <v>376</v>
      </c>
      <c r="F1257" s="1">
        <v>20.736000000000001</v>
      </c>
      <c r="G1257">
        <v>4</v>
      </c>
      <c r="H1257" s="1">
        <v>7.2576000000000001</v>
      </c>
      <c r="I1257" s="4">
        <f>SalesData[[#This Row],[Profit]]/SalesData[[#This Row],[Sales]]</f>
        <v>0.35</v>
      </c>
      <c r="J1257">
        <f>YEAR(SalesData[[#This Row],[Order Date]])</f>
        <v>2017</v>
      </c>
      <c r="K1257" t="str">
        <f>TEXT(SalesData[[#This Row],[Order Date]],"mmm")</f>
        <v>Dec</v>
      </c>
      <c r="L1257">
        <f>MONTH(SalesData[[#This Row],[Order Date]])</f>
        <v>12</v>
      </c>
      <c r="M1257">
        <f>SalesData[[#This Row],[Sales]]/SalesData[[#This Row],[Quantity]]</f>
        <v>5.1840000000000002</v>
      </c>
      <c r="N1257" t="str">
        <f>IF(SalesData[[#This Row],[Profit]]&gt;0,"Profit","Loss")</f>
        <v>Profit</v>
      </c>
    </row>
    <row r="1258" spans="1:14" x14ac:dyDescent="0.3">
      <c r="A1258" t="s">
        <v>3593</v>
      </c>
      <c r="B1258" s="3">
        <v>43077</v>
      </c>
      <c r="C1258" t="s">
        <v>13</v>
      </c>
      <c r="D1258" t="s">
        <v>21</v>
      </c>
      <c r="E1258" t="s">
        <v>1336</v>
      </c>
      <c r="F1258" s="1">
        <v>542.94000000000005</v>
      </c>
      <c r="G1258">
        <v>3</v>
      </c>
      <c r="H1258" s="1">
        <v>152.0232</v>
      </c>
      <c r="I1258" s="4">
        <f>SalesData[[#This Row],[Profit]]/SalesData[[#This Row],[Sales]]</f>
        <v>0.27999999999999997</v>
      </c>
      <c r="J1258">
        <f>YEAR(SalesData[[#This Row],[Order Date]])</f>
        <v>2017</v>
      </c>
      <c r="K1258" t="str">
        <f>TEXT(SalesData[[#This Row],[Order Date]],"mmm")</f>
        <v>Dec</v>
      </c>
      <c r="L1258">
        <f>MONTH(SalesData[[#This Row],[Order Date]])</f>
        <v>12</v>
      </c>
      <c r="M1258">
        <f>SalesData[[#This Row],[Sales]]/SalesData[[#This Row],[Quantity]]</f>
        <v>180.98000000000002</v>
      </c>
      <c r="N1258" t="str">
        <f>IF(SalesData[[#This Row],[Profit]]&gt;0,"Profit","Loss")</f>
        <v>Profit</v>
      </c>
    </row>
    <row r="1259" spans="1:14" x14ac:dyDescent="0.3">
      <c r="A1259" t="s">
        <v>3593</v>
      </c>
      <c r="B1259" s="3">
        <v>43077</v>
      </c>
      <c r="C1259" t="s">
        <v>13</v>
      </c>
      <c r="D1259" t="s">
        <v>14</v>
      </c>
      <c r="E1259" t="s">
        <v>328</v>
      </c>
      <c r="F1259" s="1">
        <v>54.92</v>
      </c>
      <c r="G1259">
        <v>4</v>
      </c>
      <c r="H1259" s="1">
        <v>19.7712</v>
      </c>
      <c r="I1259" s="4">
        <f>SalesData[[#This Row],[Profit]]/SalesData[[#This Row],[Sales]]</f>
        <v>0.36</v>
      </c>
      <c r="J1259">
        <f>YEAR(SalesData[[#This Row],[Order Date]])</f>
        <v>2017</v>
      </c>
      <c r="K1259" t="str">
        <f>TEXT(SalesData[[#This Row],[Order Date]],"mmm")</f>
        <v>Dec</v>
      </c>
      <c r="L1259">
        <f>MONTH(SalesData[[#This Row],[Order Date]])</f>
        <v>12</v>
      </c>
      <c r="M1259">
        <f>SalesData[[#This Row],[Sales]]/SalesData[[#This Row],[Quantity]]</f>
        <v>13.73</v>
      </c>
      <c r="N1259" t="str">
        <f>IF(SalesData[[#This Row],[Profit]]&gt;0,"Profit","Loss")</f>
        <v>Profit</v>
      </c>
    </row>
    <row r="1260" spans="1:14" x14ac:dyDescent="0.3">
      <c r="A1260" t="s">
        <v>3594</v>
      </c>
      <c r="B1260" s="3">
        <v>43077</v>
      </c>
      <c r="C1260" t="s">
        <v>17</v>
      </c>
      <c r="D1260" t="s">
        <v>21</v>
      </c>
      <c r="E1260" t="s">
        <v>731</v>
      </c>
      <c r="F1260" s="1">
        <v>17.52</v>
      </c>
      <c r="G1260">
        <v>3</v>
      </c>
      <c r="H1260" s="1">
        <v>5.2560000000000002</v>
      </c>
      <c r="I1260" s="4">
        <f>SalesData[[#This Row],[Profit]]/SalesData[[#This Row],[Sales]]</f>
        <v>0.30000000000000004</v>
      </c>
      <c r="J1260">
        <f>YEAR(SalesData[[#This Row],[Order Date]])</f>
        <v>2017</v>
      </c>
      <c r="K1260" t="str">
        <f>TEXT(SalesData[[#This Row],[Order Date]],"mmm")</f>
        <v>Dec</v>
      </c>
      <c r="L1260">
        <f>MONTH(SalesData[[#This Row],[Order Date]])</f>
        <v>12</v>
      </c>
      <c r="M1260">
        <f>SalesData[[#This Row],[Sales]]/SalesData[[#This Row],[Quantity]]</f>
        <v>5.84</v>
      </c>
      <c r="N1260" t="str">
        <f>IF(SalesData[[#This Row],[Profit]]&gt;0,"Profit","Loss")</f>
        <v>Profit</v>
      </c>
    </row>
    <row r="1261" spans="1:14" x14ac:dyDescent="0.3">
      <c r="A1261" t="s">
        <v>3594</v>
      </c>
      <c r="B1261" s="3">
        <v>43077</v>
      </c>
      <c r="C1261" t="s">
        <v>17</v>
      </c>
      <c r="D1261" t="s">
        <v>14</v>
      </c>
      <c r="E1261" t="s">
        <v>3595</v>
      </c>
      <c r="F1261" s="1">
        <v>1779.9</v>
      </c>
      <c r="G1261">
        <v>5</v>
      </c>
      <c r="H1261" s="1">
        <v>373.779</v>
      </c>
      <c r="I1261" s="4">
        <f>SalesData[[#This Row],[Profit]]/SalesData[[#This Row],[Sales]]</f>
        <v>0.21</v>
      </c>
      <c r="J1261">
        <f>YEAR(SalesData[[#This Row],[Order Date]])</f>
        <v>2017</v>
      </c>
      <c r="K1261" t="str">
        <f>TEXT(SalesData[[#This Row],[Order Date]],"mmm")</f>
        <v>Dec</v>
      </c>
      <c r="L1261">
        <f>MONTH(SalesData[[#This Row],[Order Date]])</f>
        <v>12</v>
      </c>
      <c r="M1261">
        <f>SalesData[[#This Row],[Sales]]/SalesData[[#This Row],[Quantity]]</f>
        <v>355.98</v>
      </c>
      <c r="N1261" t="str">
        <f>IF(SalesData[[#This Row],[Profit]]&gt;0,"Profit","Loss")</f>
        <v>Profit</v>
      </c>
    </row>
    <row r="1262" spans="1:14" x14ac:dyDescent="0.3">
      <c r="A1262" t="s">
        <v>3594</v>
      </c>
      <c r="B1262" s="3">
        <v>43077</v>
      </c>
      <c r="C1262" t="s">
        <v>17</v>
      </c>
      <c r="D1262" t="s">
        <v>21</v>
      </c>
      <c r="E1262" t="s">
        <v>747</v>
      </c>
      <c r="F1262" s="1">
        <v>219.9</v>
      </c>
      <c r="G1262">
        <v>5</v>
      </c>
      <c r="H1262" s="1">
        <v>59.372999999999998</v>
      </c>
      <c r="I1262" s="4">
        <f>SalesData[[#This Row],[Profit]]/SalesData[[#This Row],[Sales]]</f>
        <v>0.26999999999999996</v>
      </c>
      <c r="J1262">
        <f>YEAR(SalesData[[#This Row],[Order Date]])</f>
        <v>2017</v>
      </c>
      <c r="K1262" t="str">
        <f>TEXT(SalesData[[#This Row],[Order Date]],"mmm")</f>
        <v>Dec</v>
      </c>
      <c r="L1262">
        <f>MONTH(SalesData[[#This Row],[Order Date]])</f>
        <v>12</v>
      </c>
      <c r="M1262">
        <f>SalesData[[#This Row],[Sales]]/SalesData[[#This Row],[Quantity]]</f>
        <v>43.980000000000004</v>
      </c>
      <c r="N1262" t="str">
        <f>IF(SalesData[[#This Row],[Profit]]&gt;0,"Profit","Loss")</f>
        <v>Profit</v>
      </c>
    </row>
    <row r="1263" spans="1:14" x14ac:dyDescent="0.3">
      <c r="A1263" t="s">
        <v>3596</v>
      </c>
      <c r="B1263" s="3">
        <v>43077</v>
      </c>
      <c r="C1263" t="s">
        <v>13</v>
      </c>
      <c r="D1263" t="s">
        <v>10</v>
      </c>
      <c r="E1263" t="s">
        <v>1832</v>
      </c>
      <c r="F1263" s="1">
        <v>299.99</v>
      </c>
      <c r="G1263">
        <v>1</v>
      </c>
      <c r="H1263" s="1">
        <v>89.997</v>
      </c>
      <c r="I1263" s="4">
        <f>SalesData[[#This Row],[Profit]]/SalesData[[#This Row],[Sales]]</f>
        <v>0.3</v>
      </c>
      <c r="J1263">
        <f>YEAR(SalesData[[#This Row],[Order Date]])</f>
        <v>2017</v>
      </c>
      <c r="K1263" t="str">
        <f>TEXT(SalesData[[#This Row],[Order Date]],"mmm")</f>
        <v>Dec</v>
      </c>
      <c r="L1263">
        <f>MONTH(SalesData[[#This Row],[Order Date]])</f>
        <v>12</v>
      </c>
      <c r="M1263">
        <f>SalesData[[#This Row],[Sales]]/SalesData[[#This Row],[Quantity]]</f>
        <v>299.99</v>
      </c>
      <c r="N1263" t="str">
        <f>IF(SalesData[[#This Row],[Profit]]&gt;0,"Profit","Loss")</f>
        <v>Profit</v>
      </c>
    </row>
    <row r="1264" spans="1:14" x14ac:dyDescent="0.3">
      <c r="A1264" t="s">
        <v>3596</v>
      </c>
      <c r="B1264" s="3">
        <v>43077</v>
      </c>
      <c r="C1264" t="s">
        <v>13</v>
      </c>
      <c r="D1264" t="s">
        <v>21</v>
      </c>
      <c r="E1264" t="s">
        <v>3597</v>
      </c>
      <c r="F1264" s="1">
        <v>192.16</v>
      </c>
      <c r="G1264">
        <v>4</v>
      </c>
      <c r="H1264" s="1">
        <v>92.236800000000002</v>
      </c>
      <c r="I1264" s="4">
        <f>SalesData[[#This Row],[Profit]]/SalesData[[#This Row],[Sales]]</f>
        <v>0.48000000000000004</v>
      </c>
      <c r="J1264">
        <f>YEAR(SalesData[[#This Row],[Order Date]])</f>
        <v>2017</v>
      </c>
      <c r="K1264" t="str">
        <f>TEXT(SalesData[[#This Row],[Order Date]],"mmm")</f>
        <v>Dec</v>
      </c>
      <c r="L1264">
        <f>MONTH(SalesData[[#This Row],[Order Date]])</f>
        <v>12</v>
      </c>
      <c r="M1264">
        <f>SalesData[[#This Row],[Sales]]/SalesData[[#This Row],[Quantity]]</f>
        <v>48.04</v>
      </c>
      <c r="N1264" t="str">
        <f>IF(SalesData[[#This Row],[Profit]]&gt;0,"Profit","Loss")</f>
        <v>Profit</v>
      </c>
    </row>
    <row r="1265" spans="1:14" x14ac:dyDescent="0.3">
      <c r="A1265" t="s">
        <v>3596</v>
      </c>
      <c r="B1265" s="3">
        <v>43077</v>
      </c>
      <c r="C1265" t="s">
        <v>13</v>
      </c>
      <c r="D1265" t="s">
        <v>10</v>
      </c>
      <c r="E1265" t="s">
        <v>2263</v>
      </c>
      <c r="F1265" s="1">
        <v>242.624</v>
      </c>
      <c r="G1265">
        <v>8</v>
      </c>
      <c r="H1265" s="1">
        <v>27.295200000000001</v>
      </c>
      <c r="I1265" s="4">
        <f>SalesData[[#This Row],[Profit]]/SalesData[[#This Row],[Sales]]</f>
        <v>0.1125</v>
      </c>
      <c r="J1265">
        <f>YEAR(SalesData[[#This Row],[Order Date]])</f>
        <v>2017</v>
      </c>
      <c r="K1265" t="str">
        <f>TEXT(SalesData[[#This Row],[Order Date]],"mmm")</f>
        <v>Dec</v>
      </c>
      <c r="L1265">
        <f>MONTH(SalesData[[#This Row],[Order Date]])</f>
        <v>12</v>
      </c>
      <c r="M1265">
        <f>SalesData[[#This Row],[Sales]]/SalesData[[#This Row],[Quantity]]</f>
        <v>30.327999999999999</v>
      </c>
      <c r="N1265" t="str">
        <f>IF(SalesData[[#This Row],[Profit]]&gt;0,"Profit","Loss")</f>
        <v>Profit</v>
      </c>
    </row>
    <row r="1266" spans="1:14" x14ac:dyDescent="0.3">
      <c r="A1266" t="s">
        <v>3596</v>
      </c>
      <c r="B1266" s="3">
        <v>43077</v>
      </c>
      <c r="C1266" t="s">
        <v>13</v>
      </c>
      <c r="D1266" t="s">
        <v>21</v>
      </c>
      <c r="E1266" t="s">
        <v>2784</v>
      </c>
      <c r="F1266" s="1">
        <v>46.74</v>
      </c>
      <c r="G1266">
        <v>3</v>
      </c>
      <c r="H1266" s="1">
        <v>11.685</v>
      </c>
      <c r="I1266" s="4">
        <f>SalesData[[#This Row],[Profit]]/SalesData[[#This Row],[Sales]]</f>
        <v>0.25</v>
      </c>
      <c r="J1266">
        <f>YEAR(SalesData[[#This Row],[Order Date]])</f>
        <v>2017</v>
      </c>
      <c r="K1266" t="str">
        <f>TEXT(SalesData[[#This Row],[Order Date]],"mmm")</f>
        <v>Dec</v>
      </c>
      <c r="L1266">
        <f>MONTH(SalesData[[#This Row],[Order Date]])</f>
        <v>12</v>
      </c>
      <c r="M1266">
        <f>SalesData[[#This Row],[Sales]]/SalesData[[#This Row],[Quantity]]</f>
        <v>15.58</v>
      </c>
      <c r="N1266" t="str">
        <f>IF(SalesData[[#This Row],[Profit]]&gt;0,"Profit","Loss")</f>
        <v>Profit</v>
      </c>
    </row>
    <row r="1267" spans="1:14" x14ac:dyDescent="0.3">
      <c r="A1267" t="s">
        <v>3596</v>
      </c>
      <c r="B1267" s="3">
        <v>43077</v>
      </c>
      <c r="C1267" t="s">
        <v>13</v>
      </c>
      <c r="D1267" t="s">
        <v>10</v>
      </c>
      <c r="E1267" t="s">
        <v>3598</v>
      </c>
      <c r="F1267" s="1">
        <v>174.95</v>
      </c>
      <c r="G1267">
        <v>5</v>
      </c>
      <c r="H1267" s="1">
        <v>12.246499999999999</v>
      </c>
      <c r="I1267" s="4">
        <f>SalesData[[#This Row],[Profit]]/SalesData[[#This Row],[Sales]]</f>
        <v>7.0000000000000007E-2</v>
      </c>
      <c r="J1267">
        <f>YEAR(SalesData[[#This Row],[Order Date]])</f>
        <v>2017</v>
      </c>
      <c r="K1267" t="str">
        <f>TEXT(SalesData[[#This Row],[Order Date]],"mmm")</f>
        <v>Dec</v>
      </c>
      <c r="L1267">
        <f>MONTH(SalesData[[#This Row],[Order Date]])</f>
        <v>12</v>
      </c>
      <c r="M1267">
        <f>SalesData[[#This Row],[Sales]]/SalesData[[#This Row],[Quantity]]</f>
        <v>34.989999999999995</v>
      </c>
      <c r="N1267" t="str">
        <f>IF(SalesData[[#This Row],[Profit]]&gt;0,"Profit","Loss")</f>
        <v>Profit</v>
      </c>
    </row>
    <row r="1268" spans="1:14" x14ac:dyDescent="0.3">
      <c r="A1268" t="s">
        <v>3596</v>
      </c>
      <c r="B1268" s="3">
        <v>43077</v>
      </c>
      <c r="C1268" t="s">
        <v>13</v>
      </c>
      <c r="D1268" t="s">
        <v>21</v>
      </c>
      <c r="E1268" t="s">
        <v>612</v>
      </c>
      <c r="F1268" s="1">
        <v>100.70399999999999</v>
      </c>
      <c r="G1268">
        <v>6</v>
      </c>
      <c r="H1268" s="1">
        <v>37.764000000000003</v>
      </c>
      <c r="I1268" s="4">
        <f>SalesData[[#This Row],[Profit]]/SalesData[[#This Row],[Sales]]</f>
        <v>0.37500000000000006</v>
      </c>
      <c r="J1268">
        <f>YEAR(SalesData[[#This Row],[Order Date]])</f>
        <v>2017</v>
      </c>
      <c r="K1268" t="str">
        <f>TEXT(SalesData[[#This Row],[Order Date]],"mmm")</f>
        <v>Dec</v>
      </c>
      <c r="L1268">
        <f>MONTH(SalesData[[#This Row],[Order Date]])</f>
        <v>12</v>
      </c>
      <c r="M1268">
        <f>SalesData[[#This Row],[Sales]]/SalesData[[#This Row],[Quantity]]</f>
        <v>16.783999999999999</v>
      </c>
      <c r="N1268" t="str">
        <f>IF(SalesData[[#This Row],[Profit]]&gt;0,"Profit","Loss")</f>
        <v>Profit</v>
      </c>
    </row>
    <row r="1269" spans="1:14" x14ac:dyDescent="0.3">
      <c r="A1269" t="s">
        <v>3599</v>
      </c>
      <c r="B1269" s="3">
        <v>43078</v>
      </c>
      <c r="C1269" t="s">
        <v>13</v>
      </c>
      <c r="D1269" t="s">
        <v>14</v>
      </c>
      <c r="E1269" t="s">
        <v>1047</v>
      </c>
      <c r="F1269" s="1">
        <v>8.36</v>
      </c>
      <c r="G1269">
        <v>2</v>
      </c>
      <c r="H1269" s="1">
        <v>3.0095999999999998</v>
      </c>
      <c r="I1269" s="4">
        <f>SalesData[[#This Row],[Profit]]/SalesData[[#This Row],[Sales]]</f>
        <v>0.36</v>
      </c>
      <c r="J1269">
        <f>YEAR(SalesData[[#This Row],[Order Date]])</f>
        <v>2017</v>
      </c>
      <c r="K1269" t="str">
        <f>TEXT(SalesData[[#This Row],[Order Date]],"mmm")</f>
        <v>Dec</v>
      </c>
      <c r="L1269">
        <f>MONTH(SalesData[[#This Row],[Order Date]])</f>
        <v>12</v>
      </c>
      <c r="M1269">
        <f>SalesData[[#This Row],[Sales]]/SalesData[[#This Row],[Quantity]]</f>
        <v>4.18</v>
      </c>
      <c r="N1269" t="str">
        <f>IF(SalesData[[#This Row],[Profit]]&gt;0,"Profit","Loss")</f>
        <v>Profit</v>
      </c>
    </row>
    <row r="1270" spans="1:14" x14ac:dyDescent="0.3">
      <c r="A1270" t="s">
        <v>3600</v>
      </c>
      <c r="B1270" s="3">
        <v>43078</v>
      </c>
      <c r="C1270" t="s">
        <v>17</v>
      </c>
      <c r="D1270" t="s">
        <v>21</v>
      </c>
      <c r="E1270" t="s">
        <v>39</v>
      </c>
      <c r="F1270" s="1">
        <v>39.9</v>
      </c>
      <c r="G1270">
        <v>5</v>
      </c>
      <c r="H1270" s="1">
        <v>19.95</v>
      </c>
      <c r="I1270" s="4">
        <f>SalesData[[#This Row],[Profit]]/SalesData[[#This Row],[Sales]]</f>
        <v>0.5</v>
      </c>
      <c r="J1270">
        <f>YEAR(SalesData[[#This Row],[Order Date]])</f>
        <v>2017</v>
      </c>
      <c r="K1270" t="str">
        <f>TEXT(SalesData[[#This Row],[Order Date]],"mmm")</f>
        <v>Dec</v>
      </c>
      <c r="L1270">
        <f>MONTH(SalesData[[#This Row],[Order Date]])</f>
        <v>12</v>
      </c>
      <c r="M1270">
        <f>SalesData[[#This Row],[Sales]]/SalesData[[#This Row],[Quantity]]</f>
        <v>7.9799999999999995</v>
      </c>
      <c r="N1270" t="str">
        <f>IF(SalesData[[#This Row],[Profit]]&gt;0,"Profit","Loss")</f>
        <v>Profit</v>
      </c>
    </row>
    <row r="1271" spans="1:14" x14ac:dyDescent="0.3">
      <c r="A1271" t="s">
        <v>3600</v>
      </c>
      <c r="B1271" s="3">
        <v>43078</v>
      </c>
      <c r="C1271" t="s">
        <v>17</v>
      </c>
      <c r="D1271" t="s">
        <v>21</v>
      </c>
      <c r="E1271" t="s">
        <v>2295</v>
      </c>
      <c r="F1271" s="1">
        <v>90.86</v>
      </c>
      <c r="G1271">
        <v>7</v>
      </c>
      <c r="H1271" s="1">
        <v>26.349399999999999</v>
      </c>
      <c r="I1271" s="4">
        <f>SalesData[[#This Row],[Profit]]/SalesData[[#This Row],[Sales]]</f>
        <v>0.28999999999999998</v>
      </c>
      <c r="J1271">
        <f>YEAR(SalesData[[#This Row],[Order Date]])</f>
        <v>2017</v>
      </c>
      <c r="K1271" t="str">
        <f>TEXT(SalesData[[#This Row],[Order Date]],"mmm")</f>
        <v>Dec</v>
      </c>
      <c r="L1271">
        <f>MONTH(SalesData[[#This Row],[Order Date]])</f>
        <v>12</v>
      </c>
      <c r="M1271">
        <f>SalesData[[#This Row],[Sales]]/SalesData[[#This Row],[Quantity]]</f>
        <v>12.98</v>
      </c>
      <c r="N1271" t="str">
        <f>IF(SalesData[[#This Row],[Profit]]&gt;0,"Profit","Loss")</f>
        <v>Profit</v>
      </c>
    </row>
    <row r="1272" spans="1:14" x14ac:dyDescent="0.3">
      <c r="A1272" t="s">
        <v>3600</v>
      </c>
      <c r="B1272" s="3">
        <v>43078</v>
      </c>
      <c r="C1272" t="s">
        <v>17</v>
      </c>
      <c r="D1272" t="s">
        <v>21</v>
      </c>
      <c r="E1272" t="s">
        <v>2332</v>
      </c>
      <c r="F1272" s="1">
        <v>94.85</v>
      </c>
      <c r="G1272">
        <v>5</v>
      </c>
      <c r="H1272" s="1">
        <v>45.527999999999999</v>
      </c>
      <c r="I1272" s="4">
        <f>SalesData[[#This Row],[Profit]]/SalesData[[#This Row],[Sales]]</f>
        <v>0.48000000000000004</v>
      </c>
      <c r="J1272">
        <f>YEAR(SalesData[[#This Row],[Order Date]])</f>
        <v>2017</v>
      </c>
      <c r="K1272" t="str">
        <f>TEXT(SalesData[[#This Row],[Order Date]],"mmm")</f>
        <v>Dec</v>
      </c>
      <c r="L1272">
        <f>MONTH(SalesData[[#This Row],[Order Date]])</f>
        <v>12</v>
      </c>
      <c r="M1272">
        <f>SalesData[[#This Row],[Sales]]/SalesData[[#This Row],[Quantity]]</f>
        <v>18.97</v>
      </c>
      <c r="N1272" t="str">
        <f>IF(SalesData[[#This Row],[Profit]]&gt;0,"Profit","Loss")</f>
        <v>Profit</v>
      </c>
    </row>
    <row r="1273" spans="1:14" x14ac:dyDescent="0.3">
      <c r="A1273" t="s">
        <v>3601</v>
      </c>
      <c r="B1273" s="3">
        <v>43078</v>
      </c>
      <c r="C1273" t="s">
        <v>17</v>
      </c>
      <c r="D1273" t="s">
        <v>21</v>
      </c>
      <c r="E1273" t="s">
        <v>323</v>
      </c>
      <c r="F1273" s="1">
        <v>45.36</v>
      </c>
      <c r="G1273">
        <v>7</v>
      </c>
      <c r="H1273" s="1">
        <v>21.7728</v>
      </c>
      <c r="I1273" s="4">
        <f>SalesData[[#This Row],[Profit]]/SalesData[[#This Row],[Sales]]</f>
        <v>0.48</v>
      </c>
      <c r="J1273">
        <f>YEAR(SalesData[[#This Row],[Order Date]])</f>
        <v>2017</v>
      </c>
      <c r="K1273" t="str">
        <f>TEXT(SalesData[[#This Row],[Order Date]],"mmm")</f>
        <v>Dec</v>
      </c>
      <c r="L1273">
        <f>MONTH(SalesData[[#This Row],[Order Date]])</f>
        <v>12</v>
      </c>
      <c r="M1273">
        <f>SalesData[[#This Row],[Sales]]/SalesData[[#This Row],[Quantity]]</f>
        <v>6.4799999999999995</v>
      </c>
      <c r="N1273" t="str">
        <f>IF(SalesData[[#This Row],[Profit]]&gt;0,"Profit","Loss")</f>
        <v>Profit</v>
      </c>
    </row>
    <row r="1274" spans="1:14" x14ac:dyDescent="0.3">
      <c r="A1274" t="s">
        <v>3601</v>
      </c>
      <c r="B1274" s="3">
        <v>43078</v>
      </c>
      <c r="C1274" t="s">
        <v>17</v>
      </c>
      <c r="D1274" t="s">
        <v>21</v>
      </c>
      <c r="E1274" t="s">
        <v>1136</v>
      </c>
      <c r="F1274" s="1">
        <v>45.78</v>
      </c>
      <c r="G1274">
        <v>3</v>
      </c>
      <c r="H1274" s="1">
        <v>22.89</v>
      </c>
      <c r="I1274" s="4">
        <f>SalesData[[#This Row],[Profit]]/SalesData[[#This Row],[Sales]]</f>
        <v>0.5</v>
      </c>
      <c r="J1274">
        <f>YEAR(SalesData[[#This Row],[Order Date]])</f>
        <v>2017</v>
      </c>
      <c r="K1274" t="str">
        <f>TEXT(SalesData[[#This Row],[Order Date]],"mmm")</f>
        <v>Dec</v>
      </c>
      <c r="L1274">
        <f>MONTH(SalesData[[#This Row],[Order Date]])</f>
        <v>12</v>
      </c>
      <c r="M1274">
        <f>SalesData[[#This Row],[Sales]]/SalesData[[#This Row],[Quantity]]</f>
        <v>15.26</v>
      </c>
      <c r="N1274" t="str">
        <f>IF(SalesData[[#This Row],[Profit]]&gt;0,"Profit","Loss")</f>
        <v>Profit</v>
      </c>
    </row>
    <row r="1275" spans="1:14" x14ac:dyDescent="0.3">
      <c r="A1275" t="s">
        <v>3602</v>
      </c>
      <c r="B1275" s="3">
        <v>43078</v>
      </c>
      <c r="C1275" t="s">
        <v>13</v>
      </c>
      <c r="D1275" t="s">
        <v>21</v>
      </c>
      <c r="E1275" t="s">
        <v>391</v>
      </c>
      <c r="F1275" s="1">
        <v>166.44</v>
      </c>
      <c r="G1275">
        <v>3</v>
      </c>
      <c r="H1275" s="1">
        <v>79.891199999999998</v>
      </c>
      <c r="I1275" s="4">
        <f>SalesData[[#This Row],[Profit]]/SalesData[[#This Row],[Sales]]</f>
        <v>0.48</v>
      </c>
      <c r="J1275">
        <f>YEAR(SalesData[[#This Row],[Order Date]])</f>
        <v>2017</v>
      </c>
      <c r="K1275" t="str">
        <f>TEXT(SalesData[[#This Row],[Order Date]],"mmm")</f>
        <v>Dec</v>
      </c>
      <c r="L1275">
        <f>MONTH(SalesData[[#This Row],[Order Date]])</f>
        <v>12</v>
      </c>
      <c r="M1275">
        <f>SalesData[[#This Row],[Sales]]/SalesData[[#This Row],[Quantity]]</f>
        <v>55.48</v>
      </c>
      <c r="N1275" t="str">
        <f>IF(SalesData[[#This Row],[Profit]]&gt;0,"Profit","Loss")</f>
        <v>Profit</v>
      </c>
    </row>
    <row r="1276" spans="1:14" x14ac:dyDescent="0.3">
      <c r="A1276" t="s">
        <v>3603</v>
      </c>
      <c r="B1276" s="3">
        <v>43079</v>
      </c>
      <c r="C1276" t="s">
        <v>9</v>
      </c>
      <c r="D1276" t="s">
        <v>14</v>
      </c>
      <c r="E1276" t="s">
        <v>1951</v>
      </c>
      <c r="F1276" s="1">
        <v>254.60400000000001</v>
      </c>
      <c r="G1276">
        <v>14</v>
      </c>
      <c r="H1276" s="1">
        <v>-18.186</v>
      </c>
      <c r="I1276" s="4">
        <f>SalesData[[#This Row],[Profit]]/SalesData[[#This Row],[Sales]]</f>
        <v>-7.1428571428571425E-2</v>
      </c>
      <c r="J1276">
        <f>YEAR(SalesData[[#This Row],[Order Date]])</f>
        <v>2017</v>
      </c>
      <c r="K1276" t="str">
        <f>TEXT(SalesData[[#This Row],[Order Date]],"mmm")</f>
        <v>Dec</v>
      </c>
      <c r="L1276">
        <f>MONTH(SalesData[[#This Row],[Order Date]])</f>
        <v>12</v>
      </c>
      <c r="M1276">
        <f>SalesData[[#This Row],[Sales]]/SalesData[[#This Row],[Quantity]]</f>
        <v>18.186</v>
      </c>
      <c r="N1276" t="str">
        <f>IF(SalesData[[#This Row],[Profit]]&gt;0,"Profit","Loss")</f>
        <v>Loss</v>
      </c>
    </row>
    <row r="1277" spans="1:14" x14ac:dyDescent="0.3">
      <c r="A1277" t="s">
        <v>3604</v>
      </c>
      <c r="B1277" s="3">
        <v>43079</v>
      </c>
      <c r="C1277" t="s">
        <v>46</v>
      </c>
      <c r="D1277" t="s">
        <v>21</v>
      </c>
      <c r="E1277" t="s">
        <v>3605</v>
      </c>
      <c r="F1277" s="1">
        <v>7.968</v>
      </c>
      <c r="G1277">
        <v>2</v>
      </c>
      <c r="H1277" s="1">
        <v>2.6892</v>
      </c>
      <c r="I1277" s="4">
        <f>SalesData[[#This Row],[Profit]]/SalesData[[#This Row],[Sales]]</f>
        <v>0.33750000000000002</v>
      </c>
      <c r="J1277">
        <f>YEAR(SalesData[[#This Row],[Order Date]])</f>
        <v>2017</v>
      </c>
      <c r="K1277" t="str">
        <f>TEXT(SalesData[[#This Row],[Order Date]],"mmm")</f>
        <v>Dec</v>
      </c>
      <c r="L1277">
        <f>MONTH(SalesData[[#This Row],[Order Date]])</f>
        <v>12</v>
      </c>
      <c r="M1277">
        <f>SalesData[[#This Row],[Sales]]/SalesData[[#This Row],[Quantity]]</f>
        <v>3.984</v>
      </c>
      <c r="N1277" t="str">
        <f>IF(SalesData[[#This Row],[Profit]]&gt;0,"Profit","Loss")</f>
        <v>Profit</v>
      </c>
    </row>
    <row r="1278" spans="1:14" x14ac:dyDescent="0.3">
      <c r="A1278" t="s">
        <v>3606</v>
      </c>
      <c r="B1278" s="3">
        <v>43079</v>
      </c>
      <c r="C1278" t="s">
        <v>13</v>
      </c>
      <c r="D1278" t="s">
        <v>10</v>
      </c>
      <c r="E1278" t="s">
        <v>73</v>
      </c>
      <c r="F1278" s="1">
        <v>595</v>
      </c>
      <c r="G1278">
        <v>5</v>
      </c>
      <c r="H1278" s="1">
        <v>95.2</v>
      </c>
      <c r="I1278" s="4">
        <f>SalesData[[#This Row],[Profit]]/SalesData[[#This Row],[Sales]]</f>
        <v>0.16</v>
      </c>
      <c r="J1278">
        <f>YEAR(SalesData[[#This Row],[Order Date]])</f>
        <v>2017</v>
      </c>
      <c r="K1278" t="str">
        <f>TEXT(SalesData[[#This Row],[Order Date]],"mmm")</f>
        <v>Dec</v>
      </c>
      <c r="L1278">
        <f>MONTH(SalesData[[#This Row],[Order Date]])</f>
        <v>12</v>
      </c>
      <c r="M1278">
        <f>SalesData[[#This Row],[Sales]]/SalesData[[#This Row],[Quantity]]</f>
        <v>119</v>
      </c>
      <c r="N1278" t="str">
        <f>IF(SalesData[[#This Row],[Profit]]&gt;0,"Profit","Loss")</f>
        <v>Profit</v>
      </c>
    </row>
    <row r="1279" spans="1:14" x14ac:dyDescent="0.3">
      <c r="A1279" t="s">
        <v>3606</v>
      </c>
      <c r="B1279" s="3">
        <v>43079</v>
      </c>
      <c r="C1279" t="s">
        <v>13</v>
      </c>
      <c r="D1279" t="s">
        <v>21</v>
      </c>
      <c r="E1279" t="s">
        <v>2240</v>
      </c>
      <c r="F1279" s="1">
        <v>79.872</v>
      </c>
      <c r="G1279">
        <v>3</v>
      </c>
      <c r="H1279" s="1">
        <v>29.952000000000002</v>
      </c>
      <c r="I1279" s="4">
        <f>SalesData[[#This Row],[Profit]]/SalesData[[#This Row],[Sales]]</f>
        <v>0.375</v>
      </c>
      <c r="J1279">
        <f>YEAR(SalesData[[#This Row],[Order Date]])</f>
        <v>2017</v>
      </c>
      <c r="K1279" t="str">
        <f>TEXT(SalesData[[#This Row],[Order Date]],"mmm")</f>
        <v>Dec</v>
      </c>
      <c r="L1279">
        <f>MONTH(SalesData[[#This Row],[Order Date]])</f>
        <v>12</v>
      </c>
      <c r="M1279">
        <f>SalesData[[#This Row],[Sales]]/SalesData[[#This Row],[Quantity]]</f>
        <v>26.623999999999999</v>
      </c>
      <c r="N1279" t="str">
        <f>IF(SalesData[[#This Row],[Profit]]&gt;0,"Profit","Loss")</f>
        <v>Profit</v>
      </c>
    </row>
    <row r="1280" spans="1:14" x14ac:dyDescent="0.3">
      <c r="A1280" t="s">
        <v>3607</v>
      </c>
      <c r="B1280" s="3">
        <v>43079</v>
      </c>
      <c r="C1280" t="s">
        <v>13</v>
      </c>
      <c r="D1280" t="s">
        <v>10</v>
      </c>
      <c r="E1280" t="s">
        <v>3608</v>
      </c>
      <c r="F1280" s="1">
        <v>0.99</v>
      </c>
      <c r="G1280">
        <v>1</v>
      </c>
      <c r="H1280" s="1">
        <v>0.43559999999999999</v>
      </c>
      <c r="I1280" s="4">
        <f>SalesData[[#This Row],[Profit]]/SalesData[[#This Row],[Sales]]</f>
        <v>0.44</v>
      </c>
      <c r="J1280">
        <f>YEAR(SalesData[[#This Row],[Order Date]])</f>
        <v>2017</v>
      </c>
      <c r="K1280" t="str">
        <f>TEXT(SalesData[[#This Row],[Order Date]],"mmm")</f>
        <v>Dec</v>
      </c>
      <c r="L1280">
        <f>MONTH(SalesData[[#This Row],[Order Date]])</f>
        <v>12</v>
      </c>
      <c r="M1280">
        <f>SalesData[[#This Row],[Sales]]/SalesData[[#This Row],[Quantity]]</f>
        <v>0.99</v>
      </c>
      <c r="N1280" t="str">
        <f>IF(SalesData[[#This Row],[Profit]]&gt;0,"Profit","Loss")</f>
        <v>Profit</v>
      </c>
    </row>
    <row r="1281" spans="1:14" x14ac:dyDescent="0.3">
      <c r="A1281" t="s">
        <v>3607</v>
      </c>
      <c r="B1281" s="3">
        <v>43079</v>
      </c>
      <c r="C1281" t="s">
        <v>13</v>
      </c>
      <c r="D1281" t="s">
        <v>21</v>
      </c>
      <c r="E1281" t="s">
        <v>2574</v>
      </c>
      <c r="F1281" s="1">
        <v>101.84</v>
      </c>
      <c r="G1281">
        <v>5</v>
      </c>
      <c r="H1281" s="1">
        <v>36.917000000000002</v>
      </c>
      <c r="I1281" s="4">
        <f>SalesData[[#This Row],[Profit]]/SalesData[[#This Row],[Sales]]</f>
        <v>0.36249999999999999</v>
      </c>
      <c r="J1281">
        <f>YEAR(SalesData[[#This Row],[Order Date]])</f>
        <v>2017</v>
      </c>
      <c r="K1281" t="str">
        <f>TEXT(SalesData[[#This Row],[Order Date]],"mmm")</f>
        <v>Dec</v>
      </c>
      <c r="L1281">
        <f>MONTH(SalesData[[#This Row],[Order Date]])</f>
        <v>12</v>
      </c>
      <c r="M1281">
        <f>SalesData[[#This Row],[Sales]]/SalesData[[#This Row],[Quantity]]</f>
        <v>20.368000000000002</v>
      </c>
      <c r="N1281" t="str">
        <f>IF(SalesData[[#This Row],[Profit]]&gt;0,"Profit","Loss")</f>
        <v>Profit</v>
      </c>
    </row>
    <row r="1282" spans="1:14" x14ac:dyDescent="0.3">
      <c r="A1282" t="s">
        <v>3609</v>
      </c>
      <c r="B1282" s="3">
        <v>43079</v>
      </c>
      <c r="C1282" t="s">
        <v>13</v>
      </c>
      <c r="D1282" t="s">
        <v>10</v>
      </c>
      <c r="E1282" t="s">
        <v>904</v>
      </c>
      <c r="F1282" s="1">
        <v>435.84</v>
      </c>
      <c r="G1282">
        <v>12</v>
      </c>
      <c r="H1282" s="1">
        <v>130.75200000000001</v>
      </c>
      <c r="I1282" s="4">
        <f>SalesData[[#This Row],[Profit]]/SalesData[[#This Row],[Sales]]</f>
        <v>0.30000000000000004</v>
      </c>
      <c r="J1282">
        <f>YEAR(SalesData[[#This Row],[Order Date]])</f>
        <v>2017</v>
      </c>
      <c r="K1282" t="str">
        <f>TEXT(SalesData[[#This Row],[Order Date]],"mmm")</f>
        <v>Dec</v>
      </c>
      <c r="L1282">
        <f>MONTH(SalesData[[#This Row],[Order Date]])</f>
        <v>12</v>
      </c>
      <c r="M1282">
        <f>SalesData[[#This Row],[Sales]]/SalesData[[#This Row],[Quantity]]</f>
        <v>36.32</v>
      </c>
      <c r="N1282" t="str">
        <f>IF(SalesData[[#This Row],[Profit]]&gt;0,"Profit","Loss")</f>
        <v>Profit</v>
      </c>
    </row>
    <row r="1283" spans="1:14" x14ac:dyDescent="0.3">
      <c r="A1283" t="s">
        <v>3609</v>
      </c>
      <c r="B1283" s="3">
        <v>43079</v>
      </c>
      <c r="C1283" t="s">
        <v>13</v>
      </c>
      <c r="D1283" t="s">
        <v>21</v>
      </c>
      <c r="E1283" t="s">
        <v>202</v>
      </c>
      <c r="F1283" s="1">
        <v>5.88</v>
      </c>
      <c r="G1283">
        <v>2</v>
      </c>
      <c r="H1283" s="1">
        <v>1.5875999999999999</v>
      </c>
      <c r="I1283" s="4">
        <f>SalesData[[#This Row],[Profit]]/SalesData[[#This Row],[Sales]]</f>
        <v>0.26999999999999996</v>
      </c>
      <c r="J1283">
        <f>YEAR(SalesData[[#This Row],[Order Date]])</f>
        <v>2017</v>
      </c>
      <c r="K1283" t="str">
        <f>TEXT(SalesData[[#This Row],[Order Date]],"mmm")</f>
        <v>Dec</v>
      </c>
      <c r="L1283">
        <f>MONTH(SalesData[[#This Row],[Order Date]])</f>
        <v>12</v>
      </c>
      <c r="M1283">
        <f>SalesData[[#This Row],[Sales]]/SalesData[[#This Row],[Quantity]]</f>
        <v>2.94</v>
      </c>
      <c r="N1283" t="str">
        <f>IF(SalesData[[#This Row],[Profit]]&gt;0,"Profit","Loss")</f>
        <v>Profit</v>
      </c>
    </row>
    <row r="1284" spans="1:14" x14ac:dyDescent="0.3">
      <c r="A1284" t="s">
        <v>3610</v>
      </c>
      <c r="B1284" s="3">
        <v>43079</v>
      </c>
      <c r="C1284" t="s">
        <v>9</v>
      </c>
      <c r="D1284" t="s">
        <v>10</v>
      </c>
      <c r="E1284" t="s">
        <v>686</v>
      </c>
      <c r="F1284" s="1">
        <v>39.984000000000002</v>
      </c>
      <c r="G1284">
        <v>2</v>
      </c>
      <c r="H1284" s="1">
        <v>-1.4994000000000001</v>
      </c>
      <c r="I1284" s="4">
        <f>SalesData[[#This Row],[Profit]]/SalesData[[#This Row],[Sales]]</f>
        <v>-3.7499999999999999E-2</v>
      </c>
      <c r="J1284">
        <f>YEAR(SalesData[[#This Row],[Order Date]])</f>
        <v>2017</v>
      </c>
      <c r="K1284" t="str">
        <f>TEXT(SalesData[[#This Row],[Order Date]],"mmm")</f>
        <v>Dec</v>
      </c>
      <c r="L1284">
        <f>MONTH(SalesData[[#This Row],[Order Date]])</f>
        <v>12</v>
      </c>
      <c r="M1284">
        <f>SalesData[[#This Row],[Sales]]/SalesData[[#This Row],[Quantity]]</f>
        <v>19.992000000000001</v>
      </c>
      <c r="N1284" t="str">
        <f>IF(SalesData[[#This Row],[Profit]]&gt;0,"Profit","Loss")</f>
        <v>Loss</v>
      </c>
    </row>
    <row r="1285" spans="1:14" x14ac:dyDescent="0.3">
      <c r="A1285" t="s">
        <v>3611</v>
      </c>
      <c r="B1285" s="3">
        <v>43079</v>
      </c>
      <c r="C1285" t="s">
        <v>17</v>
      </c>
      <c r="D1285" t="s">
        <v>10</v>
      </c>
      <c r="E1285" t="s">
        <v>1239</v>
      </c>
      <c r="F1285" s="1">
        <v>45</v>
      </c>
      <c r="G1285">
        <v>3</v>
      </c>
      <c r="H1285" s="1">
        <v>4.95</v>
      </c>
      <c r="I1285" s="4">
        <f>SalesData[[#This Row],[Profit]]/SalesData[[#This Row],[Sales]]</f>
        <v>0.11</v>
      </c>
      <c r="J1285">
        <f>YEAR(SalesData[[#This Row],[Order Date]])</f>
        <v>2017</v>
      </c>
      <c r="K1285" t="str">
        <f>TEXT(SalesData[[#This Row],[Order Date]],"mmm")</f>
        <v>Dec</v>
      </c>
      <c r="L1285">
        <f>MONTH(SalesData[[#This Row],[Order Date]])</f>
        <v>12</v>
      </c>
      <c r="M1285">
        <f>SalesData[[#This Row],[Sales]]/SalesData[[#This Row],[Quantity]]</f>
        <v>15</v>
      </c>
      <c r="N1285" t="str">
        <f>IF(SalesData[[#This Row],[Profit]]&gt;0,"Profit","Loss")</f>
        <v>Profit</v>
      </c>
    </row>
    <row r="1286" spans="1:14" x14ac:dyDescent="0.3">
      <c r="A1286" t="s">
        <v>3611</v>
      </c>
      <c r="B1286" s="3">
        <v>43079</v>
      </c>
      <c r="C1286" t="s">
        <v>17</v>
      </c>
      <c r="D1286" t="s">
        <v>21</v>
      </c>
      <c r="E1286" t="s">
        <v>2142</v>
      </c>
      <c r="F1286" s="1">
        <v>17.899999999999999</v>
      </c>
      <c r="G1286">
        <v>5</v>
      </c>
      <c r="H1286" s="1">
        <v>8.7710000000000008</v>
      </c>
      <c r="I1286" s="4">
        <f>SalesData[[#This Row],[Profit]]/SalesData[[#This Row],[Sales]]</f>
        <v>0.4900000000000001</v>
      </c>
      <c r="J1286">
        <f>YEAR(SalesData[[#This Row],[Order Date]])</f>
        <v>2017</v>
      </c>
      <c r="K1286" t="str">
        <f>TEXT(SalesData[[#This Row],[Order Date]],"mmm")</f>
        <v>Dec</v>
      </c>
      <c r="L1286">
        <f>MONTH(SalesData[[#This Row],[Order Date]])</f>
        <v>12</v>
      </c>
      <c r="M1286">
        <f>SalesData[[#This Row],[Sales]]/SalesData[[#This Row],[Quantity]]</f>
        <v>3.5799999999999996</v>
      </c>
      <c r="N1286" t="str">
        <f>IF(SalesData[[#This Row],[Profit]]&gt;0,"Profit","Loss")</f>
        <v>Profit</v>
      </c>
    </row>
    <row r="1287" spans="1:14" x14ac:dyDescent="0.3">
      <c r="A1287" t="s">
        <v>3611</v>
      </c>
      <c r="B1287" s="3">
        <v>43079</v>
      </c>
      <c r="C1287" t="s">
        <v>17</v>
      </c>
      <c r="D1287" t="s">
        <v>14</v>
      </c>
      <c r="E1287" t="s">
        <v>3005</v>
      </c>
      <c r="F1287" s="1">
        <v>40.479999999999997</v>
      </c>
      <c r="G1287">
        <v>2</v>
      </c>
      <c r="H1287" s="1">
        <v>17.406400000000001</v>
      </c>
      <c r="I1287" s="4">
        <f>SalesData[[#This Row],[Profit]]/SalesData[[#This Row],[Sales]]</f>
        <v>0.43000000000000005</v>
      </c>
      <c r="J1287">
        <f>YEAR(SalesData[[#This Row],[Order Date]])</f>
        <v>2017</v>
      </c>
      <c r="K1287" t="str">
        <f>TEXT(SalesData[[#This Row],[Order Date]],"mmm")</f>
        <v>Dec</v>
      </c>
      <c r="L1287">
        <f>MONTH(SalesData[[#This Row],[Order Date]])</f>
        <v>12</v>
      </c>
      <c r="M1287">
        <f>SalesData[[#This Row],[Sales]]/SalesData[[#This Row],[Quantity]]</f>
        <v>20.239999999999998</v>
      </c>
      <c r="N1287" t="str">
        <f>IF(SalesData[[#This Row],[Profit]]&gt;0,"Profit","Loss")</f>
        <v>Profit</v>
      </c>
    </row>
    <row r="1288" spans="1:14" x14ac:dyDescent="0.3">
      <c r="A1288" t="s">
        <v>3611</v>
      </c>
      <c r="B1288" s="3">
        <v>43079</v>
      </c>
      <c r="C1288" t="s">
        <v>17</v>
      </c>
      <c r="D1288" t="s">
        <v>14</v>
      </c>
      <c r="E1288" t="s">
        <v>3612</v>
      </c>
      <c r="F1288" s="1">
        <v>2154.9</v>
      </c>
      <c r="G1288">
        <v>5</v>
      </c>
      <c r="H1288" s="1">
        <v>129.29400000000001</v>
      </c>
      <c r="I1288" s="4">
        <f>SalesData[[#This Row],[Profit]]/SalesData[[#This Row],[Sales]]</f>
        <v>6.0000000000000005E-2</v>
      </c>
      <c r="J1288">
        <f>YEAR(SalesData[[#This Row],[Order Date]])</f>
        <v>2017</v>
      </c>
      <c r="K1288" t="str">
        <f>TEXT(SalesData[[#This Row],[Order Date]],"mmm")</f>
        <v>Dec</v>
      </c>
      <c r="L1288">
        <f>MONTH(SalesData[[#This Row],[Order Date]])</f>
        <v>12</v>
      </c>
      <c r="M1288">
        <f>SalesData[[#This Row],[Sales]]/SalesData[[#This Row],[Quantity]]</f>
        <v>430.98</v>
      </c>
      <c r="N1288" t="str">
        <f>IF(SalesData[[#This Row],[Profit]]&gt;0,"Profit","Loss")</f>
        <v>Profit</v>
      </c>
    </row>
    <row r="1289" spans="1:14" x14ac:dyDescent="0.3">
      <c r="A1289" t="s">
        <v>3613</v>
      </c>
      <c r="B1289" s="3">
        <v>43079</v>
      </c>
      <c r="C1289" t="s">
        <v>9</v>
      </c>
      <c r="D1289" t="s">
        <v>10</v>
      </c>
      <c r="E1289" t="s">
        <v>3614</v>
      </c>
      <c r="F1289" s="1">
        <v>369.54399999999998</v>
      </c>
      <c r="G1289">
        <v>7</v>
      </c>
      <c r="H1289" s="1">
        <v>27.715800000000002</v>
      </c>
      <c r="I1289" s="4">
        <f>SalesData[[#This Row],[Profit]]/SalesData[[#This Row],[Sales]]</f>
        <v>7.5000000000000011E-2</v>
      </c>
      <c r="J1289">
        <f>YEAR(SalesData[[#This Row],[Order Date]])</f>
        <v>2017</v>
      </c>
      <c r="K1289" t="str">
        <f>TEXT(SalesData[[#This Row],[Order Date]],"mmm")</f>
        <v>Dec</v>
      </c>
      <c r="L1289">
        <f>MONTH(SalesData[[#This Row],[Order Date]])</f>
        <v>12</v>
      </c>
      <c r="M1289">
        <f>SalesData[[#This Row],[Sales]]/SalesData[[#This Row],[Quantity]]</f>
        <v>52.791999999999994</v>
      </c>
      <c r="N1289" t="str">
        <f>IF(SalesData[[#This Row],[Profit]]&gt;0,"Profit","Loss")</f>
        <v>Profit</v>
      </c>
    </row>
    <row r="1290" spans="1:14" x14ac:dyDescent="0.3">
      <c r="A1290" t="s">
        <v>3613</v>
      </c>
      <c r="B1290" s="3">
        <v>43079</v>
      </c>
      <c r="C1290" t="s">
        <v>9</v>
      </c>
      <c r="D1290" t="s">
        <v>21</v>
      </c>
      <c r="E1290" t="s">
        <v>2383</v>
      </c>
      <c r="F1290" s="1">
        <v>10.368</v>
      </c>
      <c r="G1290">
        <v>2</v>
      </c>
      <c r="H1290" s="1">
        <v>3.7584</v>
      </c>
      <c r="I1290" s="4">
        <f>SalesData[[#This Row],[Profit]]/SalesData[[#This Row],[Sales]]</f>
        <v>0.36249999999999999</v>
      </c>
      <c r="J1290">
        <f>YEAR(SalesData[[#This Row],[Order Date]])</f>
        <v>2017</v>
      </c>
      <c r="K1290" t="str">
        <f>TEXT(SalesData[[#This Row],[Order Date]],"mmm")</f>
        <v>Dec</v>
      </c>
      <c r="L1290">
        <f>MONTH(SalesData[[#This Row],[Order Date]])</f>
        <v>12</v>
      </c>
      <c r="M1290">
        <f>SalesData[[#This Row],[Sales]]/SalesData[[#This Row],[Quantity]]</f>
        <v>5.1840000000000002</v>
      </c>
      <c r="N1290" t="str">
        <f>IF(SalesData[[#This Row],[Profit]]&gt;0,"Profit","Loss")</f>
        <v>Profit</v>
      </c>
    </row>
    <row r="1291" spans="1:14" x14ac:dyDescent="0.3">
      <c r="A1291" t="s">
        <v>3613</v>
      </c>
      <c r="B1291" s="3">
        <v>43079</v>
      </c>
      <c r="C1291" t="s">
        <v>9</v>
      </c>
      <c r="D1291" t="s">
        <v>10</v>
      </c>
      <c r="E1291" t="s">
        <v>3215</v>
      </c>
      <c r="F1291" s="1">
        <v>791.88</v>
      </c>
      <c r="G1291">
        <v>3</v>
      </c>
      <c r="H1291" s="1">
        <v>128.68049999999999</v>
      </c>
      <c r="I1291" s="4">
        <f>SalesData[[#This Row],[Profit]]/SalesData[[#This Row],[Sales]]</f>
        <v>0.16250000000000001</v>
      </c>
      <c r="J1291">
        <f>YEAR(SalesData[[#This Row],[Order Date]])</f>
        <v>2017</v>
      </c>
      <c r="K1291" t="str">
        <f>TEXT(SalesData[[#This Row],[Order Date]],"mmm")</f>
        <v>Dec</v>
      </c>
      <c r="L1291">
        <f>MONTH(SalesData[[#This Row],[Order Date]])</f>
        <v>12</v>
      </c>
      <c r="M1291">
        <f>SalesData[[#This Row],[Sales]]/SalesData[[#This Row],[Quantity]]</f>
        <v>263.95999999999998</v>
      </c>
      <c r="N1291" t="str">
        <f>IF(SalesData[[#This Row],[Profit]]&gt;0,"Profit","Loss")</f>
        <v>Profit</v>
      </c>
    </row>
    <row r="1292" spans="1:14" x14ac:dyDescent="0.3">
      <c r="A1292" t="s">
        <v>3615</v>
      </c>
      <c r="B1292" s="3">
        <v>43079</v>
      </c>
      <c r="C1292" t="s">
        <v>17</v>
      </c>
      <c r="D1292" t="s">
        <v>14</v>
      </c>
      <c r="E1292" t="s">
        <v>2421</v>
      </c>
      <c r="F1292" s="1">
        <v>673.34400000000005</v>
      </c>
      <c r="G1292">
        <v>3</v>
      </c>
      <c r="H1292" s="1">
        <v>-76.953599999999994</v>
      </c>
      <c r="I1292" s="4">
        <f>SalesData[[#This Row],[Profit]]/SalesData[[#This Row],[Sales]]</f>
        <v>-0.11428571428571427</v>
      </c>
      <c r="J1292">
        <f>YEAR(SalesData[[#This Row],[Order Date]])</f>
        <v>2017</v>
      </c>
      <c r="K1292" t="str">
        <f>TEXT(SalesData[[#This Row],[Order Date]],"mmm")</f>
        <v>Dec</v>
      </c>
      <c r="L1292">
        <f>MONTH(SalesData[[#This Row],[Order Date]])</f>
        <v>12</v>
      </c>
      <c r="M1292">
        <f>SalesData[[#This Row],[Sales]]/SalesData[[#This Row],[Quantity]]</f>
        <v>224.44800000000001</v>
      </c>
      <c r="N1292" t="str">
        <f>IF(SalesData[[#This Row],[Profit]]&gt;0,"Profit","Loss")</f>
        <v>Loss</v>
      </c>
    </row>
    <row r="1293" spans="1:14" x14ac:dyDescent="0.3">
      <c r="A1293" t="s">
        <v>3616</v>
      </c>
      <c r="B1293" s="3">
        <v>43079</v>
      </c>
      <c r="C1293" t="s">
        <v>17</v>
      </c>
      <c r="D1293" t="s">
        <v>21</v>
      </c>
      <c r="E1293" t="s">
        <v>1705</v>
      </c>
      <c r="F1293" s="1">
        <v>9.9600000000000009</v>
      </c>
      <c r="G1293">
        <v>2</v>
      </c>
      <c r="H1293" s="1">
        <v>4.6811999999999996</v>
      </c>
      <c r="I1293" s="4">
        <f>SalesData[[#This Row],[Profit]]/SalesData[[#This Row],[Sales]]</f>
        <v>0.46999999999999992</v>
      </c>
      <c r="J1293">
        <f>YEAR(SalesData[[#This Row],[Order Date]])</f>
        <v>2017</v>
      </c>
      <c r="K1293" t="str">
        <f>TEXT(SalesData[[#This Row],[Order Date]],"mmm")</f>
        <v>Dec</v>
      </c>
      <c r="L1293">
        <f>MONTH(SalesData[[#This Row],[Order Date]])</f>
        <v>12</v>
      </c>
      <c r="M1293">
        <f>SalesData[[#This Row],[Sales]]/SalesData[[#This Row],[Quantity]]</f>
        <v>4.9800000000000004</v>
      </c>
      <c r="N1293" t="str">
        <f>IF(SalesData[[#This Row],[Profit]]&gt;0,"Profit","Loss")</f>
        <v>Profit</v>
      </c>
    </row>
    <row r="1294" spans="1:14" x14ac:dyDescent="0.3">
      <c r="A1294" t="s">
        <v>3617</v>
      </c>
      <c r="B1294" s="3">
        <v>43080</v>
      </c>
      <c r="C1294" t="s">
        <v>13</v>
      </c>
      <c r="D1294" t="s">
        <v>21</v>
      </c>
      <c r="E1294" t="s">
        <v>865</v>
      </c>
      <c r="F1294" s="1">
        <v>10.56</v>
      </c>
      <c r="G1294">
        <v>2</v>
      </c>
      <c r="H1294" s="1">
        <v>4.7519999999999998</v>
      </c>
      <c r="I1294" s="4">
        <f>SalesData[[#This Row],[Profit]]/SalesData[[#This Row],[Sales]]</f>
        <v>0.44999999999999996</v>
      </c>
      <c r="J1294">
        <f>YEAR(SalesData[[#This Row],[Order Date]])</f>
        <v>2017</v>
      </c>
      <c r="K1294" t="str">
        <f>TEXT(SalesData[[#This Row],[Order Date]],"mmm")</f>
        <v>Dec</v>
      </c>
      <c r="L1294">
        <f>MONTH(SalesData[[#This Row],[Order Date]])</f>
        <v>12</v>
      </c>
      <c r="M1294">
        <f>SalesData[[#This Row],[Sales]]/SalesData[[#This Row],[Quantity]]</f>
        <v>5.28</v>
      </c>
      <c r="N1294" t="str">
        <f>IF(SalesData[[#This Row],[Profit]]&gt;0,"Profit","Loss")</f>
        <v>Profit</v>
      </c>
    </row>
    <row r="1295" spans="1:14" x14ac:dyDescent="0.3">
      <c r="A1295" t="s">
        <v>3618</v>
      </c>
      <c r="B1295" s="3">
        <v>43080</v>
      </c>
      <c r="C1295" t="s">
        <v>17</v>
      </c>
      <c r="D1295" t="s">
        <v>21</v>
      </c>
      <c r="E1295" t="s">
        <v>1233</v>
      </c>
      <c r="F1295" s="1">
        <v>15.92</v>
      </c>
      <c r="G1295">
        <v>5</v>
      </c>
      <c r="H1295" s="1">
        <v>5.3730000000000002</v>
      </c>
      <c r="I1295" s="4">
        <f>SalesData[[#This Row],[Profit]]/SalesData[[#This Row],[Sales]]</f>
        <v>0.33750000000000002</v>
      </c>
      <c r="J1295">
        <f>YEAR(SalesData[[#This Row],[Order Date]])</f>
        <v>2017</v>
      </c>
      <c r="K1295" t="str">
        <f>TEXT(SalesData[[#This Row],[Order Date]],"mmm")</f>
        <v>Dec</v>
      </c>
      <c r="L1295">
        <f>MONTH(SalesData[[#This Row],[Order Date]])</f>
        <v>12</v>
      </c>
      <c r="M1295">
        <f>SalesData[[#This Row],[Sales]]/SalesData[[#This Row],[Quantity]]</f>
        <v>3.1840000000000002</v>
      </c>
      <c r="N1295" t="str">
        <f>IF(SalesData[[#This Row],[Profit]]&gt;0,"Profit","Loss")</f>
        <v>Profit</v>
      </c>
    </row>
    <row r="1296" spans="1:14" x14ac:dyDescent="0.3">
      <c r="A1296" t="s">
        <v>3619</v>
      </c>
      <c r="B1296" s="3">
        <v>43080</v>
      </c>
      <c r="C1296" t="s">
        <v>9</v>
      </c>
      <c r="D1296" t="s">
        <v>21</v>
      </c>
      <c r="E1296" t="s">
        <v>3160</v>
      </c>
      <c r="F1296" s="1">
        <v>16.056000000000001</v>
      </c>
      <c r="G1296">
        <v>3</v>
      </c>
      <c r="H1296" s="1">
        <v>5.8202999999999996</v>
      </c>
      <c r="I1296" s="4">
        <f>SalesData[[#This Row],[Profit]]/SalesData[[#This Row],[Sales]]</f>
        <v>0.36249999999999993</v>
      </c>
      <c r="J1296">
        <f>YEAR(SalesData[[#This Row],[Order Date]])</f>
        <v>2017</v>
      </c>
      <c r="K1296" t="str">
        <f>TEXT(SalesData[[#This Row],[Order Date]],"mmm")</f>
        <v>Dec</v>
      </c>
      <c r="L1296">
        <f>MONTH(SalesData[[#This Row],[Order Date]])</f>
        <v>12</v>
      </c>
      <c r="M1296">
        <f>SalesData[[#This Row],[Sales]]/SalesData[[#This Row],[Quantity]]</f>
        <v>5.3520000000000003</v>
      </c>
      <c r="N1296" t="str">
        <f>IF(SalesData[[#This Row],[Profit]]&gt;0,"Profit","Loss")</f>
        <v>Profit</v>
      </c>
    </row>
    <row r="1297" spans="1:14" x14ac:dyDescent="0.3">
      <c r="A1297" t="s">
        <v>3619</v>
      </c>
      <c r="B1297" s="3">
        <v>43080</v>
      </c>
      <c r="C1297" t="s">
        <v>9</v>
      </c>
      <c r="D1297" t="s">
        <v>21</v>
      </c>
      <c r="E1297" t="s">
        <v>714</v>
      </c>
      <c r="F1297" s="1">
        <v>223.05600000000001</v>
      </c>
      <c r="G1297">
        <v>9</v>
      </c>
      <c r="H1297" s="1">
        <v>69.704999999999998</v>
      </c>
      <c r="I1297" s="4">
        <f>SalesData[[#This Row],[Profit]]/SalesData[[#This Row],[Sales]]</f>
        <v>0.3125</v>
      </c>
      <c r="J1297">
        <f>YEAR(SalesData[[#This Row],[Order Date]])</f>
        <v>2017</v>
      </c>
      <c r="K1297" t="str">
        <f>TEXT(SalesData[[#This Row],[Order Date]],"mmm")</f>
        <v>Dec</v>
      </c>
      <c r="L1297">
        <f>MONTH(SalesData[[#This Row],[Order Date]])</f>
        <v>12</v>
      </c>
      <c r="M1297">
        <f>SalesData[[#This Row],[Sales]]/SalesData[[#This Row],[Quantity]]</f>
        <v>24.784000000000002</v>
      </c>
      <c r="N1297" t="str">
        <f>IF(SalesData[[#This Row],[Profit]]&gt;0,"Profit","Loss")</f>
        <v>Profit</v>
      </c>
    </row>
    <row r="1298" spans="1:14" x14ac:dyDescent="0.3">
      <c r="A1298" t="s">
        <v>3619</v>
      </c>
      <c r="B1298" s="3">
        <v>43080</v>
      </c>
      <c r="C1298" t="s">
        <v>9</v>
      </c>
      <c r="D1298" t="s">
        <v>21</v>
      </c>
      <c r="E1298" t="s">
        <v>460</v>
      </c>
      <c r="F1298" s="1">
        <v>540.048</v>
      </c>
      <c r="G1298">
        <v>3</v>
      </c>
      <c r="H1298" s="1">
        <v>-47.254199999999997</v>
      </c>
      <c r="I1298" s="4">
        <f>SalesData[[#This Row],[Profit]]/SalesData[[#This Row],[Sales]]</f>
        <v>-8.7499999999999994E-2</v>
      </c>
      <c r="J1298">
        <f>YEAR(SalesData[[#This Row],[Order Date]])</f>
        <v>2017</v>
      </c>
      <c r="K1298" t="str">
        <f>TEXT(SalesData[[#This Row],[Order Date]],"mmm")</f>
        <v>Dec</v>
      </c>
      <c r="L1298">
        <f>MONTH(SalesData[[#This Row],[Order Date]])</f>
        <v>12</v>
      </c>
      <c r="M1298">
        <f>SalesData[[#This Row],[Sales]]/SalesData[[#This Row],[Quantity]]</f>
        <v>180.01599999999999</v>
      </c>
      <c r="N1298" t="str">
        <f>IF(SalesData[[#This Row],[Profit]]&gt;0,"Profit","Loss")</f>
        <v>Loss</v>
      </c>
    </row>
    <row r="1299" spans="1:14" x14ac:dyDescent="0.3">
      <c r="A1299" t="s">
        <v>3620</v>
      </c>
      <c r="B1299" s="3">
        <v>43080</v>
      </c>
      <c r="C1299" t="s">
        <v>17</v>
      </c>
      <c r="D1299" t="s">
        <v>10</v>
      </c>
      <c r="E1299" t="s">
        <v>2414</v>
      </c>
      <c r="F1299" s="1">
        <v>370.78199999999998</v>
      </c>
      <c r="G1299">
        <v>3</v>
      </c>
      <c r="H1299" s="1">
        <v>-92.695499999999996</v>
      </c>
      <c r="I1299" s="4">
        <f>SalesData[[#This Row],[Profit]]/SalesData[[#This Row],[Sales]]</f>
        <v>-0.25</v>
      </c>
      <c r="J1299">
        <f>YEAR(SalesData[[#This Row],[Order Date]])</f>
        <v>2017</v>
      </c>
      <c r="K1299" t="str">
        <f>TEXT(SalesData[[#This Row],[Order Date]],"mmm")</f>
        <v>Dec</v>
      </c>
      <c r="L1299">
        <f>MONTH(SalesData[[#This Row],[Order Date]])</f>
        <v>12</v>
      </c>
      <c r="M1299">
        <f>SalesData[[#This Row],[Sales]]/SalesData[[#This Row],[Quantity]]</f>
        <v>123.59399999999999</v>
      </c>
      <c r="N1299" t="str">
        <f>IF(SalesData[[#This Row],[Profit]]&gt;0,"Profit","Loss")</f>
        <v>Loss</v>
      </c>
    </row>
    <row r="1300" spans="1:14" x14ac:dyDescent="0.3">
      <c r="A1300" t="s">
        <v>3621</v>
      </c>
      <c r="B1300" s="3">
        <v>43080</v>
      </c>
      <c r="C1300" t="s">
        <v>13</v>
      </c>
      <c r="D1300" t="s">
        <v>10</v>
      </c>
      <c r="E1300" t="s">
        <v>732</v>
      </c>
      <c r="F1300" s="1">
        <v>41.6</v>
      </c>
      <c r="G1300">
        <v>4</v>
      </c>
      <c r="H1300" s="1">
        <v>13</v>
      </c>
      <c r="I1300" s="4">
        <f>SalesData[[#This Row],[Profit]]/SalesData[[#This Row],[Sales]]</f>
        <v>0.3125</v>
      </c>
      <c r="J1300">
        <f>YEAR(SalesData[[#This Row],[Order Date]])</f>
        <v>2017</v>
      </c>
      <c r="K1300" t="str">
        <f>TEXT(SalesData[[#This Row],[Order Date]],"mmm")</f>
        <v>Dec</v>
      </c>
      <c r="L1300">
        <f>MONTH(SalesData[[#This Row],[Order Date]])</f>
        <v>12</v>
      </c>
      <c r="M1300">
        <f>SalesData[[#This Row],[Sales]]/SalesData[[#This Row],[Quantity]]</f>
        <v>10.4</v>
      </c>
      <c r="N1300" t="str">
        <f>IF(SalesData[[#This Row],[Profit]]&gt;0,"Profit","Loss")</f>
        <v>Profit</v>
      </c>
    </row>
    <row r="1301" spans="1:14" x14ac:dyDescent="0.3">
      <c r="A1301" t="s">
        <v>3621</v>
      </c>
      <c r="B1301" s="3">
        <v>43080</v>
      </c>
      <c r="C1301" t="s">
        <v>13</v>
      </c>
      <c r="D1301" t="s">
        <v>21</v>
      </c>
      <c r="E1301" t="s">
        <v>1673</v>
      </c>
      <c r="F1301" s="1">
        <v>23.12</v>
      </c>
      <c r="G1301">
        <v>5</v>
      </c>
      <c r="H1301" s="1">
        <v>8.3810000000000002</v>
      </c>
      <c r="I1301" s="4">
        <f>SalesData[[#This Row],[Profit]]/SalesData[[#This Row],[Sales]]</f>
        <v>0.36249999999999999</v>
      </c>
      <c r="J1301">
        <f>YEAR(SalesData[[#This Row],[Order Date]])</f>
        <v>2017</v>
      </c>
      <c r="K1301" t="str">
        <f>TEXT(SalesData[[#This Row],[Order Date]],"mmm")</f>
        <v>Dec</v>
      </c>
      <c r="L1301">
        <f>MONTH(SalesData[[#This Row],[Order Date]])</f>
        <v>12</v>
      </c>
      <c r="M1301">
        <f>SalesData[[#This Row],[Sales]]/SalesData[[#This Row],[Quantity]]</f>
        <v>4.6240000000000006</v>
      </c>
      <c r="N1301" t="str">
        <f>IF(SalesData[[#This Row],[Profit]]&gt;0,"Profit","Loss")</f>
        <v>Profit</v>
      </c>
    </row>
    <row r="1302" spans="1:14" x14ac:dyDescent="0.3">
      <c r="A1302" t="s">
        <v>3621</v>
      </c>
      <c r="B1302" s="3">
        <v>43080</v>
      </c>
      <c r="C1302" t="s">
        <v>13</v>
      </c>
      <c r="D1302" t="s">
        <v>14</v>
      </c>
      <c r="E1302" t="s">
        <v>2245</v>
      </c>
      <c r="F1302" s="1">
        <v>113.88800000000001</v>
      </c>
      <c r="G1302">
        <v>2</v>
      </c>
      <c r="H1302" s="1">
        <v>9.9651999999999994</v>
      </c>
      <c r="I1302" s="4">
        <f>SalesData[[#This Row],[Profit]]/SalesData[[#This Row],[Sales]]</f>
        <v>8.7499999999999994E-2</v>
      </c>
      <c r="J1302">
        <f>YEAR(SalesData[[#This Row],[Order Date]])</f>
        <v>2017</v>
      </c>
      <c r="K1302" t="str">
        <f>TEXT(SalesData[[#This Row],[Order Date]],"mmm")</f>
        <v>Dec</v>
      </c>
      <c r="L1302">
        <f>MONTH(SalesData[[#This Row],[Order Date]])</f>
        <v>12</v>
      </c>
      <c r="M1302">
        <f>SalesData[[#This Row],[Sales]]/SalesData[[#This Row],[Quantity]]</f>
        <v>56.944000000000003</v>
      </c>
      <c r="N1302" t="str">
        <f>IF(SalesData[[#This Row],[Profit]]&gt;0,"Profit","Loss")</f>
        <v>Profit</v>
      </c>
    </row>
    <row r="1303" spans="1:14" x14ac:dyDescent="0.3">
      <c r="A1303" t="s">
        <v>3621</v>
      </c>
      <c r="B1303" s="3">
        <v>43080</v>
      </c>
      <c r="C1303" t="s">
        <v>13</v>
      </c>
      <c r="D1303" t="s">
        <v>14</v>
      </c>
      <c r="E1303" t="s">
        <v>1486</v>
      </c>
      <c r="F1303" s="1">
        <v>113.568</v>
      </c>
      <c r="G1303">
        <v>2</v>
      </c>
      <c r="H1303" s="1">
        <v>-5.6783999999999999</v>
      </c>
      <c r="I1303" s="4">
        <f>SalesData[[#This Row],[Profit]]/SalesData[[#This Row],[Sales]]</f>
        <v>-0.05</v>
      </c>
      <c r="J1303">
        <f>YEAR(SalesData[[#This Row],[Order Date]])</f>
        <v>2017</v>
      </c>
      <c r="K1303" t="str">
        <f>TEXT(SalesData[[#This Row],[Order Date]],"mmm")</f>
        <v>Dec</v>
      </c>
      <c r="L1303">
        <f>MONTH(SalesData[[#This Row],[Order Date]])</f>
        <v>12</v>
      </c>
      <c r="M1303">
        <f>SalesData[[#This Row],[Sales]]/SalesData[[#This Row],[Quantity]]</f>
        <v>56.783999999999999</v>
      </c>
      <c r="N1303" t="str">
        <f>IF(SalesData[[#This Row],[Profit]]&gt;0,"Profit","Loss")</f>
        <v>Loss</v>
      </c>
    </row>
    <row r="1304" spans="1:14" x14ac:dyDescent="0.3">
      <c r="A1304" t="s">
        <v>3621</v>
      </c>
      <c r="B1304" s="3">
        <v>43080</v>
      </c>
      <c r="C1304" t="s">
        <v>13</v>
      </c>
      <c r="D1304" t="s">
        <v>10</v>
      </c>
      <c r="E1304" t="s">
        <v>1093</v>
      </c>
      <c r="F1304" s="1">
        <v>7.92</v>
      </c>
      <c r="G1304">
        <v>2</v>
      </c>
      <c r="H1304" s="1">
        <v>0.69299999999999995</v>
      </c>
      <c r="I1304" s="4">
        <f>SalesData[[#This Row],[Profit]]/SalesData[[#This Row],[Sales]]</f>
        <v>8.7499999999999994E-2</v>
      </c>
      <c r="J1304">
        <f>YEAR(SalesData[[#This Row],[Order Date]])</f>
        <v>2017</v>
      </c>
      <c r="K1304" t="str">
        <f>TEXT(SalesData[[#This Row],[Order Date]],"mmm")</f>
        <v>Dec</v>
      </c>
      <c r="L1304">
        <f>MONTH(SalesData[[#This Row],[Order Date]])</f>
        <v>12</v>
      </c>
      <c r="M1304">
        <f>SalesData[[#This Row],[Sales]]/SalesData[[#This Row],[Quantity]]</f>
        <v>3.96</v>
      </c>
      <c r="N1304" t="str">
        <f>IF(SalesData[[#This Row],[Profit]]&gt;0,"Profit","Loss")</f>
        <v>Profit</v>
      </c>
    </row>
    <row r="1305" spans="1:14" x14ac:dyDescent="0.3">
      <c r="A1305" t="s">
        <v>3621</v>
      </c>
      <c r="B1305" s="3">
        <v>43080</v>
      </c>
      <c r="C1305" t="s">
        <v>13</v>
      </c>
      <c r="D1305" t="s">
        <v>10</v>
      </c>
      <c r="E1305" t="s">
        <v>2287</v>
      </c>
      <c r="F1305" s="1">
        <v>671.98400000000004</v>
      </c>
      <c r="G1305">
        <v>2</v>
      </c>
      <c r="H1305" s="1">
        <v>50.398800000000001</v>
      </c>
      <c r="I1305" s="4">
        <f>SalesData[[#This Row],[Profit]]/SalesData[[#This Row],[Sales]]</f>
        <v>7.4999999999999997E-2</v>
      </c>
      <c r="J1305">
        <f>YEAR(SalesData[[#This Row],[Order Date]])</f>
        <v>2017</v>
      </c>
      <c r="K1305" t="str">
        <f>TEXT(SalesData[[#This Row],[Order Date]],"mmm")</f>
        <v>Dec</v>
      </c>
      <c r="L1305">
        <f>MONTH(SalesData[[#This Row],[Order Date]])</f>
        <v>12</v>
      </c>
      <c r="M1305">
        <f>SalesData[[#This Row],[Sales]]/SalesData[[#This Row],[Quantity]]</f>
        <v>335.99200000000002</v>
      </c>
      <c r="N1305" t="str">
        <f>IF(SalesData[[#This Row],[Profit]]&gt;0,"Profit","Loss")</f>
        <v>Profit</v>
      </c>
    </row>
    <row r="1306" spans="1:14" x14ac:dyDescent="0.3">
      <c r="A1306" t="s">
        <v>3622</v>
      </c>
      <c r="B1306" s="3">
        <v>43080</v>
      </c>
      <c r="C1306" t="s">
        <v>9</v>
      </c>
      <c r="D1306" t="s">
        <v>21</v>
      </c>
      <c r="E1306" t="s">
        <v>124</v>
      </c>
      <c r="F1306" s="1">
        <v>30.56</v>
      </c>
      <c r="G1306">
        <v>5</v>
      </c>
      <c r="H1306" s="1">
        <v>-45.84</v>
      </c>
      <c r="I1306" s="4">
        <f>SalesData[[#This Row],[Profit]]/SalesData[[#This Row],[Sales]]</f>
        <v>-1.5000000000000002</v>
      </c>
      <c r="J1306">
        <f>YEAR(SalesData[[#This Row],[Order Date]])</f>
        <v>2017</v>
      </c>
      <c r="K1306" t="str">
        <f>TEXT(SalesData[[#This Row],[Order Date]],"mmm")</f>
        <v>Dec</v>
      </c>
      <c r="L1306">
        <f>MONTH(SalesData[[#This Row],[Order Date]])</f>
        <v>12</v>
      </c>
      <c r="M1306">
        <f>SalesData[[#This Row],[Sales]]/SalesData[[#This Row],[Quantity]]</f>
        <v>6.1120000000000001</v>
      </c>
      <c r="N1306" t="str">
        <f>IF(SalesData[[#This Row],[Profit]]&gt;0,"Profit","Loss")</f>
        <v>Loss</v>
      </c>
    </row>
    <row r="1307" spans="1:14" x14ac:dyDescent="0.3">
      <c r="A1307" t="s">
        <v>3622</v>
      </c>
      <c r="B1307" s="3">
        <v>43080</v>
      </c>
      <c r="C1307" t="s">
        <v>9</v>
      </c>
      <c r="D1307" t="s">
        <v>21</v>
      </c>
      <c r="E1307" t="s">
        <v>882</v>
      </c>
      <c r="F1307" s="1">
        <v>77.951999999999998</v>
      </c>
      <c r="G1307">
        <v>3</v>
      </c>
      <c r="H1307" s="1">
        <v>-15.590400000000001</v>
      </c>
      <c r="I1307" s="4">
        <f>SalesData[[#This Row],[Profit]]/SalesData[[#This Row],[Sales]]</f>
        <v>-0.2</v>
      </c>
      <c r="J1307">
        <f>YEAR(SalesData[[#This Row],[Order Date]])</f>
        <v>2017</v>
      </c>
      <c r="K1307" t="str">
        <f>TEXT(SalesData[[#This Row],[Order Date]],"mmm")</f>
        <v>Dec</v>
      </c>
      <c r="L1307">
        <f>MONTH(SalesData[[#This Row],[Order Date]])</f>
        <v>12</v>
      </c>
      <c r="M1307">
        <f>SalesData[[#This Row],[Sales]]/SalesData[[#This Row],[Quantity]]</f>
        <v>25.983999999999998</v>
      </c>
      <c r="N1307" t="str">
        <f>IF(SalesData[[#This Row],[Profit]]&gt;0,"Profit","Loss")</f>
        <v>Loss</v>
      </c>
    </row>
    <row r="1308" spans="1:14" x14ac:dyDescent="0.3">
      <c r="A1308" t="s">
        <v>3622</v>
      </c>
      <c r="B1308" s="3">
        <v>43080</v>
      </c>
      <c r="C1308" t="s">
        <v>9</v>
      </c>
      <c r="D1308" t="s">
        <v>10</v>
      </c>
      <c r="E1308" t="s">
        <v>2712</v>
      </c>
      <c r="F1308" s="1">
        <v>67.992000000000004</v>
      </c>
      <c r="G1308">
        <v>1</v>
      </c>
      <c r="H1308" s="1">
        <v>8.4990000000000006</v>
      </c>
      <c r="I1308" s="4">
        <f>SalesData[[#This Row],[Profit]]/SalesData[[#This Row],[Sales]]</f>
        <v>0.125</v>
      </c>
      <c r="J1308">
        <f>YEAR(SalesData[[#This Row],[Order Date]])</f>
        <v>2017</v>
      </c>
      <c r="K1308" t="str">
        <f>TEXT(SalesData[[#This Row],[Order Date]],"mmm")</f>
        <v>Dec</v>
      </c>
      <c r="L1308">
        <f>MONTH(SalesData[[#This Row],[Order Date]])</f>
        <v>12</v>
      </c>
      <c r="M1308">
        <f>SalesData[[#This Row],[Sales]]/SalesData[[#This Row],[Quantity]]</f>
        <v>67.992000000000004</v>
      </c>
      <c r="N1308" t="str">
        <f>IF(SalesData[[#This Row],[Profit]]&gt;0,"Profit","Loss")</f>
        <v>Profit</v>
      </c>
    </row>
    <row r="1309" spans="1:14" x14ac:dyDescent="0.3">
      <c r="A1309" t="s">
        <v>3622</v>
      </c>
      <c r="B1309" s="3">
        <v>43080</v>
      </c>
      <c r="C1309" t="s">
        <v>9</v>
      </c>
      <c r="D1309" t="s">
        <v>21</v>
      </c>
      <c r="E1309" t="s">
        <v>846</v>
      </c>
      <c r="F1309" s="1">
        <v>12.224</v>
      </c>
      <c r="G1309">
        <v>2</v>
      </c>
      <c r="H1309" s="1">
        <v>4.4311999999999996</v>
      </c>
      <c r="I1309" s="4">
        <f>SalesData[[#This Row],[Profit]]/SalesData[[#This Row],[Sales]]</f>
        <v>0.36249999999999993</v>
      </c>
      <c r="J1309">
        <f>YEAR(SalesData[[#This Row],[Order Date]])</f>
        <v>2017</v>
      </c>
      <c r="K1309" t="str">
        <f>TEXT(SalesData[[#This Row],[Order Date]],"mmm")</f>
        <v>Dec</v>
      </c>
      <c r="L1309">
        <f>MONTH(SalesData[[#This Row],[Order Date]])</f>
        <v>12</v>
      </c>
      <c r="M1309">
        <f>SalesData[[#This Row],[Sales]]/SalesData[[#This Row],[Quantity]]</f>
        <v>6.1120000000000001</v>
      </c>
      <c r="N1309" t="str">
        <f>IF(SalesData[[#This Row],[Profit]]&gt;0,"Profit","Loss")</f>
        <v>Profit</v>
      </c>
    </row>
    <row r="1310" spans="1:14" x14ac:dyDescent="0.3">
      <c r="A1310" t="s">
        <v>3622</v>
      </c>
      <c r="B1310" s="3">
        <v>43080</v>
      </c>
      <c r="C1310" t="s">
        <v>9</v>
      </c>
      <c r="D1310" t="s">
        <v>10</v>
      </c>
      <c r="E1310" t="s">
        <v>2746</v>
      </c>
      <c r="F1310" s="1">
        <v>44.783999999999999</v>
      </c>
      <c r="G1310">
        <v>2</v>
      </c>
      <c r="H1310" s="1">
        <v>-0.55979999999999996</v>
      </c>
      <c r="I1310" s="4">
        <f>SalesData[[#This Row],[Profit]]/SalesData[[#This Row],[Sales]]</f>
        <v>-1.2499999999999999E-2</v>
      </c>
      <c r="J1310">
        <f>YEAR(SalesData[[#This Row],[Order Date]])</f>
        <v>2017</v>
      </c>
      <c r="K1310" t="str">
        <f>TEXT(SalesData[[#This Row],[Order Date]],"mmm")</f>
        <v>Dec</v>
      </c>
      <c r="L1310">
        <f>MONTH(SalesData[[#This Row],[Order Date]])</f>
        <v>12</v>
      </c>
      <c r="M1310">
        <f>SalesData[[#This Row],[Sales]]/SalesData[[#This Row],[Quantity]]</f>
        <v>22.391999999999999</v>
      </c>
      <c r="N1310" t="str">
        <f>IF(SalesData[[#This Row],[Profit]]&gt;0,"Profit","Loss")</f>
        <v>Loss</v>
      </c>
    </row>
    <row r="1311" spans="1:14" x14ac:dyDescent="0.3">
      <c r="A1311" t="s">
        <v>3622</v>
      </c>
      <c r="B1311" s="3">
        <v>43080</v>
      </c>
      <c r="C1311" t="s">
        <v>9</v>
      </c>
      <c r="D1311" t="s">
        <v>14</v>
      </c>
      <c r="E1311" t="s">
        <v>2057</v>
      </c>
      <c r="F1311" s="1">
        <v>22.847999999999999</v>
      </c>
      <c r="G1311">
        <v>3</v>
      </c>
      <c r="H1311" s="1">
        <v>-17.7072</v>
      </c>
      <c r="I1311" s="4">
        <f>SalesData[[#This Row],[Profit]]/SalesData[[#This Row],[Sales]]</f>
        <v>-0.77500000000000002</v>
      </c>
      <c r="J1311">
        <f>YEAR(SalesData[[#This Row],[Order Date]])</f>
        <v>2017</v>
      </c>
      <c r="K1311" t="str">
        <f>TEXT(SalesData[[#This Row],[Order Date]],"mmm")</f>
        <v>Dec</v>
      </c>
      <c r="L1311">
        <f>MONTH(SalesData[[#This Row],[Order Date]])</f>
        <v>12</v>
      </c>
      <c r="M1311">
        <f>SalesData[[#This Row],[Sales]]/SalesData[[#This Row],[Quantity]]</f>
        <v>7.6159999999999997</v>
      </c>
      <c r="N1311" t="str">
        <f>IF(SalesData[[#This Row],[Profit]]&gt;0,"Profit","Loss")</f>
        <v>Loss</v>
      </c>
    </row>
    <row r="1312" spans="1:14" x14ac:dyDescent="0.3">
      <c r="A1312" t="s">
        <v>3623</v>
      </c>
      <c r="B1312" s="3">
        <v>43080</v>
      </c>
      <c r="C1312" t="s">
        <v>17</v>
      </c>
      <c r="D1312" t="s">
        <v>21</v>
      </c>
      <c r="E1312" t="s">
        <v>2990</v>
      </c>
      <c r="F1312" s="1">
        <v>10.848000000000001</v>
      </c>
      <c r="G1312">
        <v>2</v>
      </c>
      <c r="H1312" s="1">
        <v>3.5255999999999998</v>
      </c>
      <c r="I1312" s="4">
        <f>SalesData[[#This Row],[Profit]]/SalesData[[#This Row],[Sales]]</f>
        <v>0.32499999999999996</v>
      </c>
      <c r="J1312">
        <f>YEAR(SalesData[[#This Row],[Order Date]])</f>
        <v>2017</v>
      </c>
      <c r="K1312" t="str">
        <f>TEXT(SalesData[[#This Row],[Order Date]],"mmm")</f>
        <v>Dec</v>
      </c>
      <c r="L1312">
        <f>MONTH(SalesData[[#This Row],[Order Date]])</f>
        <v>12</v>
      </c>
      <c r="M1312">
        <f>SalesData[[#This Row],[Sales]]/SalesData[[#This Row],[Quantity]]</f>
        <v>5.4240000000000004</v>
      </c>
      <c r="N1312" t="str">
        <f>IF(SalesData[[#This Row],[Profit]]&gt;0,"Profit","Loss")</f>
        <v>Profit</v>
      </c>
    </row>
    <row r="1313" spans="1:14" x14ac:dyDescent="0.3">
      <c r="A1313" t="s">
        <v>3623</v>
      </c>
      <c r="B1313" s="3">
        <v>43080</v>
      </c>
      <c r="C1313" t="s">
        <v>17</v>
      </c>
      <c r="D1313" t="s">
        <v>10</v>
      </c>
      <c r="E1313" t="s">
        <v>3624</v>
      </c>
      <c r="F1313" s="1">
        <v>18.544</v>
      </c>
      <c r="G1313">
        <v>2</v>
      </c>
      <c r="H1313" s="1">
        <v>3.0133999999999999</v>
      </c>
      <c r="I1313" s="4">
        <f>SalesData[[#This Row],[Profit]]/SalesData[[#This Row],[Sales]]</f>
        <v>0.16249999999999998</v>
      </c>
      <c r="J1313">
        <f>YEAR(SalesData[[#This Row],[Order Date]])</f>
        <v>2017</v>
      </c>
      <c r="K1313" t="str">
        <f>TEXT(SalesData[[#This Row],[Order Date]],"mmm")</f>
        <v>Dec</v>
      </c>
      <c r="L1313">
        <f>MONTH(SalesData[[#This Row],[Order Date]])</f>
        <v>12</v>
      </c>
      <c r="M1313">
        <f>SalesData[[#This Row],[Sales]]/SalesData[[#This Row],[Quantity]]</f>
        <v>9.2720000000000002</v>
      </c>
      <c r="N1313" t="str">
        <f>IF(SalesData[[#This Row],[Profit]]&gt;0,"Profit","Loss")</f>
        <v>Profit</v>
      </c>
    </row>
    <row r="1314" spans="1:14" x14ac:dyDescent="0.3">
      <c r="A1314" t="s">
        <v>3625</v>
      </c>
      <c r="B1314" s="3">
        <v>43080</v>
      </c>
      <c r="C1314" t="s">
        <v>13</v>
      </c>
      <c r="D1314" t="s">
        <v>21</v>
      </c>
      <c r="E1314" t="s">
        <v>878</v>
      </c>
      <c r="F1314" s="1">
        <v>9.9600000000000009</v>
      </c>
      <c r="G1314">
        <v>2</v>
      </c>
      <c r="H1314" s="1">
        <v>4.5815999999999999</v>
      </c>
      <c r="I1314" s="4">
        <f>SalesData[[#This Row],[Profit]]/SalesData[[#This Row],[Sales]]</f>
        <v>0.45999999999999996</v>
      </c>
      <c r="J1314">
        <f>YEAR(SalesData[[#This Row],[Order Date]])</f>
        <v>2017</v>
      </c>
      <c r="K1314" t="str">
        <f>TEXT(SalesData[[#This Row],[Order Date]],"mmm")</f>
        <v>Dec</v>
      </c>
      <c r="L1314">
        <f>MONTH(SalesData[[#This Row],[Order Date]])</f>
        <v>12</v>
      </c>
      <c r="M1314">
        <f>SalesData[[#This Row],[Sales]]/SalesData[[#This Row],[Quantity]]</f>
        <v>4.9800000000000004</v>
      </c>
      <c r="N1314" t="str">
        <f>IF(SalesData[[#This Row],[Profit]]&gt;0,"Profit","Loss")</f>
        <v>Profit</v>
      </c>
    </row>
    <row r="1315" spans="1:14" x14ac:dyDescent="0.3">
      <c r="A1315" t="s">
        <v>3625</v>
      </c>
      <c r="B1315" s="3">
        <v>43080</v>
      </c>
      <c r="C1315" t="s">
        <v>13</v>
      </c>
      <c r="D1315" t="s">
        <v>21</v>
      </c>
      <c r="E1315" t="s">
        <v>3626</v>
      </c>
      <c r="F1315" s="1">
        <v>9.2100000000000009</v>
      </c>
      <c r="G1315">
        <v>3</v>
      </c>
      <c r="H1315" s="1">
        <v>2.3025000000000002</v>
      </c>
      <c r="I1315" s="4">
        <f>SalesData[[#This Row],[Profit]]/SalesData[[#This Row],[Sales]]</f>
        <v>0.25</v>
      </c>
      <c r="J1315">
        <f>YEAR(SalesData[[#This Row],[Order Date]])</f>
        <v>2017</v>
      </c>
      <c r="K1315" t="str">
        <f>TEXT(SalesData[[#This Row],[Order Date]],"mmm")</f>
        <v>Dec</v>
      </c>
      <c r="L1315">
        <f>MONTH(SalesData[[#This Row],[Order Date]])</f>
        <v>12</v>
      </c>
      <c r="M1315">
        <f>SalesData[[#This Row],[Sales]]/SalesData[[#This Row],[Quantity]]</f>
        <v>3.0700000000000003</v>
      </c>
      <c r="N1315" t="str">
        <f>IF(SalesData[[#This Row],[Profit]]&gt;0,"Profit","Loss")</f>
        <v>Profit</v>
      </c>
    </row>
    <row r="1316" spans="1:14" x14ac:dyDescent="0.3">
      <c r="A1316" t="s">
        <v>3625</v>
      </c>
      <c r="B1316" s="3">
        <v>43080</v>
      </c>
      <c r="C1316" t="s">
        <v>13</v>
      </c>
      <c r="D1316" t="s">
        <v>21</v>
      </c>
      <c r="E1316" t="s">
        <v>387</v>
      </c>
      <c r="F1316" s="1">
        <v>27.93</v>
      </c>
      <c r="G1316">
        <v>3</v>
      </c>
      <c r="H1316" s="1">
        <v>8.0997000000000003</v>
      </c>
      <c r="I1316" s="4">
        <f>SalesData[[#This Row],[Profit]]/SalesData[[#This Row],[Sales]]</f>
        <v>0.29000000000000004</v>
      </c>
      <c r="J1316">
        <f>YEAR(SalesData[[#This Row],[Order Date]])</f>
        <v>2017</v>
      </c>
      <c r="K1316" t="str">
        <f>TEXT(SalesData[[#This Row],[Order Date]],"mmm")</f>
        <v>Dec</v>
      </c>
      <c r="L1316">
        <f>MONTH(SalesData[[#This Row],[Order Date]])</f>
        <v>12</v>
      </c>
      <c r="M1316">
        <f>SalesData[[#This Row],[Sales]]/SalesData[[#This Row],[Quantity]]</f>
        <v>9.31</v>
      </c>
      <c r="N1316" t="str">
        <f>IF(SalesData[[#This Row],[Profit]]&gt;0,"Profit","Loss")</f>
        <v>Profit</v>
      </c>
    </row>
    <row r="1317" spans="1:14" x14ac:dyDescent="0.3">
      <c r="A1317" t="s">
        <v>3627</v>
      </c>
      <c r="B1317" s="3">
        <v>43080</v>
      </c>
      <c r="C1317" t="s">
        <v>13</v>
      </c>
      <c r="D1317" t="s">
        <v>21</v>
      </c>
      <c r="E1317" t="s">
        <v>2775</v>
      </c>
      <c r="F1317" s="1">
        <v>14.016</v>
      </c>
      <c r="G1317">
        <v>4</v>
      </c>
      <c r="H1317" s="1">
        <v>4.9055999999999997</v>
      </c>
      <c r="I1317" s="4">
        <f>SalesData[[#This Row],[Profit]]/SalesData[[#This Row],[Sales]]</f>
        <v>0.35</v>
      </c>
      <c r="J1317">
        <f>YEAR(SalesData[[#This Row],[Order Date]])</f>
        <v>2017</v>
      </c>
      <c r="K1317" t="str">
        <f>TEXT(SalesData[[#This Row],[Order Date]],"mmm")</f>
        <v>Dec</v>
      </c>
      <c r="L1317">
        <f>MONTH(SalesData[[#This Row],[Order Date]])</f>
        <v>12</v>
      </c>
      <c r="M1317">
        <f>SalesData[[#This Row],[Sales]]/SalesData[[#This Row],[Quantity]]</f>
        <v>3.504</v>
      </c>
      <c r="N1317" t="str">
        <f>IF(SalesData[[#This Row],[Profit]]&gt;0,"Profit","Loss")</f>
        <v>Profit</v>
      </c>
    </row>
    <row r="1318" spans="1:14" x14ac:dyDescent="0.3">
      <c r="A1318" t="s">
        <v>3628</v>
      </c>
      <c r="B1318" s="3">
        <v>43080</v>
      </c>
      <c r="C1318" t="s">
        <v>13</v>
      </c>
      <c r="D1318" t="s">
        <v>21</v>
      </c>
      <c r="E1318" t="s">
        <v>83</v>
      </c>
      <c r="F1318" s="1">
        <v>18.239999999999998</v>
      </c>
      <c r="G1318">
        <v>3</v>
      </c>
      <c r="H1318" s="1">
        <v>9.1199999999999992</v>
      </c>
      <c r="I1318" s="4">
        <f>SalesData[[#This Row],[Profit]]/SalesData[[#This Row],[Sales]]</f>
        <v>0.5</v>
      </c>
      <c r="J1318">
        <f>YEAR(SalesData[[#This Row],[Order Date]])</f>
        <v>2017</v>
      </c>
      <c r="K1318" t="str">
        <f>TEXT(SalesData[[#This Row],[Order Date]],"mmm")</f>
        <v>Dec</v>
      </c>
      <c r="L1318">
        <f>MONTH(SalesData[[#This Row],[Order Date]])</f>
        <v>12</v>
      </c>
      <c r="M1318">
        <f>SalesData[[#This Row],[Sales]]/SalesData[[#This Row],[Quantity]]</f>
        <v>6.0799999999999992</v>
      </c>
      <c r="N1318" t="str">
        <f>IF(SalesData[[#This Row],[Profit]]&gt;0,"Profit","Loss")</f>
        <v>Profit</v>
      </c>
    </row>
    <row r="1319" spans="1:14" x14ac:dyDescent="0.3">
      <c r="A1319" t="s">
        <v>3628</v>
      </c>
      <c r="B1319" s="3">
        <v>43080</v>
      </c>
      <c r="C1319" t="s">
        <v>13</v>
      </c>
      <c r="D1319" t="s">
        <v>21</v>
      </c>
      <c r="E1319" t="s">
        <v>100</v>
      </c>
      <c r="F1319" s="1">
        <v>76.12</v>
      </c>
      <c r="G1319">
        <v>2</v>
      </c>
      <c r="H1319" s="1">
        <v>22.0748</v>
      </c>
      <c r="I1319" s="4">
        <f>SalesData[[#This Row],[Profit]]/SalesData[[#This Row],[Sales]]</f>
        <v>0.28999999999999998</v>
      </c>
      <c r="J1319">
        <f>YEAR(SalesData[[#This Row],[Order Date]])</f>
        <v>2017</v>
      </c>
      <c r="K1319" t="str">
        <f>TEXT(SalesData[[#This Row],[Order Date]],"mmm")</f>
        <v>Dec</v>
      </c>
      <c r="L1319">
        <f>MONTH(SalesData[[#This Row],[Order Date]])</f>
        <v>12</v>
      </c>
      <c r="M1319">
        <f>SalesData[[#This Row],[Sales]]/SalesData[[#This Row],[Quantity]]</f>
        <v>38.06</v>
      </c>
      <c r="N1319" t="str">
        <f>IF(SalesData[[#This Row],[Profit]]&gt;0,"Profit","Loss")</f>
        <v>Profit</v>
      </c>
    </row>
    <row r="1320" spans="1:14" x14ac:dyDescent="0.3">
      <c r="A1320" t="s">
        <v>3629</v>
      </c>
      <c r="B1320" s="3">
        <v>43080</v>
      </c>
      <c r="C1320" t="s">
        <v>46</v>
      </c>
      <c r="D1320" t="s">
        <v>21</v>
      </c>
      <c r="E1320" t="s">
        <v>3330</v>
      </c>
      <c r="F1320" s="1">
        <v>26.72</v>
      </c>
      <c r="G1320">
        <v>5</v>
      </c>
      <c r="H1320" s="1">
        <v>9.3520000000000003</v>
      </c>
      <c r="I1320" s="4">
        <f>SalesData[[#This Row],[Profit]]/SalesData[[#This Row],[Sales]]</f>
        <v>0.35000000000000003</v>
      </c>
      <c r="J1320">
        <f>YEAR(SalesData[[#This Row],[Order Date]])</f>
        <v>2017</v>
      </c>
      <c r="K1320" t="str">
        <f>TEXT(SalesData[[#This Row],[Order Date]],"mmm")</f>
        <v>Dec</v>
      </c>
      <c r="L1320">
        <f>MONTH(SalesData[[#This Row],[Order Date]])</f>
        <v>12</v>
      </c>
      <c r="M1320">
        <f>SalesData[[#This Row],[Sales]]/SalesData[[#This Row],[Quantity]]</f>
        <v>5.3439999999999994</v>
      </c>
      <c r="N1320" t="str">
        <f>IF(SalesData[[#This Row],[Profit]]&gt;0,"Profit","Loss")</f>
        <v>Profit</v>
      </c>
    </row>
    <row r="1321" spans="1:14" x14ac:dyDescent="0.3">
      <c r="A1321" t="s">
        <v>3630</v>
      </c>
      <c r="B1321" s="3">
        <v>43080</v>
      </c>
      <c r="C1321" t="s">
        <v>13</v>
      </c>
      <c r="D1321" t="s">
        <v>10</v>
      </c>
      <c r="E1321" t="s">
        <v>723</v>
      </c>
      <c r="F1321" s="1">
        <v>62.351999999999997</v>
      </c>
      <c r="G1321">
        <v>6</v>
      </c>
      <c r="H1321" s="1">
        <v>-10.9116</v>
      </c>
      <c r="I1321" s="4">
        <f>SalesData[[#This Row],[Profit]]/SalesData[[#This Row],[Sales]]</f>
        <v>-0.17500000000000002</v>
      </c>
      <c r="J1321">
        <f>YEAR(SalesData[[#This Row],[Order Date]])</f>
        <v>2017</v>
      </c>
      <c r="K1321" t="str">
        <f>TEXT(SalesData[[#This Row],[Order Date]],"mmm")</f>
        <v>Dec</v>
      </c>
      <c r="L1321">
        <f>MONTH(SalesData[[#This Row],[Order Date]])</f>
        <v>12</v>
      </c>
      <c r="M1321">
        <f>SalesData[[#This Row],[Sales]]/SalesData[[#This Row],[Quantity]]</f>
        <v>10.391999999999999</v>
      </c>
      <c r="N1321" t="str">
        <f>IF(SalesData[[#This Row],[Profit]]&gt;0,"Profit","Loss")</f>
        <v>Loss</v>
      </c>
    </row>
    <row r="1322" spans="1:14" x14ac:dyDescent="0.3">
      <c r="A1322" t="s">
        <v>3631</v>
      </c>
      <c r="B1322" s="3">
        <v>43080</v>
      </c>
      <c r="C1322" t="s">
        <v>13</v>
      </c>
      <c r="D1322" t="s">
        <v>21</v>
      </c>
      <c r="E1322" t="s">
        <v>3632</v>
      </c>
      <c r="F1322" s="1">
        <v>11.56</v>
      </c>
      <c r="G1322">
        <v>2</v>
      </c>
      <c r="H1322" s="1">
        <v>5.6643999999999997</v>
      </c>
      <c r="I1322" s="4">
        <f>SalesData[[#This Row],[Profit]]/SalesData[[#This Row],[Sales]]</f>
        <v>0.48999999999999994</v>
      </c>
      <c r="J1322">
        <f>YEAR(SalesData[[#This Row],[Order Date]])</f>
        <v>2017</v>
      </c>
      <c r="K1322" t="str">
        <f>TEXT(SalesData[[#This Row],[Order Date]],"mmm")</f>
        <v>Dec</v>
      </c>
      <c r="L1322">
        <f>MONTH(SalesData[[#This Row],[Order Date]])</f>
        <v>12</v>
      </c>
      <c r="M1322">
        <f>SalesData[[#This Row],[Sales]]/SalesData[[#This Row],[Quantity]]</f>
        <v>5.78</v>
      </c>
      <c r="N1322" t="str">
        <f>IF(SalesData[[#This Row],[Profit]]&gt;0,"Profit","Loss")</f>
        <v>Profit</v>
      </c>
    </row>
    <row r="1323" spans="1:14" x14ac:dyDescent="0.3">
      <c r="A1323" t="s">
        <v>3633</v>
      </c>
      <c r="B1323" s="3">
        <v>43080</v>
      </c>
      <c r="C1323" t="s">
        <v>17</v>
      </c>
      <c r="D1323" t="s">
        <v>21</v>
      </c>
      <c r="E1323" t="s">
        <v>3634</v>
      </c>
      <c r="F1323" s="1">
        <v>221.024</v>
      </c>
      <c r="G1323">
        <v>2</v>
      </c>
      <c r="H1323" s="1">
        <v>-55.256</v>
      </c>
      <c r="I1323" s="4">
        <f>SalesData[[#This Row],[Profit]]/SalesData[[#This Row],[Sales]]</f>
        <v>-0.25</v>
      </c>
      <c r="J1323">
        <f>YEAR(SalesData[[#This Row],[Order Date]])</f>
        <v>2017</v>
      </c>
      <c r="K1323" t="str">
        <f>TEXT(SalesData[[#This Row],[Order Date]],"mmm")</f>
        <v>Dec</v>
      </c>
      <c r="L1323">
        <f>MONTH(SalesData[[#This Row],[Order Date]])</f>
        <v>12</v>
      </c>
      <c r="M1323">
        <f>SalesData[[#This Row],[Sales]]/SalesData[[#This Row],[Quantity]]</f>
        <v>110.512</v>
      </c>
      <c r="N1323" t="str">
        <f>IF(SalesData[[#This Row],[Profit]]&gt;0,"Profit","Loss")</f>
        <v>Loss</v>
      </c>
    </row>
    <row r="1324" spans="1:14" x14ac:dyDescent="0.3">
      <c r="A1324" t="s">
        <v>1862</v>
      </c>
      <c r="B1324" s="3">
        <v>42371</v>
      </c>
      <c r="C1324" t="s">
        <v>46</v>
      </c>
      <c r="D1324" t="s">
        <v>21</v>
      </c>
      <c r="E1324" t="s">
        <v>630</v>
      </c>
      <c r="F1324" s="1">
        <v>56.45</v>
      </c>
      <c r="G1324">
        <v>5</v>
      </c>
      <c r="H1324" s="1">
        <v>14.677</v>
      </c>
      <c r="I1324" s="4">
        <f>SalesData[[#This Row],[Profit]]/SalesData[[#This Row],[Sales]]</f>
        <v>0.25999999999999995</v>
      </c>
      <c r="J1324">
        <f>YEAR(SalesData[[#This Row],[Order Date]])</f>
        <v>2016</v>
      </c>
      <c r="K1324" t="str">
        <f>TEXT(SalesData[[#This Row],[Order Date]],"mmm")</f>
        <v>Jan</v>
      </c>
      <c r="L1324">
        <f>MONTH(SalesData[[#This Row],[Order Date]])</f>
        <v>1</v>
      </c>
      <c r="M1324">
        <f>SalesData[[#This Row],[Sales]]/SalesData[[#This Row],[Quantity]]</f>
        <v>11.290000000000001</v>
      </c>
      <c r="N1324" t="str">
        <f>IF(SalesData[[#This Row],[Profit]]&gt;0,"Profit","Loss")</f>
        <v>Profit</v>
      </c>
    </row>
    <row r="1325" spans="1:14" x14ac:dyDescent="0.3">
      <c r="A1325" t="s">
        <v>1863</v>
      </c>
      <c r="B1325" s="3">
        <v>42371</v>
      </c>
      <c r="C1325" t="s">
        <v>13</v>
      </c>
      <c r="D1325" t="s">
        <v>21</v>
      </c>
      <c r="E1325" t="s">
        <v>1736</v>
      </c>
      <c r="F1325" s="1">
        <v>105.52</v>
      </c>
      <c r="G1325">
        <v>4</v>
      </c>
      <c r="H1325" s="1">
        <v>48.539200000000001</v>
      </c>
      <c r="I1325" s="4">
        <f>SalesData[[#This Row],[Profit]]/SalesData[[#This Row],[Sales]]</f>
        <v>0.46</v>
      </c>
      <c r="J1325">
        <f>YEAR(SalesData[[#This Row],[Order Date]])</f>
        <v>2016</v>
      </c>
      <c r="K1325" t="str">
        <f>TEXT(SalesData[[#This Row],[Order Date]],"mmm")</f>
        <v>Jan</v>
      </c>
      <c r="L1325">
        <f>MONTH(SalesData[[#This Row],[Order Date]])</f>
        <v>1</v>
      </c>
      <c r="M1325">
        <f>SalesData[[#This Row],[Sales]]/SalesData[[#This Row],[Quantity]]</f>
        <v>26.38</v>
      </c>
      <c r="N1325" t="str">
        <f>IF(SalesData[[#This Row],[Profit]]&gt;0,"Profit","Loss")</f>
        <v>Profit</v>
      </c>
    </row>
    <row r="1326" spans="1:14" x14ac:dyDescent="0.3">
      <c r="A1326" t="s">
        <v>1864</v>
      </c>
      <c r="B1326" s="3">
        <v>42372</v>
      </c>
      <c r="C1326" t="s">
        <v>17</v>
      </c>
      <c r="D1326" t="s">
        <v>14</v>
      </c>
      <c r="E1326" t="s">
        <v>1475</v>
      </c>
      <c r="F1326" s="1">
        <v>836.59199999999998</v>
      </c>
      <c r="G1326">
        <v>8</v>
      </c>
      <c r="H1326" s="1">
        <v>-264.92079999999999</v>
      </c>
      <c r="I1326" s="4">
        <f>SalesData[[#This Row],[Profit]]/SalesData[[#This Row],[Sales]]</f>
        <v>-0.31666666666666665</v>
      </c>
      <c r="J1326">
        <f>YEAR(SalesData[[#This Row],[Order Date]])</f>
        <v>2016</v>
      </c>
      <c r="K1326" t="str">
        <f>TEXT(SalesData[[#This Row],[Order Date]],"mmm")</f>
        <v>Jan</v>
      </c>
      <c r="L1326">
        <f>MONTH(SalesData[[#This Row],[Order Date]])</f>
        <v>1</v>
      </c>
      <c r="M1326">
        <f>SalesData[[#This Row],[Sales]]/SalesData[[#This Row],[Quantity]]</f>
        <v>104.574</v>
      </c>
      <c r="N1326" t="str">
        <f>IF(SalesData[[#This Row],[Profit]]&gt;0,"Profit","Loss")</f>
        <v>Loss</v>
      </c>
    </row>
    <row r="1327" spans="1:14" x14ac:dyDescent="0.3">
      <c r="A1327" t="s">
        <v>1864</v>
      </c>
      <c r="B1327" s="3">
        <v>42372</v>
      </c>
      <c r="C1327" t="s">
        <v>17</v>
      </c>
      <c r="D1327" t="s">
        <v>21</v>
      </c>
      <c r="E1327" t="s">
        <v>94</v>
      </c>
      <c r="F1327" s="1">
        <v>26.38</v>
      </c>
      <c r="G1327">
        <v>1</v>
      </c>
      <c r="H1327" s="1">
        <v>12.1348</v>
      </c>
      <c r="I1327" s="4">
        <f>SalesData[[#This Row],[Profit]]/SalesData[[#This Row],[Sales]]</f>
        <v>0.46</v>
      </c>
      <c r="J1327">
        <f>YEAR(SalesData[[#This Row],[Order Date]])</f>
        <v>2016</v>
      </c>
      <c r="K1327" t="str">
        <f>TEXT(SalesData[[#This Row],[Order Date]],"mmm")</f>
        <v>Jan</v>
      </c>
      <c r="L1327">
        <f>MONTH(SalesData[[#This Row],[Order Date]])</f>
        <v>1</v>
      </c>
      <c r="M1327">
        <f>SalesData[[#This Row],[Sales]]/SalesData[[#This Row],[Quantity]]</f>
        <v>26.38</v>
      </c>
      <c r="N1327" t="str">
        <f>IF(SalesData[[#This Row],[Profit]]&gt;0,"Profit","Loss")</f>
        <v>Profit</v>
      </c>
    </row>
    <row r="1328" spans="1:14" x14ac:dyDescent="0.3">
      <c r="A1328" t="s">
        <v>1864</v>
      </c>
      <c r="B1328" s="3">
        <v>42372</v>
      </c>
      <c r="C1328" t="s">
        <v>17</v>
      </c>
      <c r="D1328" t="s">
        <v>21</v>
      </c>
      <c r="E1328" t="s">
        <v>192</v>
      </c>
      <c r="F1328" s="1">
        <v>362.92</v>
      </c>
      <c r="G1328">
        <v>2</v>
      </c>
      <c r="H1328" s="1">
        <v>105.24679999999999</v>
      </c>
      <c r="I1328" s="4">
        <f>SalesData[[#This Row],[Profit]]/SalesData[[#This Row],[Sales]]</f>
        <v>0.28999999999999998</v>
      </c>
      <c r="J1328">
        <f>YEAR(SalesData[[#This Row],[Order Date]])</f>
        <v>2016</v>
      </c>
      <c r="K1328" t="str">
        <f>TEXT(SalesData[[#This Row],[Order Date]],"mmm")</f>
        <v>Jan</v>
      </c>
      <c r="L1328">
        <f>MONTH(SalesData[[#This Row],[Order Date]])</f>
        <v>1</v>
      </c>
      <c r="M1328">
        <f>SalesData[[#This Row],[Sales]]/SalesData[[#This Row],[Quantity]]</f>
        <v>181.46</v>
      </c>
      <c r="N1328" t="str">
        <f>IF(SalesData[[#This Row],[Profit]]&gt;0,"Profit","Loss")</f>
        <v>Profit</v>
      </c>
    </row>
    <row r="1329" spans="1:14" x14ac:dyDescent="0.3">
      <c r="A1329" t="s">
        <v>1864</v>
      </c>
      <c r="B1329" s="3">
        <v>42372</v>
      </c>
      <c r="C1329" t="s">
        <v>17</v>
      </c>
      <c r="D1329" t="s">
        <v>10</v>
      </c>
      <c r="E1329" t="s">
        <v>1865</v>
      </c>
      <c r="F1329" s="1">
        <v>4899.93</v>
      </c>
      <c r="G1329">
        <v>7</v>
      </c>
      <c r="H1329" s="1">
        <v>2400.9657000000002</v>
      </c>
      <c r="I1329" s="4">
        <f>SalesData[[#This Row],[Profit]]/SalesData[[#This Row],[Sales]]</f>
        <v>0.49</v>
      </c>
      <c r="J1329">
        <f>YEAR(SalesData[[#This Row],[Order Date]])</f>
        <v>2016</v>
      </c>
      <c r="K1329" t="str">
        <f>TEXT(SalesData[[#This Row],[Order Date]],"mmm")</f>
        <v>Jan</v>
      </c>
      <c r="L1329">
        <f>MONTH(SalesData[[#This Row],[Order Date]])</f>
        <v>1</v>
      </c>
      <c r="M1329">
        <f>SalesData[[#This Row],[Sales]]/SalesData[[#This Row],[Quantity]]</f>
        <v>699.99</v>
      </c>
      <c r="N1329" t="str">
        <f>IF(SalesData[[#This Row],[Profit]]&gt;0,"Profit","Loss")</f>
        <v>Profit</v>
      </c>
    </row>
    <row r="1330" spans="1:14" x14ac:dyDescent="0.3">
      <c r="A1330" t="s">
        <v>1866</v>
      </c>
      <c r="B1330" s="3">
        <v>42372</v>
      </c>
      <c r="C1330" t="s">
        <v>13</v>
      </c>
      <c r="D1330" t="s">
        <v>10</v>
      </c>
      <c r="E1330" t="s">
        <v>1867</v>
      </c>
      <c r="F1330" s="1">
        <v>159.98400000000001</v>
      </c>
      <c r="G1330">
        <v>2</v>
      </c>
      <c r="H1330" s="1">
        <v>13.9986</v>
      </c>
      <c r="I1330" s="4">
        <f>SalesData[[#This Row],[Profit]]/SalesData[[#This Row],[Sales]]</f>
        <v>8.7499999999999994E-2</v>
      </c>
      <c r="J1330">
        <f>YEAR(SalesData[[#This Row],[Order Date]])</f>
        <v>2016</v>
      </c>
      <c r="K1330" t="str">
        <f>TEXT(SalesData[[#This Row],[Order Date]],"mmm")</f>
        <v>Jan</v>
      </c>
      <c r="L1330">
        <f>MONTH(SalesData[[#This Row],[Order Date]])</f>
        <v>1</v>
      </c>
      <c r="M1330">
        <f>SalesData[[#This Row],[Sales]]/SalesData[[#This Row],[Quantity]]</f>
        <v>79.992000000000004</v>
      </c>
      <c r="N1330" t="str">
        <f>IF(SalesData[[#This Row],[Profit]]&gt;0,"Profit","Loss")</f>
        <v>Profit</v>
      </c>
    </row>
    <row r="1331" spans="1:14" x14ac:dyDescent="0.3">
      <c r="A1331" t="s">
        <v>1868</v>
      </c>
      <c r="B1331" s="3">
        <v>42373</v>
      </c>
      <c r="C1331" t="s">
        <v>17</v>
      </c>
      <c r="D1331" t="s">
        <v>21</v>
      </c>
      <c r="E1331" t="s">
        <v>385</v>
      </c>
      <c r="F1331" s="1">
        <v>59.52</v>
      </c>
      <c r="G1331">
        <v>3</v>
      </c>
      <c r="H1331" s="1">
        <v>15.475199999999999</v>
      </c>
      <c r="I1331" s="4">
        <f>SalesData[[#This Row],[Profit]]/SalesData[[#This Row],[Sales]]</f>
        <v>0.25999999999999995</v>
      </c>
      <c r="J1331">
        <f>YEAR(SalesData[[#This Row],[Order Date]])</f>
        <v>2016</v>
      </c>
      <c r="K1331" t="str">
        <f>TEXT(SalesData[[#This Row],[Order Date]],"mmm")</f>
        <v>Jan</v>
      </c>
      <c r="L1331">
        <f>MONTH(SalesData[[#This Row],[Order Date]])</f>
        <v>1</v>
      </c>
      <c r="M1331">
        <f>SalesData[[#This Row],[Sales]]/SalesData[[#This Row],[Quantity]]</f>
        <v>19.84</v>
      </c>
      <c r="N1331" t="str">
        <f>IF(SalesData[[#This Row],[Profit]]&gt;0,"Profit","Loss")</f>
        <v>Profit</v>
      </c>
    </row>
    <row r="1332" spans="1:14" x14ac:dyDescent="0.3">
      <c r="A1332" t="s">
        <v>1868</v>
      </c>
      <c r="B1332" s="3">
        <v>42373</v>
      </c>
      <c r="C1332" t="s">
        <v>17</v>
      </c>
      <c r="D1332" t="s">
        <v>21</v>
      </c>
      <c r="E1332" t="s">
        <v>27</v>
      </c>
      <c r="F1332" s="1">
        <v>161.94</v>
      </c>
      <c r="G1332">
        <v>3</v>
      </c>
      <c r="H1332" s="1">
        <v>9.7164000000000001</v>
      </c>
      <c r="I1332" s="4">
        <f>SalesData[[#This Row],[Profit]]/SalesData[[#This Row],[Sales]]</f>
        <v>6.0000000000000005E-2</v>
      </c>
      <c r="J1332">
        <f>YEAR(SalesData[[#This Row],[Order Date]])</f>
        <v>2016</v>
      </c>
      <c r="K1332" t="str">
        <f>TEXT(SalesData[[#This Row],[Order Date]],"mmm")</f>
        <v>Jan</v>
      </c>
      <c r="L1332">
        <f>MONTH(SalesData[[#This Row],[Order Date]])</f>
        <v>1</v>
      </c>
      <c r="M1332">
        <f>SalesData[[#This Row],[Sales]]/SalesData[[#This Row],[Quantity]]</f>
        <v>53.98</v>
      </c>
      <c r="N1332" t="str">
        <f>IF(SalesData[[#This Row],[Profit]]&gt;0,"Profit","Loss")</f>
        <v>Profit</v>
      </c>
    </row>
    <row r="1333" spans="1:14" x14ac:dyDescent="0.3">
      <c r="A1333" t="s">
        <v>1868</v>
      </c>
      <c r="B1333" s="3">
        <v>42373</v>
      </c>
      <c r="C1333" t="s">
        <v>17</v>
      </c>
      <c r="D1333" t="s">
        <v>21</v>
      </c>
      <c r="E1333" t="s">
        <v>747</v>
      </c>
      <c r="F1333" s="1">
        <v>263.88</v>
      </c>
      <c r="G1333">
        <v>6</v>
      </c>
      <c r="H1333" s="1">
        <v>71.247600000000006</v>
      </c>
      <c r="I1333" s="4">
        <f>SalesData[[#This Row],[Profit]]/SalesData[[#This Row],[Sales]]</f>
        <v>0.27</v>
      </c>
      <c r="J1333">
        <f>YEAR(SalesData[[#This Row],[Order Date]])</f>
        <v>2016</v>
      </c>
      <c r="K1333" t="str">
        <f>TEXT(SalesData[[#This Row],[Order Date]],"mmm")</f>
        <v>Jan</v>
      </c>
      <c r="L1333">
        <f>MONTH(SalesData[[#This Row],[Order Date]])</f>
        <v>1</v>
      </c>
      <c r="M1333">
        <f>SalesData[[#This Row],[Sales]]/SalesData[[#This Row],[Quantity]]</f>
        <v>43.98</v>
      </c>
      <c r="N1333" t="str">
        <f>IF(SalesData[[#This Row],[Profit]]&gt;0,"Profit","Loss")</f>
        <v>Profit</v>
      </c>
    </row>
    <row r="1334" spans="1:14" x14ac:dyDescent="0.3">
      <c r="A1334" t="s">
        <v>1868</v>
      </c>
      <c r="B1334" s="3">
        <v>42373</v>
      </c>
      <c r="C1334" t="s">
        <v>17</v>
      </c>
      <c r="D1334" t="s">
        <v>21</v>
      </c>
      <c r="E1334" t="s">
        <v>957</v>
      </c>
      <c r="F1334" s="1">
        <v>30.48</v>
      </c>
      <c r="G1334">
        <v>3</v>
      </c>
      <c r="H1334" s="1">
        <v>7.9248000000000003</v>
      </c>
      <c r="I1334" s="4">
        <f>SalesData[[#This Row],[Profit]]/SalesData[[#This Row],[Sales]]</f>
        <v>0.26</v>
      </c>
      <c r="J1334">
        <f>YEAR(SalesData[[#This Row],[Order Date]])</f>
        <v>2016</v>
      </c>
      <c r="K1334" t="str">
        <f>TEXT(SalesData[[#This Row],[Order Date]],"mmm")</f>
        <v>Jan</v>
      </c>
      <c r="L1334">
        <f>MONTH(SalesData[[#This Row],[Order Date]])</f>
        <v>1</v>
      </c>
      <c r="M1334">
        <f>SalesData[[#This Row],[Sales]]/SalesData[[#This Row],[Quantity]]</f>
        <v>10.16</v>
      </c>
      <c r="N1334" t="str">
        <f>IF(SalesData[[#This Row],[Profit]]&gt;0,"Profit","Loss")</f>
        <v>Profit</v>
      </c>
    </row>
    <row r="1335" spans="1:14" x14ac:dyDescent="0.3">
      <c r="A1335" t="s">
        <v>1868</v>
      </c>
      <c r="B1335" s="3">
        <v>42373</v>
      </c>
      <c r="C1335" t="s">
        <v>17</v>
      </c>
      <c r="D1335" t="s">
        <v>21</v>
      </c>
      <c r="E1335" t="s">
        <v>1869</v>
      </c>
      <c r="F1335" s="1">
        <v>9.84</v>
      </c>
      <c r="G1335">
        <v>3</v>
      </c>
      <c r="H1335" s="1">
        <v>2.8536000000000001</v>
      </c>
      <c r="I1335" s="4">
        <f>SalesData[[#This Row],[Profit]]/SalesData[[#This Row],[Sales]]</f>
        <v>0.29000000000000004</v>
      </c>
      <c r="J1335">
        <f>YEAR(SalesData[[#This Row],[Order Date]])</f>
        <v>2016</v>
      </c>
      <c r="K1335" t="str">
        <f>TEXT(SalesData[[#This Row],[Order Date]],"mmm")</f>
        <v>Jan</v>
      </c>
      <c r="L1335">
        <f>MONTH(SalesData[[#This Row],[Order Date]])</f>
        <v>1</v>
      </c>
      <c r="M1335">
        <f>SalesData[[#This Row],[Sales]]/SalesData[[#This Row],[Quantity]]</f>
        <v>3.28</v>
      </c>
      <c r="N1335" t="str">
        <f>IF(SalesData[[#This Row],[Profit]]&gt;0,"Profit","Loss")</f>
        <v>Profit</v>
      </c>
    </row>
    <row r="1336" spans="1:14" x14ac:dyDescent="0.3">
      <c r="A1336" t="s">
        <v>1868</v>
      </c>
      <c r="B1336" s="3">
        <v>42373</v>
      </c>
      <c r="C1336" t="s">
        <v>17</v>
      </c>
      <c r="D1336" t="s">
        <v>10</v>
      </c>
      <c r="E1336" t="s">
        <v>1870</v>
      </c>
      <c r="F1336" s="1">
        <v>35.119999999999997</v>
      </c>
      <c r="G1336">
        <v>4</v>
      </c>
      <c r="H1336" s="1">
        <v>9.1311999999999998</v>
      </c>
      <c r="I1336" s="4">
        <f>SalesData[[#This Row],[Profit]]/SalesData[[#This Row],[Sales]]</f>
        <v>0.26</v>
      </c>
      <c r="J1336">
        <f>YEAR(SalesData[[#This Row],[Order Date]])</f>
        <v>2016</v>
      </c>
      <c r="K1336" t="str">
        <f>TEXT(SalesData[[#This Row],[Order Date]],"mmm")</f>
        <v>Jan</v>
      </c>
      <c r="L1336">
        <f>MONTH(SalesData[[#This Row],[Order Date]])</f>
        <v>1</v>
      </c>
      <c r="M1336">
        <f>SalesData[[#This Row],[Sales]]/SalesData[[#This Row],[Quantity]]</f>
        <v>8.7799999999999994</v>
      </c>
      <c r="N1336" t="str">
        <f>IF(SalesData[[#This Row],[Profit]]&gt;0,"Profit","Loss")</f>
        <v>Profit</v>
      </c>
    </row>
    <row r="1337" spans="1:14" x14ac:dyDescent="0.3">
      <c r="A1337" t="s">
        <v>1871</v>
      </c>
      <c r="B1337" s="3">
        <v>42373</v>
      </c>
      <c r="C1337" t="s">
        <v>13</v>
      </c>
      <c r="D1337" t="s">
        <v>21</v>
      </c>
      <c r="E1337" t="s">
        <v>83</v>
      </c>
      <c r="F1337" s="1">
        <v>31.56</v>
      </c>
      <c r="G1337">
        <v>5</v>
      </c>
      <c r="H1337" s="1">
        <v>9.8625000000000007</v>
      </c>
      <c r="I1337" s="4">
        <f>SalesData[[#This Row],[Profit]]/SalesData[[#This Row],[Sales]]</f>
        <v>0.31250000000000006</v>
      </c>
      <c r="J1337">
        <f>YEAR(SalesData[[#This Row],[Order Date]])</f>
        <v>2016</v>
      </c>
      <c r="K1337" t="str">
        <f>TEXT(SalesData[[#This Row],[Order Date]],"mmm")</f>
        <v>Jan</v>
      </c>
      <c r="L1337">
        <f>MONTH(SalesData[[#This Row],[Order Date]])</f>
        <v>1</v>
      </c>
      <c r="M1337">
        <f>SalesData[[#This Row],[Sales]]/SalesData[[#This Row],[Quantity]]</f>
        <v>6.3119999999999994</v>
      </c>
      <c r="N1337" t="str">
        <f>IF(SalesData[[#This Row],[Profit]]&gt;0,"Profit","Loss")</f>
        <v>Profit</v>
      </c>
    </row>
    <row r="1338" spans="1:14" x14ac:dyDescent="0.3">
      <c r="A1338" t="s">
        <v>1871</v>
      </c>
      <c r="B1338" s="3">
        <v>42373</v>
      </c>
      <c r="C1338" t="s">
        <v>13</v>
      </c>
      <c r="D1338" t="s">
        <v>21</v>
      </c>
      <c r="E1338" t="s">
        <v>1872</v>
      </c>
      <c r="F1338" s="1">
        <v>30.143999999999998</v>
      </c>
      <c r="G1338">
        <v>2</v>
      </c>
      <c r="H1338" s="1">
        <v>3.0144000000000002</v>
      </c>
      <c r="I1338" s="4">
        <f>SalesData[[#This Row],[Profit]]/SalesData[[#This Row],[Sales]]</f>
        <v>0.1</v>
      </c>
      <c r="J1338">
        <f>YEAR(SalesData[[#This Row],[Order Date]])</f>
        <v>2016</v>
      </c>
      <c r="K1338" t="str">
        <f>TEXT(SalesData[[#This Row],[Order Date]],"mmm")</f>
        <v>Jan</v>
      </c>
      <c r="L1338">
        <f>MONTH(SalesData[[#This Row],[Order Date]])</f>
        <v>1</v>
      </c>
      <c r="M1338">
        <f>SalesData[[#This Row],[Sales]]/SalesData[[#This Row],[Quantity]]</f>
        <v>15.071999999999999</v>
      </c>
      <c r="N1338" t="str">
        <f>IF(SalesData[[#This Row],[Profit]]&gt;0,"Profit","Loss")</f>
        <v>Profit</v>
      </c>
    </row>
    <row r="1339" spans="1:14" x14ac:dyDescent="0.3">
      <c r="A1339" t="s">
        <v>1873</v>
      </c>
      <c r="B1339" s="3">
        <v>42373</v>
      </c>
      <c r="C1339" t="s">
        <v>17</v>
      </c>
      <c r="D1339" t="s">
        <v>21</v>
      </c>
      <c r="E1339" t="s">
        <v>1874</v>
      </c>
      <c r="F1339" s="1">
        <v>88.04</v>
      </c>
      <c r="G1339">
        <v>4</v>
      </c>
      <c r="H1339" s="1">
        <v>22.8904</v>
      </c>
      <c r="I1339" s="4">
        <f>SalesData[[#This Row],[Profit]]/SalesData[[#This Row],[Sales]]</f>
        <v>0.25999999999999995</v>
      </c>
      <c r="J1339">
        <f>YEAR(SalesData[[#This Row],[Order Date]])</f>
        <v>2016</v>
      </c>
      <c r="K1339" t="str">
        <f>TEXT(SalesData[[#This Row],[Order Date]],"mmm")</f>
        <v>Jan</v>
      </c>
      <c r="L1339">
        <f>MONTH(SalesData[[#This Row],[Order Date]])</f>
        <v>1</v>
      </c>
      <c r="M1339">
        <f>SalesData[[#This Row],[Sales]]/SalesData[[#This Row],[Quantity]]</f>
        <v>22.01</v>
      </c>
      <c r="N1339" t="str">
        <f>IF(SalesData[[#This Row],[Profit]]&gt;0,"Profit","Loss")</f>
        <v>Profit</v>
      </c>
    </row>
    <row r="1340" spans="1:14" x14ac:dyDescent="0.3">
      <c r="A1340" t="s">
        <v>1875</v>
      </c>
      <c r="B1340" s="3">
        <v>42373</v>
      </c>
      <c r="C1340" t="s">
        <v>17</v>
      </c>
      <c r="D1340" t="s">
        <v>21</v>
      </c>
      <c r="E1340" t="s">
        <v>1876</v>
      </c>
      <c r="F1340" s="1">
        <v>20.7</v>
      </c>
      <c r="G1340">
        <v>2</v>
      </c>
      <c r="H1340" s="1">
        <v>9.9359999999999999</v>
      </c>
      <c r="I1340" s="4">
        <f>SalesData[[#This Row],[Profit]]/SalesData[[#This Row],[Sales]]</f>
        <v>0.48000000000000004</v>
      </c>
      <c r="J1340">
        <f>YEAR(SalesData[[#This Row],[Order Date]])</f>
        <v>2016</v>
      </c>
      <c r="K1340" t="str">
        <f>TEXT(SalesData[[#This Row],[Order Date]],"mmm")</f>
        <v>Jan</v>
      </c>
      <c r="L1340">
        <f>MONTH(SalesData[[#This Row],[Order Date]])</f>
        <v>1</v>
      </c>
      <c r="M1340">
        <f>SalesData[[#This Row],[Sales]]/SalesData[[#This Row],[Quantity]]</f>
        <v>10.35</v>
      </c>
      <c r="N1340" t="str">
        <f>IF(SalesData[[#This Row],[Profit]]&gt;0,"Profit","Loss")</f>
        <v>Profit</v>
      </c>
    </row>
    <row r="1341" spans="1:14" x14ac:dyDescent="0.3">
      <c r="A1341" t="s">
        <v>1875</v>
      </c>
      <c r="B1341" s="3">
        <v>42373</v>
      </c>
      <c r="C1341" t="s">
        <v>17</v>
      </c>
      <c r="D1341" t="s">
        <v>21</v>
      </c>
      <c r="E1341" t="s">
        <v>971</v>
      </c>
      <c r="F1341" s="1">
        <v>10.95</v>
      </c>
      <c r="G1341">
        <v>3</v>
      </c>
      <c r="H1341" s="1">
        <v>3.2850000000000001</v>
      </c>
      <c r="I1341" s="4">
        <f>SalesData[[#This Row],[Profit]]/SalesData[[#This Row],[Sales]]</f>
        <v>0.30000000000000004</v>
      </c>
      <c r="J1341">
        <f>YEAR(SalesData[[#This Row],[Order Date]])</f>
        <v>2016</v>
      </c>
      <c r="K1341" t="str">
        <f>TEXT(SalesData[[#This Row],[Order Date]],"mmm")</f>
        <v>Jan</v>
      </c>
      <c r="L1341">
        <f>MONTH(SalesData[[#This Row],[Order Date]])</f>
        <v>1</v>
      </c>
      <c r="M1341">
        <f>SalesData[[#This Row],[Sales]]/SalesData[[#This Row],[Quantity]]</f>
        <v>3.65</v>
      </c>
      <c r="N1341" t="str">
        <f>IF(SalesData[[#This Row],[Profit]]&gt;0,"Profit","Loss")</f>
        <v>Profit</v>
      </c>
    </row>
    <row r="1342" spans="1:14" x14ac:dyDescent="0.3">
      <c r="A1342" t="s">
        <v>1875</v>
      </c>
      <c r="B1342" s="3">
        <v>42373</v>
      </c>
      <c r="C1342" t="s">
        <v>17</v>
      </c>
      <c r="D1342" t="s">
        <v>21</v>
      </c>
      <c r="E1342" t="s">
        <v>1518</v>
      </c>
      <c r="F1342" s="1">
        <v>14.352</v>
      </c>
      <c r="G1342">
        <v>3</v>
      </c>
      <c r="H1342" s="1">
        <v>4.6643999999999997</v>
      </c>
      <c r="I1342" s="4">
        <f>SalesData[[#This Row],[Profit]]/SalesData[[#This Row],[Sales]]</f>
        <v>0.32499999999999996</v>
      </c>
      <c r="J1342">
        <f>YEAR(SalesData[[#This Row],[Order Date]])</f>
        <v>2016</v>
      </c>
      <c r="K1342" t="str">
        <f>TEXT(SalesData[[#This Row],[Order Date]],"mmm")</f>
        <v>Jan</v>
      </c>
      <c r="L1342">
        <f>MONTH(SalesData[[#This Row],[Order Date]])</f>
        <v>1</v>
      </c>
      <c r="M1342">
        <f>SalesData[[#This Row],[Sales]]/SalesData[[#This Row],[Quantity]]</f>
        <v>4.7839999999999998</v>
      </c>
      <c r="N1342" t="str">
        <f>IF(SalesData[[#This Row],[Profit]]&gt;0,"Profit","Loss")</f>
        <v>Profit</v>
      </c>
    </row>
    <row r="1343" spans="1:14" x14ac:dyDescent="0.3">
      <c r="A1343" t="s">
        <v>1877</v>
      </c>
      <c r="B1343" s="3">
        <v>42373</v>
      </c>
      <c r="C1343" t="s">
        <v>17</v>
      </c>
      <c r="D1343" t="s">
        <v>14</v>
      </c>
      <c r="E1343" t="s">
        <v>700</v>
      </c>
      <c r="F1343" s="1">
        <v>1317.492</v>
      </c>
      <c r="G1343">
        <v>6</v>
      </c>
      <c r="H1343" s="1">
        <v>292.77600000000001</v>
      </c>
      <c r="I1343" s="4">
        <f>SalesData[[#This Row],[Profit]]/SalesData[[#This Row],[Sales]]</f>
        <v>0.22222222222222224</v>
      </c>
      <c r="J1343">
        <f>YEAR(SalesData[[#This Row],[Order Date]])</f>
        <v>2016</v>
      </c>
      <c r="K1343" t="str">
        <f>TEXT(SalesData[[#This Row],[Order Date]],"mmm")</f>
        <v>Jan</v>
      </c>
      <c r="L1343">
        <f>MONTH(SalesData[[#This Row],[Order Date]])</f>
        <v>1</v>
      </c>
      <c r="M1343">
        <f>SalesData[[#This Row],[Sales]]/SalesData[[#This Row],[Quantity]]</f>
        <v>219.58199999999999</v>
      </c>
      <c r="N1343" t="str">
        <f>IF(SalesData[[#This Row],[Profit]]&gt;0,"Profit","Loss")</f>
        <v>Profit</v>
      </c>
    </row>
    <row r="1344" spans="1:14" x14ac:dyDescent="0.3">
      <c r="A1344" t="s">
        <v>1877</v>
      </c>
      <c r="B1344" s="3">
        <v>42373</v>
      </c>
      <c r="C1344" t="s">
        <v>17</v>
      </c>
      <c r="D1344" t="s">
        <v>21</v>
      </c>
      <c r="E1344" t="s">
        <v>749</v>
      </c>
      <c r="F1344" s="1">
        <v>63.84</v>
      </c>
      <c r="G1344">
        <v>8</v>
      </c>
      <c r="H1344" s="1">
        <v>18.5136</v>
      </c>
      <c r="I1344" s="4">
        <f>SalesData[[#This Row],[Profit]]/SalesData[[#This Row],[Sales]]</f>
        <v>0.28999999999999998</v>
      </c>
      <c r="J1344">
        <f>YEAR(SalesData[[#This Row],[Order Date]])</f>
        <v>2016</v>
      </c>
      <c r="K1344" t="str">
        <f>TEXT(SalesData[[#This Row],[Order Date]],"mmm")</f>
        <v>Jan</v>
      </c>
      <c r="L1344">
        <f>MONTH(SalesData[[#This Row],[Order Date]])</f>
        <v>1</v>
      </c>
      <c r="M1344">
        <f>SalesData[[#This Row],[Sales]]/SalesData[[#This Row],[Quantity]]</f>
        <v>7.98</v>
      </c>
      <c r="N1344" t="str">
        <f>IF(SalesData[[#This Row],[Profit]]&gt;0,"Profit","Loss")</f>
        <v>Profit</v>
      </c>
    </row>
    <row r="1345" spans="1:14" x14ac:dyDescent="0.3">
      <c r="A1345" t="s">
        <v>1877</v>
      </c>
      <c r="B1345" s="3">
        <v>42373</v>
      </c>
      <c r="C1345" t="s">
        <v>17</v>
      </c>
      <c r="D1345" t="s">
        <v>21</v>
      </c>
      <c r="E1345" t="s">
        <v>319</v>
      </c>
      <c r="F1345" s="1">
        <v>3.5920000000000001</v>
      </c>
      <c r="G1345">
        <v>1</v>
      </c>
      <c r="H1345" s="1">
        <v>1.1225000000000001</v>
      </c>
      <c r="I1345" s="4">
        <f>SalesData[[#This Row],[Profit]]/SalesData[[#This Row],[Sales]]</f>
        <v>0.3125</v>
      </c>
      <c r="J1345">
        <f>YEAR(SalesData[[#This Row],[Order Date]])</f>
        <v>2016</v>
      </c>
      <c r="K1345" t="str">
        <f>TEXT(SalesData[[#This Row],[Order Date]],"mmm")</f>
        <v>Jan</v>
      </c>
      <c r="L1345">
        <f>MONTH(SalesData[[#This Row],[Order Date]])</f>
        <v>1</v>
      </c>
      <c r="M1345">
        <f>SalesData[[#This Row],[Sales]]/SalesData[[#This Row],[Quantity]]</f>
        <v>3.5920000000000001</v>
      </c>
      <c r="N1345" t="str">
        <f>IF(SalesData[[#This Row],[Profit]]&gt;0,"Profit","Loss")</f>
        <v>Profit</v>
      </c>
    </row>
    <row r="1346" spans="1:14" x14ac:dyDescent="0.3">
      <c r="A1346" t="s">
        <v>1878</v>
      </c>
      <c r="B1346" s="3">
        <v>42373</v>
      </c>
      <c r="C1346" t="s">
        <v>46</v>
      </c>
      <c r="D1346" t="s">
        <v>14</v>
      </c>
      <c r="E1346" t="s">
        <v>1879</v>
      </c>
      <c r="F1346" s="1">
        <v>7.04</v>
      </c>
      <c r="G1346">
        <v>4</v>
      </c>
      <c r="H1346" s="1">
        <v>3.0975999999999999</v>
      </c>
      <c r="I1346" s="4">
        <f>SalesData[[#This Row],[Profit]]/SalesData[[#This Row],[Sales]]</f>
        <v>0.44</v>
      </c>
      <c r="J1346">
        <f>YEAR(SalesData[[#This Row],[Order Date]])</f>
        <v>2016</v>
      </c>
      <c r="K1346" t="str">
        <f>TEXT(SalesData[[#This Row],[Order Date]],"mmm")</f>
        <v>Jan</v>
      </c>
      <c r="L1346">
        <f>MONTH(SalesData[[#This Row],[Order Date]])</f>
        <v>1</v>
      </c>
      <c r="M1346">
        <f>SalesData[[#This Row],[Sales]]/SalesData[[#This Row],[Quantity]]</f>
        <v>1.76</v>
      </c>
      <c r="N1346" t="str">
        <f>IF(SalesData[[#This Row],[Profit]]&gt;0,"Profit","Loss")</f>
        <v>Profit</v>
      </c>
    </row>
    <row r="1347" spans="1:14" x14ac:dyDescent="0.3">
      <c r="A1347" t="s">
        <v>1880</v>
      </c>
      <c r="B1347" s="3">
        <v>42373</v>
      </c>
      <c r="C1347" t="s">
        <v>9</v>
      </c>
      <c r="D1347" t="s">
        <v>10</v>
      </c>
      <c r="E1347" t="s">
        <v>1881</v>
      </c>
      <c r="F1347" s="1">
        <v>12.99</v>
      </c>
      <c r="G1347">
        <v>1</v>
      </c>
      <c r="H1347" s="1">
        <v>0.25979999999999998</v>
      </c>
      <c r="I1347" s="4">
        <f>SalesData[[#This Row],[Profit]]/SalesData[[#This Row],[Sales]]</f>
        <v>1.9999999999999997E-2</v>
      </c>
      <c r="J1347">
        <f>YEAR(SalesData[[#This Row],[Order Date]])</f>
        <v>2016</v>
      </c>
      <c r="K1347" t="str">
        <f>TEXT(SalesData[[#This Row],[Order Date]],"mmm")</f>
        <v>Jan</v>
      </c>
      <c r="L1347">
        <f>MONTH(SalesData[[#This Row],[Order Date]])</f>
        <v>1</v>
      </c>
      <c r="M1347">
        <f>SalesData[[#This Row],[Sales]]/SalesData[[#This Row],[Quantity]]</f>
        <v>12.99</v>
      </c>
      <c r="N1347" t="str">
        <f>IF(SalesData[[#This Row],[Profit]]&gt;0,"Profit","Loss")</f>
        <v>Profit</v>
      </c>
    </row>
    <row r="1348" spans="1:14" x14ac:dyDescent="0.3">
      <c r="A1348" t="s">
        <v>1882</v>
      </c>
      <c r="B1348" s="3">
        <v>42374</v>
      </c>
      <c r="C1348" t="s">
        <v>46</v>
      </c>
      <c r="D1348" t="s">
        <v>21</v>
      </c>
      <c r="E1348" t="s">
        <v>181</v>
      </c>
      <c r="F1348" s="1">
        <v>3.984</v>
      </c>
      <c r="G1348">
        <v>1</v>
      </c>
      <c r="H1348" s="1">
        <v>1.2948</v>
      </c>
      <c r="I1348" s="4">
        <f>SalesData[[#This Row],[Profit]]/SalesData[[#This Row],[Sales]]</f>
        <v>0.32500000000000001</v>
      </c>
      <c r="J1348">
        <f>YEAR(SalesData[[#This Row],[Order Date]])</f>
        <v>2016</v>
      </c>
      <c r="K1348" t="str">
        <f>TEXT(SalesData[[#This Row],[Order Date]],"mmm")</f>
        <v>Jan</v>
      </c>
      <c r="L1348">
        <f>MONTH(SalesData[[#This Row],[Order Date]])</f>
        <v>1</v>
      </c>
      <c r="M1348">
        <f>SalesData[[#This Row],[Sales]]/SalesData[[#This Row],[Quantity]]</f>
        <v>3.984</v>
      </c>
      <c r="N1348" t="str">
        <f>IF(SalesData[[#This Row],[Profit]]&gt;0,"Profit","Loss")</f>
        <v>Profit</v>
      </c>
    </row>
    <row r="1349" spans="1:14" x14ac:dyDescent="0.3">
      <c r="A1349" t="s">
        <v>1882</v>
      </c>
      <c r="B1349" s="3">
        <v>42374</v>
      </c>
      <c r="C1349" t="s">
        <v>46</v>
      </c>
      <c r="D1349" t="s">
        <v>14</v>
      </c>
      <c r="E1349" t="s">
        <v>752</v>
      </c>
      <c r="F1349" s="1">
        <v>370.62</v>
      </c>
      <c r="G1349">
        <v>3</v>
      </c>
      <c r="H1349" s="1">
        <v>-142.071</v>
      </c>
      <c r="I1349" s="4">
        <f>SalesData[[#This Row],[Profit]]/SalesData[[#This Row],[Sales]]</f>
        <v>-0.3833333333333333</v>
      </c>
      <c r="J1349">
        <f>YEAR(SalesData[[#This Row],[Order Date]])</f>
        <v>2016</v>
      </c>
      <c r="K1349" t="str">
        <f>TEXT(SalesData[[#This Row],[Order Date]],"mmm")</f>
        <v>Jan</v>
      </c>
      <c r="L1349">
        <f>MONTH(SalesData[[#This Row],[Order Date]])</f>
        <v>1</v>
      </c>
      <c r="M1349">
        <f>SalesData[[#This Row],[Sales]]/SalesData[[#This Row],[Quantity]]</f>
        <v>123.54</v>
      </c>
      <c r="N1349" t="str">
        <f>IF(SalesData[[#This Row],[Profit]]&gt;0,"Profit","Loss")</f>
        <v>Loss</v>
      </c>
    </row>
    <row r="1350" spans="1:14" x14ac:dyDescent="0.3">
      <c r="A1350" t="s">
        <v>1882</v>
      </c>
      <c r="B1350" s="3">
        <v>42374</v>
      </c>
      <c r="C1350" t="s">
        <v>46</v>
      </c>
      <c r="D1350" t="s">
        <v>21</v>
      </c>
      <c r="E1350" t="s">
        <v>921</v>
      </c>
      <c r="F1350" s="1">
        <v>2.742</v>
      </c>
      <c r="G1350">
        <v>2</v>
      </c>
      <c r="H1350" s="1">
        <v>-2.0108000000000001</v>
      </c>
      <c r="I1350" s="4">
        <f>SalesData[[#This Row],[Profit]]/SalesData[[#This Row],[Sales]]</f>
        <v>-0.73333333333333339</v>
      </c>
      <c r="J1350">
        <f>YEAR(SalesData[[#This Row],[Order Date]])</f>
        <v>2016</v>
      </c>
      <c r="K1350" t="str">
        <f>TEXT(SalesData[[#This Row],[Order Date]],"mmm")</f>
        <v>Jan</v>
      </c>
      <c r="L1350">
        <f>MONTH(SalesData[[#This Row],[Order Date]])</f>
        <v>1</v>
      </c>
      <c r="M1350">
        <f>SalesData[[#This Row],[Sales]]/SalesData[[#This Row],[Quantity]]</f>
        <v>1.371</v>
      </c>
      <c r="N1350" t="str">
        <f>IF(SalesData[[#This Row],[Profit]]&gt;0,"Profit","Loss")</f>
        <v>Loss</v>
      </c>
    </row>
    <row r="1351" spans="1:14" x14ac:dyDescent="0.3">
      <c r="A1351" t="s">
        <v>1883</v>
      </c>
      <c r="B1351" s="3">
        <v>42374</v>
      </c>
      <c r="C1351" t="s">
        <v>46</v>
      </c>
      <c r="D1351" t="s">
        <v>21</v>
      </c>
      <c r="E1351" t="s">
        <v>1884</v>
      </c>
      <c r="F1351" s="1">
        <v>109.92</v>
      </c>
      <c r="G1351">
        <v>2</v>
      </c>
      <c r="H1351" s="1">
        <v>53.860799999999998</v>
      </c>
      <c r="I1351" s="4">
        <f>SalesData[[#This Row],[Profit]]/SalesData[[#This Row],[Sales]]</f>
        <v>0.49</v>
      </c>
      <c r="J1351">
        <f>YEAR(SalesData[[#This Row],[Order Date]])</f>
        <v>2016</v>
      </c>
      <c r="K1351" t="str">
        <f>TEXT(SalesData[[#This Row],[Order Date]],"mmm")</f>
        <v>Jan</v>
      </c>
      <c r="L1351">
        <f>MONTH(SalesData[[#This Row],[Order Date]])</f>
        <v>1</v>
      </c>
      <c r="M1351">
        <f>SalesData[[#This Row],[Sales]]/SalesData[[#This Row],[Quantity]]</f>
        <v>54.96</v>
      </c>
      <c r="N1351" t="str">
        <f>IF(SalesData[[#This Row],[Profit]]&gt;0,"Profit","Loss")</f>
        <v>Profit</v>
      </c>
    </row>
    <row r="1352" spans="1:14" x14ac:dyDescent="0.3">
      <c r="A1352" t="s">
        <v>1883</v>
      </c>
      <c r="B1352" s="3">
        <v>42374</v>
      </c>
      <c r="C1352" t="s">
        <v>46</v>
      </c>
      <c r="D1352" t="s">
        <v>21</v>
      </c>
      <c r="E1352" t="s">
        <v>1885</v>
      </c>
      <c r="F1352" s="1">
        <v>19.440000000000001</v>
      </c>
      <c r="G1352">
        <v>3</v>
      </c>
      <c r="H1352" s="1">
        <v>9.3312000000000008</v>
      </c>
      <c r="I1352" s="4">
        <f>SalesData[[#This Row],[Profit]]/SalesData[[#This Row],[Sales]]</f>
        <v>0.48000000000000004</v>
      </c>
      <c r="J1352">
        <f>YEAR(SalesData[[#This Row],[Order Date]])</f>
        <v>2016</v>
      </c>
      <c r="K1352" t="str">
        <f>TEXT(SalesData[[#This Row],[Order Date]],"mmm")</f>
        <v>Jan</v>
      </c>
      <c r="L1352">
        <f>MONTH(SalesData[[#This Row],[Order Date]])</f>
        <v>1</v>
      </c>
      <c r="M1352">
        <f>SalesData[[#This Row],[Sales]]/SalesData[[#This Row],[Quantity]]</f>
        <v>6.48</v>
      </c>
      <c r="N1352" t="str">
        <f>IF(SalesData[[#This Row],[Profit]]&gt;0,"Profit","Loss")</f>
        <v>Profit</v>
      </c>
    </row>
    <row r="1353" spans="1:14" x14ac:dyDescent="0.3">
      <c r="A1353" t="s">
        <v>1883</v>
      </c>
      <c r="B1353" s="3">
        <v>42374</v>
      </c>
      <c r="C1353" t="s">
        <v>46</v>
      </c>
      <c r="D1353" t="s">
        <v>21</v>
      </c>
      <c r="E1353" t="s">
        <v>153</v>
      </c>
      <c r="F1353" s="1">
        <v>11.16</v>
      </c>
      <c r="G1353">
        <v>2</v>
      </c>
      <c r="H1353" s="1">
        <v>4.3524000000000003</v>
      </c>
      <c r="I1353" s="4">
        <f>SalesData[[#This Row],[Profit]]/SalesData[[#This Row],[Sales]]</f>
        <v>0.39</v>
      </c>
      <c r="J1353">
        <f>YEAR(SalesData[[#This Row],[Order Date]])</f>
        <v>2016</v>
      </c>
      <c r="K1353" t="str">
        <f>TEXT(SalesData[[#This Row],[Order Date]],"mmm")</f>
        <v>Jan</v>
      </c>
      <c r="L1353">
        <f>MONTH(SalesData[[#This Row],[Order Date]])</f>
        <v>1</v>
      </c>
      <c r="M1353">
        <f>SalesData[[#This Row],[Sales]]/SalesData[[#This Row],[Quantity]]</f>
        <v>5.58</v>
      </c>
      <c r="N1353" t="str">
        <f>IF(SalesData[[#This Row],[Profit]]&gt;0,"Profit","Loss")</f>
        <v>Profit</v>
      </c>
    </row>
    <row r="1354" spans="1:14" x14ac:dyDescent="0.3">
      <c r="A1354" t="s">
        <v>1886</v>
      </c>
      <c r="B1354" s="3">
        <v>42376</v>
      </c>
      <c r="C1354" t="s">
        <v>46</v>
      </c>
      <c r="D1354" t="s">
        <v>21</v>
      </c>
      <c r="E1354" t="s">
        <v>1485</v>
      </c>
      <c r="F1354" s="1">
        <v>14.2</v>
      </c>
      <c r="G1354">
        <v>2</v>
      </c>
      <c r="H1354" s="1">
        <v>6.532</v>
      </c>
      <c r="I1354" s="4">
        <f>SalesData[[#This Row],[Profit]]/SalesData[[#This Row],[Sales]]</f>
        <v>0.46</v>
      </c>
      <c r="J1354">
        <f>YEAR(SalesData[[#This Row],[Order Date]])</f>
        <v>2016</v>
      </c>
      <c r="K1354" t="str">
        <f>TEXT(SalesData[[#This Row],[Order Date]],"mmm")</f>
        <v>Jan</v>
      </c>
      <c r="L1354">
        <f>MONTH(SalesData[[#This Row],[Order Date]])</f>
        <v>1</v>
      </c>
      <c r="M1354">
        <f>SalesData[[#This Row],[Sales]]/SalesData[[#This Row],[Quantity]]</f>
        <v>7.1</v>
      </c>
      <c r="N1354" t="str">
        <f>IF(SalesData[[#This Row],[Profit]]&gt;0,"Profit","Loss")</f>
        <v>Profit</v>
      </c>
    </row>
    <row r="1355" spans="1:14" x14ac:dyDescent="0.3">
      <c r="A1355" t="s">
        <v>1886</v>
      </c>
      <c r="B1355" s="3">
        <v>42376</v>
      </c>
      <c r="C1355" t="s">
        <v>46</v>
      </c>
      <c r="D1355" t="s">
        <v>21</v>
      </c>
      <c r="E1355" t="s">
        <v>787</v>
      </c>
      <c r="F1355" s="1">
        <v>12.96</v>
      </c>
      <c r="G1355">
        <v>2</v>
      </c>
      <c r="H1355" s="1">
        <v>6.2207999999999997</v>
      </c>
      <c r="I1355" s="4">
        <f>SalesData[[#This Row],[Profit]]/SalesData[[#This Row],[Sales]]</f>
        <v>0.47999999999999993</v>
      </c>
      <c r="J1355">
        <f>YEAR(SalesData[[#This Row],[Order Date]])</f>
        <v>2016</v>
      </c>
      <c r="K1355" t="str">
        <f>TEXT(SalesData[[#This Row],[Order Date]],"mmm")</f>
        <v>Jan</v>
      </c>
      <c r="L1355">
        <f>MONTH(SalesData[[#This Row],[Order Date]])</f>
        <v>1</v>
      </c>
      <c r="M1355">
        <f>SalesData[[#This Row],[Sales]]/SalesData[[#This Row],[Quantity]]</f>
        <v>6.48</v>
      </c>
      <c r="N1355" t="str">
        <f>IF(SalesData[[#This Row],[Profit]]&gt;0,"Profit","Loss")</f>
        <v>Profit</v>
      </c>
    </row>
    <row r="1356" spans="1:14" x14ac:dyDescent="0.3">
      <c r="A1356" t="s">
        <v>1886</v>
      </c>
      <c r="B1356" s="3">
        <v>42376</v>
      </c>
      <c r="C1356" t="s">
        <v>46</v>
      </c>
      <c r="D1356" t="s">
        <v>21</v>
      </c>
      <c r="E1356" t="s">
        <v>1887</v>
      </c>
      <c r="F1356" s="1">
        <v>58.34</v>
      </c>
      <c r="G1356">
        <v>2</v>
      </c>
      <c r="H1356" s="1">
        <v>28.0032</v>
      </c>
      <c r="I1356" s="4">
        <f>SalesData[[#This Row],[Profit]]/SalesData[[#This Row],[Sales]]</f>
        <v>0.48</v>
      </c>
      <c r="J1356">
        <f>YEAR(SalesData[[#This Row],[Order Date]])</f>
        <v>2016</v>
      </c>
      <c r="K1356" t="str">
        <f>TEXT(SalesData[[#This Row],[Order Date]],"mmm")</f>
        <v>Jan</v>
      </c>
      <c r="L1356">
        <f>MONTH(SalesData[[#This Row],[Order Date]])</f>
        <v>1</v>
      </c>
      <c r="M1356">
        <f>SalesData[[#This Row],[Sales]]/SalesData[[#This Row],[Quantity]]</f>
        <v>29.17</v>
      </c>
      <c r="N1356" t="str">
        <f>IF(SalesData[[#This Row],[Profit]]&gt;0,"Profit","Loss")</f>
        <v>Profit</v>
      </c>
    </row>
    <row r="1357" spans="1:14" x14ac:dyDescent="0.3">
      <c r="A1357" t="s">
        <v>1888</v>
      </c>
      <c r="B1357" s="3">
        <v>42376</v>
      </c>
      <c r="C1357" t="s">
        <v>13</v>
      </c>
      <c r="D1357" t="s">
        <v>10</v>
      </c>
      <c r="E1357" t="s">
        <v>1832</v>
      </c>
      <c r="F1357" s="1">
        <v>1499.95</v>
      </c>
      <c r="G1357">
        <v>5</v>
      </c>
      <c r="H1357" s="1">
        <v>449.98500000000001</v>
      </c>
      <c r="I1357" s="4">
        <f>SalesData[[#This Row],[Profit]]/SalesData[[#This Row],[Sales]]</f>
        <v>0.3</v>
      </c>
      <c r="J1357">
        <f>YEAR(SalesData[[#This Row],[Order Date]])</f>
        <v>2016</v>
      </c>
      <c r="K1357" t="str">
        <f>TEXT(SalesData[[#This Row],[Order Date]],"mmm")</f>
        <v>Jan</v>
      </c>
      <c r="L1357">
        <f>MONTH(SalesData[[#This Row],[Order Date]])</f>
        <v>1</v>
      </c>
      <c r="M1357">
        <f>SalesData[[#This Row],[Sales]]/SalesData[[#This Row],[Quantity]]</f>
        <v>299.99</v>
      </c>
      <c r="N1357" t="str">
        <f>IF(SalesData[[#This Row],[Profit]]&gt;0,"Profit","Loss")</f>
        <v>Profit</v>
      </c>
    </row>
    <row r="1358" spans="1:14" x14ac:dyDescent="0.3">
      <c r="A1358" t="s">
        <v>1889</v>
      </c>
      <c r="B1358" s="3">
        <v>42376</v>
      </c>
      <c r="C1358" t="s">
        <v>17</v>
      </c>
      <c r="D1358" t="s">
        <v>21</v>
      </c>
      <c r="E1358" t="s">
        <v>1890</v>
      </c>
      <c r="F1358" s="1">
        <v>30.53</v>
      </c>
      <c r="G1358">
        <v>1</v>
      </c>
      <c r="H1358" s="1">
        <v>14.043799999999999</v>
      </c>
      <c r="I1358" s="4">
        <f>SalesData[[#This Row],[Profit]]/SalesData[[#This Row],[Sales]]</f>
        <v>0.45999999999999996</v>
      </c>
      <c r="J1358">
        <f>YEAR(SalesData[[#This Row],[Order Date]])</f>
        <v>2016</v>
      </c>
      <c r="K1358" t="str">
        <f>TEXT(SalesData[[#This Row],[Order Date]],"mmm")</f>
        <v>Jan</v>
      </c>
      <c r="L1358">
        <f>MONTH(SalesData[[#This Row],[Order Date]])</f>
        <v>1</v>
      </c>
      <c r="M1358">
        <f>SalesData[[#This Row],[Sales]]/SalesData[[#This Row],[Quantity]]</f>
        <v>30.53</v>
      </c>
      <c r="N1358" t="str">
        <f>IF(SalesData[[#This Row],[Profit]]&gt;0,"Profit","Loss")</f>
        <v>Profit</v>
      </c>
    </row>
    <row r="1359" spans="1:14" x14ac:dyDescent="0.3">
      <c r="A1359" t="s">
        <v>1889</v>
      </c>
      <c r="B1359" s="3">
        <v>42376</v>
      </c>
      <c r="C1359" t="s">
        <v>17</v>
      </c>
      <c r="D1359" t="s">
        <v>10</v>
      </c>
      <c r="E1359" t="s">
        <v>1891</v>
      </c>
      <c r="F1359" s="1">
        <v>30.84</v>
      </c>
      <c r="G1359">
        <v>3</v>
      </c>
      <c r="H1359" s="1">
        <v>6.1680000000000001</v>
      </c>
      <c r="I1359" s="4">
        <f>SalesData[[#This Row],[Profit]]/SalesData[[#This Row],[Sales]]</f>
        <v>0.2</v>
      </c>
      <c r="J1359">
        <f>YEAR(SalesData[[#This Row],[Order Date]])</f>
        <v>2016</v>
      </c>
      <c r="K1359" t="str">
        <f>TEXT(SalesData[[#This Row],[Order Date]],"mmm")</f>
        <v>Jan</v>
      </c>
      <c r="L1359">
        <f>MONTH(SalesData[[#This Row],[Order Date]])</f>
        <v>1</v>
      </c>
      <c r="M1359">
        <f>SalesData[[#This Row],[Sales]]/SalesData[[#This Row],[Quantity]]</f>
        <v>10.28</v>
      </c>
      <c r="N1359" t="str">
        <f>IF(SalesData[[#This Row],[Profit]]&gt;0,"Profit","Loss")</f>
        <v>Profit</v>
      </c>
    </row>
    <row r="1360" spans="1:14" x14ac:dyDescent="0.3">
      <c r="A1360" t="s">
        <v>1889</v>
      </c>
      <c r="B1360" s="3">
        <v>42376</v>
      </c>
      <c r="C1360" t="s">
        <v>17</v>
      </c>
      <c r="D1360" t="s">
        <v>21</v>
      </c>
      <c r="E1360" t="s">
        <v>1892</v>
      </c>
      <c r="F1360" s="1">
        <v>75.06</v>
      </c>
      <c r="G1360">
        <v>9</v>
      </c>
      <c r="H1360" s="1">
        <v>33.777000000000001</v>
      </c>
      <c r="I1360" s="4">
        <f>SalesData[[#This Row],[Profit]]/SalesData[[#This Row],[Sales]]</f>
        <v>0.45</v>
      </c>
      <c r="J1360">
        <f>YEAR(SalesData[[#This Row],[Order Date]])</f>
        <v>2016</v>
      </c>
      <c r="K1360" t="str">
        <f>TEXT(SalesData[[#This Row],[Order Date]],"mmm")</f>
        <v>Jan</v>
      </c>
      <c r="L1360">
        <f>MONTH(SalesData[[#This Row],[Order Date]])</f>
        <v>1</v>
      </c>
      <c r="M1360">
        <f>SalesData[[#This Row],[Sales]]/SalesData[[#This Row],[Quantity]]</f>
        <v>8.34</v>
      </c>
      <c r="N1360" t="str">
        <f>IF(SalesData[[#This Row],[Profit]]&gt;0,"Profit","Loss")</f>
        <v>Profit</v>
      </c>
    </row>
    <row r="1361" spans="1:14" x14ac:dyDescent="0.3">
      <c r="A1361" t="s">
        <v>1893</v>
      </c>
      <c r="B1361" s="3">
        <v>42376</v>
      </c>
      <c r="C1361" t="s">
        <v>13</v>
      </c>
      <c r="D1361" t="s">
        <v>21</v>
      </c>
      <c r="E1361" t="s">
        <v>36</v>
      </c>
      <c r="F1361" s="1">
        <v>2.496</v>
      </c>
      <c r="G1361">
        <v>1</v>
      </c>
      <c r="H1361" s="1">
        <v>0.90480000000000005</v>
      </c>
      <c r="I1361" s="4">
        <f>SalesData[[#This Row],[Profit]]/SalesData[[#This Row],[Sales]]</f>
        <v>0.36250000000000004</v>
      </c>
      <c r="J1361">
        <f>YEAR(SalesData[[#This Row],[Order Date]])</f>
        <v>2016</v>
      </c>
      <c r="K1361" t="str">
        <f>TEXT(SalesData[[#This Row],[Order Date]],"mmm")</f>
        <v>Jan</v>
      </c>
      <c r="L1361">
        <f>MONTH(SalesData[[#This Row],[Order Date]])</f>
        <v>1</v>
      </c>
      <c r="M1361">
        <f>SalesData[[#This Row],[Sales]]/SalesData[[#This Row],[Quantity]]</f>
        <v>2.496</v>
      </c>
      <c r="N1361" t="str">
        <f>IF(SalesData[[#This Row],[Profit]]&gt;0,"Profit","Loss")</f>
        <v>Profit</v>
      </c>
    </row>
    <row r="1362" spans="1:14" x14ac:dyDescent="0.3">
      <c r="A1362" t="s">
        <v>1894</v>
      </c>
      <c r="B1362" s="3">
        <v>42377</v>
      </c>
      <c r="C1362" t="s">
        <v>9</v>
      </c>
      <c r="D1362" t="s">
        <v>21</v>
      </c>
      <c r="E1362" t="s">
        <v>94</v>
      </c>
      <c r="F1362" s="1">
        <v>19.648</v>
      </c>
      <c r="G1362">
        <v>2</v>
      </c>
      <c r="H1362" s="1">
        <v>6.6311999999999998</v>
      </c>
      <c r="I1362" s="4">
        <f>SalesData[[#This Row],[Profit]]/SalesData[[#This Row],[Sales]]</f>
        <v>0.33749999999999997</v>
      </c>
      <c r="J1362">
        <f>YEAR(SalesData[[#This Row],[Order Date]])</f>
        <v>2016</v>
      </c>
      <c r="K1362" t="str">
        <f>TEXT(SalesData[[#This Row],[Order Date]],"mmm")</f>
        <v>Jan</v>
      </c>
      <c r="L1362">
        <f>MONTH(SalesData[[#This Row],[Order Date]])</f>
        <v>1</v>
      </c>
      <c r="M1362">
        <f>SalesData[[#This Row],[Sales]]/SalesData[[#This Row],[Quantity]]</f>
        <v>9.8239999999999998</v>
      </c>
      <c r="N1362" t="str">
        <f>IF(SalesData[[#This Row],[Profit]]&gt;0,"Profit","Loss")</f>
        <v>Profit</v>
      </c>
    </row>
    <row r="1363" spans="1:14" x14ac:dyDescent="0.3">
      <c r="A1363" t="s">
        <v>1895</v>
      </c>
      <c r="B1363" s="3">
        <v>42377</v>
      </c>
      <c r="C1363" t="s">
        <v>13</v>
      </c>
      <c r="D1363" t="s">
        <v>10</v>
      </c>
      <c r="E1363" t="s">
        <v>1896</v>
      </c>
      <c r="F1363" s="1">
        <v>1039.7280000000001</v>
      </c>
      <c r="G1363">
        <v>2</v>
      </c>
      <c r="H1363" s="1">
        <v>90.976200000000006</v>
      </c>
      <c r="I1363" s="4">
        <f>SalesData[[#This Row],[Profit]]/SalesData[[#This Row],[Sales]]</f>
        <v>8.7499999999999994E-2</v>
      </c>
      <c r="J1363">
        <f>YEAR(SalesData[[#This Row],[Order Date]])</f>
        <v>2016</v>
      </c>
      <c r="K1363" t="str">
        <f>TEXT(SalesData[[#This Row],[Order Date]],"mmm")</f>
        <v>Jan</v>
      </c>
      <c r="L1363">
        <f>MONTH(SalesData[[#This Row],[Order Date]])</f>
        <v>1</v>
      </c>
      <c r="M1363">
        <f>SalesData[[#This Row],[Sales]]/SalesData[[#This Row],[Quantity]]</f>
        <v>519.86400000000003</v>
      </c>
      <c r="N1363" t="str">
        <f>IF(SalesData[[#This Row],[Profit]]&gt;0,"Profit","Loss")</f>
        <v>Profit</v>
      </c>
    </row>
    <row r="1364" spans="1:14" x14ac:dyDescent="0.3">
      <c r="A1364" t="s">
        <v>1895</v>
      </c>
      <c r="B1364" s="3">
        <v>42377</v>
      </c>
      <c r="C1364" t="s">
        <v>13</v>
      </c>
      <c r="D1364" t="s">
        <v>21</v>
      </c>
      <c r="E1364" t="s">
        <v>451</v>
      </c>
      <c r="F1364" s="1">
        <v>45.96</v>
      </c>
      <c r="G1364">
        <v>2</v>
      </c>
      <c r="H1364" s="1">
        <v>13.788</v>
      </c>
      <c r="I1364" s="4">
        <f>SalesData[[#This Row],[Profit]]/SalesData[[#This Row],[Sales]]</f>
        <v>0.3</v>
      </c>
      <c r="J1364">
        <f>YEAR(SalesData[[#This Row],[Order Date]])</f>
        <v>2016</v>
      </c>
      <c r="K1364" t="str">
        <f>TEXT(SalesData[[#This Row],[Order Date]],"mmm")</f>
        <v>Jan</v>
      </c>
      <c r="L1364">
        <f>MONTH(SalesData[[#This Row],[Order Date]])</f>
        <v>1</v>
      </c>
      <c r="M1364">
        <f>SalesData[[#This Row],[Sales]]/SalesData[[#This Row],[Quantity]]</f>
        <v>22.98</v>
      </c>
      <c r="N1364" t="str">
        <f>IF(SalesData[[#This Row],[Profit]]&gt;0,"Profit","Loss")</f>
        <v>Profit</v>
      </c>
    </row>
    <row r="1365" spans="1:14" x14ac:dyDescent="0.3">
      <c r="A1365" t="s">
        <v>1897</v>
      </c>
      <c r="B1365" s="3">
        <v>42377</v>
      </c>
      <c r="C1365" t="s">
        <v>17</v>
      </c>
      <c r="D1365" t="s">
        <v>14</v>
      </c>
      <c r="E1365" t="s">
        <v>1898</v>
      </c>
      <c r="F1365" s="1">
        <v>19.312000000000001</v>
      </c>
      <c r="G1365">
        <v>2</v>
      </c>
      <c r="H1365" s="1">
        <v>3.1381999999999999</v>
      </c>
      <c r="I1365" s="4">
        <f>SalesData[[#This Row],[Profit]]/SalesData[[#This Row],[Sales]]</f>
        <v>0.16249999999999998</v>
      </c>
      <c r="J1365">
        <f>YEAR(SalesData[[#This Row],[Order Date]])</f>
        <v>2016</v>
      </c>
      <c r="K1365" t="str">
        <f>TEXT(SalesData[[#This Row],[Order Date]],"mmm")</f>
        <v>Jan</v>
      </c>
      <c r="L1365">
        <f>MONTH(SalesData[[#This Row],[Order Date]])</f>
        <v>1</v>
      </c>
      <c r="M1365">
        <f>SalesData[[#This Row],[Sales]]/SalesData[[#This Row],[Quantity]]</f>
        <v>9.6560000000000006</v>
      </c>
      <c r="N1365" t="str">
        <f>IF(SalesData[[#This Row],[Profit]]&gt;0,"Profit","Loss")</f>
        <v>Profit</v>
      </c>
    </row>
    <row r="1366" spans="1:14" x14ac:dyDescent="0.3">
      <c r="A1366" t="s">
        <v>1899</v>
      </c>
      <c r="B1366" s="3">
        <v>42378</v>
      </c>
      <c r="C1366" t="s">
        <v>17</v>
      </c>
      <c r="D1366" t="s">
        <v>10</v>
      </c>
      <c r="E1366" t="s">
        <v>1900</v>
      </c>
      <c r="F1366" s="1">
        <v>6.79</v>
      </c>
      <c r="G1366">
        <v>1</v>
      </c>
      <c r="H1366" s="1">
        <v>2.3086000000000002</v>
      </c>
      <c r="I1366" s="4">
        <f>SalesData[[#This Row],[Profit]]/SalesData[[#This Row],[Sales]]</f>
        <v>0.34</v>
      </c>
      <c r="J1366">
        <f>YEAR(SalesData[[#This Row],[Order Date]])</f>
        <v>2016</v>
      </c>
      <c r="K1366" t="str">
        <f>TEXT(SalesData[[#This Row],[Order Date]],"mmm")</f>
        <v>Jan</v>
      </c>
      <c r="L1366">
        <f>MONTH(SalesData[[#This Row],[Order Date]])</f>
        <v>1</v>
      </c>
      <c r="M1366">
        <f>SalesData[[#This Row],[Sales]]/SalesData[[#This Row],[Quantity]]</f>
        <v>6.79</v>
      </c>
      <c r="N1366" t="str">
        <f>IF(SalesData[[#This Row],[Profit]]&gt;0,"Profit","Loss")</f>
        <v>Profit</v>
      </c>
    </row>
    <row r="1367" spans="1:14" x14ac:dyDescent="0.3">
      <c r="A1367" t="s">
        <v>1899</v>
      </c>
      <c r="B1367" s="3">
        <v>42378</v>
      </c>
      <c r="C1367" t="s">
        <v>17</v>
      </c>
      <c r="D1367" t="s">
        <v>21</v>
      </c>
      <c r="E1367" t="s">
        <v>920</v>
      </c>
      <c r="F1367" s="1">
        <v>24.56</v>
      </c>
      <c r="G1367">
        <v>2</v>
      </c>
      <c r="H1367" s="1">
        <v>11.543200000000001</v>
      </c>
      <c r="I1367" s="4">
        <f>SalesData[[#This Row],[Profit]]/SalesData[[#This Row],[Sales]]</f>
        <v>0.47000000000000003</v>
      </c>
      <c r="J1367">
        <f>YEAR(SalesData[[#This Row],[Order Date]])</f>
        <v>2016</v>
      </c>
      <c r="K1367" t="str">
        <f>TEXT(SalesData[[#This Row],[Order Date]],"mmm")</f>
        <v>Jan</v>
      </c>
      <c r="L1367">
        <f>MONTH(SalesData[[#This Row],[Order Date]])</f>
        <v>1</v>
      </c>
      <c r="M1367">
        <f>SalesData[[#This Row],[Sales]]/SalesData[[#This Row],[Quantity]]</f>
        <v>12.28</v>
      </c>
      <c r="N1367" t="str">
        <f>IF(SalesData[[#This Row],[Profit]]&gt;0,"Profit","Loss")</f>
        <v>Profit</v>
      </c>
    </row>
    <row r="1368" spans="1:14" x14ac:dyDescent="0.3">
      <c r="A1368" t="s">
        <v>1899</v>
      </c>
      <c r="B1368" s="3">
        <v>42378</v>
      </c>
      <c r="C1368" t="s">
        <v>17</v>
      </c>
      <c r="D1368" t="s">
        <v>21</v>
      </c>
      <c r="E1368" t="s">
        <v>1425</v>
      </c>
      <c r="F1368" s="1">
        <v>3.048</v>
      </c>
      <c r="G1368">
        <v>1</v>
      </c>
      <c r="H1368" s="1">
        <v>1.0668</v>
      </c>
      <c r="I1368" s="4">
        <f>SalesData[[#This Row],[Profit]]/SalesData[[#This Row],[Sales]]</f>
        <v>0.35</v>
      </c>
      <c r="J1368">
        <f>YEAR(SalesData[[#This Row],[Order Date]])</f>
        <v>2016</v>
      </c>
      <c r="K1368" t="str">
        <f>TEXT(SalesData[[#This Row],[Order Date]],"mmm")</f>
        <v>Jan</v>
      </c>
      <c r="L1368">
        <f>MONTH(SalesData[[#This Row],[Order Date]])</f>
        <v>1</v>
      </c>
      <c r="M1368">
        <f>SalesData[[#This Row],[Sales]]/SalesData[[#This Row],[Quantity]]</f>
        <v>3.048</v>
      </c>
      <c r="N1368" t="str">
        <f>IF(SalesData[[#This Row],[Profit]]&gt;0,"Profit","Loss")</f>
        <v>Profit</v>
      </c>
    </row>
    <row r="1369" spans="1:14" x14ac:dyDescent="0.3">
      <c r="A1369" t="s">
        <v>1899</v>
      </c>
      <c r="B1369" s="3">
        <v>42378</v>
      </c>
      <c r="C1369" t="s">
        <v>17</v>
      </c>
      <c r="D1369" t="s">
        <v>21</v>
      </c>
      <c r="E1369" t="s">
        <v>920</v>
      </c>
      <c r="F1369" s="1">
        <v>49.12</v>
      </c>
      <c r="G1369">
        <v>4</v>
      </c>
      <c r="H1369" s="1">
        <v>23.086400000000001</v>
      </c>
      <c r="I1369" s="4">
        <f>SalesData[[#This Row],[Profit]]/SalesData[[#This Row],[Sales]]</f>
        <v>0.47000000000000003</v>
      </c>
      <c r="J1369">
        <f>YEAR(SalesData[[#This Row],[Order Date]])</f>
        <v>2016</v>
      </c>
      <c r="K1369" t="str">
        <f>TEXT(SalesData[[#This Row],[Order Date]],"mmm")</f>
        <v>Jan</v>
      </c>
      <c r="L1369">
        <f>MONTH(SalesData[[#This Row],[Order Date]])</f>
        <v>1</v>
      </c>
      <c r="M1369">
        <f>SalesData[[#This Row],[Sales]]/SalesData[[#This Row],[Quantity]]</f>
        <v>12.28</v>
      </c>
      <c r="N1369" t="str">
        <f>IF(SalesData[[#This Row],[Profit]]&gt;0,"Profit","Loss")</f>
        <v>Profit</v>
      </c>
    </row>
    <row r="1370" spans="1:14" x14ac:dyDescent="0.3">
      <c r="A1370" t="s">
        <v>1899</v>
      </c>
      <c r="B1370" s="3">
        <v>42378</v>
      </c>
      <c r="C1370" t="s">
        <v>17</v>
      </c>
      <c r="D1370" t="s">
        <v>21</v>
      </c>
      <c r="E1370" t="s">
        <v>1901</v>
      </c>
      <c r="F1370" s="1">
        <v>4355.1679999999997</v>
      </c>
      <c r="G1370">
        <v>4</v>
      </c>
      <c r="H1370" s="1">
        <v>1415.4295999999999</v>
      </c>
      <c r="I1370" s="4">
        <f>SalesData[[#This Row],[Profit]]/SalesData[[#This Row],[Sales]]</f>
        <v>0.32500000000000001</v>
      </c>
      <c r="J1370">
        <f>YEAR(SalesData[[#This Row],[Order Date]])</f>
        <v>2016</v>
      </c>
      <c r="K1370" t="str">
        <f>TEXT(SalesData[[#This Row],[Order Date]],"mmm")</f>
        <v>Jan</v>
      </c>
      <c r="L1370">
        <f>MONTH(SalesData[[#This Row],[Order Date]])</f>
        <v>1</v>
      </c>
      <c r="M1370">
        <f>SalesData[[#This Row],[Sales]]/SalesData[[#This Row],[Quantity]]</f>
        <v>1088.7919999999999</v>
      </c>
      <c r="N1370" t="str">
        <f>IF(SalesData[[#This Row],[Profit]]&gt;0,"Profit","Loss")</f>
        <v>Profit</v>
      </c>
    </row>
    <row r="1371" spans="1:14" x14ac:dyDescent="0.3">
      <c r="A1371" t="s">
        <v>1902</v>
      </c>
      <c r="B1371" s="3">
        <v>42378</v>
      </c>
      <c r="C1371" t="s">
        <v>13</v>
      </c>
      <c r="D1371" t="s">
        <v>21</v>
      </c>
      <c r="E1371" t="s">
        <v>1223</v>
      </c>
      <c r="F1371" s="1">
        <v>21.88</v>
      </c>
      <c r="G1371">
        <v>2</v>
      </c>
      <c r="H1371" s="1">
        <v>10.94</v>
      </c>
      <c r="I1371" s="4">
        <f>SalesData[[#This Row],[Profit]]/SalesData[[#This Row],[Sales]]</f>
        <v>0.5</v>
      </c>
      <c r="J1371">
        <f>YEAR(SalesData[[#This Row],[Order Date]])</f>
        <v>2016</v>
      </c>
      <c r="K1371" t="str">
        <f>TEXT(SalesData[[#This Row],[Order Date]],"mmm")</f>
        <v>Jan</v>
      </c>
      <c r="L1371">
        <f>MONTH(SalesData[[#This Row],[Order Date]])</f>
        <v>1</v>
      </c>
      <c r="M1371">
        <f>SalesData[[#This Row],[Sales]]/SalesData[[#This Row],[Quantity]]</f>
        <v>10.94</v>
      </c>
      <c r="N1371" t="str">
        <f>IF(SalesData[[#This Row],[Profit]]&gt;0,"Profit","Loss")</f>
        <v>Profit</v>
      </c>
    </row>
    <row r="1372" spans="1:14" x14ac:dyDescent="0.3">
      <c r="A1372" t="s">
        <v>1903</v>
      </c>
      <c r="B1372" s="3">
        <v>42378</v>
      </c>
      <c r="C1372" t="s">
        <v>17</v>
      </c>
      <c r="D1372" t="s">
        <v>21</v>
      </c>
      <c r="E1372" t="s">
        <v>1904</v>
      </c>
      <c r="F1372" s="1">
        <v>30.48</v>
      </c>
      <c r="G1372">
        <v>6</v>
      </c>
      <c r="H1372" s="1">
        <v>9.9060000000000006</v>
      </c>
      <c r="I1372" s="4">
        <f>SalesData[[#This Row],[Profit]]/SalesData[[#This Row],[Sales]]</f>
        <v>0.32500000000000001</v>
      </c>
      <c r="J1372">
        <f>YEAR(SalesData[[#This Row],[Order Date]])</f>
        <v>2016</v>
      </c>
      <c r="K1372" t="str">
        <f>TEXT(SalesData[[#This Row],[Order Date]],"mmm")</f>
        <v>Jan</v>
      </c>
      <c r="L1372">
        <f>MONTH(SalesData[[#This Row],[Order Date]])</f>
        <v>1</v>
      </c>
      <c r="M1372">
        <f>SalesData[[#This Row],[Sales]]/SalesData[[#This Row],[Quantity]]</f>
        <v>5.08</v>
      </c>
      <c r="N1372" t="str">
        <f>IF(SalesData[[#This Row],[Profit]]&gt;0,"Profit","Loss")</f>
        <v>Profit</v>
      </c>
    </row>
    <row r="1373" spans="1:14" x14ac:dyDescent="0.3">
      <c r="A1373" t="s">
        <v>1903</v>
      </c>
      <c r="B1373" s="3">
        <v>42378</v>
      </c>
      <c r="C1373" t="s">
        <v>17</v>
      </c>
      <c r="D1373" t="s">
        <v>10</v>
      </c>
      <c r="E1373" t="s">
        <v>1905</v>
      </c>
      <c r="F1373" s="1">
        <v>23.988</v>
      </c>
      <c r="G1373">
        <v>2</v>
      </c>
      <c r="H1373" s="1">
        <v>-4.7976000000000001</v>
      </c>
      <c r="I1373" s="4">
        <f>SalesData[[#This Row],[Profit]]/SalesData[[#This Row],[Sales]]</f>
        <v>-0.2</v>
      </c>
      <c r="J1373">
        <f>YEAR(SalesData[[#This Row],[Order Date]])</f>
        <v>2016</v>
      </c>
      <c r="K1373" t="str">
        <f>TEXT(SalesData[[#This Row],[Order Date]],"mmm")</f>
        <v>Jan</v>
      </c>
      <c r="L1373">
        <f>MONTH(SalesData[[#This Row],[Order Date]])</f>
        <v>1</v>
      </c>
      <c r="M1373">
        <f>SalesData[[#This Row],[Sales]]/SalesData[[#This Row],[Quantity]]</f>
        <v>11.994</v>
      </c>
      <c r="N1373" t="str">
        <f>IF(SalesData[[#This Row],[Profit]]&gt;0,"Profit","Loss")</f>
        <v>Loss</v>
      </c>
    </row>
    <row r="1374" spans="1:14" x14ac:dyDescent="0.3">
      <c r="A1374" t="s">
        <v>1903</v>
      </c>
      <c r="B1374" s="3">
        <v>42378</v>
      </c>
      <c r="C1374" t="s">
        <v>17</v>
      </c>
      <c r="D1374" t="s">
        <v>21</v>
      </c>
      <c r="E1374" t="s">
        <v>83</v>
      </c>
      <c r="F1374" s="1">
        <v>16.687999999999999</v>
      </c>
      <c r="G1374">
        <v>7</v>
      </c>
      <c r="H1374" s="1">
        <v>5.4236000000000004</v>
      </c>
      <c r="I1374" s="4">
        <f>SalesData[[#This Row],[Profit]]/SalesData[[#This Row],[Sales]]</f>
        <v>0.32500000000000007</v>
      </c>
      <c r="J1374">
        <f>YEAR(SalesData[[#This Row],[Order Date]])</f>
        <v>2016</v>
      </c>
      <c r="K1374" t="str">
        <f>TEXT(SalesData[[#This Row],[Order Date]],"mmm")</f>
        <v>Jan</v>
      </c>
      <c r="L1374">
        <f>MONTH(SalesData[[#This Row],[Order Date]])</f>
        <v>1</v>
      </c>
      <c r="M1374">
        <f>SalesData[[#This Row],[Sales]]/SalesData[[#This Row],[Quantity]]</f>
        <v>2.3839999999999999</v>
      </c>
      <c r="N1374" t="str">
        <f>IF(SalesData[[#This Row],[Profit]]&gt;0,"Profit","Loss")</f>
        <v>Profit</v>
      </c>
    </row>
    <row r="1375" spans="1:14" x14ac:dyDescent="0.3">
      <c r="A1375" t="s">
        <v>1906</v>
      </c>
      <c r="B1375" s="3">
        <v>42378</v>
      </c>
      <c r="C1375" t="s">
        <v>17</v>
      </c>
      <c r="D1375" t="s">
        <v>10</v>
      </c>
      <c r="E1375" t="s">
        <v>11</v>
      </c>
      <c r="F1375" s="1">
        <v>468.9</v>
      </c>
      <c r="G1375">
        <v>6</v>
      </c>
      <c r="H1375" s="1">
        <v>206.316</v>
      </c>
      <c r="I1375" s="4">
        <f>SalesData[[#This Row],[Profit]]/SalesData[[#This Row],[Sales]]</f>
        <v>0.44</v>
      </c>
      <c r="J1375">
        <f>YEAR(SalesData[[#This Row],[Order Date]])</f>
        <v>2016</v>
      </c>
      <c r="K1375" t="str">
        <f>TEXT(SalesData[[#This Row],[Order Date]],"mmm")</f>
        <v>Jan</v>
      </c>
      <c r="L1375">
        <f>MONTH(SalesData[[#This Row],[Order Date]])</f>
        <v>1</v>
      </c>
      <c r="M1375">
        <f>SalesData[[#This Row],[Sales]]/SalesData[[#This Row],[Quantity]]</f>
        <v>78.149999999999991</v>
      </c>
      <c r="N1375" t="str">
        <f>IF(SalesData[[#This Row],[Profit]]&gt;0,"Profit","Loss")</f>
        <v>Profit</v>
      </c>
    </row>
    <row r="1376" spans="1:14" x14ac:dyDescent="0.3">
      <c r="A1376" t="s">
        <v>1906</v>
      </c>
      <c r="B1376" s="3">
        <v>42378</v>
      </c>
      <c r="C1376" t="s">
        <v>17</v>
      </c>
      <c r="D1376" t="s">
        <v>10</v>
      </c>
      <c r="E1376" t="s">
        <v>902</v>
      </c>
      <c r="F1376" s="1">
        <v>72.48</v>
      </c>
      <c r="G1376">
        <v>2</v>
      </c>
      <c r="H1376" s="1">
        <v>30.441600000000001</v>
      </c>
      <c r="I1376" s="4">
        <f>SalesData[[#This Row],[Profit]]/SalesData[[#This Row],[Sales]]</f>
        <v>0.42</v>
      </c>
      <c r="J1376">
        <f>YEAR(SalesData[[#This Row],[Order Date]])</f>
        <v>2016</v>
      </c>
      <c r="K1376" t="str">
        <f>TEXT(SalesData[[#This Row],[Order Date]],"mmm")</f>
        <v>Jan</v>
      </c>
      <c r="L1376">
        <f>MONTH(SalesData[[#This Row],[Order Date]])</f>
        <v>1</v>
      </c>
      <c r="M1376">
        <f>SalesData[[#This Row],[Sales]]/SalesData[[#This Row],[Quantity]]</f>
        <v>36.24</v>
      </c>
      <c r="N1376" t="str">
        <f>IF(SalesData[[#This Row],[Profit]]&gt;0,"Profit","Loss")</f>
        <v>Profit</v>
      </c>
    </row>
    <row r="1377" spans="1:14" x14ac:dyDescent="0.3">
      <c r="A1377" t="s">
        <v>1906</v>
      </c>
      <c r="B1377" s="3">
        <v>42378</v>
      </c>
      <c r="C1377" t="s">
        <v>17</v>
      </c>
      <c r="D1377" t="s">
        <v>21</v>
      </c>
      <c r="E1377" t="s">
        <v>971</v>
      </c>
      <c r="F1377" s="1">
        <v>10.95</v>
      </c>
      <c r="G1377">
        <v>3</v>
      </c>
      <c r="H1377" s="1">
        <v>3.2850000000000001</v>
      </c>
      <c r="I1377" s="4">
        <f>SalesData[[#This Row],[Profit]]/SalesData[[#This Row],[Sales]]</f>
        <v>0.30000000000000004</v>
      </c>
      <c r="J1377">
        <f>YEAR(SalesData[[#This Row],[Order Date]])</f>
        <v>2016</v>
      </c>
      <c r="K1377" t="str">
        <f>TEXT(SalesData[[#This Row],[Order Date]],"mmm")</f>
        <v>Jan</v>
      </c>
      <c r="L1377">
        <f>MONTH(SalesData[[#This Row],[Order Date]])</f>
        <v>1</v>
      </c>
      <c r="M1377">
        <f>SalesData[[#This Row],[Sales]]/SalesData[[#This Row],[Quantity]]</f>
        <v>3.65</v>
      </c>
      <c r="N1377" t="str">
        <f>IF(SalesData[[#This Row],[Profit]]&gt;0,"Profit","Loss")</f>
        <v>Profit</v>
      </c>
    </row>
    <row r="1378" spans="1:14" x14ac:dyDescent="0.3">
      <c r="A1378" t="s">
        <v>1906</v>
      </c>
      <c r="B1378" s="3">
        <v>42378</v>
      </c>
      <c r="C1378" t="s">
        <v>17</v>
      </c>
      <c r="D1378" t="s">
        <v>14</v>
      </c>
      <c r="E1378" t="s">
        <v>558</v>
      </c>
      <c r="F1378" s="1">
        <v>191.82</v>
      </c>
      <c r="G1378">
        <v>3</v>
      </c>
      <c r="H1378" s="1">
        <v>61.382399999999997</v>
      </c>
      <c r="I1378" s="4">
        <f>SalesData[[#This Row],[Profit]]/SalesData[[#This Row],[Sales]]</f>
        <v>0.32</v>
      </c>
      <c r="J1378">
        <f>YEAR(SalesData[[#This Row],[Order Date]])</f>
        <v>2016</v>
      </c>
      <c r="K1378" t="str">
        <f>TEXT(SalesData[[#This Row],[Order Date]],"mmm")</f>
        <v>Jan</v>
      </c>
      <c r="L1378">
        <f>MONTH(SalesData[[#This Row],[Order Date]])</f>
        <v>1</v>
      </c>
      <c r="M1378">
        <f>SalesData[[#This Row],[Sales]]/SalesData[[#This Row],[Quantity]]</f>
        <v>63.94</v>
      </c>
      <c r="N1378" t="str">
        <f>IF(SalesData[[#This Row],[Profit]]&gt;0,"Profit","Loss")</f>
        <v>Profit</v>
      </c>
    </row>
    <row r="1379" spans="1:14" x14ac:dyDescent="0.3">
      <c r="A1379" t="s">
        <v>1907</v>
      </c>
      <c r="B1379" s="3">
        <v>42378</v>
      </c>
      <c r="C1379" t="s">
        <v>9</v>
      </c>
      <c r="D1379" t="s">
        <v>21</v>
      </c>
      <c r="E1379" t="s">
        <v>879</v>
      </c>
      <c r="F1379" s="1">
        <v>24.1</v>
      </c>
      <c r="G1379">
        <v>5</v>
      </c>
      <c r="H1379" s="1">
        <v>11.086</v>
      </c>
      <c r="I1379" s="4">
        <f>SalesData[[#This Row],[Profit]]/SalesData[[#This Row],[Sales]]</f>
        <v>0.45999999999999996</v>
      </c>
      <c r="J1379">
        <f>YEAR(SalesData[[#This Row],[Order Date]])</f>
        <v>2016</v>
      </c>
      <c r="K1379" t="str">
        <f>TEXT(SalesData[[#This Row],[Order Date]],"mmm")</f>
        <v>Jan</v>
      </c>
      <c r="L1379">
        <f>MONTH(SalesData[[#This Row],[Order Date]])</f>
        <v>1</v>
      </c>
      <c r="M1379">
        <f>SalesData[[#This Row],[Sales]]/SalesData[[#This Row],[Quantity]]</f>
        <v>4.82</v>
      </c>
      <c r="N1379" t="str">
        <f>IF(SalesData[[#This Row],[Profit]]&gt;0,"Profit","Loss")</f>
        <v>Profit</v>
      </c>
    </row>
    <row r="1380" spans="1:14" x14ac:dyDescent="0.3">
      <c r="A1380" t="s">
        <v>1907</v>
      </c>
      <c r="B1380" s="3">
        <v>42378</v>
      </c>
      <c r="C1380" t="s">
        <v>9</v>
      </c>
      <c r="D1380" t="s">
        <v>10</v>
      </c>
      <c r="E1380" t="s">
        <v>1870</v>
      </c>
      <c r="F1380" s="1">
        <v>8.7799999999999994</v>
      </c>
      <c r="G1380">
        <v>1</v>
      </c>
      <c r="H1380" s="1">
        <v>2.2827999999999999</v>
      </c>
      <c r="I1380" s="4">
        <f>SalesData[[#This Row],[Profit]]/SalesData[[#This Row],[Sales]]</f>
        <v>0.26</v>
      </c>
      <c r="J1380">
        <f>YEAR(SalesData[[#This Row],[Order Date]])</f>
        <v>2016</v>
      </c>
      <c r="K1380" t="str">
        <f>TEXT(SalesData[[#This Row],[Order Date]],"mmm")</f>
        <v>Jan</v>
      </c>
      <c r="L1380">
        <f>MONTH(SalesData[[#This Row],[Order Date]])</f>
        <v>1</v>
      </c>
      <c r="M1380">
        <f>SalesData[[#This Row],[Sales]]/SalesData[[#This Row],[Quantity]]</f>
        <v>8.7799999999999994</v>
      </c>
      <c r="N1380" t="str">
        <f>IF(SalesData[[#This Row],[Profit]]&gt;0,"Profit","Loss")</f>
        <v>Profit</v>
      </c>
    </row>
    <row r="1381" spans="1:14" x14ac:dyDescent="0.3">
      <c r="A1381" t="s">
        <v>1907</v>
      </c>
      <c r="B1381" s="3">
        <v>42378</v>
      </c>
      <c r="C1381" t="s">
        <v>9</v>
      </c>
      <c r="D1381" t="s">
        <v>21</v>
      </c>
      <c r="E1381" t="s">
        <v>1908</v>
      </c>
      <c r="F1381" s="1">
        <v>376.74</v>
      </c>
      <c r="G1381">
        <v>4</v>
      </c>
      <c r="H1381" s="1">
        <v>71.162000000000006</v>
      </c>
      <c r="I1381" s="4">
        <f>SalesData[[#This Row],[Profit]]/SalesData[[#This Row],[Sales]]</f>
        <v>0.18888888888888891</v>
      </c>
      <c r="J1381">
        <f>YEAR(SalesData[[#This Row],[Order Date]])</f>
        <v>2016</v>
      </c>
      <c r="K1381" t="str">
        <f>TEXT(SalesData[[#This Row],[Order Date]],"mmm")</f>
        <v>Jan</v>
      </c>
      <c r="L1381">
        <f>MONTH(SalesData[[#This Row],[Order Date]])</f>
        <v>1</v>
      </c>
      <c r="M1381">
        <f>SalesData[[#This Row],[Sales]]/SalesData[[#This Row],[Quantity]]</f>
        <v>94.185000000000002</v>
      </c>
      <c r="N1381" t="str">
        <f>IF(SalesData[[#This Row],[Profit]]&gt;0,"Profit","Loss")</f>
        <v>Profit</v>
      </c>
    </row>
    <row r="1382" spans="1:14" x14ac:dyDescent="0.3">
      <c r="A1382" t="s">
        <v>1907</v>
      </c>
      <c r="B1382" s="3">
        <v>42378</v>
      </c>
      <c r="C1382" t="s">
        <v>9</v>
      </c>
      <c r="D1382" t="s">
        <v>21</v>
      </c>
      <c r="E1382" t="s">
        <v>1170</v>
      </c>
      <c r="F1382" s="1">
        <v>29.52</v>
      </c>
      <c r="G1382">
        <v>4</v>
      </c>
      <c r="H1382" s="1">
        <v>14.4648</v>
      </c>
      <c r="I1382" s="4">
        <f>SalesData[[#This Row],[Profit]]/SalesData[[#This Row],[Sales]]</f>
        <v>0.49</v>
      </c>
      <c r="J1382">
        <f>YEAR(SalesData[[#This Row],[Order Date]])</f>
        <v>2016</v>
      </c>
      <c r="K1382" t="str">
        <f>TEXT(SalesData[[#This Row],[Order Date]],"mmm")</f>
        <v>Jan</v>
      </c>
      <c r="L1382">
        <f>MONTH(SalesData[[#This Row],[Order Date]])</f>
        <v>1</v>
      </c>
      <c r="M1382">
        <f>SalesData[[#This Row],[Sales]]/SalesData[[#This Row],[Quantity]]</f>
        <v>7.38</v>
      </c>
      <c r="N1382" t="str">
        <f>IF(SalesData[[#This Row],[Profit]]&gt;0,"Profit","Loss")</f>
        <v>Profit</v>
      </c>
    </row>
    <row r="1383" spans="1:14" x14ac:dyDescent="0.3">
      <c r="A1383" t="s">
        <v>1907</v>
      </c>
      <c r="B1383" s="3">
        <v>42378</v>
      </c>
      <c r="C1383" t="s">
        <v>9</v>
      </c>
      <c r="D1383" t="s">
        <v>21</v>
      </c>
      <c r="E1383" t="s">
        <v>1909</v>
      </c>
      <c r="F1383" s="1">
        <v>11.96</v>
      </c>
      <c r="G1383">
        <v>2</v>
      </c>
      <c r="H1383" s="1">
        <v>2.99</v>
      </c>
      <c r="I1383" s="4">
        <f>SalesData[[#This Row],[Profit]]/SalesData[[#This Row],[Sales]]</f>
        <v>0.25</v>
      </c>
      <c r="J1383">
        <f>YEAR(SalesData[[#This Row],[Order Date]])</f>
        <v>2016</v>
      </c>
      <c r="K1383" t="str">
        <f>TEXT(SalesData[[#This Row],[Order Date]],"mmm")</f>
        <v>Jan</v>
      </c>
      <c r="L1383">
        <f>MONTH(SalesData[[#This Row],[Order Date]])</f>
        <v>1</v>
      </c>
      <c r="M1383">
        <f>SalesData[[#This Row],[Sales]]/SalesData[[#This Row],[Quantity]]</f>
        <v>5.98</v>
      </c>
      <c r="N1383" t="str">
        <f>IF(SalesData[[#This Row],[Profit]]&gt;0,"Profit","Loss")</f>
        <v>Profit</v>
      </c>
    </row>
    <row r="1384" spans="1:14" x14ac:dyDescent="0.3">
      <c r="A1384" t="s">
        <v>1907</v>
      </c>
      <c r="B1384" s="3">
        <v>42378</v>
      </c>
      <c r="C1384" t="s">
        <v>9</v>
      </c>
      <c r="D1384" t="s">
        <v>21</v>
      </c>
      <c r="E1384" t="s">
        <v>1375</v>
      </c>
      <c r="F1384" s="1">
        <v>26.4</v>
      </c>
      <c r="G1384">
        <v>5</v>
      </c>
      <c r="H1384" s="1">
        <v>12.672000000000001</v>
      </c>
      <c r="I1384" s="4">
        <f>SalesData[[#This Row],[Profit]]/SalesData[[#This Row],[Sales]]</f>
        <v>0.48000000000000004</v>
      </c>
      <c r="J1384">
        <f>YEAR(SalesData[[#This Row],[Order Date]])</f>
        <v>2016</v>
      </c>
      <c r="K1384" t="str">
        <f>TEXT(SalesData[[#This Row],[Order Date]],"mmm")</f>
        <v>Jan</v>
      </c>
      <c r="L1384">
        <f>MONTH(SalesData[[#This Row],[Order Date]])</f>
        <v>1</v>
      </c>
      <c r="M1384">
        <f>SalesData[[#This Row],[Sales]]/SalesData[[#This Row],[Quantity]]</f>
        <v>5.2799999999999994</v>
      </c>
      <c r="N1384" t="str">
        <f>IF(SalesData[[#This Row],[Profit]]&gt;0,"Profit","Loss")</f>
        <v>Profit</v>
      </c>
    </row>
    <row r="1385" spans="1:14" x14ac:dyDescent="0.3">
      <c r="A1385" t="s">
        <v>1910</v>
      </c>
      <c r="B1385" s="3">
        <v>42378</v>
      </c>
      <c r="C1385" t="s">
        <v>13</v>
      </c>
      <c r="D1385" t="s">
        <v>21</v>
      </c>
      <c r="E1385" t="s">
        <v>677</v>
      </c>
      <c r="F1385" s="1">
        <v>12.78</v>
      </c>
      <c r="G1385">
        <v>1</v>
      </c>
      <c r="H1385" s="1">
        <v>5.7510000000000003</v>
      </c>
      <c r="I1385" s="4">
        <f>SalesData[[#This Row],[Profit]]/SalesData[[#This Row],[Sales]]</f>
        <v>0.45000000000000007</v>
      </c>
      <c r="J1385">
        <f>YEAR(SalesData[[#This Row],[Order Date]])</f>
        <v>2016</v>
      </c>
      <c r="K1385" t="str">
        <f>TEXT(SalesData[[#This Row],[Order Date]],"mmm")</f>
        <v>Jan</v>
      </c>
      <c r="L1385">
        <f>MONTH(SalesData[[#This Row],[Order Date]])</f>
        <v>1</v>
      </c>
      <c r="M1385">
        <f>SalesData[[#This Row],[Sales]]/SalesData[[#This Row],[Quantity]]</f>
        <v>12.78</v>
      </c>
      <c r="N1385" t="str">
        <f>IF(SalesData[[#This Row],[Profit]]&gt;0,"Profit","Loss")</f>
        <v>Profit</v>
      </c>
    </row>
    <row r="1386" spans="1:14" x14ac:dyDescent="0.3">
      <c r="A1386" t="s">
        <v>1911</v>
      </c>
      <c r="B1386" s="3">
        <v>42379</v>
      </c>
      <c r="C1386" t="s">
        <v>13</v>
      </c>
      <c r="D1386" t="s">
        <v>14</v>
      </c>
      <c r="E1386" t="s">
        <v>411</v>
      </c>
      <c r="F1386" s="1">
        <v>194.84800000000001</v>
      </c>
      <c r="G1386">
        <v>4</v>
      </c>
      <c r="H1386" s="1">
        <v>12.178000000000001</v>
      </c>
      <c r="I1386" s="4">
        <f>SalesData[[#This Row],[Profit]]/SalesData[[#This Row],[Sales]]</f>
        <v>6.25E-2</v>
      </c>
      <c r="J1386">
        <f>YEAR(SalesData[[#This Row],[Order Date]])</f>
        <v>2016</v>
      </c>
      <c r="K1386" t="str">
        <f>TEXT(SalesData[[#This Row],[Order Date]],"mmm")</f>
        <v>Jan</v>
      </c>
      <c r="L1386">
        <f>MONTH(SalesData[[#This Row],[Order Date]])</f>
        <v>1</v>
      </c>
      <c r="M1386">
        <f>SalesData[[#This Row],[Sales]]/SalesData[[#This Row],[Quantity]]</f>
        <v>48.712000000000003</v>
      </c>
      <c r="N1386" t="str">
        <f>IF(SalesData[[#This Row],[Profit]]&gt;0,"Profit","Loss")</f>
        <v>Profit</v>
      </c>
    </row>
    <row r="1387" spans="1:14" x14ac:dyDescent="0.3">
      <c r="A1387" t="s">
        <v>1912</v>
      </c>
      <c r="B1387" s="3">
        <v>42379</v>
      </c>
      <c r="C1387" t="s">
        <v>9</v>
      </c>
      <c r="D1387" t="s">
        <v>10</v>
      </c>
      <c r="E1387" t="s">
        <v>598</v>
      </c>
      <c r="F1387" s="1">
        <v>69.900000000000006</v>
      </c>
      <c r="G1387">
        <v>2</v>
      </c>
      <c r="H1387" s="1">
        <v>18.873000000000001</v>
      </c>
      <c r="I1387" s="4">
        <f>SalesData[[#This Row],[Profit]]/SalesData[[#This Row],[Sales]]</f>
        <v>0.27</v>
      </c>
      <c r="J1387">
        <f>YEAR(SalesData[[#This Row],[Order Date]])</f>
        <v>2016</v>
      </c>
      <c r="K1387" t="str">
        <f>TEXT(SalesData[[#This Row],[Order Date]],"mmm")</f>
        <v>Jan</v>
      </c>
      <c r="L1387">
        <f>MONTH(SalesData[[#This Row],[Order Date]])</f>
        <v>1</v>
      </c>
      <c r="M1387">
        <f>SalesData[[#This Row],[Sales]]/SalesData[[#This Row],[Quantity]]</f>
        <v>34.950000000000003</v>
      </c>
      <c r="N1387" t="str">
        <f>IF(SalesData[[#This Row],[Profit]]&gt;0,"Profit","Loss")</f>
        <v>Profit</v>
      </c>
    </row>
    <row r="1388" spans="1:14" x14ac:dyDescent="0.3">
      <c r="A1388" t="s">
        <v>1912</v>
      </c>
      <c r="B1388" s="3">
        <v>42379</v>
      </c>
      <c r="C1388" t="s">
        <v>9</v>
      </c>
      <c r="D1388" t="s">
        <v>14</v>
      </c>
      <c r="E1388" t="s">
        <v>848</v>
      </c>
      <c r="F1388" s="1">
        <v>41.85</v>
      </c>
      <c r="G1388">
        <v>5</v>
      </c>
      <c r="H1388" s="1">
        <v>10.881</v>
      </c>
      <c r="I1388" s="4">
        <f>SalesData[[#This Row],[Profit]]/SalesData[[#This Row],[Sales]]</f>
        <v>0.26</v>
      </c>
      <c r="J1388">
        <f>YEAR(SalesData[[#This Row],[Order Date]])</f>
        <v>2016</v>
      </c>
      <c r="K1388" t="str">
        <f>TEXT(SalesData[[#This Row],[Order Date]],"mmm")</f>
        <v>Jan</v>
      </c>
      <c r="L1388">
        <f>MONTH(SalesData[[#This Row],[Order Date]])</f>
        <v>1</v>
      </c>
      <c r="M1388">
        <f>SalesData[[#This Row],[Sales]]/SalesData[[#This Row],[Quantity]]</f>
        <v>8.370000000000001</v>
      </c>
      <c r="N1388" t="str">
        <f>IF(SalesData[[#This Row],[Profit]]&gt;0,"Profit","Loss")</f>
        <v>Profit</v>
      </c>
    </row>
    <row r="1389" spans="1:14" x14ac:dyDescent="0.3">
      <c r="A1389" t="s">
        <v>1913</v>
      </c>
      <c r="B1389" s="3">
        <v>42379</v>
      </c>
      <c r="C1389" t="s">
        <v>17</v>
      </c>
      <c r="D1389" t="s">
        <v>14</v>
      </c>
      <c r="E1389" t="s">
        <v>519</v>
      </c>
      <c r="F1389" s="1">
        <v>330.58800000000002</v>
      </c>
      <c r="G1389">
        <v>1</v>
      </c>
      <c r="H1389" s="1">
        <v>-115.7058</v>
      </c>
      <c r="I1389" s="4">
        <f>SalesData[[#This Row],[Profit]]/SalesData[[#This Row],[Sales]]</f>
        <v>-0.35</v>
      </c>
      <c r="J1389">
        <f>YEAR(SalesData[[#This Row],[Order Date]])</f>
        <v>2016</v>
      </c>
      <c r="K1389" t="str">
        <f>TEXT(SalesData[[#This Row],[Order Date]],"mmm")</f>
        <v>Jan</v>
      </c>
      <c r="L1389">
        <f>MONTH(SalesData[[#This Row],[Order Date]])</f>
        <v>1</v>
      </c>
      <c r="M1389">
        <f>SalesData[[#This Row],[Sales]]/SalesData[[#This Row],[Quantity]]</f>
        <v>330.58800000000002</v>
      </c>
      <c r="N1389" t="str">
        <f>IF(SalesData[[#This Row],[Profit]]&gt;0,"Profit","Loss")</f>
        <v>Loss</v>
      </c>
    </row>
    <row r="1390" spans="1:14" x14ac:dyDescent="0.3">
      <c r="A1390" t="s">
        <v>1914</v>
      </c>
      <c r="B1390" s="3">
        <v>42379</v>
      </c>
      <c r="C1390" t="s">
        <v>9</v>
      </c>
      <c r="D1390" t="s">
        <v>10</v>
      </c>
      <c r="E1390" t="s">
        <v>1035</v>
      </c>
      <c r="F1390" s="1">
        <v>79.512</v>
      </c>
      <c r="G1390">
        <v>3</v>
      </c>
      <c r="H1390" s="1">
        <v>20.8719</v>
      </c>
      <c r="I1390" s="4">
        <f>SalesData[[#This Row],[Profit]]/SalesData[[#This Row],[Sales]]</f>
        <v>0.26250000000000001</v>
      </c>
      <c r="J1390">
        <f>YEAR(SalesData[[#This Row],[Order Date]])</f>
        <v>2016</v>
      </c>
      <c r="K1390" t="str">
        <f>TEXT(SalesData[[#This Row],[Order Date]],"mmm")</f>
        <v>Jan</v>
      </c>
      <c r="L1390">
        <f>MONTH(SalesData[[#This Row],[Order Date]])</f>
        <v>1</v>
      </c>
      <c r="M1390">
        <f>SalesData[[#This Row],[Sales]]/SalesData[[#This Row],[Quantity]]</f>
        <v>26.504000000000001</v>
      </c>
      <c r="N1390" t="str">
        <f>IF(SalesData[[#This Row],[Profit]]&gt;0,"Profit","Loss")</f>
        <v>Profit</v>
      </c>
    </row>
    <row r="1391" spans="1:14" x14ac:dyDescent="0.3">
      <c r="A1391" t="s">
        <v>1914</v>
      </c>
      <c r="B1391" s="3">
        <v>42379</v>
      </c>
      <c r="C1391" t="s">
        <v>9</v>
      </c>
      <c r="D1391" t="s">
        <v>21</v>
      </c>
      <c r="E1391" t="s">
        <v>94</v>
      </c>
      <c r="F1391" s="1">
        <v>28.352</v>
      </c>
      <c r="G1391">
        <v>1</v>
      </c>
      <c r="H1391" s="1">
        <v>9.5687999999999995</v>
      </c>
      <c r="I1391" s="4">
        <f>SalesData[[#This Row],[Profit]]/SalesData[[#This Row],[Sales]]</f>
        <v>0.33749999999999997</v>
      </c>
      <c r="J1391">
        <f>YEAR(SalesData[[#This Row],[Order Date]])</f>
        <v>2016</v>
      </c>
      <c r="K1391" t="str">
        <f>TEXT(SalesData[[#This Row],[Order Date]],"mmm")</f>
        <v>Jan</v>
      </c>
      <c r="L1391">
        <f>MONTH(SalesData[[#This Row],[Order Date]])</f>
        <v>1</v>
      </c>
      <c r="M1391">
        <f>SalesData[[#This Row],[Sales]]/SalesData[[#This Row],[Quantity]]</f>
        <v>28.352</v>
      </c>
      <c r="N1391" t="str">
        <f>IF(SalesData[[#This Row],[Profit]]&gt;0,"Profit","Loss")</f>
        <v>Profit</v>
      </c>
    </row>
    <row r="1392" spans="1:14" x14ac:dyDescent="0.3">
      <c r="A1392" t="s">
        <v>1915</v>
      </c>
      <c r="B1392" s="3">
        <v>42379</v>
      </c>
      <c r="C1392" t="s">
        <v>46</v>
      </c>
      <c r="D1392" t="s">
        <v>21</v>
      </c>
      <c r="E1392" t="s">
        <v>319</v>
      </c>
      <c r="F1392" s="1">
        <v>5.3879999999999999</v>
      </c>
      <c r="G1392">
        <v>4</v>
      </c>
      <c r="H1392" s="1">
        <v>-4.49</v>
      </c>
      <c r="I1392" s="4">
        <f>SalesData[[#This Row],[Profit]]/SalesData[[#This Row],[Sales]]</f>
        <v>-0.83333333333333337</v>
      </c>
      <c r="J1392">
        <f>YEAR(SalesData[[#This Row],[Order Date]])</f>
        <v>2016</v>
      </c>
      <c r="K1392" t="str">
        <f>TEXT(SalesData[[#This Row],[Order Date]],"mmm")</f>
        <v>Jan</v>
      </c>
      <c r="L1392">
        <f>MONTH(SalesData[[#This Row],[Order Date]])</f>
        <v>1</v>
      </c>
      <c r="M1392">
        <f>SalesData[[#This Row],[Sales]]/SalesData[[#This Row],[Quantity]]</f>
        <v>1.347</v>
      </c>
      <c r="N1392" t="str">
        <f>IF(SalesData[[#This Row],[Profit]]&gt;0,"Profit","Loss")</f>
        <v>Loss</v>
      </c>
    </row>
    <row r="1393" spans="1:14" x14ac:dyDescent="0.3">
      <c r="A1393" t="s">
        <v>1915</v>
      </c>
      <c r="B1393" s="3">
        <v>42379</v>
      </c>
      <c r="C1393" t="s">
        <v>46</v>
      </c>
      <c r="D1393" t="s">
        <v>21</v>
      </c>
      <c r="E1393" t="s">
        <v>1730</v>
      </c>
      <c r="F1393" s="1">
        <v>30.975999999999999</v>
      </c>
      <c r="G1393">
        <v>8</v>
      </c>
      <c r="H1393" s="1">
        <v>5.0335999999999999</v>
      </c>
      <c r="I1393" s="4">
        <f>SalesData[[#This Row],[Profit]]/SalesData[[#This Row],[Sales]]</f>
        <v>0.16250000000000001</v>
      </c>
      <c r="J1393">
        <f>YEAR(SalesData[[#This Row],[Order Date]])</f>
        <v>2016</v>
      </c>
      <c r="K1393" t="str">
        <f>TEXT(SalesData[[#This Row],[Order Date]],"mmm")</f>
        <v>Jan</v>
      </c>
      <c r="L1393">
        <f>MONTH(SalesData[[#This Row],[Order Date]])</f>
        <v>1</v>
      </c>
      <c r="M1393">
        <f>SalesData[[#This Row],[Sales]]/SalesData[[#This Row],[Quantity]]</f>
        <v>3.8719999999999999</v>
      </c>
      <c r="N1393" t="str">
        <f>IF(SalesData[[#This Row],[Profit]]&gt;0,"Profit","Loss")</f>
        <v>Profit</v>
      </c>
    </row>
    <row r="1394" spans="1:14" x14ac:dyDescent="0.3">
      <c r="A1394" t="s">
        <v>1916</v>
      </c>
      <c r="B1394" s="3">
        <v>42380</v>
      </c>
      <c r="C1394" t="s">
        <v>46</v>
      </c>
      <c r="D1394" t="s">
        <v>10</v>
      </c>
      <c r="E1394" t="s">
        <v>828</v>
      </c>
      <c r="F1394" s="1">
        <v>21.8</v>
      </c>
      <c r="G1394">
        <v>2</v>
      </c>
      <c r="H1394" s="1">
        <v>6.1040000000000001</v>
      </c>
      <c r="I1394" s="4">
        <f>SalesData[[#This Row],[Profit]]/SalesData[[#This Row],[Sales]]</f>
        <v>0.27999999999999997</v>
      </c>
      <c r="J1394">
        <f>YEAR(SalesData[[#This Row],[Order Date]])</f>
        <v>2016</v>
      </c>
      <c r="K1394" t="str">
        <f>TEXT(SalesData[[#This Row],[Order Date]],"mmm")</f>
        <v>Jan</v>
      </c>
      <c r="L1394">
        <f>MONTH(SalesData[[#This Row],[Order Date]])</f>
        <v>1</v>
      </c>
      <c r="M1394">
        <f>SalesData[[#This Row],[Sales]]/SalesData[[#This Row],[Quantity]]</f>
        <v>10.9</v>
      </c>
      <c r="N1394" t="str">
        <f>IF(SalesData[[#This Row],[Profit]]&gt;0,"Profit","Loss")</f>
        <v>Profit</v>
      </c>
    </row>
    <row r="1395" spans="1:14" x14ac:dyDescent="0.3">
      <c r="A1395" t="s">
        <v>1916</v>
      </c>
      <c r="B1395" s="3">
        <v>42380</v>
      </c>
      <c r="C1395" t="s">
        <v>46</v>
      </c>
      <c r="D1395" t="s">
        <v>21</v>
      </c>
      <c r="E1395" t="s">
        <v>934</v>
      </c>
      <c r="F1395" s="1">
        <v>251.79</v>
      </c>
      <c r="G1395">
        <v>3</v>
      </c>
      <c r="H1395" s="1">
        <v>118.3413</v>
      </c>
      <c r="I1395" s="4">
        <f>SalesData[[#This Row],[Profit]]/SalesData[[#This Row],[Sales]]</f>
        <v>0.47000000000000003</v>
      </c>
      <c r="J1395">
        <f>YEAR(SalesData[[#This Row],[Order Date]])</f>
        <v>2016</v>
      </c>
      <c r="K1395" t="str">
        <f>TEXT(SalesData[[#This Row],[Order Date]],"mmm")</f>
        <v>Jan</v>
      </c>
      <c r="L1395">
        <f>MONTH(SalesData[[#This Row],[Order Date]])</f>
        <v>1</v>
      </c>
      <c r="M1395">
        <f>SalesData[[#This Row],[Sales]]/SalesData[[#This Row],[Quantity]]</f>
        <v>83.929999999999993</v>
      </c>
      <c r="N1395" t="str">
        <f>IF(SalesData[[#This Row],[Profit]]&gt;0,"Profit","Loss")</f>
        <v>Profit</v>
      </c>
    </row>
    <row r="1396" spans="1:14" x14ac:dyDescent="0.3">
      <c r="A1396" t="s">
        <v>1917</v>
      </c>
      <c r="B1396" s="3">
        <v>42380</v>
      </c>
      <c r="C1396" t="s">
        <v>9</v>
      </c>
      <c r="D1396" t="s">
        <v>21</v>
      </c>
      <c r="E1396" t="s">
        <v>1918</v>
      </c>
      <c r="F1396" s="1">
        <v>111.672</v>
      </c>
      <c r="G1396">
        <v>9</v>
      </c>
      <c r="H1396" s="1">
        <v>6.9794999999999998</v>
      </c>
      <c r="I1396" s="4">
        <f>SalesData[[#This Row],[Profit]]/SalesData[[#This Row],[Sales]]</f>
        <v>6.25E-2</v>
      </c>
      <c r="J1396">
        <f>YEAR(SalesData[[#This Row],[Order Date]])</f>
        <v>2016</v>
      </c>
      <c r="K1396" t="str">
        <f>TEXT(SalesData[[#This Row],[Order Date]],"mmm")</f>
        <v>Jan</v>
      </c>
      <c r="L1396">
        <f>MONTH(SalesData[[#This Row],[Order Date]])</f>
        <v>1</v>
      </c>
      <c r="M1396">
        <f>SalesData[[#This Row],[Sales]]/SalesData[[#This Row],[Quantity]]</f>
        <v>12.407999999999999</v>
      </c>
      <c r="N1396" t="str">
        <f>IF(SalesData[[#This Row],[Profit]]&gt;0,"Profit","Loss")</f>
        <v>Profit</v>
      </c>
    </row>
    <row r="1397" spans="1:14" x14ac:dyDescent="0.3">
      <c r="A1397" t="s">
        <v>1919</v>
      </c>
      <c r="B1397" s="3">
        <v>42380</v>
      </c>
      <c r="C1397" t="s">
        <v>9</v>
      </c>
      <c r="D1397" t="s">
        <v>10</v>
      </c>
      <c r="E1397" t="s">
        <v>354</v>
      </c>
      <c r="F1397" s="1">
        <v>68.111999999999995</v>
      </c>
      <c r="G1397">
        <v>3</v>
      </c>
      <c r="H1397" s="1">
        <v>17.8794</v>
      </c>
      <c r="I1397" s="4">
        <f>SalesData[[#This Row],[Profit]]/SalesData[[#This Row],[Sales]]</f>
        <v>0.26250000000000001</v>
      </c>
      <c r="J1397">
        <f>YEAR(SalesData[[#This Row],[Order Date]])</f>
        <v>2016</v>
      </c>
      <c r="K1397" t="str">
        <f>TEXT(SalesData[[#This Row],[Order Date]],"mmm")</f>
        <v>Jan</v>
      </c>
      <c r="L1397">
        <f>MONTH(SalesData[[#This Row],[Order Date]])</f>
        <v>1</v>
      </c>
      <c r="M1397">
        <f>SalesData[[#This Row],[Sales]]/SalesData[[#This Row],[Quantity]]</f>
        <v>22.703999999999997</v>
      </c>
      <c r="N1397" t="str">
        <f>IF(SalesData[[#This Row],[Profit]]&gt;0,"Profit","Loss")</f>
        <v>Profit</v>
      </c>
    </row>
    <row r="1398" spans="1:14" x14ac:dyDescent="0.3">
      <c r="A1398" t="s">
        <v>1920</v>
      </c>
      <c r="B1398" s="3">
        <v>42381</v>
      </c>
      <c r="C1398" t="s">
        <v>9</v>
      </c>
      <c r="D1398" t="s">
        <v>21</v>
      </c>
      <c r="E1398" t="s">
        <v>1921</v>
      </c>
      <c r="F1398" s="1">
        <v>23.92</v>
      </c>
      <c r="G1398">
        <v>4</v>
      </c>
      <c r="H1398" s="1">
        <v>11.720800000000001</v>
      </c>
      <c r="I1398" s="4">
        <f>SalesData[[#This Row],[Profit]]/SalesData[[#This Row],[Sales]]</f>
        <v>0.49</v>
      </c>
      <c r="J1398">
        <f>YEAR(SalesData[[#This Row],[Order Date]])</f>
        <v>2016</v>
      </c>
      <c r="K1398" t="str">
        <f>TEXT(SalesData[[#This Row],[Order Date]],"mmm")</f>
        <v>Jan</v>
      </c>
      <c r="L1398">
        <f>MONTH(SalesData[[#This Row],[Order Date]])</f>
        <v>1</v>
      </c>
      <c r="M1398">
        <f>SalesData[[#This Row],[Sales]]/SalesData[[#This Row],[Quantity]]</f>
        <v>5.98</v>
      </c>
      <c r="N1398" t="str">
        <f>IF(SalesData[[#This Row],[Profit]]&gt;0,"Profit","Loss")</f>
        <v>Profit</v>
      </c>
    </row>
    <row r="1399" spans="1:14" x14ac:dyDescent="0.3">
      <c r="A1399" t="s">
        <v>1922</v>
      </c>
      <c r="B1399" s="3">
        <v>42381</v>
      </c>
      <c r="C1399" t="s">
        <v>17</v>
      </c>
      <c r="D1399" t="s">
        <v>14</v>
      </c>
      <c r="E1399" t="s">
        <v>25</v>
      </c>
      <c r="F1399" s="1">
        <v>172.5</v>
      </c>
      <c r="G1399">
        <v>2</v>
      </c>
      <c r="H1399" s="1">
        <v>51.75</v>
      </c>
      <c r="I1399" s="4">
        <f>SalesData[[#This Row],[Profit]]/SalesData[[#This Row],[Sales]]</f>
        <v>0.3</v>
      </c>
      <c r="J1399">
        <f>YEAR(SalesData[[#This Row],[Order Date]])</f>
        <v>2016</v>
      </c>
      <c r="K1399" t="str">
        <f>TEXT(SalesData[[#This Row],[Order Date]],"mmm")</f>
        <v>Jan</v>
      </c>
      <c r="L1399">
        <f>MONTH(SalesData[[#This Row],[Order Date]])</f>
        <v>1</v>
      </c>
      <c r="M1399">
        <f>SalesData[[#This Row],[Sales]]/SalesData[[#This Row],[Quantity]]</f>
        <v>86.25</v>
      </c>
      <c r="N1399" t="str">
        <f>IF(SalesData[[#This Row],[Profit]]&gt;0,"Profit","Loss")</f>
        <v>Profit</v>
      </c>
    </row>
    <row r="1400" spans="1:14" x14ac:dyDescent="0.3">
      <c r="A1400" t="s">
        <v>1922</v>
      </c>
      <c r="B1400" s="3">
        <v>42381</v>
      </c>
      <c r="C1400" t="s">
        <v>17</v>
      </c>
      <c r="D1400" t="s">
        <v>10</v>
      </c>
      <c r="E1400" t="s">
        <v>684</v>
      </c>
      <c r="F1400" s="1">
        <v>179.97</v>
      </c>
      <c r="G1400">
        <v>3</v>
      </c>
      <c r="H1400" s="1">
        <v>44.9925</v>
      </c>
      <c r="I1400" s="4">
        <f>SalesData[[#This Row],[Profit]]/SalesData[[#This Row],[Sales]]</f>
        <v>0.25</v>
      </c>
      <c r="J1400">
        <f>YEAR(SalesData[[#This Row],[Order Date]])</f>
        <v>2016</v>
      </c>
      <c r="K1400" t="str">
        <f>TEXT(SalesData[[#This Row],[Order Date]],"mmm")</f>
        <v>Jan</v>
      </c>
      <c r="L1400">
        <f>MONTH(SalesData[[#This Row],[Order Date]])</f>
        <v>1</v>
      </c>
      <c r="M1400">
        <f>SalesData[[#This Row],[Sales]]/SalesData[[#This Row],[Quantity]]</f>
        <v>59.99</v>
      </c>
      <c r="N1400" t="str">
        <f>IF(SalesData[[#This Row],[Profit]]&gt;0,"Profit","Loss")</f>
        <v>Profit</v>
      </c>
    </row>
    <row r="1401" spans="1:14" x14ac:dyDescent="0.3">
      <c r="A1401" t="s">
        <v>1923</v>
      </c>
      <c r="B1401" s="3">
        <v>42381</v>
      </c>
      <c r="C1401" t="s">
        <v>9</v>
      </c>
      <c r="D1401" t="s">
        <v>14</v>
      </c>
      <c r="E1401" t="s">
        <v>936</v>
      </c>
      <c r="F1401" s="1">
        <v>17.309999999999999</v>
      </c>
      <c r="G1401">
        <v>3</v>
      </c>
      <c r="H1401" s="1">
        <v>5.1929999999999996</v>
      </c>
      <c r="I1401" s="4">
        <f>SalesData[[#This Row],[Profit]]/SalesData[[#This Row],[Sales]]</f>
        <v>0.3</v>
      </c>
      <c r="J1401">
        <f>YEAR(SalesData[[#This Row],[Order Date]])</f>
        <v>2016</v>
      </c>
      <c r="K1401" t="str">
        <f>TEXT(SalesData[[#This Row],[Order Date]],"mmm")</f>
        <v>Jan</v>
      </c>
      <c r="L1401">
        <f>MONTH(SalesData[[#This Row],[Order Date]])</f>
        <v>1</v>
      </c>
      <c r="M1401">
        <f>SalesData[[#This Row],[Sales]]/SalesData[[#This Row],[Quantity]]</f>
        <v>5.77</v>
      </c>
      <c r="N1401" t="str">
        <f>IF(SalesData[[#This Row],[Profit]]&gt;0,"Profit","Loss")</f>
        <v>Profit</v>
      </c>
    </row>
    <row r="1402" spans="1:14" x14ac:dyDescent="0.3">
      <c r="A1402" t="s">
        <v>1924</v>
      </c>
      <c r="B1402" s="3">
        <v>42381</v>
      </c>
      <c r="C1402" t="s">
        <v>46</v>
      </c>
      <c r="D1402" t="s">
        <v>21</v>
      </c>
      <c r="E1402" t="s">
        <v>202</v>
      </c>
      <c r="F1402" s="1">
        <v>4.7039999999999997</v>
      </c>
      <c r="G1402">
        <v>2</v>
      </c>
      <c r="H1402" s="1">
        <v>0.41160000000000002</v>
      </c>
      <c r="I1402" s="4">
        <f>SalesData[[#This Row],[Profit]]/SalesData[[#This Row],[Sales]]</f>
        <v>8.7500000000000008E-2</v>
      </c>
      <c r="J1402">
        <f>YEAR(SalesData[[#This Row],[Order Date]])</f>
        <v>2016</v>
      </c>
      <c r="K1402" t="str">
        <f>TEXT(SalesData[[#This Row],[Order Date]],"mmm")</f>
        <v>Jan</v>
      </c>
      <c r="L1402">
        <f>MONTH(SalesData[[#This Row],[Order Date]])</f>
        <v>1</v>
      </c>
      <c r="M1402">
        <f>SalesData[[#This Row],[Sales]]/SalesData[[#This Row],[Quantity]]</f>
        <v>2.3519999999999999</v>
      </c>
      <c r="N1402" t="str">
        <f>IF(SalesData[[#This Row],[Profit]]&gt;0,"Profit","Loss")</f>
        <v>Profit</v>
      </c>
    </row>
    <row r="1403" spans="1:14" x14ac:dyDescent="0.3">
      <c r="A1403" t="s">
        <v>1925</v>
      </c>
      <c r="B1403" s="3">
        <v>42381</v>
      </c>
      <c r="C1403" t="s">
        <v>13</v>
      </c>
      <c r="D1403" t="s">
        <v>14</v>
      </c>
      <c r="E1403" t="s">
        <v>848</v>
      </c>
      <c r="F1403" s="1">
        <v>16.739999999999998</v>
      </c>
      <c r="G1403">
        <v>2</v>
      </c>
      <c r="H1403" s="1">
        <v>4.3524000000000003</v>
      </c>
      <c r="I1403" s="4">
        <f>SalesData[[#This Row],[Profit]]/SalesData[[#This Row],[Sales]]</f>
        <v>0.26000000000000006</v>
      </c>
      <c r="J1403">
        <f>YEAR(SalesData[[#This Row],[Order Date]])</f>
        <v>2016</v>
      </c>
      <c r="K1403" t="str">
        <f>TEXT(SalesData[[#This Row],[Order Date]],"mmm")</f>
        <v>Jan</v>
      </c>
      <c r="L1403">
        <f>MONTH(SalesData[[#This Row],[Order Date]])</f>
        <v>1</v>
      </c>
      <c r="M1403">
        <f>SalesData[[#This Row],[Sales]]/SalesData[[#This Row],[Quantity]]</f>
        <v>8.3699999999999992</v>
      </c>
      <c r="N1403" t="str">
        <f>IF(SalesData[[#This Row],[Profit]]&gt;0,"Profit","Loss")</f>
        <v>Profit</v>
      </c>
    </row>
    <row r="1404" spans="1:14" x14ac:dyDescent="0.3">
      <c r="A1404" t="s">
        <v>1926</v>
      </c>
      <c r="B1404" s="3">
        <v>42381</v>
      </c>
      <c r="C1404" t="s">
        <v>17</v>
      </c>
      <c r="D1404" t="s">
        <v>21</v>
      </c>
      <c r="E1404" t="s">
        <v>1052</v>
      </c>
      <c r="F1404" s="1">
        <v>88.08</v>
      </c>
      <c r="G1404">
        <v>6</v>
      </c>
      <c r="H1404" s="1">
        <v>40.516800000000003</v>
      </c>
      <c r="I1404" s="4">
        <f>SalesData[[#This Row],[Profit]]/SalesData[[#This Row],[Sales]]</f>
        <v>0.46000000000000008</v>
      </c>
      <c r="J1404">
        <f>YEAR(SalesData[[#This Row],[Order Date]])</f>
        <v>2016</v>
      </c>
      <c r="K1404" t="str">
        <f>TEXT(SalesData[[#This Row],[Order Date]],"mmm")</f>
        <v>Jan</v>
      </c>
      <c r="L1404">
        <f>MONTH(SalesData[[#This Row],[Order Date]])</f>
        <v>1</v>
      </c>
      <c r="M1404">
        <f>SalesData[[#This Row],[Sales]]/SalesData[[#This Row],[Quantity]]</f>
        <v>14.68</v>
      </c>
      <c r="N1404" t="str">
        <f>IF(SalesData[[#This Row],[Profit]]&gt;0,"Profit","Loss")</f>
        <v>Profit</v>
      </c>
    </row>
    <row r="1405" spans="1:14" x14ac:dyDescent="0.3">
      <c r="A1405" t="s">
        <v>1926</v>
      </c>
      <c r="B1405" s="3">
        <v>42381</v>
      </c>
      <c r="C1405" t="s">
        <v>17</v>
      </c>
      <c r="D1405" t="s">
        <v>14</v>
      </c>
      <c r="E1405" t="s">
        <v>866</v>
      </c>
      <c r="F1405" s="1">
        <v>751.92</v>
      </c>
      <c r="G1405">
        <v>4</v>
      </c>
      <c r="H1405" s="1">
        <v>150.38399999999999</v>
      </c>
      <c r="I1405" s="4">
        <f>SalesData[[#This Row],[Profit]]/SalesData[[#This Row],[Sales]]</f>
        <v>0.19999999999999998</v>
      </c>
      <c r="J1405">
        <f>YEAR(SalesData[[#This Row],[Order Date]])</f>
        <v>2016</v>
      </c>
      <c r="K1405" t="str">
        <f>TEXT(SalesData[[#This Row],[Order Date]],"mmm")</f>
        <v>Jan</v>
      </c>
      <c r="L1405">
        <f>MONTH(SalesData[[#This Row],[Order Date]])</f>
        <v>1</v>
      </c>
      <c r="M1405">
        <f>SalesData[[#This Row],[Sales]]/SalesData[[#This Row],[Quantity]]</f>
        <v>187.98</v>
      </c>
      <c r="N1405" t="str">
        <f>IF(SalesData[[#This Row],[Profit]]&gt;0,"Profit","Loss")</f>
        <v>Profit</v>
      </c>
    </row>
    <row r="1406" spans="1:14" x14ac:dyDescent="0.3">
      <c r="A1406" t="s">
        <v>1927</v>
      </c>
      <c r="B1406" s="3">
        <v>42381</v>
      </c>
      <c r="C1406" t="s">
        <v>46</v>
      </c>
      <c r="D1406" t="s">
        <v>10</v>
      </c>
      <c r="E1406" t="s">
        <v>298</v>
      </c>
      <c r="F1406" s="1">
        <v>863.928</v>
      </c>
      <c r="G1406">
        <v>9</v>
      </c>
      <c r="H1406" s="1">
        <v>86.392799999999994</v>
      </c>
      <c r="I1406" s="4">
        <f>SalesData[[#This Row],[Profit]]/SalesData[[#This Row],[Sales]]</f>
        <v>9.9999999999999992E-2</v>
      </c>
      <c r="J1406">
        <f>YEAR(SalesData[[#This Row],[Order Date]])</f>
        <v>2016</v>
      </c>
      <c r="K1406" t="str">
        <f>TEXT(SalesData[[#This Row],[Order Date]],"mmm")</f>
        <v>Jan</v>
      </c>
      <c r="L1406">
        <f>MONTH(SalesData[[#This Row],[Order Date]])</f>
        <v>1</v>
      </c>
      <c r="M1406">
        <f>SalesData[[#This Row],[Sales]]/SalesData[[#This Row],[Quantity]]</f>
        <v>95.992000000000004</v>
      </c>
      <c r="N1406" t="str">
        <f>IF(SalesData[[#This Row],[Profit]]&gt;0,"Profit","Loss")</f>
        <v>Profit</v>
      </c>
    </row>
    <row r="1407" spans="1:14" x14ac:dyDescent="0.3">
      <c r="A1407" t="s">
        <v>1928</v>
      </c>
      <c r="B1407" s="3">
        <v>42381</v>
      </c>
      <c r="C1407" t="s">
        <v>9</v>
      </c>
      <c r="D1407" t="s">
        <v>14</v>
      </c>
      <c r="E1407" t="s">
        <v>659</v>
      </c>
      <c r="F1407" s="1">
        <v>248.43</v>
      </c>
      <c r="G1407">
        <v>5</v>
      </c>
      <c r="H1407" s="1">
        <v>-17.745000000000001</v>
      </c>
      <c r="I1407" s="4">
        <f>SalesData[[#This Row],[Profit]]/SalesData[[#This Row],[Sales]]</f>
        <v>-7.1428571428571425E-2</v>
      </c>
      <c r="J1407">
        <f>YEAR(SalesData[[#This Row],[Order Date]])</f>
        <v>2016</v>
      </c>
      <c r="K1407" t="str">
        <f>TEXT(SalesData[[#This Row],[Order Date]],"mmm")</f>
        <v>Jan</v>
      </c>
      <c r="L1407">
        <f>MONTH(SalesData[[#This Row],[Order Date]])</f>
        <v>1</v>
      </c>
      <c r="M1407">
        <f>SalesData[[#This Row],[Sales]]/SalesData[[#This Row],[Quantity]]</f>
        <v>49.686</v>
      </c>
      <c r="N1407" t="str">
        <f>IF(SalesData[[#This Row],[Profit]]&gt;0,"Profit","Loss")</f>
        <v>Loss</v>
      </c>
    </row>
    <row r="1408" spans="1:14" x14ac:dyDescent="0.3">
      <c r="A1408" t="s">
        <v>1928</v>
      </c>
      <c r="B1408" s="3">
        <v>42381</v>
      </c>
      <c r="C1408" t="s">
        <v>9</v>
      </c>
      <c r="D1408" t="s">
        <v>21</v>
      </c>
      <c r="E1408" t="s">
        <v>51</v>
      </c>
      <c r="F1408" s="1">
        <v>11.648</v>
      </c>
      <c r="G1408">
        <v>4</v>
      </c>
      <c r="H1408" s="1">
        <v>-30.8672</v>
      </c>
      <c r="I1408" s="4">
        <f>SalesData[[#This Row],[Profit]]/SalesData[[#This Row],[Sales]]</f>
        <v>-2.65</v>
      </c>
      <c r="J1408">
        <f>YEAR(SalesData[[#This Row],[Order Date]])</f>
        <v>2016</v>
      </c>
      <c r="K1408" t="str">
        <f>TEXT(SalesData[[#This Row],[Order Date]],"mmm")</f>
        <v>Jan</v>
      </c>
      <c r="L1408">
        <f>MONTH(SalesData[[#This Row],[Order Date]])</f>
        <v>1</v>
      </c>
      <c r="M1408">
        <f>SalesData[[#This Row],[Sales]]/SalesData[[#This Row],[Quantity]]</f>
        <v>2.9119999999999999</v>
      </c>
      <c r="N1408" t="str">
        <f>IF(SalesData[[#This Row],[Profit]]&gt;0,"Profit","Loss")</f>
        <v>Loss</v>
      </c>
    </row>
    <row r="1409" spans="1:14" x14ac:dyDescent="0.3">
      <c r="A1409" t="s">
        <v>1928</v>
      </c>
      <c r="B1409" s="3">
        <v>42381</v>
      </c>
      <c r="C1409" t="s">
        <v>9</v>
      </c>
      <c r="D1409" t="s">
        <v>14</v>
      </c>
      <c r="E1409" t="s">
        <v>564</v>
      </c>
      <c r="F1409" s="1">
        <v>85.245999999999995</v>
      </c>
      <c r="G1409">
        <v>2</v>
      </c>
      <c r="H1409" s="1">
        <v>-1.2178</v>
      </c>
      <c r="I1409" s="4">
        <f>SalesData[[#This Row],[Profit]]/SalesData[[#This Row],[Sales]]</f>
        <v>-1.4285714285714287E-2</v>
      </c>
      <c r="J1409">
        <f>YEAR(SalesData[[#This Row],[Order Date]])</f>
        <v>2016</v>
      </c>
      <c r="K1409" t="str">
        <f>TEXT(SalesData[[#This Row],[Order Date]],"mmm")</f>
        <v>Jan</v>
      </c>
      <c r="L1409">
        <f>MONTH(SalesData[[#This Row],[Order Date]])</f>
        <v>1</v>
      </c>
      <c r="M1409">
        <f>SalesData[[#This Row],[Sales]]/SalesData[[#This Row],[Quantity]]</f>
        <v>42.622999999999998</v>
      </c>
      <c r="N1409" t="str">
        <f>IF(SalesData[[#This Row],[Profit]]&gt;0,"Profit","Loss")</f>
        <v>Loss</v>
      </c>
    </row>
    <row r="1410" spans="1:14" x14ac:dyDescent="0.3">
      <c r="A1410" t="s">
        <v>1929</v>
      </c>
      <c r="B1410" s="3">
        <v>42381</v>
      </c>
      <c r="C1410" t="s">
        <v>17</v>
      </c>
      <c r="D1410" t="s">
        <v>10</v>
      </c>
      <c r="E1410" t="s">
        <v>1318</v>
      </c>
      <c r="F1410" s="1">
        <v>137.94</v>
      </c>
      <c r="G1410">
        <v>3</v>
      </c>
      <c r="H1410" s="1">
        <v>35.864400000000003</v>
      </c>
      <c r="I1410" s="4">
        <f>SalesData[[#This Row],[Profit]]/SalesData[[#This Row],[Sales]]</f>
        <v>0.26</v>
      </c>
      <c r="J1410">
        <f>YEAR(SalesData[[#This Row],[Order Date]])</f>
        <v>2016</v>
      </c>
      <c r="K1410" t="str">
        <f>TEXT(SalesData[[#This Row],[Order Date]],"mmm")</f>
        <v>Jan</v>
      </c>
      <c r="L1410">
        <f>MONTH(SalesData[[#This Row],[Order Date]])</f>
        <v>1</v>
      </c>
      <c r="M1410">
        <f>SalesData[[#This Row],[Sales]]/SalesData[[#This Row],[Quantity]]</f>
        <v>45.98</v>
      </c>
      <c r="N1410" t="str">
        <f>IF(SalesData[[#This Row],[Profit]]&gt;0,"Profit","Loss")</f>
        <v>Profit</v>
      </c>
    </row>
    <row r="1411" spans="1:14" x14ac:dyDescent="0.3">
      <c r="A1411" t="s">
        <v>1929</v>
      </c>
      <c r="B1411" s="3">
        <v>42381</v>
      </c>
      <c r="C1411" t="s">
        <v>17</v>
      </c>
      <c r="D1411" t="s">
        <v>14</v>
      </c>
      <c r="E1411" t="s">
        <v>1930</v>
      </c>
      <c r="F1411" s="1">
        <v>111.15</v>
      </c>
      <c r="G1411">
        <v>5</v>
      </c>
      <c r="H1411" s="1">
        <v>48.905999999999999</v>
      </c>
      <c r="I1411" s="4">
        <f>SalesData[[#This Row],[Profit]]/SalesData[[#This Row],[Sales]]</f>
        <v>0.43999999999999995</v>
      </c>
      <c r="J1411">
        <f>YEAR(SalesData[[#This Row],[Order Date]])</f>
        <v>2016</v>
      </c>
      <c r="K1411" t="str">
        <f>TEXT(SalesData[[#This Row],[Order Date]],"mmm")</f>
        <v>Jan</v>
      </c>
      <c r="L1411">
        <f>MONTH(SalesData[[#This Row],[Order Date]])</f>
        <v>1</v>
      </c>
      <c r="M1411">
        <f>SalesData[[#This Row],[Sales]]/SalesData[[#This Row],[Quantity]]</f>
        <v>22.23</v>
      </c>
      <c r="N1411" t="str">
        <f>IF(SalesData[[#This Row],[Profit]]&gt;0,"Profit","Loss")</f>
        <v>Profit</v>
      </c>
    </row>
    <row r="1412" spans="1:14" x14ac:dyDescent="0.3">
      <c r="A1412" t="s">
        <v>1929</v>
      </c>
      <c r="B1412" s="3">
        <v>42381</v>
      </c>
      <c r="C1412" t="s">
        <v>17</v>
      </c>
      <c r="D1412" t="s">
        <v>21</v>
      </c>
      <c r="E1412" t="s">
        <v>40</v>
      </c>
      <c r="F1412" s="1">
        <v>901.95</v>
      </c>
      <c r="G1412">
        <v>3</v>
      </c>
      <c r="H1412" s="1">
        <v>297.64350000000002</v>
      </c>
      <c r="I1412" s="4">
        <f>SalesData[[#This Row],[Profit]]/SalesData[[#This Row],[Sales]]</f>
        <v>0.33</v>
      </c>
      <c r="J1412">
        <f>YEAR(SalesData[[#This Row],[Order Date]])</f>
        <v>2016</v>
      </c>
      <c r="K1412" t="str">
        <f>TEXT(SalesData[[#This Row],[Order Date]],"mmm")</f>
        <v>Jan</v>
      </c>
      <c r="L1412">
        <f>MONTH(SalesData[[#This Row],[Order Date]])</f>
        <v>1</v>
      </c>
      <c r="M1412">
        <f>SalesData[[#This Row],[Sales]]/SalesData[[#This Row],[Quantity]]</f>
        <v>300.65000000000003</v>
      </c>
      <c r="N1412" t="str">
        <f>IF(SalesData[[#This Row],[Profit]]&gt;0,"Profit","Loss")</f>
        <v>Profit</v>
      </c>
    </row>
    <row r="1413" spans="1:14" x14ac:dyDescent="0.3">
      <c r="A1413" t="s">
        <v>1929</v>
      </c>
      <c r="B1413" s="3">
        <v>42381</v>
      </c>
      <c r="C1413" t="s">
        <v>17</v>
      </c>
      <c r="D1413" t="s">
        <v>14</v>
      </c>
      <c r="E1413" t="s">
        <v>1475</v>
      </c>
      <c r="F1413" s="1">
        <v>366.00900000000001</v>
      </c>
      <c r="G1413">
        <v>3</v>
      </c>
      <c r="H1413" s="1">
        <v>-47.058300000000003</v>
      </c>
      <c r="I1413" s="4">
        <f>SalesData[[#This Row],[Profit]]/SalesData[[#This Row],[Sales]]</f>
        <v>-0.12857142857142859</v>
      </c>
      <c r="J1413">
        <f>YEAR(SalesData[[#This Row],[Order Date]])</f>
        <v>2016</v>
      </c>
      <c r="K1413" t="str">
        <f>TEXT(SalesData[[#This Row],[Order Date]],"mmm")</f>
        <v>Jan</v>
      </c>
      <c r="L1413">
        <f>MONTH(SalesData[[#This Row],[Order Date]])</f>
        <v>1</v>
      </c>
      <c r="M1413">
        <f>SalesData[[#This Row],[Sales]]/SalesData[[#This Row],[Quantity]]</f>
        <v>122.003</v>
      </c>
      <c r="N1413" t="str">
        <f>IF(SalesData[[#This Row],[Profit]]&gt;0,"Profit","Loss")</f>
        <v>Loss</v>
      </c>
    </row>
    <row r="1414" spans="1:14" x14ac:dyDescent="0.3">
      <c r="A1414" t="s">
        <v>1931</v>
      </c>
      <c r="B1414" s="3">
        <v>42381</v>
      </c>
      <c r="C1414" t="s">
        <v>46</v>
      </c>
      <c r="D1414" t="s">
        <v>21</v>
      </c>
      <c r="E1414" t="s">
        <v>40</v>
      </c>
      <c r="F1414" s="1">
        <v>2104.5500000000002</v>
      </c>
      <c r="G1414">
        <v>7</v>
      </c>
      <c r="H1414" s="1">
        <v>694.50149999999996</v>
      </c>
      <c r="I1414" s="4">
        <f>SalesData[[#This Row],[Profit]]/SalesData[[#This Row],[Sales]]</f>
        <v>0.32999999999999996</v>
      </c>
      <c r="J1414">
        <f>YEAR(SalesData[[#This Row],[Order Date]])</f>
        <v>2016</v>
      </c>
      <c r="K1414" t="str">
        <f>TEXT(SalesData[[#This Row],[Order Date]],"mmm")</f>
        <v>Jan</v>
      </c>
      <c r="L1414">
        <f>MONTH(SalesData[[#This Row],[Order Date]])</f>
        <v>1</v>
      </c>
      <c r="M1414">
        <f>SalesData[[#This Row],[Sales]]/SalesData[[#This Row],[Quantity]]</f>
        <v>300.65000000000003</v>
      </c>
      <c r="N1414" t="str">
        <f>IF(SalesData[[#This Row],[Profit]]&gt;0,"Profit","Loss")</f>
        <v>Profit</v>
      </c>
    </row>
    <row r="1415" spans="1:14" x14ac:dyDescent="0.3">
      <c r="A1415" t="s">
        <v>1931</v>
      </c>
      <c r="B1415" s="3">
        <v>42381</v>
      </c>
      <c r="C1415" t="s">
        <v>46</v>
      </c>
      <c r="D1415" t="s">
        <v>21</v>
      </c>
      <c r="E1415" t="s">
        <v>1932</v>
      </c>
      <c r="F1415" s="1">
        <v>40.700000000000003</v>
      </c>
      <c r="G1415">
        <v>5</v>
      </c>
      <c r="H1415" s="1">
        <v>11.803000000000001</v>
      </c>
      <c r="I1415" s="4">
        <f>SalesData[[#This Row],[Profit]]/SalesData[[#This Row],[Sales]]</f>
        <v>0.28999999999999998</v>
      </c>
      <c r="J1415">
        <f>YEAR(SalesData[[#This Row],[Order Date]])</f>
        <v>2016</v>
      </c>
      <c r="K1415" t="str">
        <f>TEXT(SalesData[[#This Row],[Order Date]],"mmm")</f>
        <v>Jan</v>
      </c>
      <c r="L1415">
        <f>MONTH(SalesData[[#This Row],[Order Date]])</f>
        <v>1</v>
      </c>
      <c r="M1415">
        <f>SalesData[[#This Row],[Sales]]/SalesData[[#This Row],[Quantity]]</f>
        <v>8.14</v>
      </c>
      <c r="N1415" t="str">
        <f>IF(SalesData[[#This Row],[Profit]]&gt;0,"Profit","Loss")</f>
        <v>Profit</v>
      </c>
    </row>
    <row r="1416" spans="1:14" x14ac:dyDescent="0.3">
      <c r="A1416" t="s">
        <v>1933</v>
      </c>
      <c r="B1416" s="3">
        <v>42381</v>
      </c>
      <c r="C1416" t="s">
        <v>13</v>
      </c>
      <c r="D1416" t="s">
        <v>14</v>
      </c>
      <c r="E1416" t="s">
        <v>1934</v>
      </c>
      <c r="F1416" s="1">
        <v>31.96</v>
      </c>
      <c r="G1416">
        <v>2</v>
      </c>
      <c r="H1416" s="1">
        <v>1.5980000000000001</v>
      </c>
      <c r="I1416" s="4">
        <f>SalesData[[#This Row],[Profit]]/SalesData[[#This Row],[Sales]]</f>
        <v>0.05</v>
      </c>
      <c r="J1416">
        <f>YEAR(SalesData[[#This Row],[Order Date]])</f>
        <v>2016</v>
      </c>
      <c r="K1416" t="str">
        <f>TEXT(SalesData[[#This Row],[Order Date]],"mmm")</f>
        <v>Jan</v>
      </c>
      <c r="L1416">
        <f>MONTH(SalesData[[#This Row],[Order Date]])</f>
        <v>1</v>
      </c>
      <c r="M1416">
        <f>SalesData[[#This Row],[Sales]]/SalesData[[#This Row],[Quantity]]</f>
        <v>15.98</v>
      </c>
      <c r="N1416" t="str">
        <f>IF(SalesData[[#This Row],[Profit]]&gt;0,"Profit","Loss")</f>
        <v>Profit</v>
      </c>
    </row>
    <row r="1417" spans="1:14" x14ac:dyDescent="0.3">
      <c r="A1417" t="s">
        <v>1933</v>
      </c>
      <c r="B1417" s="3">
        <v>42381</v>
      </c>
      <c r="C1417" t="s">
        <v>13</v>
      </c>
      <c r="D1417" t="s">
        <v>21</v>
      </c>
      <c r="E1417" t="s">
        <v>1520</v>
      </c>
      <c r="F1417" s="1">
        <v>47.9</v>
      </c>
      <c r="G1417">
        <v>1</v>
      </c>
      <c r="H1417" s="1">
        <v>22.992000000000001</v>
      </c>
      <c r="I1417" s="4">
        <f>SalesData[[#This Row],[Profit]]/SalesData[[#This Row],[Sales]]</f>
        <v>0.48000000000000004</v>
      </c>
      <c r="J1417">
        <f>YEAR(SalesData[[#This Row],[Order Date]])</f>
        <v>2016</v>
      </c>
      <c r="K1417" t="str">
        <f>TEXT(SalesData[[#This Row],[Order Date]],"mmm")</f>
        <v>Jan</v>
      </c>
      <c r="L1417">
        <f>MONTH(SalesData[[#This Row],[Order Date]])</f>
        <v>1</v>
      </c>
      <c r="M1417">
        <f>SalesData[[#This Row],[Sales]]/SalesData[[#This Row],[Quantity]]</f>
        <v>47.9</v>
      </c>
      <c r="N1417" t="str">
        <f>IF(SalesData[[#This Row],[Profit]]&gt;0,"Profit","Loss")</f>
        <v>Profit</v>
      </c>
    </row>
    <row r="1418" spans="1:14" x14ac:dyDescent="0.3">
      <c r="A1418" t="s">
        <v>1933</v>
      </c>
      <c r="B1418" s="3">
        <v>42381</v>
      </c>
      <c r="C1418" t="s">
        <v>13</v>
      </c>
      <c r="D1418" t="s">
        <v>21</v>
      </c>
      <c r="E1418" t="s">
        <v>1935</v>
      </c>
      <c r="F1418" s="1">
        <v>1112.94</v>
      </c>
      <c r="G1418">
        <v>3</v>
      </c>
      <c r="H1418" s="1">
        <v>222.58799999999999</v>
      </c>
      <c r="I1418" s="4">
        <f>SalesData[[#This Row],[Profit]]/SalesData[[#This Row],[Sales]]</f>
        <v>0.19999999999999998</v>
      </c>
      <c r="J1418">
        <f>YEAR(SalesData[[#This Row],[Order Date]])</f>
        <v>2016</v>
      </c>
      <c r="K1418" t="str">
        <f>TEXT(SalesData[[#This Row],[Order Date]],"mmm")</f>
        <v>Jan</v>
      </c>
      <c r="L1418">
        <f>MONTH(SalesData[[#This Row],[Order Date]])</f>
        <v>1</v>
      </c>
      <c r="M1418">
        <f>SalesData[[#This Row],[Sales]]/SalesData[[#This Row],[Quantity]]</f>
        <v>370.98</v>
      </c>
      <c r="N1418" t="str">
        <f>IF(SalesData[[#This Row],[Profit]]&gt;0,"Profit","Loss")</f>
        <v>Profit</v>
      </c>
    </row>
    <row r="1419" spans="1:14" x14ac:dyDescent="0.3">
      <c r="A1419" t="s">
        <v>1933</v>
      </c>
      <c r="B1419" s="3">
        <v>42381</v>
      </c>
      <c r="C1419" t="s">
        <v>13</v>
      </c>
      <c r="D1419" t="s">
        <v>21</v>
      </c>
      <c r="E1419" t="s">
        <v>846</v>
      </c>
      <c r="F1419" s="1">
        <v>22.92</v>
      </c>
      <c r="G1419">
        <v>3</v>
      </c>
      <c r="H1419" s="1">
        <v>11.2308</v>
      </c>
      <c r="I1419" s="4">
        <f>SalesData[[#This Row],[Profit]]/SalesData[[#This Row],[Sales]]</f>
        <v>0.49</v>
      </c>
      <c r="J1419">
        <f>YEAR(SalesData[[#This Row],[Order Date]])</f>
        <v>2016</v>
      </c>
      <c r="K1419" t="str">
        <f>TEXT(SalesData[[#This Row],[Order Date]],"mmm")</f>
        <v>Jan</v>
      </c>
      <c r="L1419">
        <f>MONTH(SalesData[[#This Row],[Order Date]])</f>
        <v>1</v>
      </c>
      <c r="M1419">
        <f>SalesData[[#This Row],[Sales]]/SalesData[[#This Row],[Quantity]]</f>
        <v>7.6400000000000006</v>
      </c>
      <c r="N1419" t="str">
        <f>IF(SalesData[[#This Row],[Profit]]&gt;0,"Profit","Loss")</f>
        <v>Profit</v>
      </c>
    </row>
    <row r="1420" spans="1:14" x14ac:dyDescent="0.3">
      <c r="A1420" t="s">
        <v>1936</v>
      </c>
      <c r="B1420" s="3">
        <v>42381</v>
      </c>
      <c r="C1420" t="s">
        <v>13</v>
      </c>
      <c r="D1420" t="s">
        <v>21</v>
      </c>
      <c r="E1420" t="s">
        <v>1540</v>
      </c>
      <c r="F1420" s="1">
        <v>23.04</v>
      </c>
      <c r="G1420">
        <v>8</v>
      </c>
      <c r="H1420" s="1">
        <v>6.9119999999999999</v>
      </c>
      <c r="I1420" s="4">
        <f>SalesData[[#This Row],[Profit]]/SalesData[[#This Row],[Sales]]</f>
        <v>0.3</v>
      </c>
      <c r="J1420">
        <f>YEAR(SalesData[[#This Row],[Order Date]])</f>
        <v>2016</v>
      </c>
      <c r="K1420" t="str">
        <f>TEXT(SalesData[[#This Row],[Order Date]],"mmm")</f>
        <v>Jan</v>
      </c>
      <c r="L1420">
        <f>MONTH(SalesData[[#This Row],[Order Date]])</f>
        <v>1</v>
      </c>
      <c r="M1420">
        <f>SalesData[[#This Row],[Sales]]/SalesData[[#This Row],[Quantity]]</f>
        <v>2.88</v>
      </c>
      <c r="N1420" t="str">
        <f>IF(SalesData[[#This Row],[Profit]]&gt;0,"Profit","Loss")</f>
        <v>Profit</v>
      </c>
    </row>
    <row r="1421" spans="1:14" x14ac:dyDescent="0.3">
      <c r="A1421" t="s">
        <v>1937</v>
      </c>
      <c r="B1421" s="3">
        <v>42401</v>
      </c>
      <c r="C1421" t="s">
        <v>17</v>
      </c>
      <c r="D1421" t="s">
        <v>14</v>
      </c>
      <c r="E1421" t="s">
        <v>1938</v>
      </c>
      <c r="F1421" s="1">
        <v>173.94</v>
      </c>
      <c r="G1421">
        <v>3</v>
      </c>
      <c r="H1421" s="1">
        <v>38.266800000000003</v>
      </c>
      <c r="I1421" s="4">
        <f>SalesData[[#This Row],[Profit]]/SalesData[[#This Row],[Sales]]</f>
        <v>0.22000000000000003</v>
      </c>
      <c r="J1421">
        <f>YEAR(SalesData[[#This Row],[Order Date]])</f>
        <v>2016</v>
      </c>
      <c r="K1421" t="str">
        <f>TEXT(SalesData[[#This Row],[Order Date]],"mmm")</f>
        <v>Feb</v>
      </c>
      <c r="L1421">
        <f>MONTH(SalesData[[#This Row],[Order Date]])</f>
        <v>2</v>
      </c>
      <c r="M1421">
        <f>SalesData[[#This Row],[Sales]]/SalesData[[#This Row],[Quantity]]</f>
        <v>57.98</v>
      </c>
      <c r="N1421" t="str">
        <f>IF(SalesData[[#This Row],[Profit]]&gt;0,"Profit","Loss")</f>
        <v>Profit</v>
      </c>
    </row>
    <row r="1422" spans="1:14" x14ac:dyDescent="0.3">
      <c r="A1422" t="s">
        <v>1937</v>
      </c>
      <c r="B1422" s="3">
        <v>42401</v>
      </c>
      <c r="C1422" t="s">
        <v>17</v>
      </c>
      <c r="D1422" t="s">
        <v>10</v>
      </c>
      <c r="E1422" t="s">
        <v>1939</v>
      </c>
      <c r="F1422" s="1">
        <v>231.98</v>
      </c>
      <c r="G1422">
        <v>2</v>
      </c>
      <c r="H1422" s="1">
        <v>67.274199999999993</v>
      </c>
      <c r="I1422" s="4">
        <f>SalesData[[#This Row],[Profit]]/SalesData[[#This Row],[Sales]]</f>
        <v>0.28999999999999998</v>
      </c>
      <c r="J1422">
        <f>YEAR(SalesData[[#This Row],[Order Date]])</f>
        <v>2016</v>
      </c>
      <c r="K1422" t="str">
        <f>TEXT(SalesData[[#This Row],[Order Date]],"mmm")</f>
        <v>Feb</v>
      </c>
      <c r="L1422">
        <f>MONTH(SalesData[[#This Row],[Order Date]])</f>
        <v>2</v>
      </c>
      <c r="M1422">
        <f>SalesData[[#This Row],[Sales]]/SalesData[[#This Row],[Quantity]]</f>
        <v>115.99</v>
      </c>
      <c r="N1422" t="str">
        <f>IF(SalesData[[#This Row],[Profit]]&gt;0,"Profit","Loss")</f>
        <v>Profit</v>
      </c>
    </row>
    <row r="1423" spans="1:14" x14ac:dyDescent="0.3">
      <c r="A1423" t="s">
        <v>1940</v>
      </c>
      <c r="B1423" s="3">
        <v>42402</v>
      </c>
      <c r="C1423" t="s">
        <v>17</v>
      </c>
      <c r="D1423" t="s">
        <v>21</v>
      </c>
      <c r="E1423" t="s">
        <v>1708</v>
      </c>
      <c r="F1423" s="1">
        <v>117.96</v>
      </c>
      <c r="G1423">
        <v>2</v>
      </c>
      <c r="H1423" s="1">
        <v>5.8979999999999997</v>
      </c>
      <c r="I1423" s="4">
        <f>SalesData[[#This Row],[Profit]]/SalesData[[#This Row],[Sales]]</f>
        <v>0.05</v>
      </c>
      <c r="J1423">
        <f>YEAR(SalesData[[#This Row],[Order Date]])</f>
        <v>2016</v>
      </c>
      <c r="K1423" t="str">
        <f>TEXT(SalesData[[#This Row],[Order Date]],"mmm")</f>
        <v>Feb</v>
      </c>
      <c r="L1423">
        <f>MONTH(SalesData[[#This Row],[Order Date]])</f>
        <v>2</v>
      </c>
      <c r="M1423">
        <f>SalesData[[#This Row],[Sales]]/SalesData[[#This Row],[Quantity]]</f>
        <v>58.98</v>
      </c>
      <c r="N1423" t="str">
        <f>IF(SalesData[[#This Row],[Profit]]&gt;0,"Profit","Loss")</f>
        <v>Profit</v>
      </c>
    </row>
    <row r="1424" spans="1:14" x14ac:dyDescent="0.3">
      <c r="A1424" t="s">
        <v>1941</v>
      </c>
      <c r="B1424" s="3">
        <v>42402</v>
      </c>
      <c r="C1424" t="s">
        <v>46</v>
      </c>
      <c r="D1424" t="s">
        <v>10</v>
      </c>
      <c r="E1424" t="s">
        <v>1942</v>
      </c>
      <c r="F1424" s="1">
        <v>8749.9500000000007</v>
      </c>
      <c r="G1424">
        <v>5</v>
      </c>
      <c r="H1424" s="1">
        <v>2799.9839999999999</v>
      </c>
      <c r="I1424" s="4">
        <f>SalesData[[#This Row],[Profit]]/SalesData[[#This Row],[Sales]]</f>
        <v>0.31999999999999995</v>
      </c>
      <c r="J1424">
        <f>YEAR(SalesData[[#This Row],[Order Date]])</f>
        <v>2016</v>
      </c>
      <c r="K1424" t="str">
        <f>TEXT(SalesData[[#This Row],[Order Date]],"mmm")</f>
        <v>Feb</v>
      </c>
      <c r="L1424">
        <f>MONTH(SalesData[[#This Row],[Order Date]])</f>
        <v>2</v>
      </c>
      <c r="M1424">
        <f>SalesData[[#This Row],[Sales]]/SalesData[[#This Row],[Quantity]]</f>
        <v>1749.9900000000002</v>
      </c>
      <c r="N1424" t="str">
        <f>IF(SalesData[[#This Row],[Profit]]&gt;0,"Profit","Loss")</f>
        <v>Profit</v>
      </c>
    </row>
    <row r="1425" spans="1:14" x14ac:dyDescent="0.3">
      <c r="A1425" t="s">
        <v>1941</v>
      </c>
      <c r="B1425" s="3">
        <v>42402</v>
      </c>
      <c r="C1425" t="s">
        <v>46</v>
      </c>
      <c r="D1425" t="s">
        <v>21</v>
      </c>
      <c r="E1425" t="s">
        <v>525</v>
      </c>
      <c r="F1425" s="1">
        <v>36.4</v>
      </c>
      <c r="G1425">
        <v>8</v>
      </c>
      <c r="H1425" s="1">
        <v>18.2</v>
      </c>
      <c r="I1425" s="4">
        <f>SalesData[[#This Row],[Profit]]/SalesData[[#This Row],[Sales]]</f>
        <v>0.5</v>
      </c>
      <c r="J1425">
        <f>YEAR(SalesData[[#This Row],[Order Date]])</f>
        <v>2016</v>
      </c>
      <c r="K1425" t="str">
        <f>TEXT(SalesData[[#This Row],[Order Date]],"mmm")</f>
        <v>Feb</v>
      </c>
      <c r="L1425">
        <f>MONTH(SalesData[[#This Row],[Order Date]])</f>
        <v>2</v>
      </c>
      <c r="M1425">
        <f>SalesData[[#This Row],[Sales]]/SalesData[[#This Row],[Quantity]]</f>
        <v>4.55</v>
      </c>
      <c r="N1425" t="str">
        <f>IF(SalesData[[#This Row],[Profit]]&gt;0,"Profit","Loss")</f>
        <v>Profit</v>
      </c>
    </row>
    <row r="1426" spans="1:14" x14ac:dyDescent="0.3">
      <c r="A1426" t="s">
        <v>1941</v>
      </c>
      <c r="B1426" s="3">
        <v>42402</v>
      </c>
      <c r="C1426" t="s">
        <v>46</v>
      </c>
      <c r="D1426" t="s">
        <v>14</v>
      </c>
      <c r="E1426" t="s">
        <v>1574</v>
      </c>
      <c r="F1426" s="1">
        <v>18.690000000000001</v>
      </c>
      <c r="G1426">
        <v>7</v>
      </c>
      <c r="H1426" s="1">
        <v>7.1021999999999998</v>
      </c>
      <c r="I1426" s="4">
        <f>SalesData[[#This Row],[Profit]]/SalesData[[#This Row],[Sales]]</f>
        <v>0.37999999999999995</v>
      </c>
      <c r="J1426">
        <f>YEAR(SalesData[[#This Row],[Order Date]])</f>
        <v>2016</v>
      </c>
      <c r="K1426" t="str">
        <f>TEXT(SalesData[[#This Row],[Order Date]],"mmm")</f>
        <v>Feb</v>
      </c>
      <c r="L1426">
        <f>MONTH(SalesData[[#This Row],[Order Date]])</f>
        <v>2</v>
      </c>
      <c r="M1426">
        <f>SalesData[[#This Row],[Sales]]/SalesData[[#This Row],[Quantity]]</f>
        <v>2.6700000000000004</v>
      </c>
      <c r="N1426" t="str">
        <f>IF(SalesData[[#This Row],[Profit]]&gt;0,"Profit","Loss")</f>
        <v>Profit</v>
      </c>
    </row>
    <row r="1427" spans="1:14" x14ac:dyDescent="0.3">
      <c r="A1427" t="s">
        <v>1943</v>
      </c>
      <c r="B1427" s="3">
        <v>42402</v>
      </c>
      <c r="C1427" t="s">
        <v>9</v>
      </c>
      <c r="D1427" t="s">
        <v>14</v>
      </c>
      <c r="E1427" t="s">
        <v>1944</v>
      </c>
      <c r="F1427" s="1">
        <v>73.784000000000006</v>
      </c>
      <c r="G1427">
        <v>2</v>
      </c>
      <c r="H1427" s="1">
        <v>-77.473200000000006</v>
      </c>
      <c r="I1427" s="4">
        <f>SalesData[[#This Row],[Profit]]/SalesData[[#This Row],[Sales]]</f>
        <v>-1.05</v>
      </c>
      <c r="J1427">
        <f>YEAR(SalesData[[#This Row],[Order Date]])</f>
        <v>2016</v>
      </c>
      <c r="K1427" t="str">
        <f>TEXT(SalesData[[#This Row],[Order Date]],"mmm")</f>
        <v>Feb</v>
      </c>
      <c r="L1427">
        <f>MONTH(SalesData[[#This Row],[Order Date]])</f>
        <v>2</v>
      </c>
      <c r="M1427">
        <f>SalesData[[#This Row],[Sales]]/SalesData[[#This Row],[Quantity]]</f>
        <v>36.892000000000003</v>
      </c>
      <c r="N1427" t="str">
        <f>IF(SalesData[[#This Row],[Profit]]&gt;0,"Profit","Loss")</f>
        <v>Loss</v>
      </c>
    </row>
    <row r="1428" spans="1:14" x14ac:dyDescent="0.3">
      <c r="A1428" t="s">
        <v>1945</v>
      </c>
      <c r="B1428" s="3">
        <v>42404</v>
      </c>
      <c r="C1428" t="s">
        <v>9</v>
      </c>
      <c r="D1428" t="s">
        <v>14</v>
      </c>
      <c r="E1428" t="s">
        <v>1946</v>
      </c>
      <c r="F1428" s="1">
        <v>1454.9</v>
      </c>
      <c r="G1428">
        <v>5</v>
      </c>
      <c r="H1428" s="1">
        <v>378.274</v>
      </c>
      <c r="I1428" s="4">
        <f>SalesData[[#This Row],[Profit]]/SalesData[[#This Row],[Sales]]</f>
        <v>0.26</v>
      </c>
      <c r="J1428">
        <f>YEAR(SalesData[[#This Row],[Order Date]])</f>
        <v>2016</v>
      </c>
      <c r="K1428" t="str">
        <f>TEXT(SalesData[[#This Row],[Order Date]],"mmm")</f>
        <v>Feb</v>
      </c>
      <c r="L1428">
        <f>MONTH(SalesData[[#This Row],[Order Date]])</f>
        <v>2</v>
      </c>
      <c r="M1428">
        <f>SalesData[[#This Row],[Sales]]/SalesData[[#This Row],[Quantity]]</f>
        <v>290.98</v>
      </c>
      <c r="N1428" t="str">
        <f>IF(SalesData[[#This Row],[Profit]]&gt;0,"Profit","Loss")</f>
        <v>Profit</v>
      </c>
    </row>
    <row r="1429" spans="1:14" x14ac:dyDescent="0.3">
      <c r="A1429" t="s">
        <v>1947</v>
      </c>
      <c r="B1429" s="3">
        <v>42405</v>
      </c>
      <c r="C1429" t="s">
        <v>9</v>
      </c>
      <c r="D1429" t="s">
        <v>21</v>
      </c>
      <c r="E1429" t="s">
        <v>1066</v>
      </c>
      <c r="F1429" s="1">
        <v>86.352000000000004</v>
      </c>
      <c r="G1429">
        <v>3</v>
      </c>
      <c r="H1429" s="1">
        <v>5.3970000000000002</v>
      </c>
      <c r="I1429" s="4">
        <f>SalesData[[#This Row],[Profit]]/SalesData[[#This Row],[Sales]]</f>
        <v>6.25E-2</v>
      </c>
      <c r="J1429">
        <f>YEAR(SalesData[[#This Row],[Order Date]])</f>
        <v>2016</v>
      </c>
      <c r="K1429" t="str">
        <f>TEXT(SalesData[[#This Row],[Order Date]],"mmm")</f>
        <v>Feb</v>
      </c>
      <c r="L1429">
        <f>MONTH(SalesData[[#This Row],[Order Date]])</f>
        <v>2</v>
      </c>
      <c r="M1429">
        <f>SalesData[[#This Row],[Sales]]/SalesData[[#This Row],[Quantity]]</f>
        <v>28.784000000000002</v>
      </c>
      <c r="N1429" t="str">
        <f>IF(SalesData[[#This Row],[Profit]]&gt;0,"Profit","Loss")</f>
        <v>Profit</v>
      </c>
    </row>
    <row r="1430" spans="1:14" x14ac:dyDescent="0.3">
      <c r="A1430" t="s">
        <v>1948</v>
      </c>
      <c r="B1430" s="3">
        <v>42405</v>
      </c>
      <c r="C1430" t="s">
        <v>17</v>
      </c>
      <c r="D1430" t="s">
        <v>21</v>
      </c>
      <c r="E1430" t="s">
        <v>1949</v>
      </c>
      <c r="F1430" s="1">
        <v>44.94</v>
      </c>
      <c r="G1430">
        <v>3</v>
      </c>
      <c r="H1430" s="1">
        <v>12.5832</v>
      </c>
      <c r="I1430" s="4">
        <f>SalesData[[#This Row],[Profit]]/SalesData[[#This Row],[Sales]]</f>
        <v>0.28000000000000003</v>
      </c>
      <c r="J1430">
        <f>YEAR(SalesData[[#This Row],[Order Date]])</f>
        <v>2016</v>
      </c>
      <c r="K1430" t="str">
        <f>TEXT(SalesData[[#This Row],[Order Date]],"mmm")</f>
        <v>Feb</v>
      </c>
      <c r="L1430">
        <f>MONTH(SalesData[[#This Row],[Order Date]])</f>
        <v>2</v>
      </c>
      <c r="M1430">
        <f>SalesData[[#This Row],[Sales]]/SalesData[[#This Row],[Quantity]]</f>
        <v>14.979999999999999</v>
      </c>
      <c r="N1430" t="str">
        <f>IF(SalesData[[#This Row],[Profit]]&gt;0,"Profit","Loss")</f>
        <v>Profit</v>
      </c>
    </row>
    <row r="1431" spans="1:14" x14ac:dyDescent="0.3">
      <c r="A1431" t="s">
        <v>1948</v>
      </c>
      <c r="B1431" s="3">
        <v>42405</v>
      </c>
      <c r="C1431" t="s">
        <v>17</v>
      </c>
      <c r="D1431" t="s">
        <v>21</v>
      </c>
      <c r="E1431" t="s">
        <v>869</v>
      </c>
      <c r="F1431" s="1">
        <v>45.576000000000001</v>
      </c>
      <c r="G1431">
        <v>3</v>
      </c>
      <c r="H1431" s="1">
        <v>15.951599999999999</v>
      </c>
      <c r="I1431" s="4">
        <f>SalesData[[#This Row],[Profit]]/SalesData[[#This Row],[Sales]]</f>
        <v>0.35</v>
      </c>
      <c r="J1431">
        <f>YEAR(SalesData[[#This Row],[Order Date]])</f>
        <v>2016</v>
      </c>
      <c r="K1431" t="str">
        <f>TEXT(SalesData[[#This Row],[Order Date]],"mmm")</f>
        <v>Feb</v>
      </c>
      <c r="L1431">
        <f>MONTH(SalesData[[#This Row],[Order Date]])</f>
        <v>2</v>
      </c>
      <c r="M1431">
        <f>SalesData[[#This Row],[Sales]]/SalesData[[#This Row],[Quantity]]</f>
        <v>15.192</v>
      </c>
      <c r="N1431" t="str">
        <f>IF(SalesData[[#This Row],[Profit]]&gt;0,"Profit","Loss")</f>
        <v>Profit</v>
      </c>
    </row>
    <row r="1432" spans="1:14" x14ac:dyDescent="0.3">
      <c r="A1432" t="s">
        <v>1950</v>
      </c>
      <c r="B1432" s="3">
        <v>42405</v>
      </c>
      <c r="C1432" t="s">
        <v>46</v>
      </c>
      <c r="D1432" t="s">
        <v>14</v>
      </c>
      <c r="E1432" t="s">
        <v>1951</v>
      </c>
      <c r="F1432" s="1">
        <v>187.05600000000001</v>
      </c>
      <c r="G1432">
        <v>9</v>
      </c>
      <c r="H1432" s="1">
        <v>11.691000000000001</v>
      </c>
      <c r="I1432" s="4">
        <f>SalesData[[#This Row],[Profit]]/SalesData[[#This Row],[Sales]]</f>
        <v>6.25E-2</v>
      </c>
      <c r="J1432">
        <f>YEAR(SalesData[[#This Row],[Order Date]])</f>
        <v>2016</v>
      </c>
      <c r="K1432" t="str">
        <f>TEXT(SalesData[[#This Row],[Order Date]],"mmm")</f>
        <v>Feb</v>
      </c>
      <c r="L1432">
        <f>MONTH(SalesData[[#This Row],[Order Date]])</f>
        <v>2</v>
      </c>
      <c r="M1432">
        <f>SalesData[[#This Row],[Sales]]/SalesData[[#This Row],[Quantity]]</f>
        <v>20.784000000000002</v>
      </c>
      <c r="N1432" t="str">
        <f>IF(SalesData[[#This Row],[Profit]]&gt;0,"Profit","Loss")</f>
        <v>Profit</v>
      </c>
    </row>
    <row r="1433" spans="1:14" x14ac:dyDescent="0.3">
      <c r="A1433" t="s">
        <v>1952</v>
      </c>
      <c r="B1433" s="3">
        <v>42405</v>
      </c>
      <c r="C1433" t="s">
        <v>9</v>
      </c>
      <c r="D1433" t="s">
        <v>21</v>
      </c>
      <c r="E1433" t="s">
        <v>436</v>
      </c>
      <c r="F1433" s="1">
        <v>18.936</v>
      </c>
      <c r="G1433">
        <v>3</v>
      </c>
      <c r="H1433" s="1">
        <v>-3.7871999999999999</v>
      </c>
      <c r="I1433" s="4">
        <f>SalesData[[#This Row],[Profit]]/SalesData[[#This Row],[Sales]]</f>
        <v>-0.19999999999999998</v>
      </c>
      <c r="J1433">
        <f>YEAR(SalesData[[#This Row],[Order Date]])</f>
        <v>2016</v>
      </c>
      <c r="K1433" t="str">
        <f>TEXT(SalesData[[#This Row],[Order Date]],"mmm")</f>
        <v>Feb</v>
      </c>
      <c r="L1433">
        <f>MONTH(SalesData[[#This Row],[Order Date]])</f>
        <v>2</v>
      </c>
      <c r="M1433">
        <f>SalesData[[#This Row],[Sales]]/SalesData[[#This Row],[Quantity]]</f>
        <v>6.3120000000000003</v>
      </c>
      <c r="N1433" t="str">
        <f>IF(SalesData[[#This Row],[Profit]]&gt;0,"Profit","Loss")</f>
        <v>Loss</v>
      </c>
    </row>
    <row r="1434" spans="1:14" x14ac:dyDescent="0.3">
      <c r="A1434" t="s">
        <v>1952</v>
      </c>
      <c r="B1434" s="3">
        <v>42405</v>
      </c>
      <c r="C1434" t="s">
        <v>9</v>
      </c>
      <c r="D1434" t="s">
        <v>21</v>
      </c>
      <c r="E1434" t="s">
        <v>1953</v>
      </c>
      <c r="F1434" s="1">
        <v>12.672000000000001</v>
      </c>
      <c r="G1434">
        <v>3</v>
      </c>
      <c r="H1434" s="1">
        <v>-3.1680000000000001</v>
      </c>
      <c r="I1434" s="4">
        <f>SalesData[[#This Row],[Profit]]/SalesData[[#This Row],[Sales]]</f>
        <v>-0.25</v>
      </c>
      <c r="J1434">
        <f>YEAR(SalesData[[#This Row],[Order Date]])</f>
        <v>2016</v>
      </c>
      <c r="K1434" t="str">
        <f>TEXT(SalesData[[#This Row],[Order Date]],"mmm")</f>
        <v>Feb</v>
      </c>
      <c r="L1434">
        <f>MONTH(SalesData[[#This Row],[Order Date]])</f>
        <v>2</v>
      </c>
      <c r="M1434">
        <f>SalesData[[#This Row],[Sales]]/SalesData[[#This Row],[Quantity]]</f>
        <v>4.2240000000000002</v>
      </c>
      <c r="N1434" t="str">
        <f>IF(SalesData[[#This Row],[Profit]]&gt;0,"Profit","Loss")</f>
        <v>Loss</v>
      </c>
    </row>
    <row r="1435" spans="1:14" x14ac:dyDescent="0.3">
      <c r="A1435" t="s">
        <v>1952</v>
      </c>
      <c r="B1435" s="3">
        <v>42405</v>
      </c>
      <c r="C1435" t="s">
        <v>9</v>
      </c>
      <c r="D1435" t="s">
        <v>21</v>
      </c>
      <c r="E1435" t="s">
        <v>1954</v>
      </c>
      <c r="F1435" s="1">
        <v>5.04</v>
      </c>
      <c r="G1435">
        <v>2</v>
      </c>
      <c r="H1435" s="1">
        <v>1.764</v>
      </c>
      <c r="I1435" s="4">
        <f>SalesData[[#This Row],[Profit]]/SalesData[[#This Row],[Sales]]</f>
        <v>0.35</v>
      </c>
      <c r="J1435">
        <f>YEAR(SalesData[[#This Row],[Order Date]])</f>
        <v>2016</v>
      </c>
      <c r="K1435" t="str">
        <f>TEXT(SalesData[[#This Row],[Order Date]],"mmm")</f>
        <v>Feb</v>
      </c>
      <c r="L1435">
        <f>MONTH(SalesData[[#This Row],[Order Date]])</f>
        <v>2</v>
      </c>
      <c r="M1435">
        <f>SalesData[[#This Row],[Sales]]/SalesData[[#This Row],[Quantity]]</f>
        <v>2.52</v>
      </c>
      <c r="N1435" t="str">
        <f>IF(SalesData[[#This Row],[Profit]]&gt;0,"Profit","Loss")</f>
        <v>Profit</v>
      </c>
    </row>
    <row r="1436" spans="1:14" x14ac:dyDescent="0.3">
      <c r="A1436" t="s">
        <v>1955</v>
      </c>
      <c r="B1436" s="3">
        <v>42405</v>
      </c>
      <c r="C1436" t="s">
        <v>9</v>
      </c>
      <c r="D1436" t="s">
        <v>14</v>
      </c>
      <c r="E1436" t="s">
        <v>361</v>
      </c>
      <c r="F1436" s="1">
        <v>366.74400000000003</v>
      </c>
      <c r="G1436">
        <v>4</v>
      </c>
      <c r="H1436" s="1">
        <v>-110.0232</v>
      </c>
      <c r="I1436" s="4">
        <f>SalesData[[#This Row],[Profit]]/SalesData[[#This Row],[Sales]]</f>
        <v>-0.3</v>
      </c>
      <c r="J1436">
        <f>YEAR(SalesData[[#This Row],[Order Date]])</f>
        <v>2016</v>
      </c>
      <c r="K1436" t="str">
        <f>TEXT(SalesData[[#This Row],[Order Date]],"mmm")</f>
        <v>Feb</v>
      </c>
      <c r="L1436">
        <f>MONTH(SalesData[[#This Row],[Order Date]])</f>
        <v>2</v>
      </c>
      <c r="M1436">
        <f>SalesData[[#This Row],[Sales]]/SalesData[[#This Row],[Quantity]]</f>
        <v>91.686000000000007</v>
      </c>
      <c r="N1436" t="str">
        <f>IF(SalesData[[#This Row],[Profit]]&gt;0,"Profit","Loss")</f>
        <v>Loss</v>
      </c>
    </row>
    <row r="1437" spans="1:14" x14ac:dyDescent="0.3">
      <c r="A1437" t="s">
        <v>1956</v>
      </c>
      <c r="B1437" s="3">
        <v>42405</v>
      </c>
      <c r="C1437" t="s">
        <v>17</v>
      </c>
      <c r="D1437" t="s">
        <v>14</v>
      </c>
      <c r="E1437" t="s">
        <v>1957</v>
      </c>
      <c r="F1437" s="1">
        <v>12.56</v>
      </c>
      <c r="G1437">
        <v>2</v>
      </c>
      <c r="H1437" s="1">
        <v>4.0191999999999997</v>
      </c>
      <c r="I1437" s="4">
        <f>SalesData[[#This Row],[Profit]]/SalesData[[#This Row],[Sales]]</f>
        <v>0.31999999999999995</v>
      </c>
      <c r="J1437">
        <f>YEAR(SalesData[[#This Row],[Order Date]])</f>
        <v>2016</v>
      </c>
      <c r="K1437" t="str">
        <f>TEXT(SalesData[[#This Row],[Order Date]],"mmm")</f>
        <v>Feb</v>
      </c>
      <c r="L1437">
        <f>MONTH(SalesData[[#This Row],[Order Date]])</f>
        <v>2</v>
      </c>
      <c r="M1437">
        <f>SalesData[[#This Row],[Sales]]/SalesData[[#This Row],[Quantity]]</f>
        <v>6.28</v>
      </c>
      <c r="N1437" t="str">
        <f>IF(SalesData[[#This Row],[Profit]]&gt;0,"Profit","Loss")</f>
        <v>Profit</v>
      </c>
    </row>
    <row r="1438" spans="1:14" x14ac:dyDescent="0.3">
      <c r="A1438" t="s">
        <v>1956</v>
      </c>
      <c r="B1438" s="3">
        <v>42405</v>
      </c>
      <c r="C1438" t="s">
        <v>17</v>
      </c>
      <c r="D1438" t="s">
        <v>21</v>
      </c>
      <c r="E1438" t="s">
        <v>424</v>
      </c>
      <c r="F1438" s="1">
        <v>90.48</v>
      </c>
      <c r="G1438">
        <v>3</v>
      </c>
      <c r="H1438" s="1">
        <v>33.93</v>
      </c>
      <c r="I1438" s="4">
        <f>SalesData[[#This Row],[Profit]]/SalesData[[#This Row],[Sales]]</f>
        <v>0.375</v>
      </c>
      <c r="J1438">
        <f>YEAR(SalesData[[#This Row],[Order Date]])</f>
        <v>2016</v>
      </c>
      <c r="K1438" t="str">
        <f>TEXT(SalesData[[#This Row],[Order Date]],"mmm")</f>
        <v>Feb</v>
      </c>
      <c r="L1438">
        <f>MONTH(SalesData[[#This Row],[Order Date]])</f>
        <v>2</v>
      </c>
      <c r="M1438">
        <f>SalesData[[#This Row],[Sales]]/SalesData[[#This Row],[Quantity]]</f>
        <v>30.16</v>
      </c>
      <c r="N1438" t="str">
        <f>IF(SalesData[[#This Row],[Profit]]&gt;0,"Profit","Loss")</f>
        <v>Profit</v>
      </c>
    </row>
    <row r="1439" spans="1:14" x14ac:dyDescent="0.3">
      <c r="A1439" t="s">
        <v>1956</v>
      </c>
      <c r="B1439" s="3">
        <v>42405</v>
      </c>
      <c r="C1439" t="s">
        <v>17</v>
      </c>
      <c r="D1439" t="s">
        <v>21</v>
      </c>
      <c r="E1439" t="s">
        <v>88</v>
      </c>
      <c r="F1439" s="1">
        <v>13.08</v>
      </c>
      <c r="G1439">
        <v>2</v>
      </c>
      <c r="H1439" s="1">
        <v>6.0167999999999999</v>
      </c>
      <c r="I1439" s="4">
        <f>SalesData[[#This Row],[Profit]]/SalesData[[#This Row],[Sales]]</f>
        <v>0.45999999999999996</v>
      </c>
      <c r="J1439">
        <f>YEAR(SalesData[[#This Row],[Order Date]])</f>
        <v>2016</v>
      </c>
      <c r="K1439" t="str">
        <f>TEXT(SalesData[[#This Row],[Order Date]],"mmm")</f>
        <v>Feb</v>
      </c>
      <c r="L1439">
        <f>MONTH(SalesData[[#This Row],[Order Date]])</f>
        <v>2</v>
      </c>
      <c r="M1439">
        <f>SalesData[[#This Row],[Sales]]/SalesData[[#This Row],[Quantity]]</f>
        <v>6.54</v>
      </c>
      <c r="N1439" t="str">
        <f>IF(SalesData[[#This Row],[Profit]]&gt;0,"Profit","Loss")</f>
        <v>Profit</v>
      </c>
    </row>
    <row r="1440" spans="1:14" x14ac:dyDescent="0.3">
      <c r="A1440" t="s">
        <v>1956</v>
      </c>
      <c r="B1440" s="3">
        <v>42405</v>
      </c>
      <c r="C1440" t="s">
        <v>17</v>
      </c>
      <c r="D1440" t="s">
        <v>14</v>
      </c>
      <c r="E1440" t="s">
        <v>102</v>
      </c>
      <c r="F1440" s="1">
        <v>214.7</v>
      </c>
      <c r="G1440">
        <v>5</v>
      </c>
      <c r="H1440" s="1">
        <v>83.733000000000004</v>
      </c>
      <c r="I1440" s="4">
        <f>SalesData[[#This Row],[Profit]]/SalesData[[#This Row],[Sales]]</f>
        <v>0.39</v>
      </c>
      <c r="J1440">
        <f>YEAR(SalesData[[#This Row],[Order Date]])</f>
        <v>2016</v>
      </c>
      <c r="K1440" t="str">
        <f>TEXT(SalesData[[#This Row],[Order Date]],"mmm")</f>
        <v>Feb</v>
      </c>
      <c r="L1440">
        <f>MONTH(SalesData[[#This Row],[Order Date]])</f>
        <v>2</v>
      </c>
      <c r="M1440">
        <f>SalesData[[#This Row],[Sales]]/SalesData[[#This Row],[Quantity]]</f>
        <v>42.94</v>
      </c>
      <c r="N1440" t="str">
        <f>IF(SalesData[[#This Row],[Profit]]&gt;0,"Profit","Loss")</f>
        <v>Profit</v>
      </c>
    </row>
    <row r="1441" spans="1:14" x14ac:dyDescent="0.3">
      <c r="A1441" t="s">
        <v>1958</v>
      </c>
      <c r="B1441" s="3">
        <v>42406</v>
      </c>
      <c r="C1441" t="s">
        <v>17</v>
      </c>
      <c r="D1441" t="s">
        <v>21</v>
      </c>
      <c r="E1441" t="s">
        <v>702</v>
      </c>
      <c r="F1441" s="1">
        <v>64.784000000000006</v>
      </c>
      <c r="G1441">
        <v>1</v>
      </c>
      <c r="H1441" s="1">
        <v>-12.956799999999999</v>
      </c>
      <c r="I1441" s="4">
        <f>SalesData[[#This Row],[Profit]]/SalesData[[#This Row],[Sales]]</f>
        <v>-0.19999999999999998</v>
      </c>
      <c r="J1441">
        <f>YEAR(SalesData[[#This Row],[Order Date]])</f>
        <v>2016</v>
      </c>
      <c r="K1441" t="str">
        <f>TEXT(SalesData[[#This Row],[Order Date]],"mmm")</f>
        <v>Feb</v>
      </c>
      <c r="L1441">
        <f>MONTH(SalesData[[#This Row],[Order Date]])</f>
        <v>2</v>
      </c>
      <c r="M1441">
        <f>SalesData[[#This Row],[Sales]]/SalesData[[#This Row],[Quantity]]</f>
        <v>64.784000000000006</v>
      </c>
      <c r="N1441" t="str">
        <f>IF(SalesData[[#This Row],[Profit]]&gt;0,"Profit","Loss")</f>
        <v>Loss</v>
      </c>
    </row>
    <row r="1442" spans="1:14" x14ac:dyDescent="0.3">
      <c r="A1442" t="s">
        <v>1959</v>
      </c>
      <c r="B1442" s="3">
        <v>42406</v>
      </c>
      <c r="C1442" t="s">
        <v>13</v>
      </c>
      <c r="D1442" t="s">
        <v>21</v>
      </c>
      <c r="E1442" t="s">
        <v>634</v>
      </c>
      <c r="F1442" s="1">
        <v>30.18</v>
      </c>
      <c r="G1442">
        <v>3</v>
      </c>
      <c r="H1442" s="1">
        <v>13.8828</v>
      </c>
      <c r="I1442" s="4">
        <f>SalesData[[#This Row],[Profit]]/SalesData[[#This Row],[Sales]]</f>
        <v>0.45999999999999996</v>
      </c>
      <c r="J1442">
        <f>YEAR(SalesData[[#This Row],[Order Date]])</f>
        <v>2016</v>
      </c>
      <c r="K1442" t="str">
        <f>TEXT(SalesData[[#This Row],[Order Date]],"mmm")</f>
        <v>Feb</v>
      </c>
      <c r="L1442">
        <f>MONTH(SalesData[[#This Row],[Order Date]])</f>
        <v>2</v>
      </c>
      <c r="M1442">
        <f>SalesData[[#This Row],[Sales]]/SalesData[[#This Row],[Quantity]]</f>
        <v>10.06</v>
      </c>
      <c r="N1442" t="str">
        <f>IF(SalesData[[#This Row],[Profit]]&gt;0,"Profit","Loss")</f>
        <v>Profit</v>
      </c>
    </row>
    <row r="1443" spans="1:14" x14ac:dyDescent="0.3">
      <c r="A1443" t="s">
        <v>1959</v>
      </c>
      <c r="B1443" s="3">
        <v>42406</v>
      </c>
      <c r="C1443" t="s">
        <v>13</v>
      </c>
      <c r="D1443" t="s">
        <v>21</v>
      </c>
      <c r="E1443" t="s">
        <v>583</v>
      </c>
      <c r="F1443" s="1">
        <v>51.648000000000003</v>
      </c>
      <c r="G1443">
        <v>12</v>
      </c>
      <c r="H1443" s="1">
        <v>18.7224</v>
      </c>
      <c r="I1443" s="4">
        <f>SalesData[[#This Row],[Profit]]/SalesData[[#This Row],[Sales]]</f>
        <v>0.36249999999999999</v>
      </c>
      <c r="J1443">
        <f>YEAR(SalesData[[#This Row],[Order Date]])</f>
        <v>2016</v>
      </c>
      <c r="K1443" t="str">
        <f>TEXT(SalesData[[#This Row],[Order Date]],"mmm")</f>
        <v>Feb</v>
      </c>
      <c r="L1443">
        <f>MONTH(SalesData[[#This Row],[Order Date]])</f>
        <v>2</v>
      </c>
      <c r="M1443">
        <f>SalesData[[#This Row],[Sales]]/SalesData[[#This Row],[Quantity]]</f>
        <v>4.3040000000000003</v>
      </c>
      <c r="N1443" t="str">
        <f>IF(SalesData[[#This Row],[Profit]]&gt;0,"Profit","Loss")</f>
        <v>Profit</v>
      </c>
    </row>
    <row r="1444" spans="1:14" x14ac:dyDescent="0.3">
      <c r="A1444" t="s">
        <v>1959</v>
      </c>
      <c r="B1444" s="3">
        <v>42406</v>
      </c>
      <c r="C1444" t="s">
        <v>13</v>
      </c>
      <c r="D1444" t="s">
        <v>21</v>
      </c>
      <c r="E1444" t="s">
        <v>1008</v>
      </c>
      <c r="F1444" s="1">
        <v>11.231999999999999</v>
      </c>
      <c r="G1444">
        <v>3</v>
      </c>
      <c r="H1444" s="1">
        <v>3.9312</v>
      </c>
      <c r="I1444" s="4">
        <f>SalesData[[#This Row],[Profit]]/SalesData[[#This Row],[Sales]]</f>
        <v>0.35000000000000003</v>
      </c>
      <c r="J1444">
        <f>YEAR(SalesData[[#This Row],[Order Date]])</f>
        <v>2016</v>
      </c>
      <c r="K1444" t="str">
        <f>TEXT(SalesData[[#This Row],[Order Date]],"mmm")</f>
        <v>Feb</v>
      </c>
      <c r="L1444">
        <f>MONTH(SalesData[[#This Row],[Order Date]])</f>
        <v>2</v>
      </c>
      <c r="M1444">
        <f>SalesData[[#This Row],[Sales]]/SalesData[[#This Row],[Quantity]]</f>
        <v>3.7439999999999998</v>
      </c>
      <c r="N1444" t="str">
        <f>IF(SalesData[[#This Row],[Profit]]&gt;0,"Profit","Loss")</f>
        <v>Profit</v>
      </c>
    </row>
    <row r="1445" spans="1:14" x14ac:dyDescent="0.3">
      <c r="A1445" t="s">
        <v>1960</v>
      </c>
      <c r="B1445" s="3">
        <v>42407</v>
      </c>
      <c r="C1445" t="s">
        <v>13</v>
      </c>
      <c r="D1445" t="s">
        <v>14</v>
      </c>
      <c r="E1445" t="s">
        <v>996</v>
      </c>
      <c r="F1445" s="1">
        <v>195.184</v>
      </c>
      <c r="G1445">
        <v>1</v>
      </c>
      <c r="H1445" s="1">
        <v>19.5184</v>
      </c>
      <c r="I1445" s="4">
        <f>SalesData[[#This Row],[Profit]]/SalesData[[#This Row],[Sales]]</f>
        <v>0.1</v>
      </c>
      <c r="J1445">
        <f>YEAR(SalesData[[#This Row],[Order Date]])</f>
        <v>2016</v>
      </c>
      <c r="K1445" t="str">
        <f>TEXT(SalesData[[#This Row],[Order Date]],"mmm")</f>
        <v>Feb</v>
      </c>
      <c r="L1445">
        <f>MONTH(SalesData[[#This Row],[Order Date]])</f>
        <v>2</v>
      </c>
      <c r="M1445">
        <f>SalesData[[#This Row],[Sales]]/SalesData[[#This Row],[Quantity]]</f>
        <v>195.184</v>
      </c>
      <c r="N1445" t="str">
        <f>IF(SalesData[[#This Row],[Profit]]&gt;0,"Profit","Loss")</f>
        <v>Profit</v>
      </c>
    </row>
    <row r="1446" spans="1:14" x14ac:dyDescent="0.3">
      <c r="A1446" t="s">
        <v>1961</v>
      </c>
      <c r="B1446" s="3">
        <v>42407</v>
      </c>
      <c r="C1446" t="s">
        <v>46</v>
      </c>
      <c r="D1446" t="s">
        <v>21</v>
      </c>
      <c r="E1446" t="s">
        <v>1962</v>
      </c>
      <c r="F1446" s="1">
        <v>7.7</v>
      </c>
      <c r="G1446">
        <v>2</v>
      </c>
      <c r="H1446" s="1">
        <v>3.157</v>
      </c>
      <c r="I1446" s="4">
        <f>SalesData[[#This Row],[Profit]]/SalesData[[#This Row],[Sales]]</f>
        <v>0.41</v>
      </c>
      <c r="J1446">
        <f>YEAR(SalesData[[#This Row],[Order Date]])</f>
        <v>2016</v>
      </c>
      <c r="K1446" t="str">
        <f>TEXT(SalesData[[#This Row],[Order Date]],"mmm")</f>
        <v>Feb</v>
      </c>
      <c r="L1446">
        <f>MONTH(SalesData[[#This Row],[Order Date]])</f>
        <v>2</v>
      </c>
      <c r="M1446">
        <f>SalesData[[#This Row],[Sales]]/SalesData[[#This Row],[Quantity]]</f>
        <v>3.85</v>
      </c>
      <c r="N1446" t="str">
        <f>IF(SalesData[[#This Row],[Profit]]&gt;0,"Profit","Loss")</f>
        <v>Profit</v>
      </c>
    </row>
    <row r="1447" spans="1:14" x14ac:dyDescent="0.3">
      <c r="A1447" t="s">
        <v>1963</v>
      </c>
      <c r="B1447" s="3">
        <v>42407</v>
      </c>
      <c r="C1447" t="s">
        <v>9</v>
      </c>
      <c r="D1447" t="s">
        <v>14</v>
      </c>
      <c r="E1447" t="s">
        <v>949</v>
      </c>
      <c r="F1447" s="1">
        <v>528.42999999999995</v>
      </c>
      <c r="G1447">
        <v>5</v>
      </c>
      <c r="H1447" s="1">
        <v>0</v>
      </c>
      <c r="I1447" s="4">
        <f>SalesData[[#This Row],[Profit]]/SalesData[[#This Row],[Sales]]</f>
        <v>0</v>
      </c>
      <c r="J1447">
        <f>YEAR(SalesData[[#This Row],[Order Date]])</f>
        <v>2016</v>
      </c>
      <c r="K1447" t="str">
        <f>TEXT(SalesData[[#This Row],[Order Date]],"mmm")</f>
        <v>Feb</v>
      </c>
      <c r="L1447">
        <f>MONTH(SalesData[[#This Row],[Order Date]])</f>
        <v>2</v>
      </c>
      <c r="M1447">
        <f>SalesData[[#This Row],[Sales]]/SalesData[[#This Row],[Quantity]]</f>
        <v>105.68599999999999</v>
      </c>
      <c r="N1447" t="str">
        <f>IF(SalesData[[#This Row],[Profit]]&gt;0,"Profit","Loss")</f>
        <v>Loss</v>
      </c>
    </row>
    <row r="1448" spans="1:14" x14ac:dyDescent="0.3">
      <c r="A1448" t="s">
        <v>1963</v>
      </c>
      <c r="B1448" s="3">
        <v>42407</v>
      </c>
      <c r="C1448" t="s">
        <v>9</v>
      </c>
      <c r="D1448" t="s">
        <v>21</v>
      </c>
      <c r="E1448" t="s">
        <v>1731</v>
      </c>
      <c r="F1448" s="1">
        <v>41.472000000000001</v>
      </c>
      <c r="G1448">
        <v>8</v>
      </c>
      <c r="H1448" s="1">
        <v>14.5152</v>
      </c>
      <c r="I1448" s="4">
        <f>SalesData[[#This Row],[Profit]]/SalesData[[#This Row],[Sales]]</f>
        <v>0.35</v>
      </c>
      <c r="J1448">
        <f>YEAR(SalesData[[#This Row],[Order Date]])</f>
        <v>2016</v>
      </c>
      <c r="K1448" t="str">
        <f>TEXT(SalesData[[#This Row],[Order Date]],"mmm")</f>
        <v>Feb</v>
      </c>
      <c r="L1448">
        <f>MONTH(SalesData[[#This Row],[Order Date]])</f>
        <v>2</v>
      </c>
      <c r="M1448">
        <f>SalesData[[#This Row],[Sales]]/SalesData[[#This Row],[Quantity]]</f>
        <v>5.1840000000000002</v>
      </c>
      <c r="N1448" t="str">
        <f>IF(SalesData[[#This Row],[Profit]]&gt;0,"Profit","Loss")</f>
        <v>Profit</v>
      </c>
    </row>
    <row r="1449" spans="1:14" x14ac:dyDescent="0.3">
      <c r="A1449" t="s">
        <v>1964</v>
      </c>
      <c r="B1449" s="3">
        <v>42408</v>
      </c>
      <c r="C1449" t="s">
        <v>13</v>
      </c>
      <c r="D1449" t="s">
        <v>14</v>
      </c>
      <c r="E1449" t="s">
        <v>1965</v>
      </c>
      <c r="F1449" s="1">
        <v>136.464</v>
      </c>
      <c r="G1449">
        <v>2</v>
      </c>
      <c r="H1449" s="1">
        <v>15.3522</v>
      </c>
      <c r="I1449" s="4">
        <f>SalesData[[#This Row],[Profit]]/SalesData[[#This Row],[Sales]]</f>
        <v>0.1125</v>
      </c>
      <c r="J1449">
        <f>YEAR(SalesData[[#This Row],[Order Date]])</f>
        <v>2016</v>
      </c>
      <c r="K1449" t="str">
        <f>TEXT(SalesData[[#This Row],[Order Date]],"mmm")</f>
        <v>Feb</v>
      </c>
      <c r="L1449">
        <f>MONTH(SalesData[[#This Row],[Order Date]])</f>
        <v>2</v>
      </c>
      <c r="M1449">
        <f>SalesData[[#This Row],[Sales]]/SalesData[[#This Row],[Quantity]]</f>
        <v>68.231999999999999</v>
      </c>
      <c r="N1449" t="str">
        <f>IF(SalesData[[#This Row],[Profit]]&gt;0,"Profit","Loss")</f>
        <v>Profit</v>
      </c>
    </row>
    <row r="1450" spans="1:14" x14ac:dyDescent="0.3">
      <c r="A1450" t="s">
        <v>1964</v>
      </c>
      <c r="B1450" s="3">
        <v>42408</v>
      </c>
      <c r="C1450" t="s">
        <v>13</v>
      </c>
      <c r="D1450" t="s">
        <v>10</v>
      </c>
      <c r="E1450" t="s">
        <v>1966</v>
      </c>
      <c r="F1450" s="1">
        <v>333.57600000000002</v>
      </c>
      <c r="G1450">
        <v>3</v>
      </c>
      <c r="H1450" s="1">
        <v>33.357599999999998</v>
      </c>
      <c r="I1450" s="4">
        <f>SalesData[[#This Row],[Profit]]/SalesData[[#This Row],[Sales]]</f>
        <v>9.9999999999999992E-2</v>
      </c>
      <c r="J1450">
        <f>YEAR(SalesData[[#This Row],[Order Date]])</f>
        <v>2016</v>
      </c>
      <c r="K1450" t="str">
        <f>TEXT(SalesData[[#This Row],[Order Date]],"mmm")</f>
        <v>Feb</v>
      </c>
      <c r="L1450">
        <f>MONTH(SalesData[[#This Row],[Order Date]])</f>
        <v>2</v>
      </c>
      <c r="M1450">
        <f>SalesData[[#This Row],[Sales]]/SalesData[[#This Row],[Quantity]]</f>
        <v>111.19200000000001</v>
      </c>
      <c r="N1450" t="str">
        <f>IF(SalesData[[#This Row],[Profit]]&gt;0,"Profit","Loss")</f>
        <v>Profit</v>
      </c>
    </row>
    <row r="1451" spans="1:14" x14ac:dyDescent="0.3">
      <c r="A1451" t="s">
        <v>1964</v>
      </c>
      <c r="B1451" s="3">
        <v>42408</v>
      </c>
      <c r="C1451" t="s">
        <v>13</v>
      </c>
      <c r="D1451" t="s">
        <v>21</v>
      </c>
      <c r="E1451" t="s">
        <v>1967</v>
      </c>
      <c r="F1451" s="1">
        <v>12.544</v>
      </c>
      <c r="G1451">
        <v>2</v>
      </c>
      <c r="H1451" s="1">
        <v>4.7039999999999997</v>
      </c>
      <c r="I1451" s="4">
        <f>SalesData[[#This Row],[Profit]]/SalesData[[#This Row],[Sales]]</f>
        <v>0.37499999999999994</v>
      </c>
      <c r="J1451">
        <f>YEAR(SalesData[[#This Row],[Order Date]])</f>
        <v>2016</v>
      </c>
      <c r="K1451" t="str">
        <f>TEXT(SalesData[[#This Row],[Order Date]],"mmm")</f>
        <v>Feb</v>
      </c>
      <c r="L1451">
        <f>MONTH(SalesData[[#This Row],[Order Date]])</f>
        <v>2</v>
      </c>
      <c r="M1451">
        <f>SalesData[[#This Row],[Sales]]/SalesData[[#This Row],[Quantity]]</f>
        <v>6.2720000000000002</v>
      </c>
      <c r="N1451" t="str">
        <f>IF(SalesData[[#This Row],[Profit]]&gt;0,"Profit","Loss")</f>
        <v>Profit</v>
      </c>
    </row>
    <row r="1452" spans="1:14" x14ac:dyDescent="0.3">
      <c r="A1452" t="s">
        <v>1968</v>
      </c>
      <c r="B1452" s="3">
        <v>42409</v>
      </c>
      <c r="C1452" t="s">
        <v>17</v>
      </c>
      <c r="D1452" t="s">
        <v>21</v>
      </c>
      <c r="E1452" t="s">
        <v>636</v>
      </c>
      <c r="F1452" s="1">
        <v>75.48</v>
      </c>
      <c r="G1452">
        <v>2</v>
      </c>
      <c r="H1452" s="1">
        <v>19.6248</v>
      </c>
      <c r="I1452" s="4">
        <f>SalesData[[#This Row],[Profit]]/SalesData[[#This Row],[Sales]]</f>
        <v>0.26</v>
      </c>
      <c r="J1452">
        <f>YEAR(SalesData[[#This Row],[Order Date]])</f>
        <v>2016</v>
      </c>
      <c r="K1452" t="str">
        <f>TEXT(SalesData[[#This Row],[Order Date]],"mmm")</f>
        <v>Feb</v>
      </c>
      <c r="L1452">
        <f>MONTH(SalesData[[#This Row],[Order Date]])</f>
        <v>2</v>
      </c>
      <c r="M1452">
        <f>SalesData[[#This Row],[Sales]]/SalesData[[#This Row],[Quantity]]</f>
        <v>37.74</v>
      </c>
      <c r="N1452" t="str">
        <f>IF(SalesData[[#This Row],[Profit]]&gt;0,"Profit","Loss")</f>
        <v>Profit</v>
      </c>
    </row>
    <row r="1453" spans="1:14" x14ac:dyDescent="0.3">
      <c r="A1453" t="s">
        <v>1968</v>
      </c>
      <c r="B1453" s="3">
        <v>42409</v>
      </c>
      <c r="C1453" t="s">
        <v>17</v>
      </c>
      <c r="D1453" t="s">
        <v>14</v>
      </c>
      <c r="E1453" t="s">
        <v>449</v>
      </c>
      <c r="F1453" s="1">
        <v>39.979999999999997</v>
      </c>
      <c r="G1453">
        <v>2</v>
      </c>
      <c r="H1453" s="1">
        <v>9.9949999999999992</v>
      </c>
      <c r="I1453" s="4">
        <f>SalesData[[#This Row],[Profit]]/SalesData[[#This Row],[Sales]]</f>
        <v>0.25</v>
      </c>
      <c r="J1453">
        <f>YEAR(SalesData[[#This Row],[Order Date]])</f>
        <v>2016</v>
      </c>
      <c r="K1453" t="str">
        <f>TEXT(SalesData[[#This Row],[Order Date]],"mmm")</f>
        <v>Feb</v>
      </c>
      <c r="L1453">
        <f>MONTH(SalesData[[#This Row],[Order Date]])</f>
        <v>2</v>
      </c>
      <c r="M1453">
        <f>SalesData[[#This Row],[Sales]]/SalesData[[#This Row],[Quantity]]</f>
        <v>19.989999999999998</v>
      </c>
      <c r="N1453" t="str">
        <f>IF(SalesData[[#This Row],[Profit]]&gt;0,"Profit","Loss")</f>
        <v>Profit</v>
      </c>
    </row>
    <row r="1454" spans="1:14" x14ac:dyDescent="0.3">
      <c r="A1454" t="s">
        <v>1969</v>
      </c>
      <c r="B1454" s="3">
        <v>42409</v>
      </c>
      <c r="C1454" t="s">
        <v>9</v>
      </c>
      <c r="D1454" t="s">
        <v>21</v>
      </c>
      <c r="E1454" t="s">
        <v>274</v>
      </c>
      <c r="F1454" s="1">
        <v>1.81</v>
      </c>
      <c r="G1454">
        <v>1</v>
      </c>
      <c r="H1454" s="1">
        <v>0.65159999999999996</v>
      </c>
      <c r="I1454" s="4">
        <f>SalesData[[#This Row],[Profit]]/SalesData[[#This Row],[Sales]]</f>
        <v>0.36</v>
      </c>
      <c r="J1454">
        <f>YEAR(SalesData[[#This Row],[Order Date]])</f>
        <v>2016</v>
      </c>
      <c r="K1454" t="str">
        <f>TEXT(SalesData[[#This Row],[Order Date]],"mmm")</f>
        <v>Feb</v>
      </c>
      <c r="L1454">
        <f>MONTH(SalesData[[#This Row],[Order Date]])</f>
        <v>2</v>
      </c>
      <c r="M1454">
        <f>SalesData[[#This Row],[Sales]]/SalesData[[#This Row],[Quantity]]</f>
        <v>1.81</v>
      </c>
      <c r="N1454" t="str">
        <f>IF(SalesData[[#This Row],[Profit]]&gt;0,"Profit","Loss")</f>
        <v>Profit</v>
      </c>
    </row>
    <row r="1455" spans="1:14" x14ac:dyDescent="0.3">
      <c r="A1455" t="s">
        <v>1969</v>
      </c>
      <c r="B1455" s="3">
        <v>42409</v>
      </c>
      <c r="C1455" t="s">
        <v>9</v>
      </c>
      <c r="D1455" t="s">
        <v>21</v>
      </c>
      <c r="E1455" t="s">
        <v>631</v>
      </c>
      <c r="F1455" s="1">
        <v>8.26</v>
      </c>
      <c r="G1455">
        <v>2</v>
      </c>
      <c r="H1455" s="1">
        <v>3.8822000000000001</v>
      </c>
      <c r="I1455" s="4">
        <f>SalesData[[#This Row],[Profit]]/SalesData[[#This Row],[Sales]]</f>
        <v>0.47000000000000003</v>
      </c>
      <c r="J1455">
        <f>YEAR(SalesData[[#This Row],[Order Date]])</f>
        <v>2016</v>
      </c>
      <c r="K1455" t="str">
        <f>TEXT(SalesData[[#This Row],[Order Date]],"mmm")</f>
        <v>Feb</v>
      </c>
      <c r="L1455">
        <f>MONTH(SalesData[[#This Row],[Order Date]])</f>
        <v>2</v>
      </c>
      <c r="M1455">
        <f>SalesData[[#This Row],[Sales]]/SalesData[[#This Row],[Quantity]]</f>
        <v>4.13</v>
      </c>
      <c r="N1455" t="str">
        <f>IF(SalesData[[#This Row],[Profit]]&gt;0,"Profit","Loss")</f>
        <v>Profit</v>
      </c>
    </row>
    <row r="1456" spans="1:14" x14ac:dyDescent="0.3">
      <c r="A1456" t="s">
        <v>1970</v>
      </c>
      <c r="B1456" s="3">
        <v>42409</v>
      </c>
      <c r="C1456" t="s">
        <v>13</v>
      </c>
      <c r="D1456" t="s">
        <v>21</v>
      </c>
      <c r="E1456" t="s">
        <v>398</v>
      </c>
      <c r="F1456" s="1">
        <v>46.53</v>
      </c>
      <c r="G1456">
        <v>3</v>
      </c>
      <c r="H1456" s="1">
        <v>12.097799999999999</v>
      </c>
      <c r="I1456" s="4">
        <f>SalesData[[#This Row],[Profit]]/SalesData[[#This Row],[Sales]]</f>
        <v>0.26</v>
      </c>
      <c r="J1456">
        <f>YEAR(SalesData[[#This Row],[Order Date]])</f>
        <v>2016</v>
      </c>
      <c r="K1456" t="str">
        <f>TEXT(SalesData[[#This Row],[Order Date]],"mmm")</f>
        <v>Feb</v>
      </c>
      <c r="L1456">
        <f>MONTH(SalesData[[#This Row],[Order Date]])</f>
        <v>2</v>
      </c>
      <c r="M1456">
        <f>SalesData[[#This Row],[Sales]]/SalesData[[#This Row],[Quantity]]</f>
        <v>15.51</v>
      </c>
      <c r="N1456" t="str">
        <f>IF(SalesData[[#This Row],[Profit]]&gt;0,"Profit","Loss")</f>
        <v>Profit</v>
      </c>
    </row>
    <row r="1457" spans="1:14" x14ac:dyDescent="0.3">
      <c r="A1457" t="s">
        <v>1971</v>
      </c>
      <c r="B1457" s="3">
        <v>42409</v>
      </c>
      <c r="C1457" t="s">
        <v>9</v>
      </c>
      <c r="D1457" t="s">
        <v>21</v>
      </c>
      <c r="E1457" t="s">
        <v>58</v>
      </c>
      <c r="F1457" s="1">
        <v>29.24</v>
      </c>
      <c r="G1457">
        <v>5</v>
      </c>
      <c r="H1457" s="1">
        <v>9.8684999999999992</v>
      </c>
      <c r="I1457" s="4">
        <f>SalesData[[#This Row],[Profit]]/SalesData[[#This Row],[Sales]]</f>
        <v>0.33749999999999997</v>
      </c>
      <c r="J1457">
        <f>YEAR(SalesData[[#This Row],[Order Date]])</f>
        <v>2016</v>
      </c>
      <c r="K1457" t="str">
        <f>TEXT(SalesData[[#This Row],[Order Date]],"mmm")</f>
        <v>Feb</v>
      </c>
      <c r="L1457">
        <f>MONTH(SalesData[[#This Row],[Order Date]])</f>
        <v>2</v>
      </c>
      <c r="M1457">
        <f>SalesData[[#This Row],[Sales]]/SalesData[[#This Row],[Quantity]]</f>
        <v>5.8479999999999999</v>
      </c>
      <c r="N1457" t="str">
        <f>IF(SalesData[[#This Row],[Profit]]&gt;0,"Profit","Loss")</f>
        <v>Profit</v>
      </c>
    </row>
    <row r="1458" spans="1:14" x14ac:dyDescent="0.3">
      <c r="A1458" t="s">
        <v>1971</v>
      </c>
      <c r="B1458" s="3">
        <v>42409</v>
      </c>
      <c r="C1458" t="s">
        <v>9</v>
      </c>
      <c r="D1458" t="s">
        <v>21</v>
      </c>
      <c r="E1458" t="s">
        <v>552</v>
      </c>
      <c r="F1458" s="1">
        <v>35.167999999999999</v>
      </c>
      <c r="G1458">
        <v>2</v>
      </c>
      <c r="H1458" s="1">
        <v>-8.3523999999999994</v>
      </c>
      <c r="I1458" s="4">
        <f>SalesData[[#This Row],[Profit]]/SalesData[[#This Row],[Sales]]</f>
        <v>-0.23749999999999999</v>
      </c>
      <c r="J1458">
        <f>YEAR(SalesData[[#This Row],[Order Date]])</f>
        <v>2016</v>
      </c>
      <c r="K1458" t="str">
        <f>TEXT(SalesData[[#This Row],[Order Date]],"mmm")</f>
        <v>Feb</v>
      </c>
      <c r="L1458">
        <f>MONTH(SalesData[[#This Row],[Order Date]])</f>
        <v>2</v>
      </c>
      <c r="M1458">
        <f>SalesData[[#This Row],[Sales]]/SalesData[[#This Row],[Quantity]]</f>
        <v>17.584</v>
      </c>
      <c r="N1458" t="str">
        <f>IF(SalesData[[#This Row],[Profit]]&gt;0,"Profit","Loss")</f>
        <v>Loss</v>
      </c>
    </row>
    <row r="1459" spans="1:14" x14ac:dyDescent="0.3">
      <c r="A1459" t="s">
        <v>1971</v>
      </c>
      <c r="B1459" s="3">
        <v>42409</v>
      </c>
      <c r="C1459" t="s">
        <v>9</v>
      </c>
      <c r="D1459" t="s">
        <v>10</v>
      </c>
      <c r="E1459" t="s">
        <v>1972</v>
      </c>
      <c r="F1459" s="1">
        <v>1362.9</v>
      </c>
      <c r="G1459">
        <v>3</v>
      </c>
      <c r="H1459" s="1">
        <v>-19.47</v>
      </c>
      <c r="I1459" s="4">
        <f>SalesData[[#This Row],[Profit]]/SalesData[[#This Row],[Sales]]</f>
        <v>-1.4285714285714284E-2</v>
      </c>
      <c r="J1459">
        <f>YEAR(SalesData[[#This Row],[Order Date]])</f>
        <v>2016</v>
      </c>
      <c r="K1459" t="str">
        <f>TEXT(SalesData[[#This Row],[Order Date]],"mmm")</f>
        <v>Feb</v>
      </c>
      <c r="L1459">
        <f>MONTH(SalesData[[#This Row],[Order Date]])</f>
        <v>2</v>
      </c>
      <c r="M1459">
        <f>SalesData[[#This Row],[Sales]]/SalesData[[#This Row],[Quantity]]</f>
        <v>454.3</v>
      </c>
      <c r="N1459" t="str">
        <f>IF(SalesData[[#This Row],[Profit]]&gt;0,"Profit","Loss")</f>
        <v>Loss</v>
      </c>
    </row>
    <row r="1460" spans="1:14" x14ac:dyDescent="0.3">
      <c r="A1460" t="s">
        <v>1973</v>
      </c>
      <c r="B1460" s="3">
        <v>42409</v>
      </c>
      <c r="C1460" t="s">
        <v>9</v>
      </c>
      <c r="D1460" t="s">
        <v>14</v>
      </c>
      <c r="E1460" t="s">
        <v>1777</v>
      </c>
      <c r="F1460" s="1">
        <v>84.272000000000006</v>
      </c>
      <c r="G1460">
        <v>2</v>
      </c>
      <c r="H1460" s="1">
        <v>-75.844800000000006</v>
      </c>
      <c r="I1460" s="4">
        <f>SalesData[[#This Row],[Profit]]/SalesData[[#This Row],[Sales]]</f>
        <v>-0.9</v>
      </c>
      <c r="J1460">
        <f>YEAR(SalesData[[#This Row],[Order Date]])</f>
        <v>2016</v>
      </c>
      <c r="K1460" t="str">
        <f>TEXT(SalesData[[#This Row],[Order Date]],"mmm")</f>
        <v>Feb</v>
      </c>
      <c r="L1460">
        <f>MONTH(SalesData[[#This Row],[Order Date]])</f>
        <v>2</v>
      </c>
      <c r="M1460">
        <f>SalesData[[#This Row],[Sales]]/SalesData[[#This Row],[Quantity]]</f>
        <v>42.136000000000003</v>
      </c>
      <c r="N1460" t="str">
        <f>IF(SalesData[[#This Row],[Profit]]&gt;0,"Profit","Loss")</f>
        <v>Loss</v>
      </c>
    </row>
    <row r="1461" spans="1:14" x14ac:dyDescent="0.3">
      <c r="A1461" t="s">
        <v>1974</v>
      </c>
      <c r="B1461" s="3">
        <v>42409</v>
      </c>
      <c r="C1461" t="s">
        <v>46</v>
      </c>
      <c r="D1461" t="s">
        <v>21</v>
      </c>
      <c r="E1461" t="s">
        <v>1975</v>
      </c>
      <c r="F1461" s="1">
        <v>22.911000000000001</v>
      </c>
      <c r="G1461">
        <v>7</v>
      </c>
      <c r="H1461" s="1">
        <v>-17.565100000000001</v>
      </c>
      <c r="I1461" s="4">
        <f>SalesData[[#This Row],[Profit]]/SalesData[[#This Row],[Sales]]</f>
        <v>-0.76666666666666672</v>
      </c>
      <c r="J1461">
        <f>YEAR(SalesData[[#This Row],[Order Date]])</f>
        <v>2016</v>
      </c>
      <c r="K1461" t="str">
        <f>TEXT(SalesData[[#This Row],[Order Date]],"mmm")</f>
        <v>Feb</v>
      </c>
      <c r="L1461">
        <f>MONTH(SalesData[[#This Row],[Order Date]])</f>
        <v>2</v>
      </c>
      <c r="M1461">
        <f>SalesData[[#This Row],[Sales]]/SalesData[[#This Row],[Quantity]]</f>
        <v>3.2730000000000001</v>
      </c>
      <c r="N1461" t="str">
        <f>IF(SalesData[[#This Row],[Profit]]&gt;0,"Profit","Loss")</f>
        <v>Loss</v>
      </c>
    </row>
    <row r="1462" spans="1:14" x14ac:dyDescent="0.3">
      <c r="A1462" t="s">
        <v>1974</v>
      </c>
      <c r="B1462" s="3">
        <v>42409</v>
      </c>
      <c r="C1462" t="s">
        <v>46</v>
      </c>
      <c r="D1462" t="s">
        <v>21</v>
      </c>
      <c r="E1462" t="s">
        <v>1976</v>
      </c>
      <c r="F1462" s="1">
        <v>309.45600000000002</v>
      </c>
      <c r="G1462">
        <v>9</v>
      </c>
      <c r="H1462" s="1">
        <v>34.813800000000001</v>
      </c>
      <c r="I1462" s="4">
        <f>SalesData[[#This Row],[Profit]]/SalesData[[#This Row],[Sales]]</f>
        <v>0.11249999999999999</v>
      </c>
      <c r="J1462">
        <f>YEAR(SalesData[[#This Row],[Order Date]])</f>
        <v>2016</v>
      </c>
      <c r="K1462" t="str">
        <f>TEXT(SalesData[[#This Row],[Order Date]],"mmm")</f>
        <v>Feb</v>
      </c>
      <c r="L1462">
        <f>MONTH(SalesData[[#This Row],[Order Date]])</f>
        <v>2</v>
      </c>
      <c r="M1462">
        <f>SalesData[[#This Row],[Sales]]/SalesData[[#This Row],[Quantity]]</f>
        <v>34.384</v>
      </c>
      <c r="N1462" t="str">
        <f>IF(SalesData[[#This Row],[Profit]]&gt;0,"Profit","Loss")</f>
        <v>Profit</v>
      </c>
    </row>
    <row r="1463" spans="1:14" x14ac:dyDescent="0.3">
      <c r="A1463" t="s">
        <v>1974</v>
      </c>
      <c r="B1463" s="3">
        <v>42409</v>
      </c>
      <c r="C1463" t="s">
        <v>46</v>
      </c>
      <c r="D1463" t="s">
        <v>21</v>
      </c>
      <c r="E1463" t="s">
        <v>222</v>
      </c>
      <c r="F1463" s="1">
        <v>19.456</v>
      </c>
      <c r="G1463">
        <v>4</v>
      </c>
      <c r="H1463" s="1">
        <v>3.4047999999999998</v>
      </c>
      <c r="I1463" s="4">
        <f>SalesData[[#This Row],[Profit]]/SalesData[[#This Row],[Sales]]</f>
        <v>0.17499999999999999</v>
      </c>
      <c r="J1463">
        <f>YEAR(SalesData[[#This Row],[Order Date]])</f>
        <v>2016</v>
      </c>
      <c r="K1463" t="str">
        <f>TEXT(SalesData[[#This Row],[Order Date]],"mmm")</f>
        <v>Feb</v>
      </c>
      <c r="L1463">
        <f>MONTH(SalesData[[#This Row],[Order Date]])</f>
        <v>2</v>
      </c>
      <c r="M1463">
        <f>SalesData[[#This Row],[Sales]]/SalesData[[#This Row],[Quantity]]</f>
        <v>4.8639999999999999</v>
      </c>
      <c r="N1463" t="str">
        <f>IF(SalesData[[#This Row],[Profit]]&gt;0,"Profit","Loss")</f>
        <v>Profit</v>
      </c>
    </row>
    <row r="1464" spans="1:14" x14ac:dyDescent="0.3">
      <c r="A1464" t="s">
        <v>1974</v>
      </c>
      <c r="B1464" s="3">
        <v>42409</v>
      </c>
      <c r="C1464" t="s">
        <v>46</v>
      </c>
      <c r="D1464" t="s">
        <v>14</v>
      </c>
      <c r="E1464" t="s">
        <v>289</v>
      </c>
      <c r="F1464" s="1">
        <v>472.51799999999997</v>
      </c>
      <c r="G1464">
        <v>3</v>
      </c>
      <c r="H1464" s="1">
        <v>-149.63069999999999</v>
      </c>
      <c r="I1464" s="4">
        <f>SalesData[[#This Row],[Profit]]/SalesData[[#This Row],[Sales]]</f>
        <v>-0.31666666666666665</v>
      </c>
      <c r="J1464">
        <f>YEAR(SalesData[[#This Row],[Order Date]])</f>
        <v>2016</v>
      </c>
      <c r="K1464" t="str">
        <f>TEXT(SalesData[[#This Row],[Order Date]],"mmm")</f>
        <v>Feb</v>
      </c>
      <c r="L1464">
        <f>MONTH(SalesData[[#This Row],[Order Date]])</f>
        <v>2</v>
      </c>
      <c r="M1464">
        <f>SalesData[[#This Row],[Sales]]/SalesData[[#This Row],[Quantity]]</f>
        <v>157.506</v>
      </c>
      <c r="N1464" t="str">
        <f>IF(SalesData[[#This Row],[Profit]]&gt;0,"Profit","Loss")</f>
        <v>Loss</v>
      </c>
    </row>
    <row r="1465" spans="1:14" x14ac:dyDescent="0.3">
      <c r="A1465" t="s">
        <v>1974</v>
      </c>
      <c r="B1465" s="3">
        <v>42409</v>
      </c>
      <c r="C1465" t="s">
        <v>46</v>
      </c>
      <c r="D1465" t="s">
        <v>10</v>
      </c>
      <c r="E1465" t="s">
        <v>1977</v>
      </c>
      <c r="F1465" s="1">
        <v>1012.68</v>
      </c>
      <c r="G1465">
        <v>3</v>
      </c>
      <c r="H1465" s="1">
        <v>303.80399999999997</v>
      </c>
      <c r="I1465" s="4">
        <f>SalesData[[#This Row],[Profit]]/SalesData[[#This Row],[Sales]]</f>
        <v>0.3</v>
      </c>
      <c r="J1465">
        <f>YEAR(SalesData[[#This Row],[Order Date]])</f>
        <v>2016</v>
      </c>
      <c r="K1465" t="str">
        <f>TEXT(SalesData[[#This Row],[Order Date]],"mmm")</f>
        <v>Feb</v>
      </c>
      <c r="L1465">
        <f>MONTH(SalesData[[#This Row],[Order Date]])</f>
        <v>2</v>
      </c>
      <c r="M1465">
        <f>SalesData[[#This Row],[Sales]]/SalesData[[#This Row],[Quantity]]</f>
        <v>337.56</v>
      </c>
      <c r="N1465" t="str">
        <f>IF(SalesData[[#This Row],[Profit]]&gt;0,"Profit","Loss")</f>
        <v>Profit</v>
      </c>
    </row>
    <row r="1466" spans="1:14" x14ac:dyDescent="0.3">
      <c r="A1466" t="s">
        <v>1974</v>
      </c>
      <c r="B1466" s="3">
        <v>42409</v>
      </c>
      <c r="C1466" t="s">
        <v>46</v>
      </c>
      <c r="D1466" t="s">
        <v>21</v>
      </c>
      <c r="E1466" t="s">
        <v>1432</v>
      </c>
      <c r="F1466" s="1">
        <v>17.22</v>
      </c>
      <c r="G1466">
        <v>5</v>
      </c>
      <c r="H1466" s="1">
        <v>-12.628</v>
      </c>
      <c r="I1466" s="4">
        <f>SalesData[[#This Row],[Profit]]/SalesData[[#This Row],[Sales]]</f>
        <v>-0.73333333333333339</v>
      </c>
      <c r="J1466">
        <f>YEAR(SalesData[[#This Row],[Order Date]])</f>
        <v>2016</v>
      </c>
      <c r="K1466" t="str">
        <f>TEXT(SalesData[[#This Row],[Order Date]],"mmm")</f>
        <v>Feb</v>
      </c>
      <c r="L1466">
        <f>MONTH(SalesData[[#This Row],[Order Date]])</f>
        <v>2</v>
      </c>
      <c r="M1466">
        <f>SalesData[[#This Row],[Sales]]/SalesData[[#This Row],[Quantity]]</f>
        <v>3.444</v>
      </c>
      <c r="N1466" t="str">
        <f>IF(SalesData[[#This Row],[Profit]]&gt;0,"Profit","Loss")</f>
        <v>Loss</v>
      </c>
    </row>
    <row r="1467" spans="1:14" x14ac:dyDescent="0.3">
      <c r="A1467" t="s">
        <v>1978</v>
      </c>
      <c r="B1467" s="3">
        <v>42409</v>
      </c>
      <c r="C1467" t="s">
        <v>13</v>
      </c>
      <c r="D1467" t="s">
        <v>10</v>
      </c>
      <c r="E1467" t="s">
        <v>1455</v>
      </c>
      <c r="F1467" s="1">
        <v>999.98</v>
      </c>
      <c r="G1467">
        <v>2</v>
      </c>
      <c r="H1467" s="1">
        <v>449.99099999999999</v>
      </c>
      <c r="I1467" s="4">
        <f>SalesData[[#This Row],[Profit]]/SalesData[[#This Row],[Sales]]</f>
        <v>0.44999999999999996</v>
      </c>
      <c r="J1467">
        <f>YEAR(SalesData[[#This Row],[Order Date]])</f>
        <v>2016</v>
      </c>
      <c r="K1467" t="str">
        <f>TEXT(SalesData[[#This Row],[Order Date]],"mmm")</f>
        <v>Feb</v>
      </c>
      <c r="L1467">
        <f>MONTH(SalesData[[#This Row],[Order Date]])</f>
        <v>2</v>
      </c>
      <c r="M1467">
        <f>SalesData[[#This Row],[Sales]]/SalesData[[#This Row],[Quantity]]</f>
        <v>499.99</v>
      </c>
      <c r="N1467" t="str">
        <f>IF(SalesData[[#This Row],[Profit]]&gt;0,"Profit","Loss")</f>
        <v>Profit</v>
      </c>
    </row>
    <row r="1468" spans="1:14" x14ac:dyDescent="0.3">
      <c r="A1468" t="s">
        <v>1979</v>
      </c>
      <c r="B1468" s="3">
        <v>42409</v>
      </c>
      <c r="C1468" t="s">
        <v>9</v>
      </c>
      <c r="D1468" t="s">
        <v>21</v>
      </c>
      <c r="E1468" t="s">
        <v>720</v>
      </c>
      <c r="F1468" s="1">
        <v>8.6080000000000005</v>
      </c>
      <c r="G1468">
        <v>8</v>
      </c>
      <c r="H1468" s="1">
        <v>-13.3424</v>
      </c>
      <c r="I1468" s="4">
        <f>SalesData[[#This Row],[Profit]]/SalesData[[#This Row],[Sales]]</f>
        <v>-1.5499999999999998</v>
      </c>
      <c r="J1468">
        <f>YEAR(SalesData[[#This Row],[Order Date]])</f>
        <v>2016</v>
      </c>
      <c r="K1468" t="str">
        <f>TEXT(SalesData[[#This Row],[Order Date]],"mmm")</f>
        <v>Feb</v>
      </c>
      <c r="L1468">
        <f>MONTH(SalesData[[#This Row],[Order Date]])</f>
        <v>2</v>
      </c>
      <c r="M1468">
        <f>SalesData[[#This Row],[Sales]]/SalesData[[#This Row],[Quantity]]</f>
        <v>1.0760000000000001</v>
      </c>
      <c r="N1468" t="str">
        <f>IF(SalesData[[#This Row],[Profit]]&gt;0,"Profit","Loss")</f>
        <v>Loss</v>
      </c>
    </row>
    <row r="1469" spans="1:14" x14ac:dyDescent="0.3">
      <c r="A1469" t="s">
        <v>1979</v>
      </c>
      <c r="B1469" s="3">
        <v>42409</v>
      </c>
      <c r="C1469" t="s">
        <v>9</v>
      </c>
      <c r="D1469" t="s">
        <v>10</v>
      </c>
      <c r="E1469" t="s">
        <v>1980</v>
      </c>
      <c r="F1469" s="1">
        <v>159.56</v>
      </c>
      <c r="G1469">
        <v>5</v>
      </c>
      <c r="H1469" s="1">
        <v>33.906500000000001</v>
      </c>
      <c r="I1469" s="4">
        <f>SalesData[[#This Row],[Profit]]/SalesData[[#This Row],[Sales]]</f>
        <v>0.21249999999999999</v>
      </c>
      <c r="J1469">
        <f>YEAR(SalesData[[#This Row],[Order Date]])</f>
        <v>2016</v>
      </c>
      <c r="K1469" t="str">
        <f>TEXT(SalesData[[#This Row],[Order Date]],"mmm")</f>
        <v>Feb</v>
      </c>
      <c r="L1469">
        <f>MONTH(SalesData[[#This Row],[Order Date]])</f>
        <v>2</v>
      </c>
      <c r="M1469">
        <f>SalesData[[#This Row],[Sales]]/SalesData[[#This Row],[Quantity]]</f>
        <v>31.911999999999999</v>
      </c>
      <c r="N1469" t="str">
        <f>IF(SalesData[[#This Row],[Profit]]&gt;0,"Profit","Loss")</f>
        <v>Profit</v>
      </c>
    </row>
    <row r="1470" spans="1:14" x14ac:dyDescent="0.3">
      <c r="A1470" t="s">
        <v>1981</v>
      </c>
      <c r="B1470" s="3">
        <v>42409</v>
      </c>
      <c r="C1470" t="s">
        <v>13</v>
      </c>
      <c r="D1470" t="s">
        <v>14</v>
      </c>
      <c r="E1470" t="s">
        <v>1982</v>
      </c>
      <c r="F1470" s="1">
        <v>215.976</v>
      </c>
      <c r="G1470">
        <v>3</v>
      </c>
      <c r="H1470" s="1">
        <v>-2.6997</v>
      </c>
      <c r="I1470" s="4">
        <f>SalesData[[#This Row],[Profit]]/SalesData[[#This Row],[Sales]]</f>
        <v>-1.2500000000000001E-2</v>
      </c>
      <c r="J1470">
        <f>YEAR(SalesData[[#This Row],[Order Date]])</f>
        <v>2016</v>
      </c>
      <c r="K1470" t="str">
        <f>TEXT(SalesData[[#This Row],[Order Date]],"mmm")</f>
        <v>Feb</v>
      </c>
      <c r="L1470">
        <f>MONTH(SalesData[[#This Row],[Order Date]])</f>
        <v>2</v>
      </c>
      <c r="M1470">
        <f>SalesData[[#This Row],[Sales]]/SalesData[[#This Row],[Quantity]]</f>
        <v>71.992000000000004</v>
      </c>
      <c r="N1470" t="str">
        <f>IF(SalesData[[#This Row],[Profit]]&gt;0,"Profit","Loss")</f>
        <v>Loss</v>
      </c>
    </row>
    <row r="1471" spans="1:14" x14ac:dyDescent="0.3">
      <c r="A1471" t="s">
        <v>1981</v>
      </c>
      <c r="B1471" s="3">
        <v>42409</v>
      </c>
      <c r="C1471" t="s">
        <v>13</v>
      </c>
      <c r="D1471" t="s">
        <v>21</v>
      </c>
      <c r="E1471" t="s">
        <v>1983</v>
      </c>
      <c r="F1471" s="1">
        <v>65.94</v>
      </c>
      <c r="G1471">
        <v>3</v>
      </c>
      <c r="H1471" s="1">
        <v>30.991800000000001</v>
      </c>
      <c r="I1471" s="4">
        <f>SalesData[[#This Row],[Profit]]/SalesData[[#This Row],[Sales]]</f>
        <v>0.47000000000000003</v>
      </c>
      <c r="J1471">
        <f>YEAR(SalesData[[#This Row],[Order Date]])</f>
        <v>2016</v>
      </c>
      <c r="K1471" t="str">
        <f>TEXT(SalesData[[#This Row],[Order Date]],"mmm")</f>
        <v>Feb</v>
      </c>
      <c r="L1471">
        <f>MONTH(SalesData[[#This Row],[Order Date]])</f>
        <v>2</v>
      </c>
      <c r="M1471">
        <f>SalesData[[#This Row],[Sales]]/SalesData[[#This Row],[Quantity]]</f>
        <v>21.98</v>
      </c>
      <c r="N1471" t="str">
        <f>IF(SalesData[[#This Row],[Profit]]&gt;0,"Profit","Loss")</f>
        <v>Profit</v>
      </c>
    </row>
    <row r="1472" spans="1:14" x14ac:dyDescent="0.3">
      <c r="A1472" t="s">
        <v>1984</v>
      </c>
      <c r="B1472" s="3">
        <v>42409</v>
      </c>
      <c r="C1472" t="s">
        <v>13</v>
      </c>
      <c r="D1472" t="s">
        <v>14</v>
      </c>
      <c r="E1472" t="s">
        <v>1985</v>
      </c>
      <c r="F1472" s="1">
        <v>94.68</v>
      </c>
      <c r="G1472">
        <v>9</v>
      </c>
      <c r="H1472" s="1">
        <v>31.244399999999999</v>
      </c>
      <c r="I1472" s="4">
        <f>SalesData[[#This Row],[Profit]]/SalesData[[#This Row],[Sales]]</f>
        <v>0.32999999999999996</v>
      </c>
      <c r="J1472">
        <f>YEAR(SalesData[[#This Row],[Order Date]])</f>
        <v>2016</v>
      </c>
      <c r="K1472" t="str">
        <f>TEXT(SalesData[[#This Row],[Order Date]],"mmm")</f>
        <v>Feb</v>
      </c>
      <c r="L1472">
        <f>MONTH(SalesData[[#This Row],[Order Date]])</f>
        <v>2</v>
      </c>
      <c r="M1472">
        <f>SalesData[[#This Row],[Sales]]/SalesData[[#This Row],[Quantity]]</f>
        <v>10.520000000000001</v>
      </c>
      <c r="N1472" t="str">
        <f>IF(SalesData[[#This Row],[Profit]]&gt;0,"Profit","Loss")</f>
        <v>Profit</v>
      </c>
    </row>
    <row r="1473" spans="1:14" x14ac:dyDescent="0.3">
      <c r="A1473" t="s">
        <v>1984</v>
      </c>
      <c r="B1473" s="3">
        <v>42409</v>
      </c>
      <c r="C1473" t="s">
        <v>13</v>
      </c>
      <c r="D1473" t="s">
        <v>21</v>
      </c>
      <c r="E1473" t="s">
        <v>436</v>
      </c>
      <c r="F1473" s="1">
        <v>23.67</v>
      </c>
      <c r="G1473">
        <v>3</v>
      </c>
      <c r="H1473" s="1">
        <v>0.94679999999999997</v>
      </c>
      <c r="I1473" s="4">
        <f>SalesData[[#This Row],[Profit]]/SalesData[[#This Row],[Sales]]</f>
        <v>3.9999999999999994E-2</v>
      </c>
      <c r="J1473">
        <f>YEAR(SalesData[[#This Row],[Order Date]])</f>
        <v>2016</v>
      </c>
      <c r="K1473" t="str">
        <f>TEXT(SalesData[[#This Row],[Order Date]],"mmm")</f>
        <v>Feb</v>
      </c>
      <c r="L1473">
        <f>MONTH(SalesData[[#This Row],[Order Date]])</f>
        <v>2</v>
      </c>
      <c r="M1473">
        <f>SalesData[[#This Row],[Sales]]/SalesData[[#This Row],[Quantity]]</f>
        <v>7.8900000000000006</v>
      </c>
      <c r="N1473" t="str">
        <f>IF(SalesData[[#This Row],[Profit]]&gt;0,"Profit","Loss")</f>
        <v>Profit</v>
      </c>
    </row>
    <row r="1474" spans="1:14" x14ac:dyDescent="0.3">
      <c r="A1474" t="s">
        <v>1984</v>
      </c>
      <c r="B1474" s="3">
        <v>42409</v>
      </c>
      <c r="C1474" t="s">
        <v>13</v>
      </c>
      <c r="D1474" t="s">
        <v>10</v>
      </c>
      <c r="E1474" t="s">
        <v>771</v>
      </c>
      <c r="F1474" s="1">
        <v>1091.1679999999999</v>
      </c>
      <c r="G1474">
        <v>4</v>
      </c>
      <c r="H1474" s="1">
        <v>68.197999999999993</v>
      </c>
      <c r="I1474" s="4">
        <f>SalesData[[#This Row],[Profit]]/SalesData[[#This Row],[Sales]]</f>
        <v>6.25E-2</v>
      </c>
      <c r="J1474">
        <f>YEAR(SalesData[[#This Row],[Order Date]])</f>
        <v>2016</v>
      </c>
      <c r="K1474" t="str">
        <f>TEXT(SalesData[[#This Row],[Order Date]],"mmm")</f>
        <v>Feb</v>
      </c>
      <c r="L1474">
        <f>MONTH(SalesData[[#This Row],[Order Date]])</f>
        <v>2</v>
      </c>
      <c r="M1474">
        <f>SalesData[[#This Row],[Sales]]/SalesData[[#This Row],[Quantity]]</f>
        <v>272.79199999999997</v>
      </c>
      <c r="N1474" t="str">
        <f>IF(SalesData[[#This Row],[Profit]]&gt;0,"Profit","Loss")</f>
        <v>Profit</v>
      </c>
    </row>
    <row r="1475" spans="1:14" x14ac:dyDescent="0.3">
      <c r="A1475" t="s">
        <v>1984</v>
      </c>
      <c r="B1475" s="3">
        <v>42409</v>
      </c>
      <c r="C1475" t="s">
        <v>13</v>
      </c>
      <c r="D1475" t="s">
        <v>21</v>
      </c>
      <c r="E1475" t="s">
        <v>1986</v>
      </c>
      <c r="F1475" s="1">
        <v>18.690000000000001</v>
      </c>
      <c r="G1475">
        <v>7</v>
      </c>
      <c r="H1475" s="1">
        <v>5.2332000000000001</v>
      </c>
      <c r="I1475" s="4">
        <f>SalesData[[#This Row],[Profit]]/SalesData[[#This Row],[Sales]]</f>
        <v>0.27999999999999997</v>
      </c>
      <c r="J1475">
        <f>YEAR(SalesData[[#This Row],[Order Date]])</f>
        <v>2016</v>
      </c>
      <c r="K1475" t="str">
        <f>TEXT(SalesData[[#This Row],[Order Date]],"mmm")</f>
        <v>Feb</v>
      </c>
      <c r="L1475">
        <f>MONTH(SalesData[[#This Row],[Order Date]])</f>
        <v>2</v>
      </c>
      <c r="M1475">
        <f>SalesData[[#This Row],[Sales]]/SalesData[[#This Row],[Quantity]]</f>
        <v>2.6700000000000004</v>
      </c>
      <c r="N1475" t="str">
        <f>IF(SalesData[[#This Row],[Profit]]&gt;0,"Profit","Loss")</f>
        <v>Profit</v>
      </c>
    </row>
    <row r="1476" spans="1:14" x14ac:dyDescent="0.3">
      <c r="A1476" t="s">
        <v>1984</v>
      </c>
      <c r="B1476" s="3">
        <v>42409</v>
      </c>
      <c r="C1476" t="s">
        <v>13</v>
      </c>
      <c r="D1476" t="s">
        <v>14</v>
      </c>
      <c r="E1476" t="s">
        <v>742</v>
      </c>
      <c r="F1476" s="1">
        <v>568.72799999999995</v>
      </c>
      <c r="G1476">
        <v>3</v>
      </c>
      <c r="H1476" s="1">
        <v>28.436399999999999</v>
      </c>
      <c r="I1476" s="4">
        <f>SalesData[[#This Row],[Profit]]/SalesData[[#This Row],[Sales]]</f>
        <v>0.05</v>
      </c>
      <c r="J1476">
        <f>YEAR(SalesData[[#This Row],[Order Date]])</f>
        <v>2016</v>
      </c>
      <c r="K1476" t="str">
        <f>TEXT(SalesData[[#This Row],[Order Date]],"mmm")</f>
        <v>Feb</v>
      </c>
      <c r="L1476">
        <f>MONTH(SalesData[[#This Row],[Order Date]])</f>
        <v>2</v>
      </c>
      <c r="M1476">
        <f>SalesData[[#This Row],[Sales]]/SalesData[[#This Row],[Quantity]]</f>
        <v>189.57599999999999</v>
      </c>
      <c r="N1476" t="str">
        <f>IF(SalesData[[#This Row],[Profit]]&gt;0,"Profit","Loss")</f>
        <v>Profit</v>
      </c>
    </row>
    <row r="1477" spans="1:14" x14ac:dyDescent="0.3">
      <c r="A1477" t="s">
        <v>1984</v>
      </c>
      <c r="B1477" s="3">
        <v>42409</v>
      </c>
      <c r="C1477" t="s">
        <v>13</v>
      </c>
      <c r="D1477" t="s">
        <v>21</v>
      </c>
      <c r="E1477" t="s">
        <v>1308</v>
      </c>
      <c r="F1477" s="1">
        <v>7.3120000000000003</v>
      </c>
      <c r="G1477">
        <v>1</v>
      </c>
      <c r="H1477" s="1">
        <v>2.5592000000000001</v>
      </c>
      <c r="I1477" s="4">
        <f>SalesData[[#This Row],[Profit]]/SalesData[[#This Row],[Sales]]</f>
        <v>0.35000000000000003</v>
      </c>
      <c r="J1477">
        <f>YEAR(SalesData[[#This Row],[Order Date]])</f>
        <v>2016</v>
      </c>
      <c r="K1477" t="str">
        <f>TEXT(SalesData[[#This Row],[Order Date]],"mmm")</f>
        <v>Feb</v>
      </c>
      <c r="L1477">
        <f>MONTH(SalesData[[#This Row],[Order Date]])</f>
        <v>2</v>
      </c>
      <c r="M1477">
        <f>SalesData[[#This Row],[Sales]]/SalesData[[#This Row],[Quantity]]</f>
        <v>7.3120000000000003</v>
      </c>
      <c r="N1477" t="str">
        <f>IF(SalesData[[#This Row],[Profit]]&gt;0,"Profit","Loss")</f>
        <v>Profit</v>
      </c>
    </row>
    <row r="1478" spans="1:14" x14ac:dyDescent="0.3">
      <c r="A1478" t="s">
        <v>1987</v>
      </c>
      <c r="B1478" s="3">
        <v>42410</v>
      </c>
      <c r="C1478" t="s">
        <v>17</v>
      </c>
      <c r="D1478" t="s">
        <v>21</v>
      </c>
      <c r="E1478" t="s">
        <v>843</v>
      </c>
      <c r="F1478" s="1">
        <v>61.44</v>
      </c>
      <c r="G1478">
        <v>3</v>
      </c>
      <c r="H1478" s="1">
        <v>16.588799999999999</v>
      </c>
      <c r="I1478" s="4">
        <f>SalesData[[#This Row],[Profit]]/SalesData[[#This Row],[Sales]]</f>
        <v>0.27</v>
      </c>
      <c r="J1478">
        <f>YEAR(SalesData[[#This Row],[Order Date]])</f>
        <v>2016</v>
      </c>
      <c r="K1478" t="str">
        <f>TEXT(SalesData[[#This Row],[Order Date]],"mmm")</f>
        <v>Feb</v>
      </c>
      <c r="L1478">
        <f>MONTH(SalesData[[#This Row],[Order Date]])</f>
        <v>2</v>
      </c>
      <c r="M1478">
        <f>SalesData[[#This Row],[Sales]]/SalesData[[#This Row],[Quantity]]</f>
        <v>20.48</v>
      </c>
      <c r="N1478" t="str">
        <f>IF(SalesData[[#This Row],[Profit]]&gt;0,"Profit","Loss")</f>
        <v>Profit</v>
      </c>
    </row>
    <row r="1479" spans="1:14" x14ac:dyDescent="0.3">
      <c r="A1479" t="s">
        <v>1988</v>
      </c>
      <c r="B1479" s="3">
        <v>42410</v>
      </c>
      <c r="C1479" t="s">
        <v>13</v>
      </c>
      <c r="D1479" t="s">
        <v>21</v>
      </c>
      <c r="E1479" t="s">
        <v>854</v>
      </c>
      <c r="F1479" s="1">
        <v>54.792000000000002</v>
      </c>
      <c r="G1479">
        <v>6</v>
      </c>
      <c r="H1479" s="1">
        <v>-40.180799999999998</v>
      </c>
      <c r="I1479" s="4">
        <f>SalesData[[#This Row],[Profit]]/SalesData[[#This Row],[Sales]]</f>
        <v>-0.73333333333333328</v>
      </c>
      <c r="J1479">
        <f>YEAR(SalesData[[#This Row],[Order Date]])</f>
        <v>2016</v>
      </c>
      <c r="K1479" t="str">
        <f>TEXT(SalesData[[#This Row],[Order Date]],"mmm")</f>
        <v>Feb</v>
      </c>
      <c r="L1479">
        <f>MONTH(SalesData[[#This Row],[Order Date]])</f>
        <v>2</v>
      </c>
      <c r="M1479">
        <f>SalesData[[#This Row],[Sales]]/SalesData[[#This Row],[Quantity]]</f>
        <v>9.1319999999999997</v>
      </c>
      <c r="N1479" t="str">
        <f>IF(SalesData[[#This Row],[Profit]]&gt;0,"Profit","Loss")</f>
        <v>Loss</v>
      </c>
    </row>
    <row r="1480" spans="1:14" x14ac:dyDescent="0.3">
      <c r="A1480" t="s">
        <v>1989</v>
      </c>
      <c r="B1480" s="3">
        <v>42410</v>
      </c>
      <c r="C1480" t="s">
        <v>9</v>
      </c>
      <c r="D1480" t="s">
        <v>21</v>
      </c>
      <c r="E1480" t="s">
        <v>288</v>
      </c>
      <c r="F1480" s="1">
        <v>32.479999999999997</v>
      </c>
      <c r="G1480">
        <v>2</v>
      </c>
      <c r="H1480" s="1">
        <v>4.8719999999999999</v>
      </c>
      <c r="I1480" s="4">
        <f>SalesData[[#This Row],[Profit]]/SalesData[[#This Row],[Sales]]</f>
        <v>0.15000000000000002</v>
      </c>
      <c r="J1480">
        <f>YEAR(SalesData[[#This Row],[Order Date]])</f>
        <v>2016</v>
      </c>
      <c r="K1480" t="str">
        <f>TEXT(SalesData[[#This Row],[Order Date]],"mmm")</f>
        <v>Feb</v>
      </c>
      <c r="L1480">
        <f>MONTH(SalesData[[#This Row],[Order Date]])</f>
        <v>2</v>
      </c>
      <c r="M1480">
        <f>SalesData[[#This Row],[Sales]]/SalesData[[#This Row],[Quantity]]</f>
        <v>16.239999999999998</v>
      </c>
      <c r="N1480" t="str">
        <f>IF(SalesData[[#This Row],[Profit]]&gt;0,"Profit","Loss")</f>
        <v>Profit</v>
      </c>
    </row>
    <row r="1481" spans="1:14" x14ac:dyDescent="0.3">
      <c r="A1481" t="s">
        <v>1989</v>
      </c>
      <c r="B1481" s="3">
        <v>42410</v>
      </c>
      <c r="C1481" t="s">
        <v>9</v>
      </c>
      <c r="D1481" t="s">
        <v>10</v>
      </c>
      <c r="E1481" t="s">
        <v>1990</v>
      </c>
      <c r="F1481" s="1">
        <v>17499.95</v>
      </c>
      <c r="G1481">
        <v>5</v>
      </c>
      <c r="H1481" s="1">
        <v>8399.9760000000006</v>
      </c>
      <c r="I1481" s="4">
        <f>SalesData[[#This Row],[Profit]]/SalesData[[#This Row],[Sales]]</f>
        <v>0.48000000000000004</v>
      </c>
      <c r="J1481">
        <f>YEAR(SalesData[[#This Row],[Order Date]])</f>
        <v>2016</v>
      </c>
      <c r="K1481" t="str">
        <f>TEXT(SalesData[[#This Row],[Order Date]],"mmm")</f>
        <v>Feb</v>
      </c>
      <c r="L1481">
        <f>MONTH(SalesData[[#This Row],[Order Date]])</f>
        <v>2</v>
      </c>
      <c r="M1481">
        <f>SalesData[[#This Row],[Sales]]/SalesData[[#This Row],[Quantity]]</f>
        <v>3499.9900000000002</v>
      </c>
      <c r="N1481" t="str">
        <f>IF(SalesData[[#This Row],[Profit]]&gt;0,"Profit","Loss")</f>
        <v>Profit</v>
      </c>
    </row>
    <row r="1482" spans="1:14" x14ac:dyDescent="0.3">
      <c r="A1482" t="s">
        <v>1989</v>
      </c>
      <c r="B1482" s="3">
        <v>42410</v>
      </c>
      <c r="C1482" t="s">
        <v>9</v>
      </c>
      <c r="D1482" t="s">
        <v>21</v>
      </c>
      <c r="E1482" t="s">
        <v>774</v>
      </c>
      <c r="F1482" s="1">
        <v>735.98</v>
      </c>
      <c r="G1482">
        <v>2</v>
      </c>
      <c r="H1482" s="1">
        <v>331.19099999999997</v>
      </c>
      <c r="I1482" s="4">
        <f>SalesData[[#This Row],[Profit]]/SalesData[[#This Row],[Sales]]</f>
        <v>0.44999999999999996</v>
      </c>
      <c r="J1482">
        <f>YEAR(SalesData[[#This Row],[Order Date]])</f>
        <v>2016</v>
      </c>
      <c r="K1482" t="str">
        <f>TEXT(SalesData[[#This Row],[Order Date]],"mmm")</f>
        <v>Feb</v>
      </c>
      <c r="L1482">
        <f>MONTH(SalesData[[#This Row],[Order Date]])</f>
        <v>2</v>
      </c>
      <c r="M1482">
        <f>SalesData[[#This Row],[Sales]]/SalesData[[#This Row],[Quantity]]</f>
        <v>367.99</v>
      </c>
      <c r="N1482" t="str">
        <f>IF(SalesData[[#This Row],[Profit]]&gt;0,"Profit","Loss")</f>
        <v>Profit</v>
      </c>
    </row>
    <row r="1483" spans="1:14" x14ac:dyDescent="0.3">
      <c r="A1483" t="s">
        <v>1989</v>
      </c>
      <c r="B1483" s="3">
        <v>42410</v>
      </c>
      <c r="C1483" t="s">
        <v>9</v>
      </c>
      <c r="D1483" t="s">
        <v>21</v>
      </c>
      <c r="E1483" t="s">
        <v>282</v>
      </c>
      <c r="F1483" s="1">
        <v>34.369999999999997</v>
      </c>
      <c r="G1483">
        <v>7</v>
      </c>
      <c r="H1483" s="1">
        <v>16.8413</v>
      </c>
      <c r="I1483" s="4">
        <f>SalesData[[#This Row],[Profit]]/SalesData[[#This Row],[Sales]]</f>
        <v>0.49000000000000005</v>
      </c>
      <c r="J1483">
        <f>YEAR(SalesData[[#This Row],[Order Date]])</f>
        <v>2016</v>
      </c>
      <c r="K1483" t="str">
        <f>TEXT(SalesData[[#This Row],[Order Date]],"mmm")</f>
        <v>Feb</v>
      </c>
      <c r="L1483">
        <f>MONTH(SalesData[[#This Row],[Order Date]])</f>
        <v>2</v>
      </c>
      <c r="M1483">
        <f>SalesData[[#This Row],[Sales]]/SalesData[[#This Row],[Quantity]]</f>
        <v>4.9099999999999993</v>
      </c>
      <c r="N1483" t="str">
        <f>IF(SalesData[[#This Row],[Profit]]&gt;0,"Profit","Loss")</f>
        <v>Profit</v>
      </c>
    </row>
    <row r="1484" spans="1:14" x14ac:dyDescent="0.3">
      <c r="A1484" t="s">
        <v>1989</v>
      </c>
      <c r="B1484" s="3">
        <v>42410</v>
      </c>
      <c r="C1484" t="s">
        <v>9</v>
      </c>
      <c r="D1484" t="s">
        <v>21</v>
      </c>
      <c r="E1484" t="s">
        <v>1991</v>
      </c>
      <c r="F1484" s="1">
        <v>33.96</v>
      </c>
      <c r="G1484">
        <v>2</v>
      </c>
      <c r="H1484" s="1">
        <v>9.5088000000000008</v>
      </c>
      <c r="I1484" s="4">
        <f>SalesData[[#This Row],[Profit]]/SalesData[[#This Row],[Sales]]</f>
        <v>0.28000000000000003</v>
      </c>
      <c r="J1484">
        <f>YEAR(SalesData[[#This Row],[Order Date]])</f>
        <v>2016</v>
      </c>
      <c r="K1484" t="str">
        <f>TEXT(SalesData[[#This Row],[Order Date]],"mmm")</f>
        <v>Feb</v>
      </c>
      <c r="L1484">
        <f>MONTH(SalesData[[#This Row],[Order Date]])</f>
        <v>2</v>
      </c>
      <c r="M1484">
        <f>SalesData[[#This Row],[Sales]]/SalesData[[#This Row],[Quantity]]</f>
        <v>16.98</v>
      </c>
      <c r="N1484" t="str">
        <f>IF(SalesData[[#This Row],[Profit]]&gt;0,"Profit","Loss")</f>
        <v>Profit</v>
      </c>
    </row>
    <row r="1485" spans="1:14" x14ac:dyDescent="0.3">
      <c r="A1485" t="s">
        <v>1992</v>
      </c>
      <c r="B1485" s="3">
        <v>42412</v>
      </c>
      <c r="C1485" t="s">
        <v>13</v>
      </c>
      <c r="D1485" t="s">
        <v>21</v>
      </c>
      <c r="E1485" t="s">
        <v>1473</v>
      </c>
      <c r="F1485" s="1">
        <v>25.92</v>
      </c>
      <c r="G1485">
        <v>4</v>
      </c>
      <c r="H1485" s="1">
        <v>12.441599999999999</v>
      </c>
      <c r="I1485" s="4">
        <f>SalesData[[#This Row],[Profit]]/SalesData[[#This Row],[Sales]]</f>
        <v>0.47999999999999993</v>
      </c>
      <c r="J1485">
        <f>YEAR(SalesData[[#This Row],[Order Date]])</f>
        <v>2016</v>
      </c>
      <c r="K1485" t="str">
        <f>TEXT(SalesData[[#This Row],[Order Date]],"mmm")</f>
        <v>Feb</v>
      </c>
      <c r="L1485">
        <f>MONTH(SalesData[[#This Row],[Order Date]])</f>
        <v>2</v>
      </c>
      <c r="M1485">
        <f>SalesData[[#This Row],[Sales]]/SalesData[[#This Row],[Quantity]]</f>
        <v>6.48</v>
      </c>
      <c r="N1485" t="str">
        <f>IF(SalesData[[#This Row],[Profit]]&gt;0,"Profit","Loss")</f>
        <v>Profit</v>
      </c>
    </row>
    <row r="1486" spans="1:14" x14ac:dyDescent="0.3">
      <c r="A1486" t="s">
        <v>1992</v>
      </c>
      <c r="B1486" s="3">
        <v>42412</v>
      </c>
      <c r="C1486" t="s">
        <v>13</v>
      </c>
      <c r="D1486" t="s">
        <v>21</v>
      </c>
      <c r="E1486" t="s">
        <v>1835</v>
      </c>
      <c r="F1486" s="1">
        <v>40.46</v>
      </c>
      <c r="G1486">
        <v>7</v>
      </c>
      <c r="H1486" s="1">
        <v>19.825399999999998</v>
      </c>
      <c r="I1486" s="4">
        <f>SalesData[[#This Row],[Profit]]/SalesData[[#This Row],[Sales]]</f>
        <v>0.48999999999999994</v>
      </c>
      <c r="J1486">
        <f>YEAR(SalesData[[#This Row],[Order Date]])</f>
        <v>2016</v>
      </c>
      <c r="K1486" t="str">
        <f>TEXT(SalesData[[#This Row],[Order Date]],"mmm")</f>
        <v>Feb</v>
      </c>
      <c r="L1486">
        <f>MONTH(SalesData[[#This Row],[Order Date]])</f>
        <v>2</v>
      </c>
      <c r="M1486">
        <f>SalesData[[#This Row],[Sales]]/SalesData[[#This Row],[Quantity]]</f>
        <v>5.78</v>
      </c>
      <c r="N1486" t="str">
        <f>IF(SalesData[[#This Row],[Profit]]&gt;0,"Profit","Loss")</f>
        <v>Profit</v>
      </c>
    </row>
    <row r="1487" spans="1:14" x14ac:dyDescent="0.3">
      <c r="A1487" t="s">
        <v>1992</v>
      </c>
      <c r="B1487" s="3">
        <v>42412</v>
      </c>
      <c r="C1487" t="s">
        <v>13</v>
      </c>
      <c r="D1487" t="s">
        <v>21</v>
      </c>
      <c r="E1487" t="s">
        <v>630</v>
      </c>
      <c r="F1487" s="1">
        <v>33.869999999999997</v>
      </c>
      <c r="G1487">
        <v>3</v>
      </c>
      <c r="H1487" s="1">
        <v>8.8062000000000005</v>
      </c>
      <c r="I1487" s="4">
        <f>SalesData[[#This Row],[Profit]]/SalesData[[#This Row],[Sales]]</f>
        <v>0.26</v>
      </c>
      <c r="J1487">
        <f>YEAR(SalesData[[#This Row],[Order Date]])</f>
        <v>2016</v>
      </c>
      <c r="K1487" t="str">
        <f>TEXT(SalesData[[#This Row],[Order Date]],"mmm")</f>
        <v>Feb</v>
      </c>
      <c r="L1487">
        <f>MONTH(SalesData[[#This Row],[Order Date]])</f>
        <v>2</v>
      </c>
      <c r="M1487">
        <f>SalesData[[#This Row],[Sales]]/SalesData[[#This Row],[Quantity]]</f>
        <v>11.29</v>
      </c>
      <c r="N1487" t="str">
        <f>IF(SalesData[[#This Row],[Profit]]&gt;0,"Profit","Loss")</f>
        <v>Profit</v>
      </c>
    </row>
    <row r="1488" spans="1:14" x14ac:dyDescent="0.3">
      <c r="A1488" t="s">
        <v>1993</v>
      </c>
      <c r="B1488" s="3">
        <v>42412</v>
      </c>
      <c r="C1488" t="s">
        <v>13</v>
      </c>
      <c r="D1488" t="s">
        <v>21</v>
      </c>
      <c r="E1488" t="s">
        <v>1994</v>
      </c>
      <c r="F1488" s="1">
        <v>24.704000000000001</v>
      </c>
      <c r="G1488">
        <v>2</v>
      </c>
      <c r="H1488" s="1">
        <v>9.2639999999999993</v>
      </c>
      <c r="I1488" s="4">
        <f>SalesData[[#This Row],[Profit]]/SalesData[[#This Row],[Sales]]</f>
        <v>0.37499999999999994</v>
      </c>
      <c r="J1488">
        <f>YEAR(SalesData[[#This Row],[Order Date]])</f>
        <v>2016</v>
      </c>
      <c r="K1488" t="str">
        <f>TEXT(SalesData[[#This Row],[Order Date]],"mmm")</f>
        <v>Feb</v>
      </c>
      <c r="L1488">
        <f>MONTH(SalesData[[#This Row],[Order Date]])</f>
        <v>2</v>
      </c>
      <c r="M1488">
        <f>SalesData[[#This Row],[Sales]]/SalesData[[#This Row],[Quantity]]</f>
        <v>12.352</v>
      </c>
      <c r="N1488" t="str">
        <f>IF(SalesData[[#This Row],[Profit]]&gt;0,"Profit","Loss")</f>
        <v>Profit</v>
      </c>
    </row>
    <row r="1489" spans="1:14" x14ac:dyDescent="0.3">
      <c r="A1489" t="s">
        <v>1993</v>
      </c>
      <c r="B1489" s="3">
        <v>42412</v>
      </c>
      <c r="C1489" t="s">
        <v>13</v>
      </c>
      <c r="D1489" t="s">
        <v>21</v>
      </c>
      <c r="E1489" t="s">
        <v>159</v>
      </c>
      <c r="F1489" s="1">
        <v>59.7</v>
      </c>
      <c r="G1489">
        <v>3</v>
      </c>
      <c r="H1489" s="1">
        <v>26.864999999999998</v>
      </c>
      <c r="I1489" s="4">
        <f>SalesData[[#This Row],[Profit]]/SalesData[[#This Row],[Sales]]</f>
        <v>0.44999999999999996</v>
      </c>
      <c r="J1489">
        <f>YEAR(SalesData[[#This Row],[Order Date]])</f>
        <v>2016</v>
      </c>
      <c r="K1489" t="str">
        <f>TEXT(SalesData[[#This Row],[Order Date]],"mmm")</f>
        <v>Feb</v>
      </c>
      <c r="L1489">
        <f>MONTH(SalesData[[#This Row],[Order Date]])</f>
        <v>2</v>
      </c>
      <c r="M1489">
        <f>SalesData[[#This Row],[Sales]]/SalesData[[#This Row],[Quantity]]</f>
        <v>19.900000000000002</v>
      </c>
      <c r="N1489" t="str">
        <f>IF(SalesData[[#This Row],[Profit]]&gt;0,"Profit","Loss")</f>
        <v>Profit</v>
      </c>
    </row>
    <row r="1490" spans="1:14" x14ac:dyDescent="0.3">
      <c r="A1490" t="s">
        <v>1993</v>
      </c>
      <c r="B1490" s="3">
        <v>42412</v>
      </c>
      <c r="C1490" t="s">
        <v>13</v>
      </c>
      <c r="D1490" t="s">
        <v>14</v>
      </c>
      <c r="E1490" t="s">
        <v>1995</v>
      </c>
      <c r="F1490" s="1">
        <v>14.52</v>
      </c>
      <c r="G1490">
        <v>3</v>
      </c>
      <c r="H1490" s="1">
        <v>5.6627999999999998</v>
      </c>
      <c r="I1490" s="4">
        <f>SalesData[[#This Row],[Profit]]/SalesData[[#This Row],[Sales]]</f>
        <v>0.39</v>
      </c>
      <c r="J1490">
        <f>YEAR(SalesData[[#This Row],[Order Date]])</f>
        <v>2016</v>
      </c>
      <c r="K1490" t="str">
        <f>TEXT(SalesData[[#This Row],[Order Date]],"mmm")</f>
        <v>Feb</v>
      </c>
      <c r="L1490">
        <f>MONTH(SalesData[[#This Row],[Order Date]])</f>
        <v>2</v>
      </c>
      <c r="M1490">
        <f>SalesData[[#This Row],[Sales]]/SalesData[[#This Row],[Quantity]]</f>
        <v>4.84</v>
      </c>
      <c r="N1490" t="str">
        <f>IF(SalesData[[#This Row],[Profit]]&gt;0,"Profit","Loss")</f>
        <v>Profit</v>
      </c>
    </row>
    <row r="1491" spans="1:14" x14ac:dyDescent="0.3">
      <c r="A1491" t="s">
        <v>1993</v>
      </c>
      <c r="B1491" s="3">
        <v>42412</v>
      </c>
      <c r="C1491" t="s">
        <v>13</v>
      </c>
      <c r="D1491" t="s">
        <v>21</v>
      </c>
      <c r="E1491" t="s">
        <v>621</v>
      </c>
      <c r="F1491" s="1">
        <v>104.184</v>
      </c>
      <c r="G1491">
        <v>3</v>
      </c>
      <c r="H1491" s="1">
        <v>33.8598</v>
      </c>
      <c r="I1491" s="4">
        <f>SalesData[[#This Row],[Profit]]/SalesData[[#This Row],[Sales]]</f>
        <v>0.32500000000000001</v>
      </c>
      <c r="J1491">
        <f>YEAR(SalesData[[#This Row],[Order Date]])</f>
        <v>2016</v>
      </c>
      <c r="K1491" t="str">
        <f>TEXT(SalesData[[#This Row],[Order Date]],"mmm")</f>
        <v>Feb</v>
      </c>
      <c r="L1491">
        <f>MONTH(SalesData[[#This Row],[Order Date]])</f>
        <v>2</v>
      </c>
      <c r="M1491">
        <f>SalesData[[#This Row],[Sales]]/SalesData[[#This Row],[Quantity]]</f>
        <v>34.728000000000002</v>
      </c>
      <c r="N1491" t="str">
        <f>IF(SalesData[[#This Row],[Profit]]&gt;0,"Profit","Loss")</f>
        <v>Profit</v>
      </c>
    </row>
    <row r="1492" spans="1:14" x14ac:dyDescent="0.3">
      <c r="A1492" t="s">
        <v>1996</v>
      </c>
      <c r="B1492" s="3">
        <v>42412</v>
      </c>
      <c r="C1492" t="s">
        <v>17</v>
      </c>
      <c r="D1492" t="s">
        <v>21</v>
      </c>
      <c r="E1492" t="s">
        <v>1997</v>
      </c>
      <c r="F1492" s="1">
        <v>2079.4</v>
      </c>
      <c r="G1492">
        <v>5</v>
      </c>
      <c r="H1492" s="1">
        <v>582.23199999999997</v>
      </c>
      <c r="I1492" s="4">
        <f>SalesData[[#This Row],[Profit]]/SalesData[[#This Row],[Sales]]</f>
        <v>0.27999999999999997</v>
      </c>
      <c r="J1492">
        <f>YEAR(SalesData[[#This Row],[Order Date]])</f>
        <v>2016</v>
      </c>
      <c r="K1492" t="str">
        <f>TEXT(SalesData[[#This Row],[Order Date]],"mmm")</f>
        <v>Feb</v>
      </c>
      <c r="L1492">
        <f>MONTH(SalesData[[#This Row],[Order Date]])</f>
        <v>2</v>
      </c>
      <c r="M1492">
        <f>SalesData[[#This Row],[Sales]]/SalesData[[#This Row],[Quantity]]</f>
        <v>415.88</v>
      </c>
      <c r="N1492" t="str">
        <f>IF(SalesData[[#This Row],[Profit]]&gt;0,"Profit","Loss")</f>
        <v>Profit</v>
      </c>
    </row>
    <row r="1493" spans="1:14" x14ac:dyDescent="0.3">
      <c r="A1493" t="s">
        <v>1996</v>
      </c>
      <c r="B1493" s="3">
        <v>42412</v>
      </c>
      <c r="C1493" t="s">
        <v>17</v>
      </c>
      <c r="D1493" t="s">
        <v>10</v>
      </c>
      <c r="E1493" t="s">
        <v>1553</v>
      </c>
      <c r="F1493" s="1">
        <v>629.95000000000005</v>
      </c>
      <c r="G1493">
        <v>5</v>
      </c>
      <c r="H1493" s="1">
        <v>176.386</v>
      </c>
      <c r="I1493" s="4">
        <f>SalesData[[#This Row],[Profit]]/SalesData[[#This Row],[Sales]]</f>
        <v>0.27999999999999997</v>
      </c>
      <c r="J1493">
        <f>YEAR(SalesData[[#This Row],[Order Date]])</f>
        <v>2016</v>
      </c>
      <c r="K1493" t="str">
        <f>TEXT(SalesData[[#This Row],[Order Date]],"mmm")</f>
        <v>Feb</v>
      </c>
      <c r="L1493">
        <f>MONTH(SalesData[[#This Row],[Order Date]])</f>
        <v>2</v>
      </c>
      <c r="M1493">
        <f>SalesData[[#This Row],[Sales]]/SalesData[[#This Row],[Quantity]]</f>
        <v>125.99000000000001</v>
      </c>
      <c r="N1493" t="str">
        <f>IF(SalesData[[#This Row],[Profit]]&gt;0,"Profit","Loss")</f>
        <v>Profit</v>
      </c>
    </row>
    <row r="1494" spans="1:14" x14ac:dyDescent="0.3">
      <c r="A1494" t="s">
        <v>1996</v>
      </c>
      <c r="B1494" s="3">
        <v>42412</v>
      </c>
      <c r="C1494" t="s">
        <v>17</v>
      </c>
      <c r="D1494" t="s">
        <v>14</v>
      </c>
      <c r="E1494" t="s">
        <v>1898</v>
      </c>
      <c r="F1494" s="1">
        <v>72.42</v>
      </c>
      <c r="G1494">
        <v>6</v>
      </c>
      <c r="H1494" s="1">
        <v>23.898599999999998</v>
      </c>
      <c r="I1494" s="4">
        <f>SalesData[[#This Row],[Profit]]/SalesData[[#This Row],[Sales]]</f>
        <v>0.32999999999999996</v>
      </c>
      <c r="J1494">
        <f>YEAR(SalesData[[#This Row],[Order Date]])</f>
        <v>2016</v>
      </c>
      <c r="K1494" t="str">
        <f>TEXT(SalesData[[#This Row],[Order Date]],"mmm")</f>
        <v>Feb</v>
      </c>
      <c r="L1494">
        <f>MONTH(SalesData[[#This Row],[Order Date]])</f>
        <v>2</v>
      </c>
      <c r="M1494">
        <f>SalesData[[#This Row],[Sales]]/SalesData[[#This Row],[Quantity]]</f>
        <v>12.07</v>
      </c>
      <c r="N1494" t="str">
        <f>IF(SalesData[[#This Row],[Profit]]&gt;0,"Profit","Loss")</f>
        <v>Profit</v>
      </c>
    </row>
    <row r="1495" spans="1:14" x14ac:dyDescent="0.3">
      <c r="A1495" t="s">
        <v>1998</v>
      </c>
      <c r="B1495" s="3">
        <v>42412</v>
      </c>
      <c r="C1495" t="s">
        <v>17</v>
      </c>
      <c r="D1495" t="s">
        <v>21</v>
      </c>
      <c r="E1495" t="s">
        <v>1999</v>
      </c>
      <c r="F1495" s="1">
        <v>415.17599999999999</v>
      </c>
      <c r="G1495">
        <v>3</v>
      </c>
      <c r="H1495" s="1">
        <v>134.93219999999999</v>
      </c>
      <c r="I1495" s="4">
        <f>SalesData[[#This Row],[Profit]]/SalesData[[#This Row],[Sales]]</f>
        <v>0.32500000000000001</v>
      </c>
      <c r="J1495">
        <f>YEAR(SalesData[[#This Row],[Order Date]])</f>
        <v>2016</v>
      </c>
      <c r="K1495" t="str">
        <f>TEXT(SalesData[[#This Row],[Order Date]],"mmm")</f>
        <v>Feb</v>
      </c>
      <c r="L1495">
        <f>MONTH(SalesData[[#This Row],[Order Date]])</f>
        <v>2</v>
      </c>
      <c r="M1495">
        <f>SalesData[[#This Row],[Sales]]/SalesData[[#This Row],[Quantity]]</f>
        <v>138.392</v>
      </c>
      <c r="N1495" t="str">
        <f>IF(SalesData[[#This Row],[Profit]]&gt;0,"Profit","Loss")</f>
        <v>Profit</v>
      </c>
    </row>
    <row r="1496" spans="1:14" x14ac:dyDescent="0.3">
      <c r="A1496" t="s">
        <v>1998</v>
      </c>
      <c r="B1496" s="3">
        <v>42412</v>
      </c>
      <c r="C1496" t="s">
        <v>17</v>
      </c>
      <c r="D1496" t="s">
        <v>21</v>
      </c>
      <c r="E1496" t="s">
        <v>1052</v>
      </c>
      <c r="F1496" s="1">
        <v>35.231999999999999</v>
      </c>
      <c r="G1496">
        <v>3</v>
      </c>
      <c r="H1496" s="1">
        <v>11.4504</v>
      </c>
      <c r="I1496" s="4">
        <f>SalesData[[#This Row],[Profit]]/SalesData[[#This Row],[Sales]]</f>
        <v>0.32500000000000001</v>
      </c>
      <c r="J1496">
        <f>YEAR(SalesData[[#This Row],[Order Date]])</f>
        <v>2016</v>
      </c>
      <c r="K1496" t="str">
        <f>TEXT(SalesData[[#This Row],[Order Date]],"mmm")</f>
        <v>Feb</v>
      </c>
      <c r="L1496">
        <f>MONTH(SalesData[[#This Row],[Order Date]])</f>
        <v>2</v>
      </c>
      <c r="M1496">
        <f>SalesData[[#This Row],[Sales]]/SalesData[[#This Row],[Quantity]]</f>
        <v>11.744</v>
      </c>
      <c r="N1496" t="str">
        <f>IF(SalesData[[#This Row],[Profit]]&gt;0,"Profit","Loss")</f>
        <v>Profit</v>
      </c>
    </row>
    <row r="1497" spans="1:14" x14ac:dyDescent="0.3">
      <c r="A1497" t="s">
        <v>1998</v>
      </c>
      <c r="B1497" s="3">
        <v>42412</v>
      </c>
      <c r="C1497" t="s">
        <v>17</v>
      </c>
      <c r="D1497" t="s">
        <v>21</v>
      </c>
      <c r="E1497" t="s">
        <v>642</v>
      </c>
      <c r="F1497" s="1">
        <v>54.96</v>
      </c>
      <c r="G1497">
        <v>1</v>
      </c>
      <c r="H1497" s="1">
        <v>26.930399999999999</v>
      </c>
      <c r="I1497" s="4">
        <f>SalesData[[#This Row],[Profit]]/SalesData[[#This Row],[Sales]]</f>
        <v>0.49</v>
      </c>
      <c r="J1497">
        <f>YEAR(SalesData[[#This Row],[Order Date]])</f>
        <v>2016</v>
      </c>
      <c r="K1497" t="str">
        <f>TEXT(SalesData[[#This Row],[Order Date]],"mmm")</f>
        <v>Feb</v>
      </c>
      <c r="L1497">
        <f>MONTH(SalesData[[#This Row],[Order Date]])</f>
        <v>2</v>
      </c>
      <c r="M1497">
        <f>SalesData[[#This Row],[Sales]]/SalesData[[#This Row],[Quantity]]</f>
        <v>54.96</v>
      </c>
      <c r="N1497" t="str">
        <f>IF(SalesData[[#This Row],[Profit]]&gt;0,"Profit","Loss")</f>
        <v>Profit</v>
      </c>
    </row>
    <row r="1498" spans="1:14" x14ac:dyDescent="0.3">
      <c r="A1498" t="s">
        <v>2000</v>
      </c>
      <c r="B1498" s="3">
        <v>42412</v>
      </c>
      <c r="C1498" t="s">
        <v>13</v>
      </c>
      <c r="D1498" t="s">
        <v>10</v>
      </c>
      <c r="E1498" t="s">
        <v>937</v>
      </c>
      <c r="F1498" s="1">
        <v>165.6</v>
      </c>
      <c r="G1498">
        <v>3</v>
      </c>
      <c r="H1498" s="1">
        <v>-6.21</v>
      </c>
      <c r="I1498" s="4">
        <f>SalesData[[#This Row],[Profit]]/SalesData[[#This Row],[Sales]]</f>
        <v>-3.7499999999999999E-2</v>
      </c>
      <c r="J1498">
        <f>YEAR(SalesData[[#This Row],[Order Date]])</f>
        <v>2016</v>
      </c>
      <c r="K1498" t="str">
        <f>TEXT(SalesData[[#This Row],[Order Date]],"mmm")</f>
        <v>Feb</v>
      </c>
      <c r="L1498">
        <f>MONTH(SalesData[[#This Row],[Order Date]])</f>
        <v>2</v>
      </c>
      <c r="M1498">
        <f>SalesData[[#This Row],[Sales]]/SalesData[[#This Row],[Quantity]]</f>
        <v>55.199999999999996</v>
      </c>
      <c r="N1498" t="str">
        <f>IF(SalesData[[#This Row],[Profit]]&gt;0,"Profit","Loss")</f>
        <v>Loss</v>
      </c>
    </row>
    <row r="1499" spans="1:14" x14ac:dyDescent="0.3">
      <c r="A1499" t="s">
        <v>2001</v>
      </c>
      <c r="B1499" s="3">
        <v>42412</v>
      </c>
      <c r="C1499" t="s">
        <v>9</v>
      </c>
      <c r="D1499" t="s">
        <v>21</v>
      </c>
      <c r="E1499" t="s">
        <v>1387</v>
      </c>
      <c r="F1499" s="1">
        <v>115.84</v>
      </c>
      <c r="G1499">
        <v>8</v>
      </c>
      <c r="H1499" s="1">
        <v>54.444800000000001</v>
      </c>
      <c r="I1499" s="4">
        <f>SalesData[[#This Row],[Profit]]/SalesData[[#This Row],[Sales]]</f>
        <v>0.47</v>
      </c>
      <c r="J1499">
        <f>YEAR(SalesData[[#This Row],[Order Date]])</f>
        <v>2016</v>
      </c>
      <c r="K1499" t="str">
        <f>TEXT(SalesData[[#This Row],[Order Date]],"mmm")</f>
        <v>Feb</v>
      </c>
      <c r="L1499">
        <f>MONTH(SalesData[[#This Row],[Order Date]])</f>
        <v>2</v>
      </c>
      <c r="M1499">
        <f>SalesData[[#This Row],[Sales]]/SalesData[[#This Row],[Quantity]]</f>
        <v>14.48</v>
      </c>
      <c r="N1499" t="str">
        <f>IF(SalesData[[#This Row],[Profit]]&gt;0,"Profit","Loss")</f>
        <v>Profit</v>
      </c>
    </row>
    <row r="1500" spans="1:14" x14ac:dyDescent="0.3">
      <c r="A1500" t="s">
        <v>2002</v>
      </c>
      <c r="B1500" s="3">
        <v>42412</v>
      </c>
      <c r="C1500" t="s">
        <v>9</v>
      </c>
      <c r="D1500" t="s">
        <v>14</v>
      </c>
      <c r="E1500" t="s">
        <v>2003</v>
      </c>
      <c r="F1500" s="1">
        <v>781.86400000000003</v>
      </c>
      <c r="G1500">
        <v>10</v>
      </c>
      <c r="H1500" s="1">
        <v>-137.976</v>
      </c>
      <c r="I1500" s="4">
        <f>SalesData[[#This Row],[Profit]]/SalesData[[#This Row],[Sales]]</f>
        <v>-0.1764705882352941</v>
      </c>
      <c r="J1500">
        <f>YEAR(SalesData[[#This Row],[Order Date]])</f>
        <v>2016</v>
      </c>
      <c r="K1500" t="str">
        <f>TEXT(SalesData[[#This Row],[Order Date]],"mmm")</f>
        <v>Feb</v>
      </c>
      <c r="L1500">
        <f>MONTH(SalesData[[#This Row],[Order Date]])</f>
        <v>2</v>
      </c>
      <c r="M1500">
        <f>SalesData[[#This Row],[Sales]]/SalesData[[#This Row],[Quantity]]</f>
        <v>78.186400000000006</v>
      </c>
      <c r="N1500" t="str">
        <f>IF(SalesData[[#This Row],[Profit]]&gt;0,"Profit","Loss")</f>
        <v>Loss</v>
      </c>
    </row>
    <row r="1501" spans="1:14" x14ac:dyDescent="0.3">
      <c r="A1501" t="s">
        <v>2002</v>
      </c>
      <c r="B1501" s="3">
        <v>42412</v>
      </c>
      <c r="C1501" t="s">
        <v>9</v>
      </c>
      <c r="D1501" t="s">
        <v>21</v>
      </c>
      <c r="E1501" t="s">
        <v>1817</v>
      </c>
      <c r="F1501" s="1">
        <v>30.815999999999999</v>
      </c>
      <c r="G1501">
        <v>9</v>
      </c>
      <c r="H1501" s="1">
        <v>9.6300000000000008</v>
      </c>
      <c r="I1501" s="4">
        <f>SalesData[[#This Row],[Profit]]/SalesData[[#This Row],[Sales]]</f>
        <v>0.31250000000000006</v>
      </c>
      <c r="J1501">
        <f>YEAR(SalesData[[#This Row],[Order Date]])</f>
        <v>2016</v>
      </c>
      <c r="K1501" t="str">
        <f>TEXT(SalesData[[#This Row],[Order Date]],"mmm")</f>
        <v>Feb</v>
      </c>
      <c r="L1501">
        <f>MONTH(SalesData[[#This Row],[Order Date]])</f>
        <v>2</v>
      </c>
      <c r="M1501">
        <f>SalesData[[#This Row],[Sales]]/SalesData[[#This Row],[Quantity]]</f>
        <v>3.4239999999999999</v>
      </c>
      <c r="N1501" t="str">
        <f>IF(SalesData[[#This Row],[Profit]]&gt;0,"Profit","Loss")</f>
        <v>Profit</v>
      </c>
    </row>
    <row r="1502" spans="1:14" x14ac:dyDescent="0.3">
      <c r="A1502" t="s">
        <v>2004</v>
      </c>
      <c r="B1502" s="3">
        <v>42430</v>
      </c>
      <c r="C1502" t="s">
        <v>13</v>
      </c>
      <c r="D1502" t="s">
        <v>21</v>
      </c>
      <c r="E1502" t="s">
        <v>29</v>
      </c>
      <c r="F1502" s="1">
        <v>114.46</v>
      </c>
      <c r="G1502">
        <v>2</v>
      </c>
      <c r="H1502" s="1">
        <v>28.614999999999998</v>
      </c>
      <c r="I1502" s="4">
        <f>SalesData[[#This Row],[Profit]]/SalesData[[#This Row],[Sales]]</f>
        <v>0.25</v>
      </c>
      <c r="J1502">
        <f>YEAR(SalesData[[#This Row],[Order Date]])</f>
        <v>2016</v>
      </c>
      <c r="K1502" t="str">
        <f>TEXT(SalesData[[#This Row],[Order Date]],"mmm")</f>
        <v>Mar</v>
      </c>
      <c r="L1502">
        <f>MONTH(SalesData[[#This Row],[Order Date]])</f>
        <v>3</v>
      </c>
      <c r="M1502">
        <f>SalesData[[#This Row],[Sales]]/SalesData[[#This Row],[Quantity]]</f>
        <v>57.23</v>
      </c>
      <c r="N1502" t="str">
        <f>IF(SalesData[[#This Row],[Profit]]&gt;0,"Profit","Loss")</f>
        <v>Profit</v>
      </c>
    </row>
    <row r="1503" spans="1:14" x14ac:dyDescent="0.3">
      <c r="A1503" t="s">
        <v>2005</v>
      </c>
      <c r="B1503" s="3">
        <v>42430</v>
      </c>
      <c r="C1503" t="s">
        <v>9</v>
      </c>
      <c r="D1503" t="s">
        <v>10</v>
      </c>
      <c r="E1503" t="s">
        <v>2006</v>
      </c>
      <c r="F1503" s="1">
        <v>30.08</v>
      </c>
      <c r="G1503">
        <v>2</v>
      </c>
      <c r="H1503" s="1">
        <v>-5.2640000000000002</v>
      </c>
      <c r="I1503" s="4">
        <f>SalesData[[#This Row],[Profit]]/SalesData[[#This Row],[Sales]]</f>
        <v>-0.17500000000000002</v>
      </c>
      <c r="J1503">
        <f>YEAR(SalesData[[#This Row],[Order Date]])</f>
        <v>2016</v>
      </c>
      <c r="K1503" t="str">
        <f>TEXT(SalesData[[#This Row],[Order Date]],"mmm")</f>
        <v>Mar</v>
      </c>
      <c r="L1503">
        <f>MONTH(SalesData[[#This Row],[Order Date]])</f>
        <v>3</v>
      </c>
      <c r="M1503">
        <f>SalesData[[#This Row],[Sales]]/SalesData[[#This Row],[Quantity]]</f>
        <v>15.04</v>
      </c>
      <c r="N1503" t="str">
        <f>IF(SalesData[[#This Row],[Profit]]&gt;0,"Profit","Loss")</f>
        <v>Loss</v>
      </c>
    </row>
    <row r="1504" spans="1:14" x14ac:dyDescent="0.3">
      <c r="A1504" t="s">
        <v>2005</v>
      </c>
      <c r="B1504" s="3">
        <v>42430</v>
      </c>
      <c r="C1504" t="s">
        <v>9</v>
      </c>
      <c r="D1504" t="s">
        <v>10</v>
      </c>
      <c r="E1504" t="s">
        <v>937</v>
      </c>
      <c r="F1504" s="1">
        <v>165.6</v>
      </c>
      <c r="G1504">
        <v>3</v>
      </c>
      <c r="H1504" s="1">
        <v>-6.21</v>
      </c>
      <c r="I1504" s="4">
        <f>SalesData[[#This Row],[Profit]]/SalesData[[#This Row],[Sales]]</f>
        <v>-3.7499999999999999E-2</v>
      </c>
      <c r="J1504">
        <f>YEAR(SalesData[[#This Row],[Order Date]])</f>
        <v>2016</v>
      </c>
      <c r="K1504" t="str">
        <f>TEXT(SalesData[[#This Row],[Order Date]],"mmm")</f>
        <v>Mar</v>
      </c>
      <c r="L1504">
        <f>MONTH(SalesData[[#This Row],[Order Date]])</f>
        <v>3</v>
      </c>
      <c r="M1504">
        <f>SalesData[[#This Row],[Sales]]/SalesData[[#This Row],[Quantity]]</f>
        <v>55.199999999999996</v>
      </c>
      <c r="N1504" t="str">
        <f>IF(SalesData[[#This Row],[Profit]]&gt;0,"Profit","Loss")</f>
        <v>Loss</v>
      </c>
    </row>
    <row r="1505" spans="1:14" x14ac:dyDescent="0.3">
      <c r="A1505" t="s">
        <v>2005</v>
      </c>
      <c r="B1505" s="3">
        <v>42430</v>
      </c>
      <c r="C1505" t="s">
        <v>9</v>
      </c>
      <c r="D1505" t="s">
        <v>10</v>
      </c>
      <c r="E1505" t="s">
        <v>125</v>
      </c>
      <c r="F1505" s="1">
        <v>180.96</v>
      </c>
      <c r="G1505">
        <v>5</v>
      </c>
      <c r="H1505" s="1">
        <v>13.571999999999999</v>
      </c>
      <c r="I1505" s="4">
        <f>SalesData[[#This Row],[Profit]]/SalesData[[#This Row],[Sales]]</f>
        <v>7.4999999999999997E-2</v>
      </c>
      <c r="J1505">
        <f>YEAR(SalesData[[#This Row],[Order Date]])</f>
        <v>2016</v>
      </c>
      <c r="K1505" t="str">
        <f>TEXT(SalesData[[#This Row],[Order Date]],"mmm")</f>
        <v>Mar</v>
      </c>
      <c r="L1505">
        <f>MONTH(SalesData[[#This Row],[Order Date]])</f>
        <v>3</v>
      </c>
      <c r="M1505">
        <f>SalesData[[#This Row],[Sales]]/SalesData[[#This Row],[Quantity]]</f>
        <v>36.192</v>
      </c>
      <c r="N1505" t="str">
        <f>IF(SalesData[[#This Row],[Profit]]&gt;0,"Profit","Loss")</f>
        <v>Profit</v>
      </c>
    </row>
    <row r="1506" spans="1:14" x14ac:dyDescent="0.3">
      <c r="A1506" t="s">
        <v>2007</v>
      </c>
      <c r="B1506" s="3">
        <v>42430</v>
      </c>
      <c r="C1506" t="s">
        <v>9</v>
      </c>
      <c r="D1506" t="s">
        <v>14</v>
      </c>
      <c r="E1506" t="s">
        <v>2008</v>
      </c>
      <c r="F1506" s="1">
        <v>1592.85</v>
      </c>
      <c r="G1506">
        <v>7</v>
      </c>
      <c r="H1506" s="1">
        <v>350.42700000000002</v>
      </c>
      <c r="I1506" s="4">
        <f>SalesData[[#This Row],[Profit]]/SalesData[[#This Row],[Sales]]</f>
        <v>0.22000000000000003</v>
      </c>
      <c r="J1506">
        <f>YEAR(SalesData[[#This Row],[Order Date]])</f>
        <v>2016</v>
      </c>
      <c r="K1506" t="str">
        <f>TEXT(SalesData[[#This Row],[Order Date]],"mmm")</f>
        <v>Mar</v>
      </c>
      <c r="L1506">
        <f>MONTH(SalesData[[#This Row],[Order Date]])</f>
        <v>3</v>
      </c>
      <c r="M1506">
        <f>SalesData[[#This Row],[Sales]]/SalesData[[#This Row],[Quantity]]</f>
        <v>227.54999999999998</v>
      </c>
      <c r="N1506" t="str">
        <f>IF(SalesData[[#This Row],[Profit]]&gt;0,"Profit","Loss")</f>
        <v>Profit</v>
      </c>
    </row>
    <row r="1507" spans="1:14" x14ac:dyDescent="0.3">
      <c r="A1507" t="s">
        <v>2007</v>
      </c>
      <c r="B1507" s="3">
        <v>42430</v>
      </c>
      <c r="C1507" t="s">
        <v>9</v>
      </c>
      <c r="D1507" t="s">
        <v>21</v>
      </c>
      <c r="E1507" t="s">
        <v>415</v>
      </c>
      <c r="F1507" s="1">
        <v>11.88</v>
      </c>
      <c r="G1507">
        <v>2</v>
      </c>
      <c r="H1507" s="1">
        <v>5.3460000000000001</v>
      </c>
      <c r="I1507" s="4">
        <f>SalesData[[#This Row],[Profit]]/SalesData[[#This Row],[Sales]]</f>
        <v>0.44999999999999996</v>
      </c>
      <c r="J1507">
        <f>YEAR(SalesData[[#This Row],[Order Date]])</f>
        <v>2016</v>
      </c>
      <c r="K1507" t="str">
        <f>TEXT(SalesData[[#This Row],[Order Date]],"mmm")</f>
        <v>Mar</v>
      </c>
      <c r="L1507">
        <f>MONTH(SalesData[[#This Row],[Order Date]])</f>
        <v>3</v>
      </c>
      <c r="M1507">
        <f>SalesData[[#This Row],[Sales]]/SalesData[[#This Row],[Quantity]]</f>
        <v>5.94</v>
      </c>
      <c r="N1507" t="str">
        <f>IF(SalesData[[#This Row],[Profit]]&gt;0,"Profit","Loss")</f>
        <v>Profit</v>
      </c>
    </row>
    <row r="1508" spans="1:14" x14ac:dyDescent="0.3">
      <c r="A1508" t="s">
        <v>2009</v>
      </c>
      <c r="B1508" s="3">
        <v>42431</v>
      </c>
      <c r="C1508" t="s">
        <v>46</v>
      </c>
      <c r="D1508" t="s">
        <v>14</v>
      </c>
      <c r="E1508" t="s">
        <v>116</v>
      </c>
      <c r="F1508" s="1">
        <v>866.4</v>
      </c>
      <c r="G1508">
        <v>4</v>
      </c>
      <c r="H1508" s="1">
        <v>225.26400000000001</v>
      </c>
      <c r="I1508" s="4">
        <f>SalesData[[#This Row],[Profit]]/SalesData[[#This Row],[Sales]]</f>
        <v>0.26</v>
      </c>
      <c r="J1508">
        <f>YEAR(SalesData[[#This Row],[Order Date]])</f>
        <v>2016</v>
      </c>
      <c r="K1508" t="str">
        <f>TEXT(SalesData[[#This Row],[Order Date]],"mmm")</f>
        <v>Mar</v>
      </c>
      <c r="L1508">
        <f>MONTH(SalesData[[#This Row],[Order Date]])</f>
        <v>3</v>
      </c>
      <c r="M1508">
        <f>SalesData[[#This Row],[Sales]]/SalesData[[#This Row],[Quantity]]</f>
        <v>216.6</v>
      </c>
      <c r="N1508" t="str">
        <f>IF(SalesData[[#This Row],[Profit]]&gt;0,"Profit","Loss")</f>
        <v>Profit</v>
      </c>
    </row>
    <row r="1509" spans="1:14" x14ac:dyDescent="0.3">
      <c r="A1509" t="s">
        <v>2010</v>
      </c>
      <c r="B1509" s="3">
        <v>42432</v>
      </c>
      <c r="C1509" t="s">
        <v>17</v>
      </c>
      <c r="D1509" t="s">
        <v>21</v>
      </c>
      <c r="E1509" t="s">
        <v>688</v>
      </c>
      <c r="F1509" s="1">
        <v>447.86</v>
      </c>
      <c r="G1509">
        <v>7</v>
      </c>
      <c r="H1509" s="1">
        <v>219.45140000000001</v>
      </c>
      <c r="I1509" s="4">
        <f>SalesData[[#This Row],[Profit]]/SalesData[[#This Row],[Sales]]</f>
        <v>0.49</v>
      </c>
      <c r="J1509">
        <f>YEAR(SalesData[[#This Row],[Order Date]])</f>
        <v>2016</v>
      </c>
      <c r="K1509" t="str">
        <f>TEXT(SalesData[[#This Row],[Order Date]],"mmm")</f>
        <v>Mar</v>
      </c>
      <c r="L1509">
        <f>MONTH(SalesData[[#This Row],[Order Date]])</f>
        <v>3</v>
      </c>
      <c r="M1509">
        <f>SalesData[[#This Row],[Sales]]/SalesData[[#This Row],[Quantity]]</f>
        <v>63.980000000000004</v>
      </c>
      <c r="N1509" t="str">
        <f>IF(SalesData[[#This Row],[Profit]]&gt;0,"Profit","Loss")</f>
        <v>Profit</v>
      </c>
    </row>
    <row r="1510" spans="1:14" x14ac:dyDescent="0.3">
      <c r="A1510" t="s">
        <v>2010</v>
      </c>
      <c r="B1510" s="3">
        <v>42432</v>
      </c>
      <c r="C1510" t="s">
        <v>17</v>
      </c>
      <c r="D1510" t="s">
        <v>10</v>
      </c>
      <c r="E1510" t="s">
        <v>178</v>
      </c>
      <c r="F1510" s="1">
        <v>479.95</v>
      </c>
      <c r="G1510">
        <v>5</v>
      </c>
      <c r="H1510" s="1">
        <v>129.5865</v>
      </c>
      <c r="I1510" s="4">
        <f>SalesData[[#This Row],[Profit]]/SalesData[[#This Row],[Sales]]</f>
        <v>0.27</v>
      </c>
      <c r="J1510">
        <f>YEAR(SalesData[[#This Row],[Order Date]])</f>
        <v>2016</v>
      </c>
      <c r="K1510" t="str">
        <f>TEXT(SalesData[[#This Row],[Order Date]],"mmm")</f>
        <v>Mar</v>
      </c>
      <c r="L1510">
        <f>MONTH(SalesData[[#This Row],[Order Date]])</f>
        <v>3</v>
      </c>
      <c r="M1510">
        <f>SalesData[[#This Row],[Sales]]/SalesData[[#This Row],[Quantity]]</f>
        <v>95.99</v>
      </c>
      <c r="N1510" t="str">
        <f>IF(SalesData[[#This Row],[Profit]]&gt;0,"Profit","Loss")</f>
        <v>Profit</v>
      </c>
    </row>
    <row r="1511" spans="1:14" x14ac:dyDescent="0.3">
      <c r="A1511" t="s">
        <v>2010</v>
      </c>
      <c r="B1511" s="3">
        <v>42432</v>
      </c>
      <c r="C1511" t="s">
        <v>17</v>
      </c>
      <c r="D1511" t="s">
        <v>21</v>
      </c>
      <c r="E1511" t="s">
        <v>341</v>
      </c>
      <c r="F1511" s="1">
        <v>166.44</v>
      </c>
      <c r="G1511">
        <v>3</v>
      </c>
      <c r="H1511" s="1">
        <v>79.891199999999998</v>
      </c>
      <c r="I1511" s="4">
        <f>SalesData[[#This Row],[Profit]]/SalesData[[#This Row],[Sales]]</f>
        <v>0.48</v>
      </c>
      <c r="J1511">
        <f>YEAR(SalesData[[#This Row],[Order Date]])</f>
        <v>2016</v>
      </c>
      <c r="K1511" t="str">
        <f>TEXT(SalesData[[#This Row],[Order Date]],"mmm")</f>
        <v>Mar</v>
      </c>
      <c r="L1511">
        <f>MONTH(SalesData[[#This Row],[Order Date]])</f>
        <v>3</v>
      </c>
      <c r="M1511">
        <f>SalesData[[#This Row],[Sales]]/SalesData[[#This Row],[Quantity]]</f>
        <v>55.48</v>
      </c>
      <c r="N1511" t="str">
        <f>IF(SalesData[[#This Row],[Profit]]&gt;0,"Profit","Loss")</f>
        <v>Profit</v>
      </c>
    </row>
    <row r="1512" spans="1:14" x14ac:dyDescent="0.3">
      <c r="A1512" t="s">
        <v>2011</v>
      </c>
      <c r="B1512" s="3">
        <v>42432</v>
      </c>
      <c r="C1512" t="s">
        <v>9</v>
      </c>
      <c r="D1512" t="s">
        <v>21</v>
      </c>
      <c r="E1512" t="s">
        <v>2012</v>
      </c>
      <c r="F1512" s="1">
        <v>42.783999999999999</v>
      </c>
      <c r="G1512">
        <v>7</v>
      </c>
      <c r="H1512" s="1">
        <v>15.5092</v>
      </c>
      <c r="I1512" s="4">
        <f>SalesData[[#This Row],[Profit]]/SalesData[[#This Row],[Sales]]</f>
        <v>0.36249999999999999</v>
      </c>
      <c r="J1512">
        <f>YEAR(SalesData[[#This Row],[Order Date]])</f>
        <v>2016</v>
      </c>
      <c r="K1512" t="str">
        <f>TEXT(SalesData[[#This Row],[Order Date]],"mmm")</f>
        <v>Mar</v>
      </c>
      <c r="L1512">
        <f>MONTH(SalesData[[#This Row],[Order Date]])</f>
        <v>3</v>
      </c>
      <c r="M1512">
        <f>SalesData[[#This Row],[Sales]]/SalesData[[#This Row],[Quantity]]</f>
        <v>6.1120000000000001</v>
      </c>
      <c r="N1512" t="str">
        <f>IF(SalesData[[#This Row],[Profit]]&gt;0,"Profit","Loss")</f>
        <v>Profit</v>
      </c>
    </row>
    <row r="1513" spans="1:14" x14ac:dyDescent="0.3">
      <c r="A1513" t="s">
        <v>2011</v>
      </c>
      <c r="B1513" s="3">
        <v>42432</v>
      </c>
      <c r="C1513" t="s">
        <v>9</v>
      </c>
      <c r="D1513" t="s">
        <v>14</v>
      </c>
      <c r="E1513" t="s">
        <v>1250</v>
      </c>
      <c r="F1513" s="1">
        <v>563.42999999999995</v>
      </c>
      <c r="G1513">
        <v>5</v>
      </c>
      <c r="H1513" s="1">
        <v>-56.343000000000004</v>
      </c>
      <c r="I1513" s="4">
        <f>SalesData[[#This Row],[Profit]]/SalesData[[#This Row],[Sales]]</f>
        <v>-0.10000000000000002</v>
      </c>
      <c r="J1513">
        <f>YEAR(SalesData[[#This Row],[Order Date]])</f>
        <v>2016</v>
      </c>
      <c r="K1513" t="str">
        <f>TEXT(SalesData[[#This Row],[Order Date]],"mmm")</f>
        <v>Mar</v>
      </c>
      <c r="L1513">
        <f>MONTH(SalesData[[#This Row],[Order Date]])</f>
        <v>3</v>
      </c>
      <c r="M1513">
        <f>SalesData[[#This Row],[Sales]]/SalesData[[#This Row],[Quantity]]</f>
        <v>112.68599999999999</v>
      </c>
      <c r="N1513" t="str">
        <f>IF(SalesData[[#This Row],[Profit]]&gt;0,"Profit","Loss")</f>
        <v>Loss</v>
      </c>
    </row>
    <row r="1514" spans="1:14" x14ac:dyDescent="0.3">
      <c r="A1514" t="s">
        <v>2013</v>
      </c>
      <c r="B1514" s="3">
        <v>42432</v>
      </c>
      <c r="C1514" t="s">
        <v>9</v>
      </c>
      <c r="D1514" t="s">
        <v>10</v>
      </c>
      <c r="E1514" t="s">
        <v>2014</v>
      </c>
      <c r="F1514" s="1">
        <v>134.85</v>
      </c>
      <c r="G1514">
        <v>3</v>
      </c>
      <c r="H1514" s="1">
        <v>37.758000000000003</v>
      </c>
      <c r="I1514" s="4">
        <f>SalesData[[#This Row],[Profit]]/SalesData[[#This Row],[Sales]]</f>
        <v>0.28000000000000003</v>
      </c>
      <c r="J1514">
        <f>YEAR(SalesData[[#This Row],[Order Date]])</f>
        <v>2016</v>
      </c>
      <c r="K1514" t="str">
        <f>TEXT(SalesData[[#This Row],[Order Date]],"mmm")</f>
        <v>Mar</v>
      </c>
      <c r="L1514">
        <f>MONTH(SalesData[[#This Row],[Order Date]])</f>
        <v>3</v>
      </c>
      <c r="M1514">
        <f>SalesData[[#This Row],[Sales]]/SalesData[[#This Row],[Quantity]]</f>
        <v>44.949999999999996</v>
      </c>
      <c r="N1514" t="str">
        <f>IF(SalesData[[#This Row],[Profit]]&gt;0,"Profit","Loss")</f>
        <v>Profit</v>
      </c>
    </row>
    <row r="1515" spans="1:14" x14ac:dyDescent="0.3">
      <c r="A1515" t="s">
        <v>2015</v>
      </c>
      <c r="B1515" s="3">
        <v>42432</v>
      </c>
      <c r="C1515" t="s">
        <v>9</v>
      </c>
      <c r="D1515" t="s">
        <v>14</v>
      </c>
      <c r="E1515" t="s">
        <v>2016</v>
      </c>
      <c r="F1515" s="1">
        <v>637.89599999999996</v>
      </c>
      <c r="G1515">
        <v>3</v>
      </c>
      <c r="H1515" s="1">
        <v>-127.5792</v>
      </c>
      <c r="I1515" s="4">
        <f>SalesData[[#This Row],[Profit]]/SalesData[[#This Row],[Sales]]</f>
        <v>-0.2</v>
      </c>
      <c r="J1515">
        <f>YEAR(SalesData[[#This Row],[Order Date]])</f>
        <v>2016</v>
      </c>
      <c r="K1515" t="str">
        <f>TEXT(SalesData[[#This Row],[Order Date]],"mmm")</f>
        <v>Mar</v>
      </c>
      <c r="L1515">
        <f>MONTH(SalesData[[#This Row],[Order Date]])</f>
        <v>3</v>
      </c>
      <c r="M1515">
        <f>SalesData[[#This Row],[Sales]]/SalesData[[#This Row],[Quantity]]</f>
        <v>212.63199999999998</v>
      </c>
      <c r="N1515" t="str">
        <f>IF(SalesData[[#This Row],[Profit]]&gt;0,"Profit","Loss")</f>
        <v>Loss</v>
      </c>
    </row>
    <row r="1516" spans="1:14" x14ac:dyDescent="0.3">
      <c r="A1516" t="s">
        <v>2015</v>
      </c>
      <c r="B1516" s="3">
        <v>42432</v>
      </c>
      <c r="C1516" t="s">
        <v>9</v>
      </c>
      <c r="D1516" t="s">
        <v>10</v>
      </c>
      <c r="E1516" t="s">
        <v>1525</v>
      </c>
      <c r="F1516" s="1">
        <v>287.91000000000003</v>
      </c>
      <c r="G1516">
        <v>3</v>
      </c>
      <c r="H1516" s="1">
        <v>33.589500000000001</v>
      </c>
      <c r="I1516" s="4">
        <f>SalesData[[#This Row],[Profit]]/SalesData[[#This Row],[Sales]]</f>
        <v>0.11666666666666665</v>
      </c>
      <c r="J1516">
        <f>YEAR(SalesData[[#This Row],[Order Date]])</f>
        <v>2016</v>
      </c>
      <c r="K1516" t="str">
        <f>TEXT(SalesData[[#This Row],[Order Date]],"mmm")</f>
        <v>Mar</v>
      </c>
      <c r="L1516">
        <f>MONTH(SalesData[[#This Row],[Order Date]])</f>
        <v>3</v>
      </c>
      <c r="M1516">
        <f>SalesData[[#This Row],[Sales]]/SalesData[[#This Row],[Quantity]]</f>
        <v>95.970000000000013</v>
      </c>
      <c r="N1516" t="str">
        <f>IF(SalesData[[#This Row],[Profit]]&gt;0,"Profit","Loss")</f>
        <v>Profit</v>
      </c>
    </row>
    <row r="1517" spans="1:14" x14ac:dyDescent="0.3">
      <c r="A1517" t="s">
        <v>2015</v>
      </c>
      <c r="B1517" s="3">
        <v>42432</v>
      </c>
      <c r="C1517" t="s">
        <v>9</v>
      </c>
      <c r="D1517" t="s">
        <v>21</v>
      </c>
      <c r="E1517" t="s">
        <v>1515</v>
      </c>
      <c r="F1517" s="1">
        <v>36.6</v>
      </c>
      <c r="G1517">
        <v>3</v>
      </c>
      <c r="H1517" s="1">
        <v>11.895</v>
      </c>
      <c r="I1517" s="4">
        <f>SalesData[[#This Row],[Profit]]/SalesData[[#This Row],[Sales]]</f>
        <v>0.32499999999999996</v>
      </c>
      <c r="J1517">
        <f>YEAR(SalesData[[#This Row],[Order Date]])</f>
        <v>2016</v>
      </c>
      <c r="K1517" t="str">
        <f>TEXT(SalesData[[#This Row],[Order Date]],"mmm")</f>
        <v>Mar</v>
      </c>
      <c r="L1517">
        <f>MONTH(SalesData[[#This Row],[Order Date]])</f>
        <v>3</v>
      </c>
      <c r="M1517">
        <f>SalesData[[#This Row],[Sales]]/SalesData[[#This Row],[Quantity]]</f>
        <v>12.200000000000001</v>
      </c>
      <c r="N1517" t="str">
        <f>IF(SalesData[[#This Row],[Profit]]&gt;0,"Profit","Loss")</f>
        <v>Profit</v>
      </c>
    </row>
    <row r="1518" spans="1:14" x14ac:dyDescent="0.3">
      <c r="A1518" t="s">
        <v>2017</v>
      </c>
      <c r="B1518" s="3">
        <v>42432</v>
      </c>
      <c r="C1518" t="s">
        <v>13</v>
      </c>
      <c r="D1518" t="s">
        <v>21</v>
      </c>
      <c r="E1518" t="s">
        <v>2018</v>
      </c>
      <c r="F1518" s="1">
        <v>25.35</v>
      </c>
      <c r="G1518">
        <v>3</v>
      </c>
      <c r="H1518" s="1">
        <v>7.6050000000000004</v>
      </c>
      <c r="I1518" s="4">
        <f>SalesData[[#This Row],[Profit]]/SalesData[[#This Row],[Sales]]</f>
        <v>0.3</v>
      </c>
      <c r="J1518">
        <f>YEAR(SalesData[[#This Row],[Order Date]])</f>
        <v>2016</v>
      </c>
      <c r="K1518" t="str">
        <f>TEXT(SalesData[[#This Row],[Order Date]],"mmm")</f>
        <v>Mar</v>
      </c>
      <c r="L1518">
        <f>MONTH(SalesData[[#This Row],[Order Date]])</f>
        <v>3</v>
      </c>
      <c r="M1518">
        <f>SalesData[[#This Row],[Sales]]/SalesData[[#This Row],[Quantity]]</f>
        <v>8.4500000000000011</v>
      </c>
      <c r="N1518" t="str">
        <f>IF(SalesData[[#This Row],[Profit]]&gt;0,"Profit","Loss")</f>
        <v>Profit</v>
      </c>
    </row>
    <row r="1519" spans="1:14" x14ac:dyDescent="0.3">
      <c r="A1519" t="s">
        <v>2017</v>
      </c>
      <c r="B1519" s="3">
        <v>42432</v>
      </c>
      <c r="C1519" t="s">
        <v>13</v>
      </c>
      <c r="D1519" t="s">
        <v>14</v>
      </c>
      <c r="E1519" t="s">
        <v>1285</v>
      </c>
      <c r="F1519" s="1">
        <v>35.28</v>
      </c>
      <c r="G1519">
        <v>3</v>
      </c>
      <c r="H1519" s="1">
        <v>11.995200000000001</v>
      </c>
      <c r="I1519" s="4">
        <f>SalesData[[#This Row],[Profit]]/SalesData[[#This Row],[Sales]]</f>
        <v>0.34</v>
      </c>
      <c r="J1519">
        <f>YEAR(SalesData[[#This Row],[Order Date]])</f>
        <v>2016</v>
      </c>
      <c r="K1519" t="str">
        <f>TEXT(SalesData[[#This Row],[Order Date]],"mmm")</f>
        <v>Mar</v>
      </c>
      <c r="L1519">
        <f>MONTH(SalesData[[#This Row],[Order Date]])</f>
        <v>3</v>
      </c>
      <c r="M1519">
        <f>SalesData[[#This Row],[Sales]]/SalesData[[#This Row],[Quantity]]</f>
        <v>11.76</v>
      </c>
      <c r="N1519" t="str">
        <f>IF(SalesData[[#This Row],[Profit]]&gt;0,"Profit","Loss")</f>
        <v>Profit</v>
      </c>
    </row>
    <row r="1520" spans="1:14" x14ac:dyDescent="0.3">
      <c r="A1520" t="s">
        <v>2019</v>
      </c>
      <c r="B1520" s="3">
        <v>42432</v>
      </c>
      <c r="C1520" t="s">
        <v>9</v>
      </c>
      <c r="D1520" t="s">
        <v>21</v>
      </c>
      <c r="E1520" t="s">
        <v>2020</v>
      </c>
      <c r="F1520" s="1">
        <v>3930.0720000000001</v>
      </c>
      <c r="G1520">
        <v>3</v>
      </c>
      <c r="H1520" s="1">
        <v>-786.01440000000002</v>
      </c>
      <c r="I1520" s="4">
        <f>SalesData[[#This Row],[Profit]]/SalesData[[#This Row],[Sales]]</f>
        <v>-0.2</v>
      </c>
      <c r="J1520">
        <f>YEAR(SalesData[[#This Row],[Order Date]])</f>
        <v>2016</v>
      </c>
      <c r="K1520" t="str">
        <f>TEXT(SalesData[[#This Row],[Order Date]],"mmm")</f>
        <v>Mar</v>
      </c>
      <c r="L1520">
        <f>MONTH(SalesData[[#This Row],[Order Date]])</f>
        <v>3</v>
      </c>
      <c r="M1520">
        <f>SalesData[[#This Row],[Sales]]/SalesData[[#This Row],[Quantity]]</f>
        <v>1310.0240000000001</v>
      </c>
      <c r="N1520" t="str">
        <f>IF(SalesData[[#This Row],[Profit]]&gt;0,"Profit","Loss")</f>
        <v>Loss</v>
      </c>
    </row>
    <row r="1521" spans="1:14" x14ac:dyDescent="0.3">
      <c r="A1521" t="s">
        <v>2019</v>
      </c>
      <c r="B1521" s="3">
        <v>42432</v>
      </c>
      <c r="C1521" t="s">
        <v>9</v>
      </c>
      <c r="D1521" t="s">
        <v>21</v>
      </c>
      <c r="E1521" t="s">
        <v>893</v>
      </c>
      <c r="F1521" s="1">
        <v>2.3039999999999998</v>
      </c>
      <c r="G1521">
        <v>1</v>
      </c>
      <c r="H1521" s="1">
        <v>0.77759999999999996</v>
      </c>
      <c r="I1521" s="4">
        <f>SalesData[[#This Row],[Profit]]/SalesData[[#This Row],[Sales]]</f>
        <v>0.33750000000000002</v>
      </c>
      <c r="J1521">
        <f>YEAR(SalesData[[#This Row],[Order Date]])</f>
        <v>2016</v>
      </c>
      <c r="K1521" t="str">
        <f>TEXT(SalesData[[#This Row],[Order Date]],"mmm")</f>
        <v>Mar</v>
      </c>
      <c r="L1521">
        <f>MONTH(SalesData[[#This Row],[Order Date]])</f>
        <v>3</v>
      </c>
      <c r="M1521">
        <f>SalesData[[#This Row],[Sales]]/SalesData[[#This Row],[Quantity]]</f>
        <v>2.3039999999999998</v>
      </c>
      <c r="N1521" t="str">
        <f>IF(SalesData[[#This Row],[Profit]]&gt;0,"Profit","Loss")</f>
        <v>Profit</v>
      </c>
    </row>
    <row r="1522" spans="1:14" x14ac:dyDescent="0.3">
      <c r="A1522" t="s">
        <v>2019</v>
      </c>
      <c r="B1522" s="3">
        <v>42432</v>
      </c>
      <c r="C1522" t="s">
        <v>9</v>
      </c>
      <c r="D1522" t="s">
        <v>10</v>
      </c>
      <c r="E1522" t="s">
        <v>917</v>
      </c>
      <c r="F1522" s="1">
        <v>431.976</v>
      </c>
      <c r="G1522">
        <v>3</v>
      </c>
      <c r="H1522" s="1">
        <v>32.398200000000003</v>
      </c>
      <c r="I1522" s="4">
        <f>SalesData[[#This Row],[Profit]]/SalesData[[#This Row],[Sales]]</f>
        <v>7.5000000000000011E-2</v>
      </c>
      <c r="J1522">
        <f>YEAR(SalesData[[#This Row],[Order Date]])</f>
        <v>2016</v>
      </c>
      <c r="K1522" t="str">
        <f>TEXT(SalesData[[#This Row],[Order Date]],"mmm")</f>
        <v>Mar</v>
      </c>
      <c r="L1522">
        <f>MONTH(SalesData[[#This Row],[Order Date]])</f>
        <v>3</v>
      </c>
      <c r="M1522">
        <f>SalesData[[#This Row],[Sales]]/SalesData[[#This Row],[Quantity]]</f>
        <v>143.99199999999999</v>
      </c>
      <c r="N1522" t="str">
        <f>IF(SalesData[[#This Row],[Profit]]&gt;0,"Profit","Loss")</f>
        <v>Profit</v>
      </c>
    </row>
    <row r="1523" spans="1:14" x14ac:dyDescent="0.3">
      <c r="A1523" t="s">
        <v>2019</v>
      </c>
      <c r="B1523" s="3">
        <v>42432</v>
      </c>
      <c r="C1523" t="s">
        <v>9</v>
      </c>
      <c r="D1523" t="s">
        <v>10</v>
      </c>
      <c r="E1523" t="s">
        <v>994</v>
      </c>
      <c r="F1523" s="1">
        <v>41.72</v>
      </c>
      <c r="G1523">
        <v>7</v>
      </c>
      <c r="H1523" s="1">
        <v>5.7365000000000004</v>
      </c>
      <c r="I1523" s="4">
        <f>SalesData[[#This Row],[Profit]]/SalesData[[#This Row],[Sales]]</f>
        <v>0.13750000000000001</v>
      </c>
      <c r="J1523">
        <f>YEAR(SalesData[[#This Row],[Order Date]])</f>
        <v>2016</v>
      </c>
      <c r="K1523" t="str">
        <f>TEXT(SalesData[[#This Row],[Order Date]],"mmm")</f>
        <v>Mar</v>
      </c>
      <c r="L1523">
        <f>MONTH(SalesData[[#This Row],[Order Date]])</f>
        <v>3</v>
      </c>
      <c r="M1523">
        <f>SalesData[[#This Row],[Sales]]/SalesData[[#This Row],[Quantity]]</f>
        <v>5.96</v>
      </c>
      <c r="N1523" t="str">
        <f>IF(SalesData[[#This Row],[Profit]]&gt;0,"Profit","Loss")</f>
        <v>Profit</v>
      </c>
    </row>
    <row r="1524" spans="1:14" x14ac:dyDescent="0.3">
      <c r="A1524" t="s">
        <v>2021</v>
      </c>
      <c r="B1524" s="3">
        <v>42433</v>
      </c>
      <c r="C1524" t="s">
        <v>17</v>
      </c>
      <c r="D1524" t="s">
        <v>21</v>
      </c>
      <c r="E1524" t="s">
        <v>2022</v>
      </c>
      <c r="F1524" s="1">
        <v>99.846000000000004</v>
      </c>
      <c r="G1524">
        <v>9</v>
      </c>
      <c r="H1524" s="1">
        <v>-83.204999999999998</v>
      </c>
      <c r="I1524" s="4">
        <f>SalesData[[#This Row],[Profit]]/SalesData[[#This Row],[Sales]]</f>
        <v>-0.83333333333333326</v>
      </c>
      <c r="J1524">
        <f>YEAR(SalesData[[#This Row],[Order Date]])</f>
        <v>2016</v>
      </c>
      <c r="K1524" t="str">
        <f>TEXT(SalesData[[#This Row],[Order Date]],"mmm")</f>
        <v>Mar</v>
      </c>
      <c r="L1524">
        <f>MONTH(SalesData[[#This Row],[Order Date]])</f>
        <v>3</v>
      </c>
      <c r="M1524">
        <f>SalesData[[#This Row],[Sales]]/SalesData[[#This Row],[Quantity]]</f>
        <v>11.094000000000001</v>
      </c>
      <c r="N1524" t="str">
        <f>IF(SalesData[[#This Row],[Profit]]&gt;0,"Profit","Loss")</f>
        <v>Loss</v>
      </c>
    </row>
    <row r="1525" spans="1:14" x14ac:dyDescent="0.3">
      <c r="A1525" t="s">
        <v>2023</v>
      </c>
      <c r="B1525" s="3">
        <v>42433</v>
      </c>
      <c r="C1525" t="s">
        <v>9</v>
      </c>
      <c r="D1525" t="s">
        <v>14</v>
      </c>
      <c r="E1525" t="s">
        <v>1712</v>
      </c>
      <c r="F1525" s="1">
        <v>71.12</v>
      </c>
      <c r="G1525">
        <v>4</v>
      </c>
      <c r="H1525" s="1">
        <v>22.0472</v>
      </c>
      <c r="I1525" s="4">
        <f>SalesData[[#This Row],[Profit]]/SalesData[[#This Row],[Sales]]</f>
        <v>0.31</v>
      </c>
      <c r="J1525">
        <f>YEAR(SalesData[[#This Row],[Order Date]])</f>
        <v>2016</v>
      </c>
      <c r="K1525" t="str">
        <f>TEXT(SalesData[[#This Row],[Order Date]],"mmm")</f>
        <v>Mar</v>
      </c>
      <c r="L1525">
        <f>MONTH(SalesData[[#This Row],[Order Date]])</f>
        <v>3</v>
      </c>
      <c r="M1525">
        <f>SalesData[[#This Row],[Sales]]/SalesData[[#This Row],[Quantity]]</f>
        <v>17.78</v>
      </c>
      <c r="N1525" t="str">
        <f>IF(SalesData[[#This Row],[Profit]]&gt;0,"Profit","Loss")</f>
        <v>Profit</v>
      </c>
    </row>
    <row r="1526" spans="1:14" x14ac:dyDescent="0.3">
      <c r="A1526" t="s">
        <v>2023</v>
      </c>
      <c r="B1526" s="3">
        <v>42433</v>
      </c>
      <c r="C1526" t="s">
        <v>9</v>
      </c>
      <c r="D1526" t="s">
        <v>10</v>
      </c>
      <c r="E1526" t="s">
        <v>81</v>
      </c>
      <c r="F1526" s="1">
        <v>259.95999999999998</v>
      </c>
      <c r="G1526">
        <v>4</v>
      </c>
      <c r="H1526" s="1">
        <v>124.7808</v>
      </c>
      <c r="I1526" s="4">
        <f>SalesData[[#This Row],[Profit]]/SalesData[[#This Row],[Sales]]</f>
        <v>0.48000000000000004</v>
      </c>
      <c r="J1526">
        <f>YEAR(SalesData[[#This Row],[Order Date]])</f>
        <v>2016</v>
      </c>
      <c r="K1526" t="str">
        <f>TEXT(SalesData[[#This Row],[Order Date]],"mmm")</f>
        <v>Mar</v>
      </c>
      <c r="L1526">
        <f>MONTH(SalesData[[#This Row],[Order Date]])</f>
        <v>3</v>
      </c>
      <c r="M1526">
        <f>SalesData[[#This Row],[Sales]]/SalesData[[#This Row],[Quantity]]</f>
        <v>64.989999999999995</v>
      </c>
      <c r="N1526" t="str">
        <f>IF(SalesData[[#This Row],[Profit]]&gt;0,"Profit","Loss")</f>
        <v>Profit</v>
      </c>
    </row>
    <row r="1527" spans="1:14" x14ac:dyDescent="0.3">
      <c r="A1527" t="s">
        <v>2024</v>
      </c>
      <c r="B1527" s="3">
        <v>42433</v>
      </c>
      <c r="C1527" t="s">
        <v>9</v>
      </c>
      <c r="D1527" t="s">
        <v>21</v>
      </c>
      <c r="E1527" t="s">
        <v>1817</v>
      </c>
      <c r="F1527" s="1">
        <v>10.272</v>
      </c>
      <c r="G1527">
        <v>3</v>
      </c>
      <c r="H1527" s="1">
        <v>3.21</v>
      </c>
      <c r="I1527" s="4">
        <f>SalesData[[#This Row],[Profit]]/SalesData[[#This Row],[Sales]]</f>
        <v>0.3125</v>
      </c>
      <c r="J1527">
        <f>YEAR(SalesData[[#This Row],[Order Date]])</f>
        <v>2016</v>
      </c>
      <c r="K1527" t="str">
        <f>TEXT(SalesData[[#This Row],[Order Date]],"mmm")</f>
        <v>Mar</v>
      </c>
      <c r="L1527">
        <f>MONTH(SalesData[[#This Row],[Order Date]])</f>
        <v>3</v>
      </c>
      <c r="M1527">
        <f>SalesData[[#This Row],[Sales]]/SalesData[[#This Row],[Quantity]]</f>
        <v>3.4239999999999999</v>
      </c>
      <c r="N1527" t="str">
        <f>IF(SalesData[[#This Row],[Profit]]&gt;0,"Profit","Loss")</f>
        <v>Profit</v>
      </c>
    </row>
    <row r="1528" spans="1:14" x14ac:dyDescent="0.3">
      <c r="A1528" t="s">
        <v>2025</v>
      </c>
      <c r="B1528" s="3">
        <v>42434</v>
      </c>
      <c r="C1528" t="s">
        <v>9</v>
      </c>
      <c r="D1528" t="s">
        <v>21</v>
      </c>
      <c r="E1528" t="s">
        <v>1975</v>
      </c>
      <c r="F1528" s="1">
        <v>2.1819999999999999</v>
      </c>
      <c r="G1528">
        <v>1</v>
      </c>
      <c r="H1528" s="1">
        <v>-3.6002999999999998</v>
      </c>
      <c r="I1528" s="4">
        <f>SalesData[[#This Row],[Profit]]/SalesData[[#This Row],[Sales]]</f>
        <v>-1.65</v>
      </c>
      <c r="J1528">
        <f>YEAR(SalesData[[#This Row],[Order Date]])</f>
        <v>2016</v>
      </c>
      <c r="K1528" t="str">
        <f>TEXT(SalesData[[#This Row],[Order Date]],"mmm")</f>
        <v>Mar</v>
      </c>
      <c r="L1528">
        <f>MONTH(SalesData[[#This Row],[Order Date]])</f>
        <v>3</v>
      </c>
      <c r="M1528">
        <f>SalesData[[#This Row],[Sales]]/SalesData[[#This Row],[Quantity]]</f>
        <v>2.1819999999999999</v>
      </c>
      <c r="N1528" t="str">
        <f>IF(SalesData[[#This Row],[Profit]]&gt;0,"Profit","Loss")</f>
        <v>Loss</v>
      </c>
    </row>
    <row r="1529" spans="1:14" x14ac:dyDescent="0.3">
      <c r="A1529" t="s">
        <v>2025</v>
      </c>
      <c r="B1529" s="3">
        <v>42434</v>
      </c>
      <c r="C1529" t="s">
        <v>9</v>
      </c>
      <c r="D1529" t="s">
        <v>21</v>
      </c>
      <c r="E1529" t="s">
        <v>2026</v>
      </c>
      <c r="F1529" s="1">
        <v>27.384</v>
      </c>
      <c r="G1529">
        <v>7</v>
      </c>
      <c r="H1529" s="1">
        <v>2.7383999999999999</v>
      </c>
      <c r="I1529" s="4">
        <f>SalesData[[#This Row],[Profit]]/SalesData[[#This Row],[Sales]]</f>
        <v>9.9999999999999992E-2</v>
      </c>
      <c r="J1529">
        <f>YEAR(SalesData[[#This Row],[Order Date]])</f>
        <v>2016</v>
      </c>
      <c r="K1529" t="str">
        <f>TEXT(SalesData[[#This Row],[Order Date]],"mmm")</f>
        <v>Mar</v>
      </c>
      <c r="L1529">
        <f>MONTH(SalesData[[#This Row],[Order Date]])</f>
        <v>3</v>
      </c>
      <c r="M1529">
        <f>SalesData[[#This Row],[Sales]]/SalesData[[#This Row],[Quantity]]</f>
        <v>3.9119999999999999</v>
      </c>
      <c r="N1529" t="str">
        <f>IF(SalesData[[#This Row],[Profit]]&gt;0,"Profit","Loss")</f>
        <v>Profit</v>
      </c>
    </row>
    <row r="1530" spans="1:14" x14ac:dyDescent="0.3">
      <c r="A1530" t="s">
        <v>2025</v>
      </c>
      <c r="B1530" s="3">
        <v>42434</v>
      </c>
      <c r="C1530" t="s">
        <v>9</v>
      </c>
      <c r="D1530" t="s">
        <v>21</v>
      </c>
      <c r="E1530" t="s">
        <v>1005</v>
      </c>
      <c r="F1530" s="1">
        <v>26.405999999999999</v>
      </c>
      <c r="G1530">
        <v>3</v>
      </c>
      <c r="H1530" s="1">
        <v>-71.296199999999999</v>
      </c>
      <c r="I1530" s="4">
        <f>SalesData[[#This Row],[Profit]]/SalesData[[#This Row],[Sales]]</f>
        <v>-2.7</v>
      </c>
      <c r="J1530">
        <f>YEAR(SalesData[[#This Row],[Order Date]])</f>
        <v>2016</v>
      </c>
      <c r="K1530" t="str">
        <f>TEXT(SalesData[[#This Row],[Order Date]],"mmm")</f>
        <v>Mar</v>
      </c>
      <c r="L1530">
        <f>MONTH(SalesData[[#This Row],[Order Date]])</f>
        <v>3</v>
      </c>
      <c r="M1530">
        <f>SalesData[[#This Row],[Sales]]/SalesData[[#This Row],[Quantity]]</f>
        <v>8.8019999999999996</v>
      </c>
      <c r="N1530" t="str">
        <f>IF(SalesData[[#This Row],[Profit]]&gt;0,"Profit","Loss")</f>
        <v>Loss</v>
      </c>
    </row>
    <row r="1531" spans="1:14" x14ac:dyDescent="0.3">
      <c r="A1531" t="s">
        <v>2027</v>
      </c>
      <c r="B1531" s="3">
        <v>42434</v>
      </c>
      <c r="C1531" t="s">
        <v>17</v>
      </c>
      <c r="D1531" t="s">
        <v>10</v>
      </c>
      <c r="E1531" t="s">
        <v>1035</v>
      </c>
      <c r="F1531" s="1">
        <v>132.52000000000001</v>
      </c>
      <c r="G1531">
        <v>5</v>
      </c>
      <c r="H1531" s="1">
        <v>34.786499999999997</v>
      </c>
      <c r="I1531" s="4">
        <f>SalesData[[#This Row],[Profit]]/SalesData[[#This Row],[Sales]]</f>
        <v>0.26249999999999996</v>
      </c>
      <c r="J1531">
        <f>YEAR(SalesData[[#This Row],[Order Date]])</f>
        <v>2016</v>
      </c>
      <c r="K1531" t="str">
        <f>TEXT(SalesData[[#This Row],[Order Date]],"mmm")</f>
        <v>Mar</v>
      </c>
      <c r="L1531">
        <f>MONTH(SalesData[[#This Row],[Order Date]])</f>
        <v>3</v>
      </c>
      <c r="M1531">
        <f>SalesData[[#This Row],[Sales]]/SalesData[[#This Row],[Quantity]]</f>
        <v>26.504000000000001</v>
      </c>
      <c r="N1531" t="str">
        <f>IF(SalesData[[#This Row],[Profit]]&gt;0,"Profit","Loss")</f>
        <v>Profit</v>
      </c>
    </row>
    <row r="1532" spans="1:14" x14ac:dyDescent="0.3">
      <c r="A1532" t="s">
        <v>2027</v>
      </c>
      <c r="B1532" s="3">
        <v>42434</v>
      </c>
      <c r="C1532" t="s">
        <v>17</v>
      </c>
      <c r="D1532" t="s">
        <v>21</v>
      </c>
      <c r="E1532" t="s">
        <v>1115</v>
      </c>
      <c r="F1532" s="1">
        <v>195.64</v>
      </c>
      <c r="G1532">
        <v>5</v>
      </c>
      <c r="H1532" s="1">
        <v>-44.018999999999998</v>
      </c>
      <c r="I1532" s="4">
        <f>SalesData[[#This Row],[Profit]]/SalesData[[#This Row],[Sales]]</f>
        <v>-0.22500000000000001</v>
      </c>
      <c r="J1532">
        <f>YEAR(SalesData[[#This Row],[Order Date]])</f>
        <v>2016</v>
      </c>
      <c r="K1532" t="str">
        <f>TEXT(SalesData[[#This Row],[Order Date]],"mmm")</f>
        <v>Mar</v>
      </c>
      <c r="L1532">
        <f>MONTH(SalesData[[#This Row],[Order Date]])</f>
        <v>3</v>
      </c>
      <c r="M1532">
        <f>SalesData[[#This Row],[Sales]]/SalesData[[#This Row],[Quantity]]</f>
        <v>39.128</v>
      </c>
      <c r="N1532" t="str">
        <f>IF(SalesData[[#This Row],[Profit]]&gt;0,"Profit","Loss")</f>
        <v>Loss</v>
      </c>
    </row>
    <row r="1533" spans="1:14" x14ac:dyDescent="0.3">
      <c r="A1533" t="s">
        <v>2027</v>
      </c>
      <c r="B1533" s="3">
        <v>42434</v>
      </c>
      <c r="C1533" t="s">
        <v>17</v>
      </c>
      <c r="D1533" t="s">
        <v>14</v>
      </c>
      <c r="E1533" t="s">
        <v>2028</v>
      </c>
      <c r="F1533" s="1">
        <v>51.968000000000004</v>
      </c>
      <c r="G1533">
        <v>2</v>
      </c>
      <c r="H1533" s="1">
        <v>10.393599999999999</v>
      </c>
      <c r="I1533" s="4">
        <f>SalesData[[#This Row],[Profit]]/SalesData[[#This Row],[Sales]]</f>
        <v>0.19999999999999998</v>
      </c>
      <c r="J1533">
        <f>YEAR(SalesData[[#This Row],[Order Date]])</f>
        <v>2016</v>
      </c>
      <c r="K1533" t="str">
        <f>TEXT(SalesData[[#This Row],[Order Date]],"mmm")</f>
        <v>Mar</v>
      </c>
      <c r="L1533">
        <f>MONTH(SalesData[[#This Row],[Order Date]])</f>
        <v>3</v>
      </c>
      <c r="M1533">
        <f>SalesData[[#This Row],[Sales]]/SalesData[[#This Row],[Quantity]]</f>
        <v>25.984000000000002</v>
      </c>
      <c r="N1533" t="str">
        <f>IF(SalesData[[#This Row],[Profit]]&gt;0,"Profit","Loss")</f>
        <v>Profit</v>
      </c>
    </row>
    <row r="1534" spans="1:14" x14ac:dyDescent="0.3">
      <c r="A1534" t="s">
        <v>2027</v>
      </c>
      <c r="B1534" s="3">
        <v>42434</v>
      </c>
      <c r="C1534" t="s">
        <v>17</v>
      </c>
      <c r="D1534" t="s">
        <v>10</v>
      </c>
      <c r="E1534" t="s">
        <v>1453</v>
      </c>
      <c r="F1534" s="1">
        <v>431.976</v>
      </c>
      <c r="G1534">
        <v>3</v>
      </c>
      <c r="H1534" s="1">
        <v>-75.595799999999997</v>
      </c>
      <c r="I1534" s="4">
        <f>SalesData[[#This Row],[Profit]]/SalesData[[#This Row],[Sales]]</f>
        <v>-0.17499999999999999</v>
      </c>
      <c r="J1534">
        <f>YEAR(SalesData[[#This Row],[Order Date]])</f>
        <v>2016</v>
      </c>
      <c r="K1534" t="str">
        <f>TEXT(SalesData[[#This Row],[Order Date]],"mmm")</f>
        <v>Mar</v>
      </c>
      <c r="L1534">
        <f>MONTH(SalesData[[#This Row],[Order Date]])</f>
        <v>3</v>
      </c>
      <c r="M1534">
        <f>SalesData[[#This Row],[Sales]]/SalesData[[#This Row],[Quantity]]</f>
        <v>143.99199999999999</v>
      </c>
      <c r="N1534" t="str">
        <f>IF(SalesData[[#This Row],[Profit]]&gt;0,"Profit","Loss")</f>
        <v>Loss</v>
      </c>
    </row>
    <row r="1535" spans="1:14" x14ac:dyDescent="0.3">
      <c r="A1535" t="s">
        <v>2027</v>
      </c>
      <c r="B1535" s="3">
        <v>42434</v>
      </c>
      <c r="C1535" t="s">
        <v>17</v>
      </c>
      <c r="D1535" t="s">
        <v>10</v>
      </c>
      <c r="E1535" t="s">
        <v>2029</v>
      </c>
      <c r="F1535" s="1">
        <v>224.93700000000001</v>
      </c>
      <c r="G1535">
        <v>3</v>
      </c>
      <c r="H1535" s="1">
        <v>-164.9538</v>
      </c>
      <c r="I1535" s="4">
        <f>SalesData[[#This Row],[Profit]]/SalesData[[#This Row],[Sales]]</f>
        <v>-0.73333333333333328</v>
      </c>
      <c r="J1535">
        <f>YEAR(SalesData[[#This Row],[Order Date]])</f>
        <v>2016</v>
      </c>
      <c r="K1535" t="str">
        <f>TEXT(SalesData[[#This Row],[Order Date]],"mmm")</f>
        <v>Mar</v>
      </c>
      <c r="L1535">
        <f>MONTH(SalesData[[#This Row],[Order Date]])</f>
        <v>3</v>
      </c>
      <c r="M1535">
        <f>SalesData[[#This Row],[Sales]]/SalesData[[#This Row],[Quantity]]</f>
        <v>74.978999999999999</v>
      </c>
      <c r="N1535" t="str">
        <f>IF(SalesData[[#This Row],[Profit]]&gt;0,"Profit","Loss")</f>
        <v>Loss</v>
      </c>
    </row>
    <row r="1536" spans="1:14" x14ac:dyDescent="0.3">
      <c r="A1536" t="s">
        <v>2027</v>
      </c>
      <c r="B1536" s="3">
        <v>42434</v>
      </c>
      <c r="C1536" t="s">
        <v>17</v>
      </c>
      <c r="D1536" t="s">
        <v>21</v>
      </c>
      <c r="E1536" t="s">
        <v>2030</v>
      </c>
      <c r="F1536" s="1">
        <v>6</v>
      </c>
      <c r="G1536">
        <v>2</v>
      </c>
      <c r="H1536" s="1">
        <v>2.1</v>
      </c>
      <c r="I1536" s="4">
        <f>SalesData[[#This Row],[Profit]]/SalesData[[#This Row],[Sales]]</f>
        <v>0.35000000000000003</v>
      </c>
      <c r="J1536">
        <f>YEAR(SalesData[[#This Row],[Order Date]])</f>
        <v>2016</v>
      </c>
      <c r="K1536" t="str">
        <f>TEXT(SalesData[[#This Row],[Order Date]],"mmm")</f>
        <v>Mar</v>
      </c>
      <c r="L1536">
        <f>MONTH(SalesData[[#This Row],[Order Date]])</f>
        <v>3</v>
      </c>
      <c r="M1536">
        <f>SalesData[[#This Row],[Sales]]/SalesData[[#This Row],[Quantity]]</f>
        <v>3</v>
      </c>
      <c r="N1536" t="str">
        <f>IF(SalesData[[#This Row],[Profit]]&gt;0,"Profit","Loss")</f>
        <v>Profit</v>
      </c>
    </row>
    <row r="1537" spans="1:14" x14ac:dyDescent="0.3">
      <c r="A1537" t="s">
        <v>2031</v>
      </c>
      <c r="B1537" s="3">
        <v>42435</v>
      </c>
      <c r="C1537" t="s">
        <v>13</v>
      </c>
      <c r="D1537" t="s">
        <v>14</v>
      </c>
      <c r="E1537" t="s">
        <v>2032</v>
      </c>
      <c r="F1537" s="1">
        <v>71.087999999999994</v>
      </c>
      <c r="G1537">
        <v>2</v>
      </c>
      <c r="H1537" s="1">
        <v>-1.7771999999999999</v>
      </c>
      <c r="I1537" s="4">
        <f>SalesData[[#This Row],[Profit]]/SalesData[[#This Row],[Sales]]</f>
        <v>-2.5000000000000001E-2</v>
      </c>
      <c r="J1537">
        <f>YEAR(SalesData[[#This Row],[Order Date]])</f>
        <v>2016</v>
      </c>
      <c r="K1537" t="str">
        <f>TEXT(SalesData[[#This Row],[Order Date]],"mmm")</f>
        <v>Mar</v>
      </c>
      <c r="L1537">
        <f>MONTH(SalesData[[#This Row],[Order Date]])</f>
        <v>3</v>
      </c>
      <c r="M1537">
        <f>SalesData[[#This Row],[Sales]]/SalesData[[#This Row],[Quantity]]</f>
        <v>35.543999999999997</v>
      </c>
      <c r="N1537" t="str">
        <f>IF(SalesData[[#This Row],[Profit]]&gt;0,"Profit","Loss")</f>
        <v>Loss</v>
      </c>
    </row>
    <row r="1538" spans="1:14" x14ac:dyDescent="0.3">
      <c r="A1538" t="s">
        <v>2033</v>
      </c>
      <c r="B1538" s="3">
        <v>42436</v>
      </c>
      <c r="C1538" t="s">
        <v>13</v>
      </c>
      <c r="D1538" t="s">
        <v>21</v>
      </c>
      <c r="E1538" t="s">
        <v>918</v>
      </c>
      <c r="F1538" s="1">
        <v>12.96</v>
      </c>
      <c r="G1538">
        <v>2</v>
      </c>
      <c r="H1538" s="1">
        <v>6.2207999999999997</v>
      </c>
      <c r="I1538" s="4">
        <f>SalesData[[#This Row],[Profit]]/SalesData[[#This Row],[Sales]]</f>
        <v>0.47999999999999993</v>
      </c>
      <c r="J1538">
        <f>YEAR(SalesData[[#This Row],[Order Date]])</f>
        <v>2016</v>
      </c>
      <c r="K1538" t="str">
        <f>TEXT(SalesData[[#This Row],[Order Date]],"mmm")</f>
        <v>Mar</v>
      </c>
      <c r="L1538">
        <f>MONTH(SalesData[[#This Row],[Order Date]])</f>
        <v>3</v>
      </c>
      <c r="M1538">
        <f>SalesData[[#This Row],[Sales]]/SalesData[[#This Row],[Quantity]]</f>
        <v>6.48</v>
      </c>
      <c r="N1538" t="str">
        <f>IF(SalesData[[#This Row],[Profit]]&gt;0,"Profit","Loss")</f>
        <v>Profit</v>
      </c>
    </row>
    <row r="1539" spans="1:14" x14ac:dyDescent="0.3">
      <c r="A1539" t="s">
        <v>2033</v>
      </c>
      <c r="B1539" s="3">
        <v>42436</v>
      </c>
      <c r="C1539" t="s">
        <v>13</v>
      </c>
      <c r="D1539" t="s">
        <v>21</v>
      </c>
      <c r="E1539" t="s">
        <v>1091</v>
      </c>
      <c r="F1539" s="1">
        <v>3.96</v>
      </c>
      <c r="G1539">
        <v>2</v>
      </c>
      <c r="H1539" s="1">
        <v>7.9200000000000007E-2</v>
      </c>
      <c r="I1539" s="4">
        <f>SalesData[[#This Row],[Profit]]/SalesData[[#This Row],[Sales]]</f>
        <v>0.02</v>
      </c>
      <c r="J1539">
        <f>YEAR(SalesData[[#This Row],[Order Date]])</f>
        <v>2016</v>
      </c>
      <c r="K1539" t="str">
        <f>TEXT(SalesData[[#This Row],[Order Date]],"mmm")</f>
        <v>Mar</v>
      </c>
      <c r="L1539">
        <f>MONTH(SalesData[[#This Row],[Order Date]])</f>
        <v>3</v>
      </c>
      <c r="M1539">
        <f>SalesData[[#This Row],[Sales]]/SalesData[[#This Row],[Quantity]]</f>
        <v>1.98</v>
      </c>
      <c r="N1539" t="str">
        <f>IF(SalesData[[#This Row],[Profit]]&gt;0,"Profit","Loss")</f>
        <v>Profit</v>
      </c>
    </row>
    <row r="1540" spans="1:14" x14ac:dyDescent="0.3">
      <c r="A1540" t="s">
        <v>2034</v>
      </c>
      <c r="B1540" s="3">
        <v>42436</v>
      </c>
      <c r="C1540" t="s">
        <v>17</v>
      </c>
      <c r="D1540" t="s">
        <v>21</v>
      </c>
      <c r="E1540" t="s">
        <v>2035</v>
      </c>
      <c r="F1540" s="1">
        <v>706.86</v>
      </c>
      <c r="G1540">
        <v>7</v>
      </c>
      <c r="H1540" s="1">
        <v>197.92080000000001</v>
      </c>
      <c r="I1540" s="4">
        <f>SalesData[[#This Row],[Profit]]/SalesData[[#This Row],[Sales]]</f>
        <v>0.28000000000000003</v>
      </c>
      <c r="J1540">
        <f>YEAR(SalesData[[#This Row],[Order Date]])</f>
        <v>2016</v>
      </c>
      <c r="K1540" t="str">
        <f>TEXT(SalesData[[#This Row],[Order Date]],"mmm")</f>
        <v>Mar</v>
      </c>
      <c r="L1540">
        <f>MONTH(SalesData[[#This Row],[Order Date]])</f>
        <v>3</v>
      </c>
      <c r="M1540">
        <f>SalesData[[#This Row],[Sales]]/SalesData[[#This Row],[Quantity]]</f>
        <v>100.98</v>
      </c>
      <c r="N1540" t="str">
        <f>IF(SalesData[[#This Row],[Profit]]&gt;0,"Profit","Loss")</f>
        <v>Profit</v>
      </c>
    </row>
    <row r="1541" spans="1:14" x14ac:dyDescent="0.3">
      <c r="A1541" t="s">
        <v>2036</v>
      </c>
      <c r="B1541" s="3">
        <v>42436</v>
      </c>
      <c r="C1541" t="s">
        <v>17</v>
      </c>
      <c r="D1541" t="s">
        <v>21</v>
      </c>
      <c r="E1541" t="s">
        <v>2037</v>
      </c>
      <c r="F1541" s="1">
        <v>123.92</v>
      </c>
      <c r="G1541">
        <v>5</v>
      </c>
      <c r="H1541" s="1">
        <v>38.725000000000001</v>
      </c>
      <c r="I1541" s="4">
        <f>SalesData[[#This Row],[Profit]]/SalesData[[#This Row],[Sales]]</f>
        <v>0.3125</v>
      </c>
      <c r="J1541">
        <f>YEAR(SalesData[[#This Row],[Order Date]])</f>
        <v>2016</v>
      </c>
      <c r="K1541" t="str">
        <f>TEXT(SalesData[[#This Row],[Order Date]],"mmm")</f>
        <v>Mar</v>
      </c>
      <c r="L1541">
        <f>MONTH(SalesData[[#This Row],[Order Date]])</f>
        <v>3</v>
      </c>
      <c r="M1541">
        <f>SalesData[[#This Row],[Sales]]/SalesData[[#This Row],[Quantity]]</f>
        <v>24.783999999999999</v>
      </c>
      <c r="N1541" t="str">
        <f>IF(SalesData[[#This Row],[Profit]]&gt;0,"Profit","Loss")</f>
        <v>Profit</v>
      </c>
    </row>
    <row r="1542" spans="1:14" x14ac:dyDescent="0.3">
      <c r="A1542" t="s">
        <v>2038</v>
      </c>
      <c r="B1542" s="3">
        <v>42437</v>
      </c>
      <c r="C1542" t="s">
        <v>9</v>
      </c>
      <c r="D1542" t="s">
        <v>21</v>
      </c>
      <c r="E1542" t="s">
        <v>1836</v>
      </c>
      <c r="F1542" s="1">
        <v>81.540000000000006</v>
      </c>
      <c r="G1542">
        <v>3</v>
      </c>
      <c r="H1542" s="1">
        <v>38.323799999999999</v>
      </c>
      <c r="I1542" s="4">
        <f>SalesData[[#This Row],[Profit]]/SalesData[[#This Row],[Sales]]</f>
        <v>0.47</v>
      </c>
      <c r="J1542">
        <f>YEAR(SalesData[[#This Row],[Order Date]])</f>
        <v>2016</v>
      </c>
      <c r="K1542" t="str">
        <f>TEXT(SalesData[[#This Row],[Order Date]],"mmm")</f>
        <v>Mar</v>
      </c>
      <c r="L1542">
        <f>MONTH(SalesData[[#This Row],[Order Date]])</f>
        <v>3</v>
      </c>
      <c r="M1542">
        <f>SalesData[[#This Row],[Sales]]/SalesData[[#This Row],[Quantity]]</f>
        <v>27.180000000000003</v>
      </c>
      <c r="N1542" t="str">
        <f>IF(SalesData[[#This Row],[Profit]]&gt;0,"Profit","Loss")</f>
        <v>Profit</v>
      </c>
    </row>
    <row r="1543" spans="1:14" x14ac:dyDescent="0.3">
      <c r="A1543" t="s">
        <v>2038</v>
      </c>
      <c r="B1543" s="3">
        <v>42437</v>
      </c>
      <c r="C1543" t="s">
        <v>9</v>
      </c>
      <c r="D1543" t="s">
        <v>10</v>
      </c>
      <c r="E1543" t="s">
        <v>2039</v>
      </c>
      <c r="F1543" s="1">
        <v>167.28</v>
      </c>
      <c r="G1543">
        <v>12</v>
      </c>
      <c r="H1543" s="1">
        <v>23.4192</v>
      </c>
      <c r="I1543" s="4">
        <f>SalesData[[#This Row],[Profit]]/SalesData[[#This Row],[Sales]]</f>
        <v>0.13999999999999999</v>
      </c>
      <c r="J1543">
        <f>YEAR(SalesData[[#This Row],[Order Date]])</f>
        <v>2016</v>
      </c>
      <c r="K1543" t="str">
        <f>TEXT(SalesData[[#This Row],[Order Date]],"mmm")</f>
        <v>Mar</v>
      </c>
      <c r="L1543">
        <f>MONTH(SalesData[[#This Row],[Order Date]])</f>
        <v>3</v>
      </c>
      <c r="M1543">
        <f>SalesData[[#This Row],[Sales]]/SalesData[[#This Row],[Quantity]]</f>
        <v>13.94</v>
      </c>
      <c r="N1543" t="str">
        <f>IF(SalesData[[#This Row],[Profit]]&gt;0,"Profit","Loss")</f>
        <v>Profit</v>
      </c>
    </row>
    <row r="1544" spans="1:14" x14ac:dyDescent="0.3">
      <c r="A1544" t="s">
        <v>2040</v>
      </c>
      <c r="B1544" s="3">
        <v>42438</v>
      </c>
      <c r="C1544" t="s">
        <v>17</v>
      </c>
      <c r="D1544" t="s">
        <v>21</v>
      </c>
      <c r="E1544" t="s">
        <v>1315</v>
      </c>
      <c r="F1544" s="1">
        <v>1141.47</v>
      </c>
      <c r="G1544">
        <v>5</v>
      </c>
      <c r="H1544" s="1">
        <v>-760.98</v>
      </c>
      <c r="I1544" s="4">
        <f>SalesData[[#This Row],[Profit]]/SalesData[[#This Row],[Sales]]</f>
        <v>-0.66666666666666663</v>
      </c>
      <c r="J1544">
        <f>YEAR(SalesData[[#This Row],[Order Date]])</f>
        <v>2016</v>
      </c>
      <c r="K1544" t="str">
        <f>TEXT(SalesData[[#This Row],[Order Date]],"mmm")</f>
        <v>Mar</v>
      </c>
      <c r="L1544">
        <f>MONTH(SalesData[[#This Row],[Order Date]])</f>
        <v>3</v>
      </c>
      <c r="M1544">
        <f>SalesData[[#This Row],[Sales]]/SalesData[[#This Row],[Quantity]]</f>
        <v>228.29400000000001</v>
      </c>
      <c r="N1544" t="str">
        <f>IF(SalesData[[#This Row],[Profit]]&gt;0,"Profit","Loss")</f>
        <v>Loss</v>
      </c>
    </row>
    <row r="1545" spans="1:14" x14ac:dyDescent="0.3">
      <c r="A1545" t="s">
        <v>2040</v>
      </c>
      <c r="B1545" s="3">
        <v>42438</v>
      </c>
      <c r="C1545" t="s">
        <v>17</v>
      </c>
      <c r="D1545" t="s">
        <v>10</v>
      </c>
      <c r="E1545" t="s">
        <v>1084</v>
      </c>
      <c r="F1545" s="1">
        <v>280.78199999999998</v>
      </c>
      <c r="G1545">
        <v>3</v>
      </c>
      <c r="H1545" s="1">
        <v>-46.796999999999997</v>
      </c>
      <c r="I1545" s="4">
        <f>SalesData[[#This Row],[Profit]]/SalesData[[#This Row],[Sales]]</f>
        <v>-0.16666666666666666</v>
      </c>
      <c r="J1545">
        <f>YEAR(SalesData[[#This Row],[Order Date]])</f>
        <v>2016</v>
      </c>
      <c r="K1545" t="str">
        <f>TEXT(SalesData[[#This Row],[Order Date]],"mmm")</f>
        <v>Mar</v>
      </c>
      <c r="L1545">
        <f>MONTH(SalesData[[#This Row],[Order Date]])</f>
        <v>3</v>
      </c>
      <c r="M1545">
        <f>SalesData[[#This Row],[Sales]]/SalesData[[#This Row],[Quantity]]</f>
        <v>93.593999999999994</v>
      </c>
      <c r="N1545" t="str">
        <f>IF(SalesData[[#This Row],[Profit]]&gt;0,"Profit","Loss")</f>
        <v>Loss</v>
      </c>
    </row>
    <row r="1546" spans="1:14" x14ac:dyDescent="0.3">
      <c r="A1546" t="s">
        <v>2041</v>
      </c>
      <c r="B1546" s="3">
        <v>42438</v>
      </c>
      <c r="C1546" t="s">
        <v>9</v>
      </c>
      <c r="D1546" t="s">
        <v>14</v>
      </c>
      <c r="E1546" t="s">
        <v>2042</v>
      </c>
      <c r="F1546" s="1">
        <v>83.951999999999998</v>
      </c>
      <c r="G1546">
        <v>3</v>
      </c>
      <c r="H1546" s="1">
        <v>-90.248400000000004</v>
      </c>
      <c r="I1546" s="4">
        <f>SalesData[[#This Row],[Profit]]/SalesData[[#This Row],[Sales]]</f>
        <v>-1.0750000000000002</v>
      </c>
      <c r="J1546">
        <f>YEAR(SalesData[[#This Row],[Order Date]])</f>
        <v>2016</v>
      </c>
      <c r="K1546" t="str">
        <f>TEXT(SalesData[[#This Row],[Order Date]],"mmm")</f>
        <v>Mar</v>
      </c>
      <c r="L1546">
        <f>MONTH(SalesData[[#This Row],[Order Date]])</f>
        <v>3</v>
      </c>
      <c r="M1546">
        <f>SalesData[[#This Row],[Sales]]/SalesData[[#This Row],[Quantity]]</f>
        <v>27.983999999999998</v>
      </c>
      <c r="N1546" t="str">
        <f>IF(SalesData[[#This Row],[Profit]]&gt;0,"Profit","Loss")</f>
        <v>Loss</v>
      </c>
    </row>
    <row r="1547" spans="1:14" x14ac:dyDescent="0.3">
      <c r="A1547" t="s">
        <v>2043</v>
      </c>
      <c r="B1547" s="3">
        <v>42438</v>
      </c>
      <c r="C1547" t="s">
        <v>9</v>
      </c>
      <c r="D1547" t="s">
        <v>21</v>
      </c>
      <c r="E1547" t="s">
        <v>1052</v>
      </c>
      <c r="F1547" s="1">
        <v>8.8079999999999998</v>
      </c>
      <c r="G1547">
        <v>3</v>
      </c>
      <c r="H1547" s="1">
        <v>-14.973599999999999</v>
      </c>
      <c r="I1547" s="4">
        <f>SalesData[[#This Row],[Profit]]/SalesData[[#This Row],[Sales]]</f>
        <v>-1.7</v>
      </c>
      <c r="J1547">
        <f>YEAR(SalesData[[#This Row],[Order Date]])</f>
        <v>2016</v>
      </c>
      <c r="K1547" t="str">
        <f>TEXT(SalesData[[#This Row],[Order Date]],"mmm")</f>
        <v>Mar</v>
      </c>
      <c r="L1547">
        <f>MONTH(SalesData[[#This Row],[Order Date]])</f>
        <v>3</v>
      </c>
      <c r="M1547">
        <f>SalesData[[#This Row],[Sales]]/SalesData[[#This Row],[Quantity]]</f>
        <v>2.9359999999999999</v>
      </c>
      <c r="N1547" t="str">
        <f>IF(SalesData[[#This Row],[Profit]]&gt;0,"Profit","Loss")</f>
        <v>Loss</v>
      </c>
    </row>
    <row r="1548" spans="1:14" x14ac:dyDescent="0.3">
      <c r="A1548" t="s">
        <v>2044</v>
      </c>
      <c r="B1548" s="3">
        <v>42438</v>
      </c>
      <c r="C1548" t="s">
        <v>17</v>
      </c>
      <c r="D1548" t="s">
        <v>21</v>
      </c>
      <c r="E1548" t="s">
        <v>1735</v>
      </c>
      <c r="F1548" s="1">
        <v>48.16</v>
      </c>
      <c r="G1548">
        <v>7</v>
      </c>
      <c r="H1548" s="1">
        <v>22.153600000000001</v>
      </c>
      <c r="I1548" s="4">
        <f>SalesData[[#This Row],[Profit]]/SalesData[[#This Row],[Sales]]</f>
        <v>0.46000000000000008</v>
      </c>
      <c r="J1548">
        <f>YEAR(SalesData[[#This Row],[Order Date]])</f>
        <v>2016</v>
      </c>
      <c r="K1548" t="str">
        <f>TEXT(SalesData[[#This Row],[Order Date]],"mmm")</f>
        <v>Mar</v>
      </c>
      <c r="L1548">
        <f>MONTH(SalesData[[#This Row],[Order Date]])</f>
        <v>3</v>
      </c>
      <c r="M1548">
        <f>SalesData[[#This Row],[Sales]]/SalesData[[#This Row],[Quantity]]</f>
        <v>6.88</v>
      </c>
      <c r="N1548" t="str">
        <f>IF(SalesData[[#This Row],[Profit]]&gt;0,"Profit","Loss")</f>
        <v>Profit</v>
      </c>
    </row>
    <row r="1549" spans="1:14" x14ac:dyDescent="0.3">
      <c r="A1549" t="s">
        <v>2045</v>
      </c>
      <c r="B1549" s="3">
        <v>42438</v>
      </c>
      <c r="C1549" t="s">
        <v>9</v>
      </c>
      <c r="D1549" t="s">
        <v>21</v>
      </c>
      <c r="E1549" t="s">
        <v>2046</v>
      </c>
      <c r="F1549" s="1">
        <v>54.5</v>
      </c>
      <c r="G1549">
        <v>5</v>
      </c>
      <c r="H1549" s="1">
        <v>14.17</v>
      </c>
      <c r="I1549" s="4">
        <f>SalesData[[#This Row],[Profit]]/SalesData[[#This Row],[Sales]]</f>
        <v>0.26</v>
      </c>
      <c r="J1549">
        <f>YEAR(SalesData[[#This Row],[Order Date]])</f>
        <v>2016</v>
      </c>
      <c r="K1549" t="str">
        <f>TEXT(SalesData[[#This Row],[Order Date]],"mmm")</f>
        <v>Mar</v>
      </c>
      <c r="L1549">
        <f>MONTH(SalesData[[#This Row],[Order Date]])</f>
        <v>3</v>
      </c>
      <c r="M1549">
        <f>SalesData[[#This Row],[Sales]]/SalesData[[#This Row],[Quantity]]</f>
        <v>10.9</v>
      </c>
      <c r="N1549" t="str">
        <f>IF(SalesData[[#This Row],[Profit]]&gt;0,"Profit","Loss")</f>
        <v>Profit</v>
      </c>
    </row>
    <row r="1550" spans="1:14" x14ac:dyDescent="0.3">
      <c r="A1550" t="s">
        <v>2047</v>
      </c>
      <c r="B1550" s="3">
        <v>42438</v>
      </c>
      <c r="C1550" t="s">
        <v>46</v>
      </c>
      <c r="D1550" t="s">
        <v>21</v>
      </c>
      <c r="E1550" t="s">
        <v>1975</v>
      </c>
      <c r="F1550" s="1">
        <v>87.28</v>
      </c>
      <c r="G1550">
        <v>8</v>
      </c>
      <c r="H1550" s="1">
        <v>41.021599999999999</v>
      </c>
      <c r="I1550" s="4">
        <f>SalesData[[#This Row],[Profit]]/SalesData[[#This Row],[Sales]]</f>
        <v>0.47</v>
      </c>
      <c r="J1550">
        <f>YEAR(SalesData[[#This Row],[Order Date]])</f>
        <v>2016</v>
      </c>
      <c r="K1550" t="str">
        <f>TEXT(SalesData[[#This Row],[Order Date]],"mmm")</f>
        <v>Mar</v>
      </c>
      <c r="L1550">
        <f>MONTH(SalesData[[#This Row],[Order Date]])</f>
        <v>3</v>
      </c>
      <c r="M1550">
        <f>SalesData[[#This Row],[Sales]]/SalesData[[#This Row],[Quantity]]</f>
        <v>10.91</v>
      </c>
      <c r="N1550" t="str">
        <f>IF(SalesData[[#This Row],[Profit]]&gt;0,"Profit","Loss")</f>
        <v>Profit</v>
      </c>
    </row>
    <row r="1551" spans="1:14" x14ac:dyDescent="0.3">
      <c r="A1551" t="s">
        <v>2048</v>
      </c>
      <c r="B1551" s="3">
        <v>42438</v>
      </c>
      <c r="C1551" t="s">
        <v>17</v>
      </c>
      <c r="D1551" t="s">
        <v>14</v>
      </c>
      <c r="E1551" t="s">
        <v>1360</v>
      </c>
      <c r="F1551" s="1">
        <v>344.94</v>
      </c>
      <c r="G1551">
        <v>3</v>
      </c>
      <c r="H1551" s="1">
        <v>31.044599999999999</v>
      </c>
      <c r="I1551" s="4">
        <f>SalesData[[#This Row],[Profit]]/SalesData[[#This Row],[Sales]]</f>
        <v>0.09</v>
      </c>
      <c r="J1551">
        <f>YEAR(SalesData[[#This Row],[Order Date]])</f>
        <v>2016</v>
      </c>
      <c r="K1551" t="str">
        <f>TEXT(SalesData[[#This Row],[Order Date]],"mmm")</f>
        <v>Mar</v>
      </c>
      <c r="L1551">
        <f>MONTH(SalesData[[#This Row],[Order Date]])</f>
        <v>3</v>
      </c>
      <c r="M1551">
        <f>SalesData[[#This Row],[Sales]]/SalesData[[#This Row],[Quantity]]</f>
        <v>114.98</v>
      </c>
      <c r="N1551" t="str">
        <f>IF(SalesData[[#This Row],[Profit]]&gt;0,"Profit","Loss")</f>
        <v>Profit</v>
      </c>
    </row>
    <row r="1552" spans="1:14" x14ac:dyDescent="0.3">
      <c r="A1552" t="s">
        <v>2048</v>
      </c>
      <c r="B1552" s="3">
        <v>42438</v>
      </c>
      <c r="C1552" t="s">
        <v>17</v>
      </c>
      <c r="D1552" t="s">
        <v>14</v>
      </c>
      <c r="E1552" t="s">
        <v>1356</v>
      </c>
      <c r="F1552" s="1">
        <v>14.76</v>
      </c>
      <c r="G1552">
        <v>2</v>
      </c>
      <c r="H1552" s="1">
        <v>4.2804000000000002</v>
      </c>
      <c r="I1552" s="4">
        <f>SalesData[[#This Row],[Profit]]/SalesData[[#This Row],[Sales]]</f>
        <v>0.29000000000000004</v>
      </c>
      <c r="J1552">
        <f>YEAR(SalesData[[#This Row],[Order Date]])</f>
        <v>2016</v>
      </c>
      <c r="K1552" t="str">
        <f>TEXT(SalesData[[#This Row],[Order Date]],"mmm")</f>
        <v>Mar</v>
      </c>
      <c r="L1552">
        <f>MONTH(SalesData[[#This Row],[Order Date]])</f>
        <v>3</v>
      </c>
      <c r="M1552">
        <f>SalesData[[#This Row],[Sales]]/SalesData[[#This Row],[Quantity]]</f>
        <v>7.38</v>
      </c>
      <c r="N1552" t="str">
        <f>IF(SalesData[[#This Row],[Profit]]&gt;0,"Profit","Loss")</f>
        <v>Profit</v>
      </c>
    </row>
    <row r="1553" spans="1:14" x14ac:dyDescent="0.3">
      <c r="A1553" t="s">
        <v>2048</v>
      </c>
      <c r="B1553" s="3">
        <v>42438</v>
      </c>
      <c r="C1553" t="s">
        <v>17</v>
      </c>
      <c r="D1553" t="s">
        <v>21</v>
      </c>
      <c r="E1553" t="s">
        <v>1274</v>
      </c>
      <c r="F1553" s="1">
        <v>12.76</v>
      </c>
      <c r="G1553">
        <v>2</v>
      </c>
      <c r="H1553" s="1">
        <v>5.8696000000000002</v>
      </c>
      <c r="I1553" s="4">
        <f>SalesData[[#This Row],[Profit]]/SalesData[[#This Row],[Sales]]</f>
        <v>0.46</v>
      </c>
      <c r="J1553">
        <f>YEAR(SalesData[[#This Row],[Order Date]])</f>
        <v>2016</v>
      </c>
      <c r="K1553" t="str">
        <f>TEXT(SalesData[[#This Row],[Order Date]],"mmm")</f>
        <v>Mar</v>
      </c>
      <c r="L1553">
        <f>MONTH(SalesData[[#This Row],[Order Date]])</f>
        <v>3</v>
      </c>
      <c r="M1553">
        <f>SalesData[[#This Row],[Sales]]/SalesData[[#This Row],[Quantity]]</f>
        <v>6.38</v>
      </c>
      <c r="N1553" t="str">
        <f>IF(SalesData[[#This Row],[Profit]]&gt;0,"Profit","Loss")</f>
        <v>Profit</v>
      </c>
    </row>
    <row r="1554" spans="1:14" x14ac:dyDescent="0.3">
      <c r="A1554" t="s">
        <v>2048</v>
      </c>
      <c r="B1554" s="3">
        <v>42438</v>
      </c>
      <c r="C1554" t="s">
        <v>17</v>
      </c>
      <c r="D1554" t="s">
        <v>21</v>
      </c>
      <c r="E1554" t="s">
        <v>1734</v>
      </c>
      <c r="F1554" s="1">
        <v>58.48</v>
      </c>
      <c r="G1554">
        <v>8</v>
      </c>
      <c r="H1554" s="1">
        <v>27.485600000000002</v>
      </c>
      <c r="I1554" s="4">
        <f>SalesData[[#This Row],[Profit]]/SalesData[[#This Row],[Sales]]</f>
        <v>0.47000000000000003</v>
      </c>
      <c r="J1554">
        <f>YEAR(SalesData[[#This Row],[Order Date]])</f>
        <v>2016</v>
      </c>
      <c r="K1554" t="str">
        <f>TEXT(SalesData[[#This Row],[Order Date]],"mmm")</f>
        <v>Mar</v>
      </c>
      <c r="L1554">
        <f>MONTH(SalesData[[#This Row],[Order Date]])</f>
        <v>3</v>
      </c>
      <c r="M1554">
        <f>SalesData[[#This Row],[Sales]]/SalesData[[#This Row],[Quantity]]</f>
        <v>7.31</v>
      </c>
      <c r="N1554" t="str">
        <f>IF(SalesData[[#This Row],[Profit]]&gt;0,"Profit","Loss")</f>
        <v>Profit</v>
      </c>
    </row>
    <row r="1555" spans="1:14" x14ac:dyDescent="0.3">
      <c r="A1555" t="s">
        <v>2049</v>
      </c>
      <c r="B1555" s="3">
        <v>42438</v>
      </c>
      <c r="C1555" t="s">
        <v>9</v>
      </c>
      <c r="D1555" t="s">
        <v>14</v>
      </c>
      <c r="E1555" t="s">
        <v>2050</v>
      </c>
      <c r="F1555" s="1">
        <v>198.744</v>
      </c>
      <c r="G1555">
        <v>4</v>
      </c>
      <c r="H1555" s="1">
        <v>0</v>
      </c>
      <c r="I1555" s="4">
        <f>SalesData[[#This Row],[Profit]]/SalesData[[#This Row],[Sales]]</f>
        <v>0</v>
      </c>
      <c r="J1555">
        <f>YEAR(SalesData[[#This Row],[Order Date]])</f>
        <v>2016</v>
      </c>
      <c r="K1555" t="str">
        <f>TEXT(SalesData[[#This Row],[Order Date]],"mmm")</f>
        <v>Mar</v>
      </c>
      <c r="L1555">
        <f>MONTH(SalesData[[#This Row],[Order Date]])</f>
        <v>3</v>
      </c>
      <c r="M1555">
        <f>SalesData[[#This Row],[Sales]]/SalesData[[#This Row],[Quantity]]</f>
        <v>49.686</v>
      </c>
      <c r="N1555" t="str">
        <f>IF(SalesData[[#This Row],[Profit]]&gt;0,"Profit","Loss")</f>
        <v>Loss</v>
      </c>
    </row>
    <row r="1556" spans="1:14" x14ac:dyDescent="0.3">
      <c r="A1556" t="s">
        <v>2051</v>
      </c>
      <c r="B1556" s="3">
        <v>42438</v>
      </c>
      <c r="C1556" t="s">
        <v>17</v>
      </c>
      <c r="D1556" t="s">
        <v>21</v>
      </c>
      <c r="E1556" t="s">
        <v>2052</v>
      </c>
      <c r="F1556" s="1">
        <v>30.96</v>
      </c>
      <c r="G1556">
        <v>6</v>
      </c>
      <c r="H1556" s="1">
        <v>11.223000000000001</v>
      </c>
      <c r="I1556" s="4">
        <f>SalesData[[#This Row],[Profit]]/SalesData[[#This Row],[Sales]]</f>
        <v>0.36249999999999999</v>
      </c>
      <c r="J1556">
        <f>YEAR(SalesData[[#This Row],[Order Date]])</f>
        <v>2016</v>
      </c>
      <c r="K1556" t="str">
        <f>TEXT(SalesData[[#This Row],[Order Date]],"mmm")</f>
        <v>Mar</v>
      </c>
      <c r="L1556">
        <f>MONTH(SalesData[[#This Row],[Order Date]])</f>
        <v>3</v>
      </c>
      <c r="M1556">
        <f>SalesData[[#This Row],[Sales]]/SalesData[[#This Row],[Quantity]]</f>
        <v>5.16</v>
      </c>
      <c r="N1556" t="str">
        <f>IF(SalesData[[#This Row],[Profit]]&gt;0,"Profit","Loss")</f>
        <v>Profit</v>
      </c>
    </row>
    <row r="1557" spans="1:14" x14ac:dyDescent="0.3">
      <c r="A1557" t="s">
        <v>2053</v>
      </c>
      <c r="B1557" s="3">
        <v>42439</v>
      </c>
      <c r="C1557" t="s">
        <v>9</v>
      </c>
      <c r="D1557" t="s">
        <v>21</v>
      </c>
      <c r="E1557" t="s">
        <v>127</v>
      </c>
      <c r="F1557" s="1">
        <v>15.648</v>
      </c>
      <c r="G1557">
        <v>2</v>
      </c>
      <c r="H1557" s="1">
        <v>5.0856000000000003</v>
      </c>
      <c r="I1557" s="4">
        <f>SalesData[[#This Row],[Profit]]/SalesData[[#This Row],[Sales]]</f>
        <v>0.32500000000000001</v>
      </c>
      <c r="J1557">
        <f>YEAR(SalesData[[#This Row],[Order Date]])</f>
        <v>2016</v>
      </c>
      <c r="K1557" t="str">
        <f>TEXT(SalesData[[#This Row],[Order Date]],"mmm")</f>
        <v>Mar</v>
      </c>
      <c r="L1557">
        <f>MONTH(SalesData[[#This Row],[Order Date]])</f>
        <v>3</v>
      </c>
      <c r="M1557">
        <f>SalesData[[#This Row],[Sales]]/SalesData[[#This Row],[Quantity]]</f>
        <v>7.8239999999999998</v>
      </c>
      <c r="N1557" t="str">
        <f>IF(SalesData[[#This Row],[Profit]]&gt;0,"Profit","Loss")</f>
        <v>Profit</v>
      </c>
    </row>
    <row r="1558" spans="1:14" x14ac:dyDescent="0.3">
      <c r="A1558" t="s">
        <v>2054</v>
      </c>
      <c r="B1558" s="3">
        <v>42439</v>
      </c>
      <c r="C1558" t="s">
        <v>17</v>
      </c>
      <c r="D1558" t="s">
        <v>14</v>
      </c>
      <c r="E1558" t="s">
        <v>2055</v>
      </c>
      <c r="F1558" s="1">
        <v>599.29200000000003</v>
      </c>
      <c r="G1558">
        <v>6</v>
      </c>
      <c r="H1558" s="1">
        <v>93.223200000000006</v>
      </c>
      <c r="I1558" s="4">
        <f>SalesData[[#This Row],[Profit]]/SalesData[[#This Row],[Sales]]</f>
        <v>0.15555555555555556</v>
      </c>
      <c r="J1558">
        <f>YEAR(SalesData[[#This Row],[Order Date]])</f>
        <v>2016</v>
      </c>
      <c r="K1558" t="str">
        <f>TEXT(SalesData[[#This Row],[Order Date]],"mmm")</f>
        <v>Mar</v>
      </c>
      <c r="L1558">
        <f>MONTH(SalesData[[#This Row],[Order Date]])</f>
        <v>3</v>
      </c>
      <c r="M1558">
        <f>SalesData[[#This Row],[Sales]]/SalesData[[#This Row],[Quantity]]</f>
        <v>99.882000000000005</v>
      </c>
      <c r="N1558" t="str">
        <f>IF(SalesData[[#This Row],[Profit]]&gt;0,"Profit","Loss")</f>
        <v>Profit</v>
      </c>
    </row>
    <row r="1559" spans="1:14" x14ac:dyDescent="0.3">
      <c r="A1559" t="s">
        <v>2056</v>
      </c>
      <c r="B1559" s="3">
        <v>42439</v>
      </c>
      <c r="C1559" t="s">
        <v>9</v>
      </c>
      <c r="D1559" t="s">
        <v>14</v>
      </c>
      <c r="E1559" t="s">
        <v>2057</v>
      </c>
      <c r="F1559" s="1">
        <v>38.08</v>
      </c>
      <c r="G1559">
        <v>5</v>
      </c>
      <c r="H1559" s="1">
        <v>-29.512</v>
      </c>
      <c r="I1559" s="4">
        <f>SalesData[[#This Row],[Profit]]/SalesData[[#This Row],[Sales]]</f>
        <v>-0.77500000000000002</v>
      </c>
      <c r="J1559">
        <f>YEAR(SalesData[[#This Row],[Order Date]])</f>
        <v>2016</v>
      </c>
      <c r="K1559" t="str">
        <f>TEXT(SalesData[[#This Row],[Order Date]],"mmm")</f>
        <v>Mar</v>
      </c>
      <c r="L1559">
        <f>MONTH(SalesData[[#This Row],[Order Date]])</f>
        <v>3</v>
      </c>
      <c r="M1559">
        <f>SalesData[[#This Row],[Sales]]/SalesData[[#This Row],[Quantity]]</f>
        <v>7.6159999999999997</v>
      </c>
      <c r="N1559" t="str">
        <f>IF(SalesData[[#This Row],[Profit]]&gt;0,"Profit","Loss")</f>
        <v>Loss</v>
      </c>
    </row>
    <row r="1560" spans="1:14" x14ac:dyDescent="0.3">
      <c r="A1560" t="s">
        <v>2058</v>
      </c>
      <c r="B1560" s="3">
        <v>42439</v>
      </c>
      <c r="C1560" t="s">
        <v>13</v>
      </c>
      <c r="D1560" t="s">
        <v>21</v>
      </c>
      <c r="E1560" t="s">
        <v>276</v>
      </c>
      <c r="F1560" s="1">
        <v>6.16</v>
      </c>
      <c r="G1560">
        <v>2</v>
      </c>
      <c r="H1560" s="1">
        <v>2.9567999999999999</v>
      </c>
      <c r="I1560" s="4">
        <f>SalesData[[#This Row],[Profit]]/SalesData[[#This Row],[Sales]]</f>
        <v>0.48</v>
      </c>
      <c r="J1560">
        <f>YEAR(SalesData[[#This Row],[Order Date]])</f>
        <v>2016</v>
      </c>
      <c r="K1560" t="str">
        <f>TEXT(SalesData[[#This Row],[Order Date]],"mmm")</f>
        <v>Mar</v>
      </c>
      <c r="L1560">
        <f>MONTH(SalesData[[#This Row],[Order Date]])</f>
        <v>3</v>
      </c>
      <c r="M1560">
        <f>SalesData[[#This Row],[Sales]]/SalesData[[#This Row],[Quantity]]</f>
        <v>3.08</v>
      </c>
      <c r="N1560" t="str">
        <f>IF(SalesData[[#This Row],[Profit]]&gt;0,"Profit","Loss")</f>
        <v>Profit</v>
      </c>
    </row>
    <row r="1561" spans="1:14" x14ac:dyDescent="0.3">
      <c r="A1561" t="s">
        <v>2058</v>
      </c>
      <c r="B1561" s="3">
        <v>42439</v>
      </c>
      <c r="C1561" t="s">
        <v>13</v>
      </c>
      <c r="D1561" t="s">
        <v>14</v>
      </c>
      <c r="E1561" t="s">
        <v>15</v>
      </c>
      <c r="F1561" s="1">
        <v>915.13599999999997</v>
      </c>
      <c r="G1561">
        <v>4</v>
      </c>
      <c r="H1561" s="1">
        <v>102.9528</v>
      </c>
      <c r="I1561" s="4">
        <f>SalesData[[#This Row],[Profit]]/SalesData[[#This Row],[Sales]]</f>
        <v>0.1125</v>
      </c>
      <c r="J1561">
        <f>YEAR(SalesData[[#This Row],[Order Date]])</f>
        <v>2016</v>
      </c>
      <c r="K1561" t="str">
        <f>TEXT(SalesData[[#This Row],[Order Date]],"mmm")</f>
        <v>Mar</v>
      </c>
      <c r="L1561">
        <f>MONTH(SalesData[[#This Row],[Order Date]])</f>
        <v>3</v>
      </c>
      <c r="M1561">
        <f>SalesData[[#This Row],[Sales]]/SalesData[[#This Row],[Quantity]]</f>
        <v>228.78399999999999</v>
      </c>
      <c r="N1561" t="str">
        <f>IF(SalesData[[#This Row],[Profit]]&gt;0,"Profit","Loss")</f>
        <v>Profit</v>
      </c>
    </row>
    <row r="1562" spans="1:14" x14ac:dyDescent="0.3">
      <c r="A1562" t="s">
        <v>2058</v>
      </c>
      <c r="B1562" s="3">
        <v>42439</v>
      </c>
      <c r="C1562" t="s">
        <v>13</v>
      </c>
      <c r="D1562" t="s">
        <v>21</v>
      </c>
      <c r="E1562" t="s">
        <v>2059</v>
      </c>
      <c r="F1562" s="1">
        <v>8.56</v>
      </c>
      <c r="G1562">
        <v>2</v>
      </c>
      <c r="H1562" s="1">
        <v>3.8519999999999999</v>
      </c>
      <c r="I1562" s="4">
        <f>SalesData[[#This Row],[Profit]]/SalesData[[#This Row],[Sales]]</f>
        <v>0.44999999999999996</v>
      </c>
      <c r="J1562">
        <f>YEAR(SalesData[[#This Row],[Order Date]])</f>
        <v>2016</v>
      </c>
      <c r="K1562" t="str">
        <f>TEXT(SalesData[[#This Row],[Order Date]],"mmm")</f>
        <v>Mar</v>
      </c>
      <c r="L1562">
        <f>MONTH(SalesData[[#This Row],[Order Date]])</f>
        <v>3</v>
      </c>
      <c r="M1562">
        <f>SalesData[[#This Row],[Sales]]/SalesData[[#This Row],[Quantity]]</f>
        <v>4.28</v>
      </c>
      <c r="N1562" t="str">
        <f>IF(SalesData[[#This Row],[Profit]]&gt;0,"Profit","Loss")</f>
        <v>Profit</v>
      </c>
    </row>
    <row r="1563" spans="1:14" x14ac:dyDescent="0.3">
      <c r="A1563" t="s">
        <v>2058</v>
      </c>
      <c r="B1563" s="3">
        <v>42439</v>
      </c>
      <c r="C1563" t="s">
        <v>13</v>
      </c>
      <c r="D1563" t="s">
        <v>21</v>
      </c>
      <c r="E1563" t="s">
        <v>389</v>
      </c>
      <c r="F1563" s="1">
        <v>97.82</v>
      </c>
      <c r="G1563">
        <v>2</v>
      </c>
      <c r="H1563" s="1">
        <v>45.9754</v>
      </c>
      <c r="I1563" s="4">
        <f>SalesData[[#This Row],[Profit]]/SalesData[[#This Row],[Sales]]</f>
        <v>0.47000000000000003</v>
      </c>
      <c r="J1563">
        <f>YEAR(SalesData[[#This Row],[Order Date]])</f>
        <v>2016</v>
      </c>
      <c r="K1563" t="str">
        <f>TEXT(SalesData[[#This Row],[Order Date]],"mmm")</f>
        <v>Mar</v>
      </c>
      <c r="L1563">
        <f>MONTH(SalesData[[#This Row],[Order Date]])</f>
        <v>3</v>
      </c>
      <c r="M1563">
        <f>SalesData[[#This Row],[Sales]]/SalesData[[#This Row],[Quantity]]</f>
        <v>48.91</v>
      </c>
      <c r="N1563" t="str">
        <f>IF(SalesData[[#This Row],[Profit]]&gt;0,"Profit","Loss")</f>
        <v>Profit</v>
      </c>
    </row>
    <row r="1564" spans="1:14" x14ac:dyDescent="0.3">
      <c r="A1564" t="s">
        <v>2060</v>
      </c>
      <c r="B1564" s="3">
        <v>42440</v>
      </c>
      <c r="C1564" t="s">
        <v>9</v>
      </c>
      <c r="D1564" t="s">
        <v>21</v>
      </c>
      <c r="E1564" t="s">
        <v>701</v>
      </c>
      <c r="F1564" s="1">
        <v>75.959999999999994</v>
      </c>
      <c r="G1564">
        <v>2</v>
      </c>
      <c r="H1564" s="1">
        <v>22.788</v>
      </c>
      <c r="I1564" s="4">
        <f>SalesData[[#This Row],[Profit]]/SalesData[[#This Row],[Sales]]</f>
        <v>0.30000000000000004</v>
      </c>
      <c r="J1564">
        <f>YEAR(SalesData[[#This Row],[Order Date]])</f>
        <v>2016</v>
      </c>
      <c r="K1564" t="str">
        <f>TEXT(SalesData[[#This Row],[Order Date]],"mmm")</f>
        <v>Mar</v>
      </c>
      <c r="L1564">
        <f>MONTH(SalesData[[#This Row],[Order Date]])</f>
        <v>3</v>
      </c>
      <c r="M1564">
        <f>SalesData[[#This Row],[Sales]]/SalesData[[#This Row],[Quantity]]</f>
        <v>37.979999999999997</v>
      </c>
      <c r="N1564" t="str">
        <f>IF(SalesData[[#This Row],[Profit]]&gt;0,"Profit","Loss")</f>
        <v>Profit</v>
      </c>
    </row>
    <row r="1565" spans="1:14" x14ac:dyDescent="0.3">
      <c r="A1565" t="s">
        <v>2060</v>
      </c>
      <c r="B1565" s="3">
        <v>42440</v>
      </c>
      <c r="C1565" t="s">
        <v>9</v>
      </c>
      <c r="D1565" t="s">
        <v>21</v>
      </c>
      <c r="E1565" t="s">
        <v>241</v>
      </c>
      <c r="F1565" s="1">
        <v>27.24</v>
      </c>
      <c r="G1565">
        <v>6</v>
      </c>
      <c r="H1565" s="1">
        <v>13.3476</v>
      </c>
      <c r="I1565" s="4">
        <f>SalesData[[#This Row],[Profit]]/SalesData[[#This Row],[Sales]]</f>
        <v>0.49000000000000005</v>
      </c>
      <c r="J1565">
        <f>YEAR(SalesData[[#This Row],[Order Date]])</f>
        <v>2016</v>
      </c>
      <c r="K1565" t="str">
        <f>TEXT(SalesData[[#This Row],[Order Date]],"mmm")</f>
        <v>Mar</v>
      </c>
      <c r="L1565">
        <f>MONTH(SalesData[[#This Row],[Order Date]])</f>
        <v>3</v>
      </c>
      <c r="M1565">
        <f>SalesData[[#This Row],[Sales]]/SalesData[[#This Row],[Quantity]]</f>
        <v>4.54</v>
      </c>
      <c r="N1565" t="str">
        <f>IF(SalesData[[#This Row],[Profit]]&gt;0,"Profit","Loss")</f>
        <v>Profit</v>
      </c>
    </row>
    <row r="1566" spans="1:14" x14ac:dyDescent="0.3">
      <c r="A1566" t="s">
        <v>2061</v>
      </c>
      <c r="B1566" s="3">
        <v>42440</v>
      </c>
      <c r="C1566" t="s">
        <v>13</v>
      </c>
      <c r="D1566" t="s">
        <v>21</v>
      </c>
      <c r="E1566" t="s">
        <v>2062</v>
      </c>
      <c r="F1566" s="1">
        <v>8.82</v>
      </c>
      <c r="G1566">
        <v>3</v>
      </c>
      <c r="H1566" s="1">
        <v>2.3814000000000002</v>
      </c>
      <c r="I1566" s="4">
        <f>SalesData[[#This Row],[Profit]]/SalesData[[#This Row],[Sales]]</f>
        <v>0.27</v>
      </c>
      <c r="J1566">
        <f>YEAR(SalesData[[#This Row],[Order Date]])</f>
        <v>2016</v>
      </c>
      <c r="K1566" t="str">
        <f>TEXT(SalesData[[#This Row],[Order Date]],"mmm")</f>
        <v>Mar</v>
      </c>
      <c r="L1566">
        <f>MONTH(SalesData[[#This Row],[Order Date]])</f>
        <v>3</v>
      </c>
      <c r="M1566">
        <f>SalesData[[#This Row],[Sales]]/SalesData[[#This Row],[Quantity]]</f>
        <v>2.94</v>
      </c>
      <c r="N1566" t="str">
        <f>IF(SalesData[[#This Row],[Profit]]&gt;0,"Profit","Loss")</f>
        <v>Profit</v>
      </c>
    </row>
    <row r="1567" spans="1:14" x14ac:dyDescent="0.3">
      <c r="A1567" t="s">
        <v>2063</v>
      </c>
      <c r="B1567" s="3">
        <v>42440</v>
      </c>
      <c r="C1567" t="s">
        <v>13</v>
      </c>
      <c r="D1567" t="s">
        <v>14</v>
      </c>
      <c r="E1567" t="s">
        <v>2064</v>
      </c>
      <c r="F1567" s="1">
        <v>217.584</v>
      </c>
      <c r="G1567">
        <v>2</v>
      </c>
      <c r="H1567" s="1">
        <v>-29.9178</v>
      </c>
      <c r="I1567" s="4">
        <f>SalesData[[#This Row],[Profit]]/SalesData[[#This Row],[Sales]]</f>
        <v>-0.13749999999999998</v>
      </c>
      <c r="J1567">
        <f>YEAR(SalesData[[#This Row],[Order Date]])</f>
        <v>2016</v>
      </c>
      <c r="K1567" t="str">
        <f>TEXT(SalesData[[#This Row],[Order Date]],"mmm")</f>
        <v>Mar</v>
      </c>
      <c r="L1567">
        <f>MONTH(SalesData[[#This Row],[Order Date]])</f>
        <v>3</v>
      </c>
      <c r="M1567">
        <f>SalesData[[#This Row],[Sales]]/SalesData[[#This Row],[Quantity]]</f>
        <v>108.792</v>
      </c>
      <c r="N1567" t="str">
        <f>IF(SalesData[[#This Row],[Profit]]&gt;0,"Profit","Loss")</f>
        <v>Loss</v>
      </c>
    </row>
    <row r="1568" spans="1:14" x14ac:dyDescent="0.3">
      <c r="A1568" t="s">
        <v>2063</v>
      </c>
      <c r="B1568" s="3">
        <v>42440</v>
      </c>
      <c r="C1568" t="s">
        <v>13</v>
      </c>
      <c r="D1568" t="s">
        <v>10</v>
      </c>
      <c r="E1568" t="s">
        <v>2065</v>
      </c>
      <c r="F1568" s="1">
        <v>82.95</v>
      </c>
      <c r="G1568">
        <v>5</v>
      </c>
      <c r="H1568" s="1">
        <v>29.032499999999999</v>
      </c>
      <c r="I1568" s="4">
        <f>SalesData[[#This Row],[Profit]]/SalesData[[#This Row],[Sales]]</f>
        <v>0.35</v>
      </c>
      <c r="J1568">
        <f>YEAR(SalesData[[#This Row],[Order Date]])</f>
        <v>2016</v>
      </c>
      <c r="K1568" t="str">
        <f>TEXT(SalesData[[#This Row],[Order Date]],"mmm")</f>
        <v>Mar</v>
      </c>
      <c r="L1568">
        <f>MONTH(SalesData[[#This Row],[Order Date]])</f>
        <v>3</v>
      </c>
      <c r="M1568">
        <f>SalesData[[#This Row],[Sales]]/SalesData[[#This Row],[Quantity]]</f>
        <v>16.59</v>
      </c>
      <c r="N1568" t="str">
        <f>IF(SalesData[[#This Row],[Profit]]&gt;0,"Profit","Loss")</f>
        <v>Profit</v>
      </c>
    </row>
    <row r="1569" spans="1:14" x14ac:dyDescent="0.3">
      <c r="A1569" t="s">
        <v>2063</v>
      </c>
      <c r="B1569" s="3">
        <v>42440</v>
      </c>
      <c r="C1569" t="s">
        <v>13</v>
      </c>
      <c r="D1569" t="s">
        <v>21</v>
      </c>
      <c r="E1569" t="s">
        <v>1492</v>
      </c>
      <c r="F1569" s="1">
        <v>87.71</v>
      </c>
      <c r="G1569">
        <v>7</v>
      </c>
      <c r="H1569" s="1">
        <v>41.223700000000001</v>
      </c>
      <c r="I1569" s="4">
        <f>SalesData[[#This Row],[Profit]]/SalesData[[#This Row],[Sales]]</f>
        <v>0.47000000000000003</v>
      </c>
      <c r="J1569">
        <f>YEAR(SalesData[[#This Row],[Order Date]])</f>
        <v>2016</v>
      </c>
      <c r="K1569" t="str">
        <f>TEXT(SalesData[[#This Row],[Order Date]],"mmm")</f>
        <v>Mar</v>
      </c>
      <c r="L1569">
        <f>MONTH(SalesData[[#This Row],[Order Date]])</f>
        <v>3</v>
      </c>
      <c r="M1569">
        <f>SalesData[[#This Row],[Sales]]/SalesData[[#This Row],[Quantity]]</f>
        <v>12.53</v>
      </c>
      <c r="N1569" t="str">
        <f>IF(SalesData[[#This Row],[Profit]]&gt;0,"Profit","Loss")</f>
        <v>Profit</v>
      </c>
    </row>
    <row r="1570" spans="1:14" x14ac:dyDescent="0.3">
      <c r="A1570" t="s">
        <v>2063</v>
      </c>
      <c r="B1570" s="3">
        <v>42440</v>
      </c>
      <c r="C1570" t="s">
        <v>13</v>
      </c>
      <c r="D1570" t="s">
        <v>21</v>
      </c>
      <c r="E1570" t="s">
        <v>2066</v>
      </c>
      <c r="F1570" s="1">
        <v>1101.48</v>
      </c>
      <c r="G1570">
        <v>4</v>
      </c>
      <c r="H1570" s="1">
        <v>429.5772</v>
      </c>
      <c r="I1570" s="4">
        <f>SalesData[[#This Row],[Profit]]/SalesData[[#This Row],[Sales]]</f>
        <v>0.39</v>
      </c>
      <c r="J1570">
        <f>YEAR(SalesData[[#This Row],[Order Date]])</f>
        <v>2016</v>
      </c>
      <c r="K1570" t="str">
        <f>TEXT(SalesData[[#This Row],[Order Date]],"mmm")</f>
        <v>Mar</v>
      </c>
      <c r="L1570">
        <f>MONTH(SalesData[[#This Row],[Order Date]])</f>
        <v>3</v>
      </c>
      <c r="M1570">
        <f>SalesData[[#This Row],[Sales]]/SalesData[[#This Row],[Quantity]]</f>
        <v>275.37</v>
      </c>
      <c r="N1570" t="str">
        <f>IF(SalesData[[#This Row],[Profit]]&gt;0,"Profit","Loss")</f>
        <v>Profit</v>
      </c>
    </row>
    <row r="1571" spans="1:14" x14ac:dyDescent="0.3">
      <c r="A1571" t="s">
        <v>2067</v>
      </c>
      <c r="B1571" s="3">
        <v>42440</v>
      </c>
      <c r="C1571" t="s">
        <v>46</v>
      </c>
      <c r="D1571" t="s">
        <v>21</v>
      </c>
      <c r="E1571" t="s">
        <v>480</v>
      </c>
      <c r="F1571" s="1">
        <v>20</v>
      </c>
      <c r="G1571">
        <v>4</v>
      </c>
      <c r="H1571" s="1">
        <v>9.6</v>
      </c>
      <c r="I1571" s="4">
        <f>SalesData[[#This Row],[Profit]]/SalesData[[#This Row],[Sales]]</f>
        <v>0.48</v>
      </c>
      <c r="J1571">
        <f>YEAR(SalesData[[#This Row],[Order Date]])</f>
        <v>2016</v>
      </c>
      <c r="K1571" t="str">
        <f>TEXT(SalesData[[#This Row],[Order Date]],"mmm")</f>
        <v>Mar</v>
      </c>
      <c r="L1571">
        <f>MONTH(SalesData[[#This Row],[Order Date]])</f>
        <v>3</v>
      </c>
      <c r="M1571">
        <f>SalesData[[#This Row],[Sales]]/SalesData[[#This Row],[Quantity]]</f>
        <v>5</v>
      </c>
      <c r="N1571" t="str">
        <f>IF(SalesData[[#This Row],[Profit]]&gt;0,"Profit","Loss")</f>
        <v>Profit</v>
      </c>
    </row>
    <row r="1572" spans="1:14" x14ac:dyDescent="0.3">
      <c r="A1572" t="s">
        <v>2067</v>
      </c>
      <c r="B1572" s="3">
        <v>42440</v>
      </c>
      <c r="C1572" t="s">
        <v>46</v>
      </c>
      <c r="D1572" t="s">
        <v>21</v>
      </c>
      <c r="E1572" t="s">
        <v>891</v>
      </c>
      <c r="F1572" s="1">
        <v>7.98</v>
      </c>
      <c r="G1572">
        <v>3</v>
      </c>
      <c r="H1572" s="1">
        <v>2.0748000000000002</v>
      </c>
      <c r="I1572" s="4">
        <f>SalesData[[#This Row],[Profit]]/SalesData[[#This Row],[Sales]]</f>
        <v>0.26</v>
      </c>
      <c r="J1572">
        <f>YEAR(SalesData[[#This Row],[Order Date]])</f>
        <v>2016</v>
      </c>
      <c r="K1572" t="str">
        <f>TEXT(SalesData[[#This Row],[Order Date]],"mmm")</f>
        <v>Mar</v>
      </c>
      <c r="L1572">
        <f>MONTH(SalesData[[#This Row],[Order Date]])</f>
        <v>3</v>
      </c>
      <c r="M1572">
        <f>SalesData[[#This Row],[Sales]]/SalesData[[#This Row],[Quantity]]</f>
        <v>2.66</v>
      </c>
      <c r="N1572" t="str">
        <f>IF(SalesData[[#This Row],[Profit]]&gt;0,"Profit","Loss")</f>
        <v>Profit</v>
      </c>
    </row>
    <row r="1573" spans="1:14" x14ac:dyDescent="0.3">
      <c r="A1573" t="s">
        <v>2067</v>
      </c>
      <c r="B1573" s="3">
        <v>42440</v>
      </c>
      <c r="C1573" t="s">
        <v>46</v>
      </c>
      <c r="D1573" t="s">
        <v>14</v>
      </c>
      <c r="E1573" t="s">
        <v>2068</v>
      </c>
      <c r="F1573" s="1">
        <v>24.1</v>
      </c>
      <c r="G1573">
        <v>5</v>
      </c>
      <c r="H1573" s="1">
        <v>9.1579999999999995</v>
      </c>
      <c r="I1573" s="4">
        <f>SalesData[[#This Row],[Profit]]/SalesData[[#This Row],[Sales]]</f>
        <v>0.37999999999999995</v>
      </c>
      <c r="J1573">
        <f>YEAR(SalesData[[#This Row],[Order Date]])</f>
        <v>2016</v>
      </c>
      <c r="K1573" t="str">
        <f>TEXT(SalesData[[#This Row],[Order Date]],"mmm")</f>
        <v>Mar</v>
      </c>
      <c r="L1573">
        <f>MONTH(SalesData[[#This Row],[Order Date]])</f>
        <v>3</v>
      </c>
      <c r="M1573">
        <f>SalesData[[#This Row],[Sales]]/SalesData[[#This Row],[Quantity]]</f>
        <v>4.82</v>
      </c>
      <c r="N1573" t="str">
        <f>IF(SalesData[[#This Row],[Profit]]&gt;0,"Profit","Loss")</f>
        <v>Profit</v>
      </c>
    </row>
    <row r="1574" spans="1:14" x14ac:dyDescent="0.3">
      <c r="A1574" t="s">
        <v>2067</v>
      </c>
      <c r="B1574" s="3">
        <v>42440</v>
      </c>
      <c r="C1574" t="s">
        <v>46</v>
      </c>
      <c r="D1574" t="s">
        <v>21</v>
      </c>
      <c r="E1574" t="s">
        <v>2069</v>
      </c>
      <c r="F1574" s="1">
        <v>8.75</v>
      </c>
      <c r="G1574">
        <v>1</v>
      </c>
      <c r="H1574" s="1">
        <v>2.625</v>
      </c>
      <c r="I1574" s="4">
        <f>SalesData[[#This Row],[Profit]]/SalesData[[#This Row],[Sales]]</f>
        <v>0.3</v>
      </c>
      <c r="J1574">
        <f>YEAR(SalesData[[#This Row],[Order Date]])</f>
        <v>2016</v>
      </c>
      <c r="K1574" t="str">
        <f>TEXT(SalesData[[#This Row],[Order Date]],"mmm")</f>
        <v>Mar</v>
      </c>
      <c r="L1574">
        <f>MONTH(SalesData[[#This Row],[Order Date]])</f>
        <v>3</v>
      </c>
      <c r="M1574">
        <f>SalesData[[#This Row],[Sales]]/SalesData[[#This Row],[Quantity]]</f>
        <v>8.75</v>
      </c>
      <c r="N1574" t="str">
        <f>IF(SalesData[[#This Row],[Profit]]&gt;0,"Profit","Loss")</f>
        <v>Profit</v>
      </c>
    </row>
    <row r="1575" spans="1:14" x14ac:dyDescent="0.3">
      <c r="A1575" t="s">
        <v>2067</v>
      </c>
      <c r="B1575" s="3">
        <v>42440</v>
      </c>
      <c r="C1575" t="s">
        <v>46</v>
      </c>
      <c r="D1575" t="s">
        <v>14</v>
      </c>
      <c r="E1575" t="s">
        <v>2070</v>
      </c>
      <c r="F1575" s="1">
        <v>842.94</v>
      </c>
      <c r="G1575">
        <v>3</v>
      </c>
      <c r="H1575" s="1">
        <v>160.15860000000001</v>
      </c>
      <c r="I1575" s="4">
        <f>SalesData[[#This Row],[Profit]]/SalesData[[#This Row],[Sales]]</f>
        <v>0.19</v>
      </c>
      <c r="J1575">
        <f>YEAR(SalesData[[#This Row],[Order Date]])</f>
        <v>2016</v>
      </c>
      <c r="K1575" t="str">
        <f>TEXT(SalesData[[#This Row],[Order Date]],"mmm")</f>
        <v>Mar</v>
      </c>
      <c r="L1575">
        <f>MONTH(SalesData[[#This Row],[Order Date]])</f>
        <v>3</v>
      </c>
      <c r="M1575">
        <f>SalesData[[#This Row],[Sales]]/SalesData[[#This Row],[Quantity]]</f>
        <v>280.98</v>
      </c>
      <c r="N1575" t="str">
        <f>IF(SalesData[[#This Row],[Profit]]&gt;0,"Profit","Loss")</f>
        <v>Profit</v>
      </c>
    </row>
    <row r="1576" spans="1:14" x14ac:dyDescent="0.3">
      <c r="A1576" t="s">
        <v>2071</v>
      </c>
      <c r="B1576" s="3">
        <v>42440</v>
      </c>
      <c r="C1576" t="s">
        <v>13</v>
      </c>
      <c r="D1576" t="s">
        <v>21</v>
      </c>
      <c r="E1576" t="s">
        <v>885</v>
      </c>
      <c r="F1576" s="1">
        <v>15.26</v>
      </c>
      <c r="G1576">
        <v>7</v>
      </c>
      <c r="H1576" s="1">
        <v>5.0358000000000001</v>
      </c>
      <c r="I1576" s="4">
        <f>SalesData[[#This Row],[Profit]]/SalesData[[#This Row],[Sales]]</f>
        <v>0.33</v>
      </c>
      <c r="J1576">
        <f>YEAR(SalesData[[#This Row],[Order Date]])</f>
        <v>2016</v>
      </c>
      <c r="K1576" t="str">
        <f>TEXT(SalesData[[#This Row],[Order Date]],"mmm")</f>
        <v>Mar</v>
      </c>
      <c r="L1576">
        <f>MONTH(SalesData[[#This Row],[Order Date]])</f>
        <v>3</v>
      </c>
      <c r="M1576">
        <f>SalesData[[#This Row],[Sales]]/SalesData[[#This Row],[Quantity]]</f>
        <v>2.1800000000000002</v>
      </c>
      <c r="N1576" t="str">
        <f>IF(SalesData[[#This Row],[Profit]]&gt;0,"Profit","Loss")</f>
        <v>Profit</v>
      </c>
    </row>
    <row r="1577" spans="1:14" x14ac:dyDescent="0.3">
      <c r="A1577" t="s">
        <v>2071</v>
      </c>
      <c r="B1577" s="3">
        <v>42440</v>
      </c>
      <c r="C1577" t="s">
        <v>13</v>
      </c>
      <c r="D1577" t="s">
        <v>21</v>
      </c>
      <c r="E1577" t="s">
        <v>2072</v>
      </c>
      <c r="F1577" s="1">
        <v>43.32</v>
      </c>
      <c r="G1577">
        <v>2</v>
      </c>
      <c r="H1577" s="1">
        <v>14.2956</v>
      </c>
      <c r="I1577" s="4">
        <f>SalesData[[#This Row],[Profit]]/SalesData[[#This Row],[Sales]]</f>
        <v>0.33</v>
      </c>
      <c r="J1577">
        <f>YEAR(SalesData[[#This Row],[Order Date]])</f>
        <v>2016</v>
      </c>
      <c r="K1577" t="str">
        <f>TEXT(SalesData[[#This Row],[Order Date]],"mmm")</f>
        <v>Mar</v>
      </c>
      <c r="L1577">
        <f>MONTH(SalesData[[#This Row],[Order Date]])</f>
        <v>3</v>
      </c>
      <c r="M1577">
        <f>SalesData[[#This Row],[Sales]]/SalesData[[#This Row],[Quantity]]</f>
        <v>21.66</v>
      </c>
      <c r="N1577" t="str">
        <f>IF(SalesData[[#This Row],[Profit]]&gt;0,"Profit","Loss")</f>
        <v>Profit</v>
      </c>
    </row>
    <row r="1578" spans="1:14" x14ac:dyDescent="0.3">
      <c r="A1578" t="s">
        <v>2071</v>
      </c>
      <c r="B1578" s="3">
        <v>42440</v>
      </c>
      <c r="C1578" t="s">
        <v>13</v>
      </c>
      <c r="D1578" t="s">
        <v>21</v>
      </c>
      <c r="E1578" t="s">
        <v>241</v>
      </c>
      <c r="F1578" s="1">
        <v>43.584000000000003</v>
      </c>
      <c r="G1578">
        <v>12</v>
      </c>
      <c r="H1578" s="1">
        <v>15.799200000000001</v>
      </c>
      <c r="I1578" s="4">
        <f>SalesData[[#This Row],[Profit]]/SalesData[[#This Row],[Sales]]</f>
        <v>0.36249999999999999</v>
      </c>
      <c r="J1578">
        <f>YEAR(SalesData[[#This Row],[Order Date]])</f>
        <v>2016</v>
      </c>
      <c r="K1578" t="str">
        <f>TEXT(SalesData[[#This Row],[Order Date]],"mmm")</f>
        <v>Mar</v>
      </c>
      <c r="L1578">
        <f>MONTH(SalesData[[#This Row],[Order Date]])</f>
        <v>3</v>
      </c>
      <c r="M1578">
        <f>SalesData[[#This Row],[Sales]]/SalesData[[#This Row],[Quantity]]</f>
        <v>3.6320000000000001</v>
      </c>
      <c r="N1578" t="str">
        <f>IF(SalesData[[#This Row],[Profit]]&gt;0,"Profit","Loss")</f>
        <v>Profit</v>
      </c>
    </row>
    <row r="1579" spans="1:14" x14ac:dyDescent="0.3">
      <c r="A1579" t="s">
        <v>2071</v>
      </c>
      <c r="B1579" s="3">
        <v>42440</v>
      </c>
      <c r="C1579" t="s">
        <v>13</v>
      </c>
      <c r="D1579" t="s">
        <v>21</v>
      </c>
      <c r="E1579" t="s">
        <v>2073</v>
      </c>
      <c r="F1579" s="1">
        <v>116.28</v>
      </c>
      <c r="G1579">
        <v>3</v>
      </c>
      <c r="H1579" s="1">
        <v>56.977200000000003</v>
      </c>
      <c r="I1579" s="4">
        <f>SalesData[[#This Row],[Profit]]/SalesData[[#This Row],[Sales]]</f>
        <v>0.49000000000000005</v>
      </c>
      <c r="J1579">
        <f>YEAR(SalesData[[#This Row],[Order Date]])</f>
        <v>2016</v>
      </c>
      <c r="K1579" t="str">
        <f>TEXT(SalesData[[#This Row],[Order Date]],"mmm")</f>
        <v>Mar</v>
      </c>
      <c r="L1579">
        <f>MONTH(SalesData[[#This Row],[Order Date]])</f>
        <v>3</v>
      </c>
      <c r="M1579">
        <f>SalesData[[#This Row],[Sales]]/SalesData[[#This Row],[Quantity]]</f>
        <v>38.76</v>
      </c>
      <c r="N1579" t="str">
        <f>IF(SalesData[[#This Row],[Profit]]&gt;0,"Profit","Loss")</f>
        <v>Profit</v>
      </c>
    </row>
    <row r="1580" spans="1:14" x14ac:dyDescent="0.3">
      <c r="A1580" t="s">
        <v>2071</v>
      </c>
      <c r="B1580" s="3">
        <v>42440</v>
      </c>
      <c r="C1580" t="s">
        <v>13</v>
      </c>
      <c r="D1580" t="s">
        <v>21</v>
      </c>
      <c r="E1580" t="s">
        <v>2074</v>
      </c>
      <c r="F1580" s="1">
        <v>9.2959999999999994</v>
      </c>
      <c r="G1580">
        <v>2</v>
      </c>
      <c r="H1580" s="1">
        <v>3.0211999999999999</v>
      </c>
      <c r="I1580" s="4">
        <f>SalesData[[#This Row],[Profit]]/SalesData[[#This Row],[Sales]]</f>
        <v>0.32500000000000001</v>
      </c>
      <c r="J1580">
        <f>YEAR(SalesData[[#This Row],[Order Date]])</f>
        <v>2016</v>
      </c>
      <c r="K1580" t="str">
        <f>TEXT(SalesData[[#This Row],[Order Date]],"mmm")</f>
        <v>Mar</v>
      </c>
      <c r="L1580">
        <f>MONTH(SalesData[[#This Row],[Order Date]])</f>
        <v>3</v>
      </c>
      <c r="M1580">
        <f>SalesData[[#This Row],[Sales]]/SalesData[[#This Row],[Quantity]]</f>
        <v>4.6479999999999997</v>
      </c>
      <c r="N1580" t="str">
        <f>IF(SalesData[[#This Row],[Profit]]&gt;0,"Profit","Loss")</f>
        <v>Profit</v>
      </c>
    </row>
    <row r="1581" spans="1:14" x14ac:dyDescent="0.3">
      <c r="A1581" t="s">
        <v>2071</v>
      </c>
      <c r="B1581" s="3">
        <v>42440</v>
      </c>
      <c r="C1581" t="s">
        <v>13</v>
      </c>
      <c r="D1581" t="s">
        <v>21</v>
      </c>
      <c r="E1581" t="s">
        <v>2075</v>
      </c>
      <c r="F1581" s="1">
        <v>19.440000000000001</v>
      </c>
      <c r="G1581">
        <v>3</v>
      </c>
      <c r="H1581" s="1">
        <v>9.3312000000000008</v>
      </c>
      <c r="I1581" s="4">
        <f>SalesData[[#This Row],[Profit]]/SalesData[[#This Row],[Sales]]</f>
        <v>0.48000000000000004</v>
      </c>
      <c r="J1581">
        <f>YEAR(SalesData[[#This Row],[Order Date]])</f>
        <v>2016</v>
      </c>
      <c r="K1581" t="str">
        <f>TEXT(SalesData[[#This Row],[Order Date]],"mmm")</f>
        <v>Mar</v>
      </c>
      <c r="L1581">
        <f>MONTH(SalesData[[#This Row],[Order Date]])</f>
        <v>3</v>
      </c>
      <c r="M1581">
        <f>SalesData[[#This Row],[Sales]]/SalesData[[#This Row],[Quantity]]</f>
        <v>6.48</v>
      </c>
      <c r="N1581" t="str">
        <f>IF(SalesData[[#This Row],[Profit]]&gt;0,"Profit","Loss")</f>
        <v>Profit</v>
      </c>
    </row>
    <row r="1582" spans="1:14" x14ac:dyDescent="0.3">
      <c r="A1582" t="s">
        <v>2071</v>
      </c>
      <c r="B1582" s="3">
        <v>42440</v>
      </c>
      <c r="C1582" t="s">
        <v>13</v>
      </c>
      <c r="D1582" t="s">
        <v>21</v>
      </c>
      <c r="E1582" t="s">
        <v>2076</v>
      </c>
      <c r="F1582" s="1">
        <v>314.55</v>
      </c>
      <c r="G1582">
        <v>3</v>
      </c>
      <c r="H1582" s="1">
        <v>150.98400000000001</v>
      </c>
      <c r="I1582" s="4">
        <f>SalesData[[#This Row],[Profit]]/SalesData[[#This Row],[Sales]]</f>
        <v>0.48000000000000004</v>
      </c>
      <c r="J1582">
        <f>YEAR(SalesData[[#This Row],[Order Date]])</f>
        <v>2016</v>
      </c>
      <c r="K1582" t="str">
        <f>TEXT(SalesData[[#This Row],[Order Date]],"mmm")</f>
        <v>Mar</v>
      </c>
      <c r="L1582">
        <f>MONTH(SalesData[[#This Row],[Order Date]])</f>
        <v>3</v>
      </c>
      <c r="M1582">
        <f>SalesData[[#This Row],[Sales]]/SalesData[[#This Row],[Quantity]]</f>
        <v>104.85000000000001</v>
      </c>
      <c r="N1582" t="str">
        <f>IF(SalesData[[#This Row],[Profit]]&gt;0,"Profit","Loss")</f>
        <v>Profit</v>
      </c>
    </row>
    <row r="1583" spans="1:14" x14ac:dyDescent="0.3">
      <c r="A1583" t="s">
        <v>2077</v>
      </c>
      <c r="B1583" s="3">
        <v>42440</v>
      </c>
      <c r="C1583" t="s">
        <v>9</v>
      </c>
      <c r="D1583" t="s">
        <v>21</v>
      </c>
      <c r="E1583" t="s">
        <v>1673</v>
      </c>
      <c r="F1583" s="1">
        <v>9.2479999999999993</v>
      </c>
      <c r="G1583">
        <v>2</v>
      </c>
      <c r="H1583" s="1">
        <v>3.3523999999999998</v>
      </c>
      <c r="I1583" s="4">
        <f>SalesData[[#This Row],[Profit]]/SalesData[[#This Row],[Sales]]</f>
        <v>0.36249999999999999</v>
      </c>
      <c r="J1583">
        <f>YEAR(SalesData[[#This Row],[Order Date]])</f>
        <v>2016</v>
      </c>
      <c r="K1583" t="str">
        <f>TEXT(SalesData[[#This Row],[Order Date]],"mmm")</f>
        <v>Mar</v>
      </c>
      <c r="L1583">
        <f>MONTH(SalesData[[#This Row],[Order Date]])</f>
        <v>3</v>
      </c>
      <c r="M1583">
        <f>SalesData[[#This Row],[Sales]]/SalesData[[#This Row],[Quantity]]</f>
        <v>4.6239999999999997</v>
      </c>
      <c r="N1583" t="str">
        <f>IF(SalesData[[#This Row],[Profit]]&gt;0,"Profit","Loss")</f>
        <v>Profit</v>
      </c>
    </row>
    <row r="1584" spans="1:14" x14ac:dyDescent="0.3">
      <c r="A1584" t="s">
        <v>2078</v>
      </c>
      <c r="B1584" s="3">
        <v>42440</v>
      </c>
      <c r="C1584" t="s">
        <v>13</v>
      </c>
      <c r="D1584" t="s">
        <v>21</v>
      </c>
      <c r="E1584" t="s">
        <v>1441</v>
      </c>
      <c r="F1584" s="1">
        <v>4.1580000000000004</v>
      </c>
      <c r="G1584">
        <v>7</v>
      </c>
      <c r="H1584" s="1">
        <v>-3.4649999999999999</v>
      </c>
      <c r="I1584" s="4">
        <f>SalesData[[#This Row],[Profit]]/SalesData[[#This Row],[Sales]]</f>
        <v>-0.83333333333333326</v>
      </c>
      <c r="J1584">
        <f>YEAR(SalesData[[#This Row],[Order Date]])</f>
        <v>2016</v>
      </c>
      <c r="K1584" t="str">
        <f>TEXT(SalesData[[#This Row],[Order Date]],"mmm")</f>
        <v>Mar</v>
      </c>
      <c r="L1584">
        <f>MONTH(SalesData[[#This Row],[Order Date]])</f>
        <v>3</v>
      </c>
      <c r="M1584">
        <f>SalesData[[#This Row],[Sales]]/SalesData[[#This Row],[Quantity]]</f>
        <v>0.59400000000000008</v>
      </c>
      <c r="N1584" t="str">
        <f>IF(SalesData[[#This Row],[Profit]]&gt;0,"Profit","Loss")</f>
        <v>Loss</v>
      </c>
    </row>
    <row r="1585" spans="1:14" x14ac:dyDescent="0.3">
      <c r="A1585" t="s">
        <v>2078</v>
      </c>
      <c r="B1585" s="3">
        <v>42440</v>
      </c>
      <c r="C1585" t="s">
        <v>13</v>
      </c>
      <c r="D1585" t="s">
        <v>10</v>
      </c>
      <c r="E1585" t="s">
        <v>2079</v>
      </c>
      <c r="F1585" s="1">
        <v>179.99100000000001</v>
      </c>
      <c r="G1585">
        <v>3</v>
      </c>
      <c r="H1585" s="1">
        <v>-251.98740000000001</v>
      </c>
      <c r="I1585" s="4">
        <f>SalesData[[#This Row],[Profit]]/SalesData[[#This Row],[Sales]]</f>
        <v>-1.4</v>
      </c>
      <c r="J1585">
        <f>YEAR(SalesData[[#This Row],[Order Date]])</f>
        <v>2016</v>
      </c>
      <c r="K1585" t="str">
        <f>TEXT(SalesData[[#This Row],[Order Date]],"mmm")</f>
        <v>Mar</v>
      </c>
      <c r="L1585">
        <f>MONTH(SalesData[[#This Row],[Order Date]])</f>
        <v>3</v>
      </c>
      <c r="M1585">
        <f>SalesData[[#This Row],[Sales]]/SalesData[[#This Row],[Quantity]]</f>
        <v>59.997000000000007</v>
      </c>
      <c r="N1585" t="str">
        <f>IF(SalesData[[#This Row],[Profit]]&gt;0,"Profit","Loss")</f>
        <v>Loss</v>
      </c>
    </row>
    <row r="1586" spans="1:14" x14ac:dyDescent="0.3">
      <c r="A1586" t="s">
        <v>2080</v>
      </c>
      <c r="B1586" s="3">
        <v>42440</v>
      </c>
      <c r="C1586" t="s">
        <v>17</v>
      </c>
      <c r="D1586" t="s">
        <v>10</v>
      </c>
      <c r="E1586" t="s">
        <v>366</v>
      </c>
      <c r="F1586" s="1">
        <v>72</v>
      </c>
      <c r="G1586">
        <v>1</v>
      </c>
      <c r="H1586" s="1">
        <v>14.4</v>
      </c>
      <c r="I1586" s="4">
        <f>SalesData[[#This Row],[Profit]]/SalesData[[#This Row],[Sales]]</f>
        <v>0.2</v>
      </c>
      <c r="J1586">
        <f>YEAR(SalesData[[#This Row],[Order Date]])</f>
        <v>2016</v>
      </c>
      <c r="K1586" t="str">
        <f>TEXT(SalesData[[#This Row],[Order Date]],"mmm")</f>
        <v>Mar</v>
      </c>
      <c r="L1586">
        <f>MONTH(SalesData[[#This Row],[Order Date]])</f>
        <v>3</v>
      </c>
      <c r="M1586">
        <f>SalesData[[#This Row],[Sales]]/SalesData[[#This Row],[Quantity]]</f>
        <v>72</v>
      </c>
      <c r="N1586" t="str">
        <f>IF(SalesData[[#This Row],[Profit]]&gt;0,"Profit","Loss")</f>
        <v>Profit</v>
      </c>
    </row>
    <row r="1587" spans="1:14" x14ac:dyDescent="0.3">
      <c r="A1587" t="s">
        <v>2080</v>
      </c>
      <c r="B1587" s="3">
        <v>42440</v>
      </c>
      <c r="C1587" t="s">
        <v>17</v>
      </c>
      <c r="D1587" t="s">
        <v>14</v>
      </c>
      <c r="E1587" t="s">
        <v>2081</v>
      </c>
      <c r="F1587" s="1">
        <v>470.15499999999997</v>
      </c>
      <c r="G1587">
        <v>7</v>
      </c>
      <c r="H1587" s="1">
        <v>-13.433</v>
      </c>
      <c r="I1587" s="4">
        <f>SalesData[[#This Row],[Profit]]/SalesData[[#This Row],[Sales]]</f>
        <v>-2.8571428571428574E-2</v>
      </c>
      <c r="J1587">
        <f>YEAR(SalesData[[#This Row],[Order Date]])</f>
        <v>2016</v>
      </c>
      <c r="K1587" t="str">
        <f>TEXT(SalesData[[#This Row],[Order Date]],"mmm")</f>
        <v>Mar</v>
      </c>
      <c r="L1587">
        <f>MONTH(SalesData[[#This Row],[Order Date]])</f>
        <v>3</v>
      </c>
      <c r="M1587">
        <f>SalesData[[#This Row],[Sales]]/SalesData[[#This Row],[Quantity]]</f>
        <v>67.164999999999992</v>
      </c>
      <c r="N1587" t="str">
        <f>IF(SalesData[[#This Row],[Profit]]&gt;0,"Profit","Loss")</f>
        <v>Loss</v>
      </c>
    </row>
    <row r="1588" spans="1:14" x14ac:dyDescent="0.3">
      <c r="A1588" t="s">
        <v>2082</v>
      </c>
      <c r="B1588" s="3">
        <v>42441</v>
      </c>
      <c r="C1588" t="s">
        <v>17</v>
      </c>
      <c r="D1588" t="s">
        <v>21</v>
      </c>
      <c r="E1588" t="s">
        <v>727</v>
      </c>
      <c r="F1588" s="1">
        <v>182.72</v>
      </c>
      <c r="G1588">
        <v>8</v>
      </c>
      <c r="H1588" s="1">
        <v>84.051199999999994</v>
      </c>
      <c r="I1588" s="4">
        <f>SalesData[[#This Row],[Profit]]/SalesData[[#This Row],[Sales]]</f>
        <v>0.45999999999999996</v>
      </c>
      <c r="J1588">
        <f>YEAR(SalesData[[#This Row],[Order Date]])</f>
        <v>2016</v>
      </c>
      <c r="K1588" t="str">
        <f>TEXT(SalesData[[#This Row],[Order Date]],"mmm")</f>
        <v>Mar</v>
      </c>
      <c r="L1588">
        <f>MONTH(SalesData[[#This Row],[Order Date]])</f>
        <v>3</v>
      </c>
      <c r="M1588">
        <f>SalesData[[#This Row],[Sales]]/SalesData[[#This Row],[Quantity]]</f>
        <v>22.84</v>
      </c>
      <c r="N1588" t="str">
        <f>IF(SalesData[[#This Row],[Profit]]&gt;0,"Profit","Loss")</f>
        <v>Profit</v>
      </c>
    </row>
    <row r="1589" spans="1:14" x14ac:dyDescent="0.3">
      <c r="A1589" t="s">
        <v>2082</v>
      </c>
      <c r="B1589" s="3">
        <v>42441</v>
      </c>
      <c r="C1589" t="s">
        <v>17</v>
      </c>
      <c r="D1589" t="s">
        <v>14</v>
      </c>
      <c r="E1589" t="s">
        <v>984</v>
      </c>
      <c r="F1589" s="1">
        <v>400.03199999999998</v>
      </c>
      <c r="G1589">
        <v>2</v>
      </c>
      <c r="H1589" s="1">
        <v>-153.34559999999999</v>
      </c>
      <c r="I1589" s="4">
        <f>SalesData[[#This Row],[Profit]]/SalesData[[#This Row],[Sales]]</f>
        <v>-0.3833333333333333</v>
      </c>
      <c r="J1589">
        <f>YEAR(SalesData[[#This Row],[Order Date]])</f>
        <v>2016</v>
      </c>
      <c r="K1589" t="str">
        <f>TEXT(SalesData[[#This Row],[Order Date]],"mmm")</f>
        <v>Mar</v>
      </c>
      <c r="L1589">
        <f>MONTH(SalesData[[#This Row],[Order Date]])</f>
        <v>3</v>
      </c>
      <c r="M1589">
        <f>SalesData[[#This Row],[Sales]]/SalesData[[#This Row],[Quantity]]</f>
        <v>200.01599999999999</v>
      </c>
      <c r="N1589" t="str">
        <f>IF(SalesData[[#This Row],[Profit]]&gt;0,"Profit","Loss")</f>
        <v>Loss</v>
      </c>
    </row>
    <row r="1590" spans="1:14" x14ac:dyDescent="0.3">
      <c r="A1590" t="s">
        <v>2082</v>
      </c>
      <c r="B1590" s="3">
        <v>42441</v>
      </c>
      <c r="C1590" t="s">
        <v>17</v>
      </c>
      <c r="D1590" t="s">
        <v>21</v>
      </c>
      <c r="E1590" t="s">
        <v>2083</v>
      </c>
      <c r="F1590" s="1">
        <v>33.630000000000003</v>
      </c>
      <c r="G1590">
        <v>3</v>
      </c>
      <c r="H1590" s="1">
        <v>10.089</v>
      </c>
      <c r="I1590" s="4">
        <f>SalesData[[#This Row],[Profit]]/SalesData[[#This Row],[Sales]]</f>
        <v>0.3</v>
      </c>
      <c r="J1590">
        <f>YEAR(SalesData[[#This Row],[Order Date]])</f>
        <v>2016</v>
      </c>
      <c r="K1590" t="str">
        <f>TEXT(SalesData[[#This Row],[Order Date]],"mmm")</f>
        <v>Mar</v>
      </c>
      <c r="L1590">
        <f>MONTH(SalesData[[#This Row],[Order Date]])</f>
        <v>3</v>
      </c>
      <c r="M1590">
        <f>SalesData[[#This Row],[Sales]]/SalesData[[#This Row],[Quantity]]</f>
        <v>11.21</v>
      </c>
      <c r="N1590" t="str">
        <f>IF(SalesData[[#This Row],[Profit]]&gt;0,"Profit","Loss")</f>
        <v>Profit</v>
      </c>
    </row>
    <row r="1591" spans="1:14" x14ac:dyDescent="0.3">
      <c r="A1591" t="s">
        <v>2082</v>
      </c>
      <c r="B1591" s="3">
        <v>42441</v>
      </c>
      <c r="C1591" t="s">
        <v>17</v>
      </c>
      <c r="D1591" t="s">
        <v>14</v>
      </c>
      <c r="E1591" t="s">
        <v>1208</v>
      </c>
      <c r="F1591" s="1">
        <v>542.64599999999996</v>
      </c>
      <c r="G1591">
        <v>3</v>
      </c>
      <c r="H1591" s="1">
        <v>102.49979999999999</v>
      </c>
      <c r="I1591" s="4">
        <f>SalesData[[#This Row],[Profit]]/SalesData[[#This Row],[Sales]]</f>
        <v>0.18888888888888888</v>
      </c>
      <c r="J1591">
        <f>YEAR(SalesData[[#This Row],[Order Date]])</f>
        <v>2016</v>
      </c>
      <c r="K1591" t="str">
        <f>TEXT(SalesData[[#This Row],[Order Date]],"mmm")</f>
        <v>Mar</v>
      </c>
      <c r="L1591">
        <f>MONTH(SalesData[[#This Row],[Order Date]])</f>
        <v>3</v>
      </c>
      <c r="M1591">
        <f>SalesData[[#This Row],[Sales]]/SalesData[[#This Row],[Quantity]]</f>
        <v>180.88199999999998</v>
      </c>
      <c r="N1591" t="str">
        <f>IF(SalesData[[#This Row],[Profit]]&gt;0,"Profit","Loss")</f>
        <v>Profit</v>
      </c>
    </row>
    <row r="1592" spans="1:14" x14ac:dyDescent="0.3">
      <c r="A1592" t="s">
        <v>2082</v>
      </c>
      <c r="B1592" s="3">
        <v>42441</v>
      </c>
      <c r="C1592" t="s">
        <v>17</v>
      </c>
      <c r="D1592" t="s">
        <v>21</v>
      </c>
      <c r="E1592" t="s">
        <v>1833</v>
      </c>
      <c r="F1592" s="1">
        <v>6.3</v>
      </c>
      <c r="G1592">
        <v>2</v>
      </c>
      <c r="H1592" s="1">
        <v>3.024</v>
      </c>
      <c r="I1592" s="4">
        <f>SalesData[[#This Row],[Profit]]/SalesData[[#This Row],[Sales]]</f>
        <v>0.48000000000000004</v>
      </c>
      <c r="J1592">
        <f>YEAR(SalesData[[#This Row],[Order Date]])</f>
        <v>2016</v>
      </c>
      <c r="K1592" t="str">
        <f>TEXT(SalesData[[#This Row],[Order Date]],"mmm")</f>
        <v>Mar</v>
      </c>
      <c r="L1592">
        <f>MONTH(SalesData[[#This Row],[Order Date]])</f>
        <v>3</v>
      </c>
      <c r="M1592">
        <f>SalesData[[#This Row],[Sales]]/SalesData[[#This Row],[Quantity]]</f>
        <v>3.15</v>
      </c>
      <c r="N1592" t="str">
        <f>IF(SalesData[[#This Row],[Profit]]&gt;0,"Profit","Loss")</f>
        <v>Profit</v>
      </c>
    </row>
    <row r="1593" spans="1:14" x14ac:dyDescent="0.3">
      <c r="A1593" t="s">
        <v>2084</v>
      </c>
      <c r="B1593" s="3">
        <v>42441</v>
      </c>
      <c r="C1593" t="s">
        <v>17</v>
      </c>
      <c r="D1593" t="s">
        <v>21</v>
      </c>
      <c r="E1593" t="s">
        <v>1622</v>
      </c>
      <c r="F1593" s="1">
        <v>394.81599999999997</v>
      </c>
      <c r="G1593">
        <v>4</v>
      </c>
      <c r="H1593" s="1">
        <v>93.768799999999999</v>
      </c>
      <c r="I1593" s="4">
        <f>SalesData[[#This Row],[Profit]]/SalesData[[#This Row],[Sales]]</f>
        <v>0.23750000000000002</v>
      </c>
      <c r="J1593">
        <f>YEAR(SalesData[[#This Row],[Order Date]])</f>
        <v>2016</v>
      </c>
      <c r="K1593" t="str">
        <f>TEXT(SalesData[[#This Row],[Order Date]],"mmm")</f>
        <v>Mar</v>
      </c>
      <c r="L1593">
        <f>MONTH(SalesData[[#This Row],[Order Date]])</f>
        <v>3</v>
      </c>
      <c r="M1593">
        <f>SalesData[[#This Row],[Sales]]/SalesData[[#This Row],[Quantity]]</f>
        <v>98.703999999999994</v>
      </c>
      <c r="N1593" t="str">
        <f>IF(SalesData[[#This Row],[Profit]]&gt;0,"Profit","Loss")</f>
        <v>Profit</v>
      </c>
    </row>
    <row r="1594" spans="1:14" x14ac:dyDescent="0.3">
      <c r="A1594" t="s">
        <v>2084</v>
      </c>
      <c r="B1594" s="3">
        <v>42441</v>
      </c>
      <c r="C1594" t="s">
        <v>17</v>
      </c>
      <c r="D1594" t="s">
        <v>21</v>
      </c>
      <c r="E1594" t="s">
        <v>43</v>
      </c>
      <c r="F1594" s="1">
        <v>18.192</v>
      </c>
      <c r="G1594">
        <v>4</v>
      </c>
      <c r="H1594" s="1">
        <v>-14.553599999999999</v>
      </c>
      <c r="I1594" s="4">
        <f>SalesData[[#This Row],[Profit]]/SalesData[[#This Row],[Sales]]</f>
        <v>-0.79999999999999993</v>
      </c>
      <c r="J1594">
        <f>YEAR(SalesData[[#This Row],[Order Date]])</f>
        <v>2016</v>
      </c>
      <c r="K1594" t="str">
        <f>TEXT(SalesData[[#This Row],[Order Date]],"mmm")</f>
        <v>Mar</v>
      </c>
      <c r="L1594">
        <f>MONTH(SalesData[[#This Row],[Order Date]])</f>
        <v>3</v>
      </c>
      <c r="M1594">
        <f>SalesData[[#This Row],[Sales]]/SalesData[[#This Row],[Quantity]]</f>
        <v>4.548</v>
      </c>
      <c r="N1594" t="str">
        <f>IF(SalesData[[#This Row],[Profit]]&gt;0,"Profit","Loss")</f>
        <v>Loss</v>
      </c>
    </row>
    <row r="1595" spans="1:14" x14ac:dyDescent="0.3">
      <c r="A1595" t="s">
        <v>2085</v>
      </c>
      <c r="B1595" s="3">
        <v>42441</v>
      </c>
      <c r="C1595" t="s">
        <v>13</v>
      </c>
      <c r="D1595" t="s">
        <v>10</v>
      </c>
      <c r="E1595" t="s">
        <v>1287</v>
      </c>
      <c r="F1595" s="1">
        <v>1649.95</v>
      </c>
      <c r="G1595">
        <v>5</v>
      </c>
      <c r="H1595" s="1">
        <v>659.98</v>
      </c>
      <c r="I1595" s="4">
        <f>SalesData[[#This Row],[Profit]]/SalesData[[#This Row],[Sales]]</f>
        <v>0.4</v>
      </c>
      <c r="J1595">
        <f>YEAR(SalesData[[#This Row],[Order Date]])</f>
        <v>2016</v>
      </c>
      <c r="K1595" t="str">
        <f>TEXT(SalesData[[#This Row],[Order Date]],"mmm")</f>
        <v>Mar</v>
      </c>
      <c r="L1595">
        <f>MONTH(SalesData[[#This Row],[Order Date]])</f>
        <v>3</v>
      </c>
      <c r="M1595">
        <f>SalesData[[#This Row],[Sales]]/SalesData[[#This Row],[Quantity]]</f>
        <v>329.99</v>
      </c>
      <c r="N1595" t="str">
        <f>IF(SalesData[[#This Row],[Profit]]&gt;0,"Profit","Loss")</f>
        <v>Profit</v>
      </c>
    </row>
    <row r="1596" spans="1:14" x14ac:dyDescent="0.3">
      <c r="A1596" t="s">
        <v>2085</v>
      </c>
      <c r="B1596" s="3">
        <v>42441</v>
      </c>
      <c r="C1596" t="s">
        <v>13</v>
      </c>
      <c r="D1596" t="s">
        <v>14</v>
      </c>
      <c r="E1596" t="s">
        <v>2086</v>
      </c>
      <c r="F1596" s="1">
        <v>111.9</v>
      </c>
      <c r="G1596">
        <v>6</v>
      </c>
      <c r="H1596" s="1">
        <v>51.473999999999997</v>
      </c>
      <c r="I1596" s="4">
        <f>SalesData[[#This Row],[Profit]]/SalesData[[#This Row],[Sales]]</f>
        <v>0.45999999999999996</v>
      </c>
      <c r="J1596">
        <f>YEAR(SalesData[[#This Row],[Order Date]])</f>
        <v>2016</v>
      </c>
      <c r="K1596" t="str">
        <f>TEXT(SalesData[[#This Row],[Order Date]],"mmm")</f>
        <v>Mar</v>
      </c>
      <c r="L1596">
        <f>MONTH(SalesData[[#This Row],[Order Date]])</f>
        <v>3</v>
      </c>
      <c r="M1596">
        <f>SalesData[[#This Row],[Sales]]/SalesData[[#This Row],[Quantity]]</f>
        <v>18.650000000000002</v>
      </c>
      <c r="N1596" t="str">
        <f>IF(SalesData[[#This Row],[Profit]]&gt;0,"Profit","Loss")</f>
        <v>Profit</v>
      </c>
    </row>
    <row r="1597" spans="1:14" x14ac:dyDescent="0.3">
      <c r="A1597" t="s">
        <v>2087</v>
      </c>
      <c r="B1597" s="3">
        <v>42441</v>
      </c>
      <c r="C1597" t="s">
        <v>9</v>
      </c>
      <c r="D1597" t="s">
        <v>14</v>
      </c>
      <c r="E1597" t="s">
        <v>986</v>
      </c>
      <c r="F1597" s="1">
        <v>581.96</v>
      </c>
      <c r="G1597">
        <v>2</v>
      </c>
      <c r="H1597" s="1">
        <v>104.75279999999999</v>
      </c>
      <c r="I1597" s="4">
        <f>SalesData[[#This Row],[Profit]]/SalesData[[#This Row],[Sales]]</f>
        <v>0.17999999999999997</v>
      </c>
      <c r="J1597">
        <f>YEAR(SalesData[[#This Row],[Order Date]])</f>
        <v>2016</v>
      </c>
      <c r="K1597" t="str">
        <f>TEXT(SalesData[[#This Row],[Order Date]],"mmm")</f>
        <v>Mar</v>
      </c>
      <c r="L1597">
        <f>MONTH(SalesData[[#This Row],[Order Date]])</f>
        <v>3</v>
      </c>
      <c r="M1597">
        <f>SalesData[[#This Row],[Sales]]/SalesData[[#This Row],[Quantity]]</f>
        <v>290.98</v>
      </c>
      <c r="N1597" t="str">
        <f>IF(SalesData[[#This Row],[Profit]]&gt;0,"Profit","Loss")</f>
        <v>Profit</v>
      </c>
    </row>
    <row r="1598" spans="1:14" x14ac:dyDescent="0.3">
      <c r="A1598" t="s">
        <v>2087</v>
      </c>
      <c r="B1598" s="3">
        <v>42441</v>
      </c>
      <c r="C1598" t="s">
        <v>9</v>
      </c>
      <c r="D1598" t="s">
        <v>14</v>
      </c>
      <c r="E1598" t="s">
        <v>211</v>
      </c>
      <c r="F1598" s="1">
        <v>29.98</v>
      </c>
      <c r="G1598">
        <v>1</v>
      </c>
      <c r="H1598" s="1">
        <v>8.0945999999999998</v>
      </c>
      <c r="I1598" s="4">
        <f>SalesData[[#This Row],[Profit]]/SalesData[[#This Row],[Sales]]</f>
        <v>0.26999999999999996</v>
      </c>
      <c r="J1598">
        <f>YEAR(SalesData[[#This Row],[Order Date]])</f>
        <v>2016</v>
      </c>
      <c r="K1598" t="str">
        <f>TEXT(SalesData[[#This Row],[Order Date]],"mmm")</f>
        <v>Mar</v>
      </c>
      <c r="L1598">
        <f>MONTH(SalesData[[#This Row],[Order Date]])</f>
        <v>3</v>
      </c>
      <c r="M1598">
        <f>SalesData[[#This Row],[Sales]]/SalesData[[#This Row],[Quantity]]</f>
        <v>29.98</v>
      </c>
      <c r="N1598" t="str">
        <f>IF(SalesData[[#This Row],[Profit]]&gt;0,"Profit","Loss")</f>
        <v>Profit</v>
      </c>
    </row>
    <row r="1599" spans="1:14" x14ac:dyDescent="0.3">
      <c r="A1599" t="s">
        <v>2088</v>
      </c>
      <c r="B1599" s="3">
        <v>42441</v>
      </c>
      <c r="C1599" t="s">
        <v>13</v>
      </c>
      <c r="D1599" t="s">
        <v>21</v>
      </c>
      <c r="E1599" t="s">
        <v>542</v>
      </c>
      <c r="F1599" s="1">
        <v>772.68</v>
      </c>
      <c r="G1599">
        <v>4</v>
      </c>
      <c r="H1599" s="1">
        <v>108.1752</v>
      </c>
      <c r="I1599" s="4">
        <f>SalesData[[#This Row],[Profit]]/SalesData[[#This Row],[Sales]]</f>
        <v>0.14000000000000001</v>
      </c>
      <c r="J1599">
        <f>YEAR(SalesData[[#This Row],[Order Date]])</f>
        <v>2016</v>
      </c>
      <c r="K1599" t="str">
        <f>TEXT(SalesData[[#This Row],[Order Date]],"mmm")</f>
        <v>Mar</v>
      </c>
      <c r="L1599">
        <f>MONTH(SalesData[[#This Row],[Order Date]])</f>
        <v>3</v>
      </c>
      <c r="M1599">
        <f>SalesData[[#This Row],[Sales]]/SalesData[[#This Row],[Quantity]]</f>
        <v>193.17</v>
      </c>
      <c r="N1599" t="str">
        <f>IF(SalesData[[#This Row],[Profit]]&gt;0,"Profit","Loss")</f>
        <v>Profit</v>
      </c>
    </row>
    <row r="1600" spans="1:14" x14ac:dyDescent="0.3">
      <c r="A1600" t="s">
        <v>2089</v>
      </c>
      <c r="B1600" s="3">
        <v>42441</v>
      </c>
      <c r="C1600" t="s">
        <v>13</v>
      </c>
      <c r="D1600" t="s">
        <v>14</v>
      </c>
      <c r="E1600" t="s">
        <v>2090</v>
      </c>
      <c r="F1600" s="1">
        <v>268.70400000000001</v>
      </c>
      <c r="G1600">
        <v>3</v>
      </c>
      <c r="H1600" s="1">
        <v>6.7176</v>
      </c>
      <c r="I1600" s="4">
        <f>SalesData[[#This Row],[Profit]]/SalesData[[#This Row],[Sales]]</f>
        <v>2.4999999999999998E-2</v>
      </c>
      <c r="J1600">
        <f>YEAR(SalesData[[#This Row],[Order Date]])</f>
        <v>2016</v>
      </c>
      <c r="K1600" t="str">
        <f>TEXT(SalesData[[#This Row],[Order Date]],"mmm")</f>
        <v>Mar</v>
      </c>
      <c r="L1600">
        <f>MONTH(SalesData[[#This Row],[Order Date]])</f>
        <v>3</v>
      </c>
      <c r="M1600">
        <f>SalesData[[#This Row],[Sales]]/SalesData[[#This Row],[Quantity]]</f>
        <v>89.567999999999998</v>
      </c>
      <c r="N1600" t="str">
        <f>IF(SalesData[[#This Row],[Profit]]&gt;0,"Profit","Loss")</f>
        <v>Profit</v>
      </c>
    </row>
    <row r="1601" spans="1:14" x14ac:dyDescent="0.3">
      <c r="A1601" t="s">
        <v>2089</v>
      </c>
      <c r="B1601" s="3">
        <v>42441</v>
      </c>
      <c r="C1601" t="s">
        <v>13</v>
      </c>
      <c r="D1601" t="s">
        <v>21</v>
      </c>
      <c r="E1601" t="s">
        <v>489</v>
      </c>
      <c r="F1601" s="1">
        <v>21.92</v>
      </c>
      <c r="G1601">
        <v>8</v>
      </c>
      <c r="H1601" s="1">
        <v>5.9184000000000001</v>
      </c>
      <c r="I1601" s="4">
        <f>SalesData[[#This Row],[Profit]]/SalesData[[#This Row],[Sales]]</f>
        <v>0.26999999999999996</v>
      </c>
      <c r="J1601">
        <f>YEAR(SalesData[[#This Row],[Order Date]])</f>
        <v>2016</v>
      </c>
      <c r="K1601" t="str">
        <f>TEXT(SalesData[[#This Row],[Order Date]],"mmm")</f>
        <v>Mar</v>
      </c>
      <c r="L1601">
        <f>MONTH(SalesData[[#This Row],[Order Date]])</f>
        <v>3</v>
      </c>
      <c r="M1601">
        <f>SalesData[[#This Row],[Sales]]/SalesData[[#This Row],[Quantity]]</f>
        <v>2.74</v>
      </c>
      <c r="N1601" t="str">
        <f>IF(SalesData[[#This Row],[Profit]]&gt;0,"Profit","Loss")</f>
        <v>Profit</v>
      </c>
    </row>
    <row r="1602" spans="1:14" x14ac:dyDescent="0.3">
      <c r="A1602" t="s">
        <v>2089</v>
      </c>
      <c r="B1602" s="3">
        <v>42441</v>
      </c>
      <c r="C1602" t="s">
        <v>13</v>
      </c>
      <c r="D1602" t="s">
        <v>21</v>
      </c>
      <c r="E1602" t="s">
        <v>288</v>
      </c>
      <c r="F1602" s="1">
        <v>48.72</v>
      </c>
      <c r="G1602">
        <v>3</v>
      </c>
      <c r="H1602" s="1">
        <v>7.3079999999999998</v>
      </c>
      <c r="I1602" s="4">
        <f>SalesData[[#This Row],[Profit]]/SalesData[[#This Row],[Sales]]</f>
        <v>0.15</v>
      </c>
      <c r="J1602">
        <f>YEAR(SalesData[[#This Row],[Order Date]])</f>
        <v>2016</v>
      </c>
      <c r="K1602" t="str">
        <f>TEXT(SalesData[[#This Row],[Order Date]],"mmm")</f>
        <v>Mar</v>
      </c>
      <c r="L1602">
        <f>MONTH(SalesData[[#This Row],[Order Date]])</f>
        <v>3</v>
      </c>
      <c r="M1602">
        <f>SalesData[[#This Row],[Sales]]/SalesData[[#This Row],[Quantity]]</f>
        <v>16.239999999999998</v>
      </c>
      <c r="N1602" t="str">
        <f>IF(SalesData[[#This Row],[Profit]]&gt;0,"Profit","Loss")</f>
        <v>Profit</v>
      </c>
    </row>
    <row r="1603" spans="1:14" x14ac:dyDescent="0.3">
      <c r="A1603" t="s">
        <v>2089</v>
      </c>
      <c r="B1603" s="3">
        <v>42441</v>
      </c>
      <c r="C1603" t="s">
        <v>13</v>
      </c>
      <c r="D1603" t="s">
        <v>14</v>
      </c>
      <c r="E1603" t="s">
        <v>977</v>
      </c>
      <c r="F1603" s="1">
        <v>205.666</v>
      </c>
      <c r="G1603">
        <v>2</v>
      </c>
      <c r="H1603" s="1">
        <v>-12.098000000000001</v>
      </c>
      <c r="I1603" s="4">
        <f>SalesData[[#This Row],[Profit]]/SalesData[[#This Row],[Sales]]</f>
        <v>-5.8823529411764712E-2</v>
      </c>
      <c r="J1603">
        <f>YEAR(SalesData[[#This Row],[Order Date]])</f>
        <v>2016</v>
      </c>
      <c r="K1603" t="str">
        <f>TEXT(SalesData[[#This Row],[Order Date]],"mmm")</f>
        <v>Mar</v>
      </c>
      <c r="L1603">
        <f>MONTH(SalesData[[#This Row],[Order Date]])</f>
        <v>3</v>
      </c>
      <c r="M1603">
        <f>SalesData[[#This Row],[Sales]]/SalesData[[#This Row],[Quantity]]</f>
        <v>102.833</v>
      </c>
      <c r="N1603" t="str">
        <f>IF(SalesData[[#This Row],[Profit]]&gt;0,"Profit","Loss")</f>
        <v>Loss</v>
      </c>
    </row>
    <row r="1604" spans="1:14" x14ac:dyDescent="0.3">
      <c r="A1604" t="s">
        <v>2091</v>
      </c>
      <c r="B1604" s="3">
        <v>42461</v>
      </c>
      <c r="C1604" t="s">
        <v>46</v>
      </c>
      <c r="D1604" t="s">
        <v>10</v>
      </c>
      <c r="E1604" t="s">
        <v>1832</v>
      </c>
      <c r="F1604" s="1">
        <v>959.96799999999996</v>
      </c>
      <c r="G1604">
        <v>4</v>
      </c>
      <c r="H1604" s="1">
        <v>119.996</v>
      </c>
      <c r="I1604" s="4">
        <f>SalesData[[#This Row],[Profit]]/SalesData[[#This Row],[Sales]]</f>
        <v>0.125</v>
      </c>
      <c r="J1604">
        <f>YEAR(SalesData[[#This Row],[Order Date]])</f>
        <v>2016</v>
      </c>
      <c r="K1604" t="str">
        <f>TEXT(SalesData[[#This Row],[Order Date]],"mmm")</f>
        <v>Apr</v>
      </c>
      <c r="L1604">
        <f>MONTH(SalesData[[#This Row],[Order Date]])</f>
        <v>4</v>
      </c>
      <c r="M1604">
        <f>SalesData[[#This Row],[Sales]]/SalesData[[#This Row],[Quantity]]</f>
        <v>239.99199999999999</v>
      </c>
      <c r="N1604" t="str">
        <f>IF(SalesData[[#This Row],[Profit]]&gt;0,"Profit","Loss")</f>
        <v>Profit</v>
      </c>
    </row>
    <row r="1605" spans="1:14" x14ac:dyDescent="0.3">
      <c r="A1605" t="s">
        <v>2092</v>
      </c>
      <c r="B1605" s="3">
        <v>42461</v>
      </c>
      <c r="C1605" t="s">
        <v>17</v>
      </c>
      <c r="D1605" t="s">
        <v>21</v>
      </c>
      <c r="E1605" t="s">
        <v>731</v>
      </c>
      <c r="F1605" s="1">
        <v>4.6719999999999997</v>
      </c>
      <c r="G1605">
        <v>1</v>
      </c>
      <c r="H1605" s="1">
        <v>0.58399999999999996</v>
      </c>
      <c r="I1605" s="4">
        <f>SalesData[[#This Row],[Profit]]/SalesData[[#This Row],[Sales]]</f>
        <v>0.125</v>
      </c>
      <c r="J1605">
        <f>YEAR(SalesData[[#This Row],[Order Date]])</f>
        <v>2016</v>
      </c>
      <c r="K1605" t="str">
        <f>TEXT(SalesData[[#This Row],[Order Date]],"mmm")</f>
        <v>Apr</v>
      </c>
      <c r="L1605">
        <f>MONTH(SalesData[[#This Row],[Order Date]])</f>
        <v>4</v>
      </c>
      <c r="M1605">
        <f>SalesData[[#This Row],[Sales]]/SalesData[[#This Row],[Quantity]]</f>
        <v>4.6719999999999997</v>
      </c>
      <c r="N1605" t="str">
        <f>IF(SalesData[[#This Row],[Profit]]&gt;0,"Profit","Loss")</f>
        <v>Profit</v>
      </c>
    </row>
    <row r="1606" spans="1:14" x14ac:dyDescent="0.3">
      <c r="A1606" t="s">
        <v>2092</v>
      </c>
      <c r="B1606" s="3">
        <v>42461</v>
      </c>
      <c r="C1606" t="s">
        <v>17</v>
      </c>
      <c r="D1606" t="s">
        <v>21</v>
      </c>
      <c r="E1606" t="s">
        <v>912</v>
      </c>
      <c r="F1606" s="1">
        <v>104.58</v>
      </c>
      <c r="G1606">
        <v>6</v>
      </c>
      <c r="H1606" s="1">
        <v>-80.177999999999997</v>
      </c>
      <c r="I1606" s="4">
        <f>SalesData[[#This Row],[Profit]]/SalesData[[#This Row],[Sales]]</f>
        <v>-0.76666666666666661</v>
      </c>
      <c r="J1606">
        <f>YEAR(SalesData[[#This Row],[Order Date]])</f>
        <v>2016</v>
      </c>
      <c r="K1606" t="str">
        <f>TEXT(SalesData[[#This Row],[Order Date]],"mmm")</f>
        <v>Apr</v>
      </c>
      <c r="L1606">
        <f>MONTH(SalesData[[#This Row],[Order Date]])</f>
        <v>4</v>
      </c>
      <c r="M1606">
        <f>SalesData[[#This Row],[Sales]]/SalesData[[#This Row],[Quantity]]</f>
        <v>17.43</v>
      </c>
      <c r="N1606" t="str">
        <f>IF(SalesData[[#This Row],[Profit]]&gt;0,"Profit","Loss")</f>
        <v>Loss</v>
      </c>
    </row>
    <row r="1607" spans="1:14" x14ac:dyDescent="0.3">
      <c r="A1607" t="s">
        <v>2093</v>
      </c>
      <c r="B1607" s="3">
        <v>42462</v>
      </c>
      <c r="C1607" t="s">
        <v>13</v>
      </c>
      <c r="D1607" t="s">
        <v>14</v>
      </c>
      <c r="E1607" t="s">
        <v>550</v>
      </c>
      <c r="F1607" s="1">
        <v>14.368</v>
      </c>
      <c r="G1607">
        <v>2</v>
      </c>
      <c r="H1607" s="1">
        <v>3.9512</v>
      </c>
      <c r="I1607" s="4">
        <f>SalesData[[#This Row],[Profit]]/SalesData[[#This Row],[Sales]]</f>
        <v>0.27500000000000002</v>
      </c>
      <c r="J1607">
        <f>YEAR(SalesData[[#This Row],[Order Date]])</f>
        <v>2016</v>
      </c>
      <c r="K1607" t="str">
        <f>TEXT(SalesData[[#This Row],[Order Date]],"mmm")</f>
        <v>Apr</v>
      </c>
      <c r="L1607">
        <f>MONTH(SalesData[[#This Row],[Order Date]])</f>
        <v>4</v>
      </c>
      <c r="M1607">
        <f>SalesData[[#This Row],[Sales]]/SalesData[[#This Row],[Quantity]]</f>
        <v>7.1840000000000002</v>
      </c>
      <c r="N1607" t="str">
        <f>IF(SalesData[[#This Row],[Profit]]&gt;0,"Profit","Loss")</f>
        <v>Profit</v>
      </c>
    </row>
    <row r="1608" spans="1:14" x14ac:dyDescent="0.3">
      <c r="A1608" t="s">
        <v>2094</v>
      </c>
      <c r="B1608" s="3">
        <v>42462</v>
      </c>
      <c r="C1608" t="s">
        <v>17</v>
      </c>
      <c r="D1608" t="s">
        <v>10</v>
      </c>
      <c r="E1608" t="s">
        <v>125</v>
      </c>
      <c r="F1608" s="1">
        <v>90.48</v>
      </c>
      <c r="G1608">
        <v>2</v>
      </c>
      <c r="H1608" s="1">
        <v>23.524799999999999</v>
      </c>
      <c r="I1608" s="4">
        <f>SalesData[[#This Row],[Profit]]/SalesData[[#This Row],[Sales]]</f>
        <v>0.25999999999999995</v>
      </c>
      <c r="J1608">
        <f>YEAR(SalesData[[#This Row],[Order Date]])</f>
        <v>2016</v>
      </c>
      <c r="K1608" t="str">
        <f>TEXT(SalesData[[#This Row],[Order Date]],"mmm")</f>
        <v>Apr</v>
      </c>
      <c r="L1608">
        <f>MONTH(SalesData[[#This Row],[Order Date]])</f>
        <v>4</v>
      </c>
      <c r="M1608">
        <f>SalesData[[#This Row],[Sales]]/SalesData[[#This Row],[Quantity]]</f>
        <v>45.24</v>
      </c>
      <c r="N1608" t="str">
        <f>IF(SalesData[[#This Row],[Profit]]&gt;0,"Profit","Loss")</f>
        <v>Profit</v>
      </c>
    </row>
    <row r="1609" spans="1:14" x14ac:dyDescent="0.3">
      <c r="A1609" t="s">
        <v>2095</v>
      </c>
      <c r="B1609" s="3">
        <v>42462</v>
      </c>
      <c r="C1609" t="s">
        <v>13</v>
      </c>
      <c r="D1609" t="s">
        <v>21</v>
      </c>
      <c r="E1609" t="s">
        <v>321</v>
      </c>
      <c r="F1609" s="1">
        <v>93.02</v>
      </c>
      <c r="G1609">
        <v>2</v>
      </c>
      <c r="H1609" s="1">
        <v>3.7208000000000001</v>
      </c>
      <c r="I1609" s="4">
        <f>SalesData[[#This Row],[Profit]]/SalesData[[#This Row],[Sales]]</f>
        <v>0.04</v>
      </c>
      <c r="J1609">
        <f>YEAR(SalesData[[#This Row],[Order Date]])</f>
        <v>2016</v>
      </c>
      <c r="K1609" t="str">
        <f>TEXT(SalesData[[#This Row],[Order Date]],"mmm")</f>
        <v>Apr</v>
      </c>
      <c r="L1609">
        <f>MONTH(SalesData[[#This Row],[Order Date]])</f>
        <v>4</v>
      </c>
      <c r="M1609">
        <f>SalesData[[#This Row],[Sales]]/SalesData[[#This Row],[Quantity]]</f>
        <v>46.51</v>
      </c>
      <c r="N1609" t="str">
        <f>IF(SalesData[[#This Row],[Profit]]&gt;0,"Profit","Loss")</f>
        <v>Profit</v>
      </c>
    </row>
    <row r="1610" spans="1:14" x14ac:dyDescent="0.3">
      <c r="A1610" t="s">
        <v>2096</v>
      </c>
      <c r="B1610" s="3">
        <v>42463</v>
      </c>
      <c r="C1610" t="s">
        <v>13</v>
      </c>
      <c r="D1610" t="s">
        <v>21</v>
      </c>
      <c r="E1610" t="s">
        <v>2097</v>
      </c>
      <c r="F1610" s="1">
        <v>16.989999999999998</v>
      </c>
      <c r="G1610">
        <v>1</v>
      </c>
      <c r="H1610" s="1">
        <v>4.9271000000000003</v>
      </c>
      <c r="I1610" s="4">
        <f>SalesData[[#This Row],[Profit]]/SalesData[[#This Row],[Sales]]</f>
        <v>0.29000000000000004</v>
      </c>
      <c r="J1610">
        <f>YEAR(SalesData[[#This Row],[Order Date]])</f>
        <v>2016</v>
      </c>
      <c r="K1610" t="str">
        <f>TEXT(SalesData[[#This Row],[Order Date]],"mmm")</f>
        <v>Apr</v>
      </c>
      <c r="L1610">
        <f>MONTH(SalesData[[#This Row],[Order Date]])</f>
        <v>4</v>
      </c>
      <c r="M1610">
        <f>SalesData[[#This Row],[Sales]]/SalesData[[#This Row],[Quantity]]</f>
        <v>16.989999999999998</v>
      </c>
      <c r="N1610" t="str">
        <f>IF(SalesData[[#This Row],[Profit]]&gt;0,"Profit","Loss")</f>
        <v>Profit</v>
      </c>
    </row>
    <row r="1611" spans="1:14" x14ac:dyDescent="0.3">
      <c r="A1611" t="s">
        <v>2098</v>
      </c>
      <c r="B1611" s="3">
        <v>42463</v>
      </c>
      <c r="C1611" t="s">
        <v>46</v>
      </c>
      <c r="D1611" t="s">
        <v>21</v>
      </c>
      <c r="E1611" t="s">
        <v>314</v>
      </c>
      <c r="F1611" s="1">
        <v>10.08</v>
      </c>
      <c r="G1611">
        <v>4</v>
      </c>
      <c r="H1611" s="1">
        <v>3.528</v>
      </c>
      <c r="I1611" s="4">
        <f>SalesData[[#This Row],[Profit]]/SalesData[[#This Row],[Sales]]</f>
        <v>0.35</v>
      </c>
      <c r="J1611">
        <f>YEAR(SalesData[[#This Row],[Order Date]])</f>
        <v>2016</v>
      </c>
      <c r="K1611" t="str">
        <f>TEXT(SalesData[[#This Row],[Order Date]],"mmm")</f>
        <v>Apr</v>
      </c>
      <c r="L1611">
        <f>MONTH(SalesData[[#This Row],[Order Date]])</f>
        <v>4</v>
      </c>
      <c r="M1611">
        <f>SalesData[[#This Row],[Sales]]/SalesData[[#This Row],[Quantity]]</f>
        <v>2.52</v>
      </c>
      <c r="N1611" t="str">
        <f>IF(SalesData[[#This Row],[Profit]]&gt;0,"Profit","Loss")</f>
        <v>Profit</v>
      </c>
    </row>
    <row r="1612" spans="1:14" x14ac:dyDescent="0.3">
      <c r="A1612" t="s">
        <v>2099</v>
      </c>
      <c r="B1612" s="3">
        <v>42463</v>
      </c>
      <c r="C1612" t="s">
        <v>9</v>
      </c>
      <c r="D1612" t="s">
        <v>21</v>
      </c>
      <c r="E1612" t="s">
        <v>661</v>
      </c>
      <c r="F1612" s="1">
        <v>128.4</v>
      </c>
      <c r="G1612">
        <v>3</v>
      </c>
      <c r="H1612" s="1">
        <v>64.2</v>
      </c>
      <c r="I1612" s="4">
        <f>SalesData[[#This Row],[Profit]]/SalesData[[#This Row],[Sales]]</f>
        <v>0.5</v>
      </c>
      <c r="J1612">
        <f>YEAR(SalesData[[#This Row],[Order Date]])</f>
        <v>2016</v>
      </c>
      <c r="K1612" t="str">
        <f>TEXT(SalesData[[#This Row],[Order Date]],"mmm")</f>
        <v>Apr</v>
      </c>
      <c r="L1612">
        <f>MONTH(SalesData[[#This Row],[Order Date]])</f>
        <v>4</v>
      </c>
      <c r="M1612">
        <f>SalesData[[#This Row],[Sales]]/SalesData[[#This Row],[Quantity]]</f>
        <v>42.800000000000004</v>
      </c>
      <c r="N1612" t="str">
        <f>IF(SalesData[[#This Row],[Profit]]&gt;0,"Profit","Loss")</f>
        <v>Profit</v>
      </c>
    </row>
    <row r="1613" spans="1:14" x14ac:dyDescent="0.3">
      <c r="A1613" t="s">
        <v>2100</v>
      </c>
      <c r="B1613" s="3">
        <v>42463</v>
      </c>
      <c r="C1613" t="s">
        <v>17</v>
      </c>
      <c r="D1613" t="s">
        <v>10</v>
      </c>
      <c r="E1613" t="s">
        <v>1038</v>
      </c>
      <c r="F1613" s="1">
        <v>159.97999999999999</v>
      </c>
      <c r="G1613">
        <v>2</v>
      </c>
      <c r="H1613" s="1">
        <v>57.592799999999997</v>
      </c>
      <c r="I1613" s="4">
        <f>SalesData[[#This Row],[Profit]]/SalesData[[#This Row],[Sales]]</f>
        <v>0.36</v>
      </c>
      <c r="J1613">
        <f>YEAR(SalesData[[#This Row],[Order Date]])</f>
        <v>2016</v>
      </c>
      <c r="K1613" t="str">
        <f>TEXT(SalesData[[#This Row],[Order Date]],"mmm")</f>
        <v>Apr</v>
      </c>
      <c r="L1613">
        <f>MONTH(SalesData[[#This Row],[Order Date]])</f>
        <v>4</v>
      </c>
      <c r="M1613">
        <f>SalesData[[#This Row],[Sales]]/SalesData[[#This Row],[Quantity]]</f>
        <v>79.989999999999995</v>
      </c>
      <c r="N1613" t="str">
        <f>IF(SalesData[[#This Row],[Profit]]&gt;0,"Profit","Loss")</f>
        <v>Profit</v>
      </c>
    </row>
    <row r="1614" spans="1:14" x14ac:dyDescent="0.3">
      <c r="A1614" t="s">
        <v>2101</v>
      </c>
      <c r="B1614" s="3">
        <v>42464</v>
      </c>
      <c r="C1614" t="s">
        <v>46</v>
      </c>
      <c r="D1614" t="s">
        <v>10</v>
      </c>
      <c r="E1614" t="s">
        <v>2102</v>
      </c>
      <c r="F1614" s="1">
        <v>149.97</v>
      </c>
      <c r="G1614">
        <v>3</v>
      </c>
      <c r="H1614" s="1">
        <v>5.9988000000000001</v>
      </c>
      <c r="I1614" s="4">
        <f>SalesData[[#This Row],[Profit]]/SalesData[[#This Row],[Sales]]</f>
        <v>0.04</v>
      </c>
      <c r="J1614">
        <f>YEAR(SalesData[[#This Row],[Order Date]])</f>
        <v>2016</v>
      </c>
      <c r="K1614" t="str">
        <f>TEXT(SalesData[[#This Row],[Order Date]],"mmm")</f>
        <v>Apr</v>
      </c>
      <c r="L1614">
        <f>MONTH(SalesData[[#This Row],[Order Date]])</f>
        <v>4</v>
      </c>
      <c r="M1614">
        <f>SalesData[[#This Row],[Sales]]/SalesData[[#This Row],[Quantity]]</f>
        <v>49.99</v>
      </c>
      <c r="N1614" t="str">
        <f>IF(SalesData[[#This Row],[Profit]]&gt;0,"Profit","Loss")</f>
        <v>Profit</v>
      </c>
    </row>
    <row r="1615" spans="1:14" x14ac:dyDescent="0.3">
      <c r="A1615" t="s">
        <v>2101</v>
      </c>
      <c r="B1615" s="3">
        <v>42464</v>
      </c>
      <c r="C1615" t="s">
        <v>46</v>
      </c>
      <c r="D1615" t="s">
        <v>21</v>
      </c>
      <c r="E1615" t="s">
        <v>969</v>
      </c>
      <c r="F1615" s="1">
        <v>27.81</v>
      </c>
      <c r="G1615">
        <v>3</v>
      </c>
      <c r="H1615" s="1">
        <v>13.0707</v>
      </c>
      <c r="I1615" s="4">
        <f>SalesData[[#This Row],[Profit]]/SalesData[[#This Row],[Sales]]</f>
        <v>0.47000000000000003</v>
      </c>
      <c r="J1615">
        <f>YEAR(SalesData[[#This Row],[Order Date]])</f>
        <v>2016</v>
      </c>
      <c r="K1615" t="str">
        <f>TEXT(SalesData[[#This Row],[Order Date]],"mmm")</f>
        <v>Apr</v>
      </c>
      <c r="L1615">
        <f>MONTH(SalesData[[#This Row],[Order Date]])</f>
        <v>4</v>
      </c>
      <c r="M1615">
        <f>SalesData[[#This Row],[Sales]]/SalesData[[#This Row],[Quantity]]</f>
        <v>9.27</v>
      </c>
      <c r="N1615" t="str">
        <f>IF(SalesData[[#This Row],[Profit]]&gt;0,"Profit","Loss")</f>
        <v>Profit</v>
      </c>
    </row>
    <row r="1616" spans="1:14" x14ac:dyDescent="0.3">
      <c r="A1616" t="s">
        <v>2103</v>
      </c>
      <c r="B1616" s="3">
        <v>42464</v>
      </c>
      <c r="C1616" t="s">
        <v>17</v>
      </c>
      <c r="D1616" t="s">
        <v>21</v>
      </c>
      <c r="E1616" t="s">
        <v>774</v>
      </c>
      <c r="F1616" s="1">
        <v>588.78399999999999</v>
      </c>
      <c r="G1616">
        <v>2</v>
      </c>
      <c r="H1616" s="1">
        <v>183.995</v>
      </c>
      <c r="I1616" s="4">
        <f>SalesData[[#This Row],[Profit]]/SalesData[[#This Row],[Sales]]</f>
        <v>0.3125</v>
      </c>
      <c r="J1616">
        <f>YEAR(SalesData[[#This Row],[Order Date]])</f>
        <v>2016</v>
      </c>
      <c r="K1616" t="str">
        <f>TEXT(SalesData[[#This Row],[Order Date]],"mmm")</f>
        <v>Apr</v>
      </c>
      <c r="L1616">
        <f>MONTH(SalesData[[#This Row],[Order Date]])</f>
        <v>4</v>
      </c>
      <c r="M1616">
        <f>SalesData[[#This Row],[Sales]]/SalesData[[#This Row],[Quantity]]</f>
        <v>294.392</v>
      </c>
      <c r="N1616" t="str">
        <f>IF(SalesData[[#This Row],[Profit]]&gt;0,"Profit","Loss")</f>
        <v>Profit</v>
      </c>
    </row>
    <row r="1617" spans="1:14" x14ac:dyDescent="0.3">
      <c r="A1617" t="s">
        <v>2104</v>
      </c>
      <c r="B1617" s="3">
        <v>42464</v>
      </c>
      <c r="C1617" t="s">
        <v>17</v>
      </c>
      <c r="D1617" t="s">
        <v>14</v>
      </c>
      <c r="E1617" t="s">
        <v>906</v>
      </c>
      <c r="F1617" s="1">
        <v>82.64</v>
      </c>
      <c r="G1617">
        <v>2</v>
      </c>
      <c r="H1617" s="1">
        <v>7.4375999999999998</v>
      </c>
      <c r="I1617" s="4">
        <f>SalesData[[#This Row],[Profit]]/SalesData[[#This Row],[Sales]]</f>
        <v>0.09</v>
      </c>
      <c r="J1617">
        <f>YEAR(SalesData[[#This Row],[Order Date]])</f>
        <v>2016</v>
      </c>
      <c r="K1617" t="str">
        <f>TEXT(SalesData[[#This Row],[Order Date]],"mmm")</f>
        <v>Apr</v>
      </c>
      <c r="L1617">
        <f>MONTH(SalesData[[#This Row],[Order Date]])</f>
        <v>4</v>
      </c>
      <c r="M1617">
        <f>SalesData[[#This Row],[Sales]]/SalesData[[#This Row],[Quantity]]</f>
        <v>41.32</v>
      </c>
      <c r="N1617" t="str">
        <f>IF(SalesData[[#This Row],[Profit]]&gt;0,"Profit","Loss")</f>
        <v>Profit</v>
      </c>
    </row>
    <row r="1618" spans="1:14" x14ac:dyDescent="0.3">
      <c r="A1618" t="s">
        <v>2104</v>
      </c>
      <c r="B1618" s="3">
        <v>42464</v>
      </c>
      <c r="C1618" t="s">
        <v>17</v>
      </c>
      <c r="D1618" t="s">
        <v>21</v>
      </c>
      <c r="E1618" t="s">
        <v>398</v>
      </c>
      <c r="F1618" s="1">
        <v>31.02</v>
      </c>
      <c r="G1618">
        <v>2</v>
      </c>
      <c r="H1618" s="1">
        <v>8.0652000000000008</v>
      </c>
      <c r="I1618" s="4">
        <f>SalesData[[#This Row],[Profit]]/SalesData[[#This Row],[Sales]]</f>
        <v>0.26</v>
      </c>
      <c r="J1618">
        <f>YEAR(SalesData[[#This Row],[Order Date]])</f>
        <v>2016</v>
      </c>
      <c r="K1618" t="str">
        <f>TEXT(SalesData[[#This Row],[Order Date]],"mmm")</f>
        <v>Apr</v>
      </c>
      <c r="L1618">
        <f>MONTH(SalesData[[#This Row],[Order Date]])</f>
        <v>4</v>
      </c>
      <c r="M1618">
        <f>SalesData[[#This Row],[Sales]]/SalesData[[#This Row],[Quantity]]</f>
        <v>15.51</v>
      </c>
      <c r="N1618" t="str">
        <f>IF(SalesData[[#This Row],[Profit]]&gt;0,"Profit","Loss")</f>
        <v>Profit</v>
      </c>
    </row>
    <row r="1619" spans="1:14" x14ac:dyDescent="0.3">
      <c r="A1619" t="s">
        <v>2104</v>
      </c>
      <c r="B1619" s="3">
        <v>42464</v>
      </c>
      <c r="C1619" t="s">
        <v>17</v>
      </c>
      <c r="D1619" t="s">
        <v>10</v>
      </c>
      <c r="E1619" t="s">
        <v>1246</v>
      </c>
      <c r="F1619" s="1">
        <v>89.97</v>
      </c>
      <c r="G1619">
        <v>3</v>
      </c>
      <c r="H1619" s="1">
        <v>37.787399999999998</v>
      </c>
      <c r="I1619" s="4">
        <f>SalesData[[#This Row],[Profit]]/SalesData[[#This Row],[Sales]]</f>
        <v>0.42</v>
      </c>
      <c r="J1619">
        <f>YEAR(SalesData[[#This Row],[Order Date]])</f>
        <v>2016</v>
      </c>
      <c r="K1619" t="str">
        <f>TEXT(SalesData[[#This Row],[Order Date]],"mmm")</f>
        <v>Apr</v>
      </c>
      <c r="L1619">
        <f>MONTH(SalesData[[#This Row],[Order Date]])</f>
        <v>4</v>
      </c>
      <c r="M1619">
        <f>SalesData[[#This Row],[Sales]]/SalesData[[#This Row],[Quantity]]</f>
        <v>29.99</v>
      </c>
      <c r="N1619" t="str">
        <f>IF(SalesData[[#This Row],[Profit]]&gt;0,"Profit","Loss")</f>
        <v>Profit</v>
      </c>
    </row>
    <row r="1620" spans="1:14" x14ac:dyDescent="0.3">
      <c r="A1620" t="s">
        <v>2105</v>
      </c>
      <c r="B1620" s="3">
        <v>42466</v>
      </c>
      <c r="C1620" t="s">
        <v>46</v>
      </c>
      <c r="D1620" t="s">
        <v>21</v>
      </c>
      <c r="E1620" t="s">
        <v>705</v>
      </c>
      <c r="F1620" s="1">
        <v>75.88</v>
      </c>
      <c r="G1620">
        <v>2</v>
      </c>
      <c r="H1620" s="1">
        <v>35.663600000000002</v>
      </c>
      <c r="I1620" s="4">
        <f>SalesData[[#This Row],[Profit]]/SalesData[[#This Row],[Sales]]</f>
        <v>0.47000000000000008</v>
      </c>
      <c r="J1620">
        <f>YEAR(SalesData[[#This Row],[Order Date]])</f>
        <v>2016</v>
      </c>
      <c r="K1620" t="str">
        <f>TEXT(SalesData[[#This Row],[Order Date]],"mmm")</f>
        <v>Apr</v>
      </c>
      <c r="L1620">
        <f>MONTH(SalesData[[#This Row],[Order Date]])</f>
        <v>4</v>
      </c>
      <c r="M1620">
        <f>SalesData[[#This Row],[Sales]]/SalesData[[#This Row],[Quantity]]</f>
        <v>37.94</v>
      </c>
      <c r="N1620" t="str">
        <f>IF(SalesData[[#This Row],[Profit]]&gt;0,"Profit","Loss")</f>
        <v>Profit</v>
      </c>
    </row>
    <row r="1621" spans="1:14" x14ac:dyDescent="0.3">
      <c r="A1621" t="s">
        <v>2106</v>
      </c>
      <c r="B1621" s="3">
        <v>42466</v>
      </c>
      <c r="C1621" t="s">
        <v>9</v>
      </c>
      <c r="D1621" t="s">
        <v>21</v>
      </c>
      <c r="E1621" t="s">
        <v>394</v>
      </c>
      <c r="F1621" s="1">
        <v>25.92</v>
      </c>
      <c r="G1621">
        <v>5</v>
      </c>
      <c r="H1621" s="1">
        <v>9.3960000000000008</v>
      </c>
      <c r="I1621" s="4">
        <f>SalesData[[#This Row],[Profit]]/SalesData[[#This Row],[Sales]]</f>
        <v>0.36249999999999999</v>
      </c>
      <c r="J1621">
        <f>YEAR(SalesData[[#This Row],[Order Date]])</f>
        <v>2016</v>
      </c>
      <c r="K1621" t="str">
        <f>TEXT(SalesData[[#This Row],[Order Date]],"mmm")</f>
        <v>Apr</v>
      </c>
      <c r="L1621">
        <f>MONTH(SalesData[[#This Row],[Order Date]])</f>
        <v>4</v>
      </c>
      <c r="M1621">
        <f>SalesData[[#This Row],[Sales]]/SalesData[[#This Row],[Quantity]]</f>
        <v>5.1840000000000002</v>
      </c>
      <c r="N1621" t="str">
        <f>IF(SalesData[[#This Row],[Profit]]&gt;0,"Profit","Loss")</f>
        <v>Profit</v>
      </c>
    </row>
    <row r="1622" spans="1:14" x14ac:dyDescent="0.3">
      <c r="A1622" t="s">
        <v>2106</v>
      </c>
      <c r="B1622" s="3">
        <v>42466</v>
      </c>
      <c r="C1622" t="s">
        <v>9</v>
      </c>
      <c r="D1622" t="s">
        <v>14</v>
      </c>
      <c r="E1622" t="s">
        <v>2107</v>
      </c>
      <c r="F1622" s="1">
        <v>419.68</v>
      </c>
      <c r="G1622">
        <v>5</v>
      </c>
      <c r="H1622" s="1">
        <v>-356.72800000000001</v>
      </c>
      <c r="I1622" s="4">
        <f>SalesData[[#This Row],[Profit]]/SalesData[[#This Row],[Sales]]</f>
        <v>-0.85</v>
      </c>
      <c r="J1622">
        <f>YEAR(SalesData[[#This Row],[Order Date]])</f>
        <v>2016</v>
      </c>
      <c r="K1622" t="str">
        <f>TEXT(SalesData[[#This Row],[Order Date]],"mmm")</f>
        <v>Apr</v>
      </c>
      <c r="L1622">
        <f>MONTH(SalesData[[#This Row],[Order Date]])</f>
        <v>4</v>
      </c>
      <c r="M1622">
        <f>SalesData[[#This Row],[Sales]]/SalesData[[#This Row],[Quantity]]</f>
        <v>83.936000000000007</v>
      </c>
      <c r="N1622" t="str">
        <f>IF(SalesData[[#This Row],[Profit]]&gt;0,"Profit","Loss")</f>
        <v>Loss</v>
      </c>
    </row>
    <row r="1623" spans="1:14" x14ac:dyDescent="0.3">
      <c r="A1623" t="s">
        <v>2106</v>
      </c>
      <c r="B1623" s="3">
        <v>42466</v>
      </c>
      <c r="C1623" t="s">
        <v>9</v>
      </c>
      <c r="D1623" t="s">
        <v>14</v>
      </c>
      <c r="E1623" t="s">
        <v>1278</v>
      </c>
      <c r="F1623" s="1">
        <v>11.688000000000001</v>
      </c>
      <c r="G1623">
        <v>3</v>
      </c>
      <c r="H1623" s="1">
        <v>-4.6752000000000002</v>
      </c>
      <c r="I1623" s="4">
        <f>SalesData[[#This Row],[Profit]]/SalesData[[#This Row],[Sales]]</f>
        <v>-0.4</v>
      </c>
      <c r="J1623">
        <f>YEAR(SalesData[[#This Row],[Order Date]])</f>
        <v>2016</v>
      </c>
      <c r="K1623" t="str">
        <f>TEXT(SalesData[[#This Row],[Order Date]],"mmm")</f>
        <v>Apr</v>
      </c>
      <c r="L1623">
        <f>MONTH(SalesData[[#This Row],[Order Date]])</f>
        <v>4</v>
      </c>
      <c r="M1623">
        <f>SalesData[[#This Row],[Sales]]/SalesData[[#This Row],[Quantity]]</f>
        <v>3.8960000000000004</v>
      </c>
      <c r="N1623" t="str">
        <f>IF(SalesData[[#This Row],[Profit]]&gt;0,"Profit","Loss")</f>
        <v>Loss</v>
      </c>
    </row>
    <row r="1624" spans="1:14" x14ac:dyDescent="0.3">
      <c r="A1624" t="s">
        <v>2106</v>
      </c>
      <c r="B1624" s="3">
        <v>42466</v>
      </c>
      <c r="C1624" t="s">
        <v>9</v>
      </c>
      <c r="D1624" t="s">
        <v>10</v>
      </c>
      <c r="E1624" t="s">
        <v>2108</v>
      </c>
      <c r="F1624" s="1">
        <v>31.984000000000002</v>
      </c>
      <c r="G1624">
        <v>2</v>
      </c>
      <c r="H1624" s="1">
        <v>11.1944</v>
      </c>
      <c r="I1624" s="4">
        <f>SalesData[[#This Row],[Profit]]/SalesData[[#This Row],[Sales]]</f>
        <v>0.35</v>
      </c>
      <c r="J1624">
        <f>YEAR(SalesData[[#This Row],[Order Date]])</f>
        <v>2016</v>
      </c>
      <c r="K1624" t="str">
        <f>TEXT(SalesData[[#This Row],[Order Date]],"mmm")</f>
        <v>Apr</v>
      </c>
      <c r="L1624">
        <f>MONTH(SalesData[[#This Row],[Order Date]])</f>
        <v>4</v>
      </c>
      <c r="M1624">
        <f>SalesData[[#This Row],[Sales]]/SalesData[[#This Row],[Quantity]]</f>
        <v>15.992000000000001</v>
      </c>
      <c r="N1624" t="str">
        <f>IF(SalesData[[#This Row],[Profit]]&gt;0,"Profit","Loss")</f>
        <v>Profit</v>
      </c>
    </row>
    <row r="1625" spans="1:14" x14ac:dyDescent="0.3">
      <c r="A1625" t="s">
        <v>2106</v>
      </c>
      <c r="B1625" s="3">
        <v>42466</v>
      </c>
      <c r="C1625" t="s">
        <v>9</v>
      </c>
      <c r="D1625" t="s">
        <v>14</v>
      </c>
      <c r="E1625" t="s">
        <v>1649</v>
      </c>
      <c r="F1625" s="1">
        <v>177.22499999999999</v>
      </c>
      <c r="G1625">
        <v>5</v>
      </c>
      <c r="H1625" s="1">
        <v>-120.51300000000001</v>
      </c>
      <c r="I1625" s="4">
        <f>SalesData[[#This Row],[Profit]]/SalesData[[#This Row],[Sales]]</f>
        <v>-0.68</v>
      </c>
      <c r="J1625">
        <f>YEAR(SalesData[[#This Row],[Order Date]])</f>
        <v>2016</v>
      </c>
      <c r="K1625" t="str">
        <f>TEXT(SalesData[[#This Row],[Order Date]],"mmm")</f>
        <v>Apr</v>
      </c>
      <c r="L1625">
        <f>MONTH(SalesData[[#This Row],[Order Date]])</f>
        <v>4</v>
      </c>
      <c r="M1625">
        <f>SalesData[[#This Row],[Sales]]/SalesData[[#This Row],[Quantity]]</f>
        <v>35.445</v>
      </c>
      <c r="N1625" t="str">
        <f>IF(SalesData[[#This Row],[Profit]]&gt;0,"Profit","Loss")</f>
        <v>Loss</v>
      </c>
    </row>
    <row r="1626" spans="1:14" x14ac:dyDescent="0.3">
      <c r="A1626" t="s">
        <v>2106</v>
      </c>
      <c r="B1626" s="3">
        <v>42466</v>
      </c>
      <c r="C1626" t="s">
        <v>9</v>
      </c>
      <c r="D1626" t="s">
        <v>14</v>
      </c>
      <c r="E1626" t="s">
        <v>2109</v>
      </c>
      <c r="F1626" s="1">
        <v>4.0439999999999996</v>
      </c>
      <c r="G1626">
        <v>3</v>
      </c>
      <c r="H1626" s="1">
        <v>-2.8308</v>
      </c>
      <c r="I1626" s="4">
        <f>SalesData[[#This Row],[Profit]]/SalesData[[#This Row],[Sales]]</f>
        <v>-0.70000000000000007</v>
      </c>
      <c r="J1626">
        <f>YEAR(SalesData[[#This Row],[Order Date]])</f>
        <v>2016</v>
      </c>
      <c r="K1626" t="str">
        <f>TEXT(SalesData[[#This Row],[Order Date]],"mmm")</f>
        <v>Apr</v>
      </c>
      <c r="L1626">
        <f>MONTH(SalesData[[#This Row],[Order Date]])</f>
        <v>4</v>
      </c>
      <c r="M1626">
        <f>SalesData[[#This Row],[Sales]]/SalesData[[#This Row],[Quantity]]</f>
        <v>1.3479999999999999</v>
      </c>
      <c r="N1626" t="str">
        <f>IF(SalesData[[#This Row],[Profit]]&gt;0,"Profit","Loss")</f>
        <v>Loss</v>
      </c>
    </row>
    <row r="1627" spans="1:14" x14ac:dyDescent="0.3">
      <c r="A1627" t="s">
        <v>2106</v>
      </c>
      <c r="B1627" s="3">
        <v>42466</v>
      </c>
      <c r="C1627" t="s">
        <v>9</v>
      </c>
      <c r="D1627" t="s">
        <v>21</v>
      </c>
      <c r="E1627" t="s">
        <v>403</v>
      </c>
      <c r="F1627" s="1">
        <v>7.4080000000000004</v>
      </c>
      <c r="G1627">
        <v>2</v>
      </c>
      <c r="H1627" s="1">
        <v>1.2038</v>
      </c>
      <c r="I1627" s="4">
        <f>SalesData[[#This Row],[Profit]]/SalesData[[#This Row],[Sales]]</f>
        <v>0.16249999999999998</v>
      </c>
      <c r="J1627">
        <f>YEAR(SalesData[[#This Row],[Order Date]])</f>
        <v>2016</v>
      </c>
      <c r="K1627" t="str">
        <f>TEXT(SalesData[[#This Row],[Order Date]],"mmm")</f>
        <v>Apr</v>
      </c>
      <c r="L1627">
        <f>MONTH(SalesData[[#This Row],[Order Date]])</f>
        <v>4</v>
      </c>
      <c r="M1627">
        <f>SalesData[[#This Row],[Sales]]/SalesData[[#This Row],[Quantity]]</f>
        <v>3.7040000000000002</v>
      </c>
      <c r="N1627" t="str">
        <f>IF(SalesData[[#This Row],[Profit]]&gt;0,"Profit","Loss")</f>
        <v>Profit</v>
      </c>
    </row>
    <row r="1628" spans="1:14" x14ac:dyDescent="0.3">
      <c r="A1628" t="s">
        <v>2110</v>
      </c>
      <c r="B1628" s="3">
        <v>42466</v>
      </c>
      <c r="C1628" t="s">
        <v>17</v>
      </c>
      <c r="D1628" t="s">
        <v>21</v>
      </c>
      <c r="E1628" t="s">
        <v>94</v>
      </c>
      <c r="F1628" s="1">
        <v>14.94</v>
      </c>
      <c r="G1628">
        <v>3</v>
      </c>
      <c r="H1628" s="1">
        <v>7.0217999999999998</v>
      </c>
      <c r="I1628" s="4">
        <f>SalesData[[#This Row],[Profit]]/SalesData[[#This Row],[Sales]]</f>
        <v>0.47000000000000003</v>
      </c>
      <c r="J1628">
        <f>YEAR(SalesData[[#This Row],[Order Date]])</f>
        <v>2016</v>
      </c>
      <c r="K1628" t="str">
        <f>TEXT(SalesData[[#This Row],[Order Date]],"mmm")</f>
        <v>Apr</v>
      </c>
      <c r="L1628">
        <f>MONTH(SalesData[[#This Row],[Order Date]])</f>
        <v>4</v>
      </c>
      <c r="M1628">
        <f>SalesData[[#This Row],[Sales]]/SalesData[[#This Row],[Quantity]]</f>
        <v>4.9799999999999995</v>
      </c>
      <c r="N1628" t="str">
        <f>IF(SalesData[[#This Row],[Profit]]&gt;0,"Profit","Loss")</f>
        <v>Profit</v>
      </c>
    </row>
    <row r="1629" spans="1:14" x14ac:dyDescent="0.3">
      <c r="A1629" t="s">
        <v>2110</v>
      </c>
      <c r="B1629" s="3">
        <v>42466</v>
      </c>
      <c r="C1629" t="s">
        <v>17</v>
      </c>
      <c r="D1629" t="s">
        <v>10</v>
      </c>
      <c r="E1629" t="s">
        <v>2111</v>
      </c>
      <c r="F1629" s="1">
        <v>1349.85</v>
      </c>
      <c r="G1629">
        <v>3</v>
      </c>
      <c r="H1629" s="1">
        <v>364.45949999999999</v>
      </c>
      <c r="I1629" s="4">
        <f>SalesData[[#This Row],[Profit]]/SalesData[[#This Row],[Sales]]</f>
        <v>0.27</v>
      </c>
      <c r="J1629">
        <f>YEAR(SalesData[[#This Row],[Order Date]])</f>
        <v>2016</v>
      </c>
      <c r="K1629" t="str">
        <f>TEXT(SalesData[[#This Row],[Order Date]],"mmm")</f>
        <v>Apr</v>
      </c>
      <c r="L1629">
        <f>MONTH(SalesData[[#This Row],[Order Date]])</f>
        <v>4</v>
      </c>
      <c r="M1629">
        <f>SalesData[[#This Row],[Sales]]/SalesData[[#This Row],[Quantity]]</f>
        <v>449.95</v>
      </c>
      <c r="N1629" t="str">
        <f>IF(SalesData[[#This Row],[Profit]]&gt;0,"Profit","Loss")</f>
        <v>Profit</v>
      </c>
    </row>
    <row r="1630" spans="1:14" x14ac:dyDescent="0.3">
      <c r="A1630" t="s">
        <v>2110</v>
      </c>
      <c r="B1630" s="3">
        <v>42466</v>
      </c>
      <c r="C1630" t="s">
        <v>17</v>
      </c>
      <c r="D1630" t="s">
        <v>14</v>
      </c>
      <c r="E1630" t="s">
        <v>2112</v>
      </c>
      <c r="F1630" s="1">
        <v>136.78399999999999</v>
      </c>
      <c r="G1630">
        <v>1</v>
      </c>
      <c r="H1630" s="1">
        <v>5.1294000000000004</v>
      </c>
      <c r="I1630" s="4">
        <f>SalesData[[#This Row],[Profit]]/SalesData[[#This Row],[Sales]]</f>
        <v>3.7500000000000006E-2</v>
      </c>
      <c r="J1630">
        <f>YEAR(SalesData[[#This Row],[Order Date]])</f>
        <v>2016</v>
      </c>
      <c r="K1630" t="str">
        <f>TEXT(SalesData[[#This Row],[Order Date]],"mmm")</f>
        <v>Apr</v>
      </c>
      <c r="L1630">
        <f>MONTH(SalesData[[#This Row],[Order Date]])</f>
        <v>4</v>
      </c>
      <c r="M1630">
        <f>SalesData[[#This Row],[Sales]]/SalesData[[#This Row],[Quantity]]</f>
        <v>136.78399999999999</v>
      </c>
      <c r="N1630" t="str">
        <f>IF(SalesData[[#This Row],[Profit]]&gt;0,"Profit","Loss")</f>
        <v>Profit</v>
      </c>
    </row>
    <row r="1631" spans="1:14" x14ac:dyDescent="0.3">
      <c r="A1631" t="s">
        <v>2110</v>
      </c>
      <c r="B1631" s="3">
        <v>42466</v>
      </c>
      <c r="C1631" t="s">
        <v>17</v>
      </c>
      <c r="D1631" t="s">
        <v>14</v>
      </c>
      <c r="E1631" t="s">
        <v>120</v>
      </c>
      <c r="F1631" s="1">
        <v>61.12</v>
      </c>
      <c r="G1631">
        <v>4</v>
      </c>
      <c r="H1631" s="1">
        <v>20.780799999999999</v>
      </c>
      <c r="I1631" s="4">
        <f>SalesData[[#This Row],[Profit]]/SalesData[[#This Row],[Sales]]</f>
        <v>0.34</v>
      </c>
      <c r="J1631">
        <f>YEAR(SalesData[[#This Row],[Order Date]])</f>
        <v>2016</v>
      </c>
      <c r="K1631" t="str">
        <f>TEXT(SalesData[[#This Row],[Order Date]],"mmm")</f>
        <v>Apr</v>
      </c>
      <c r="L1631">
        <f>MONTH(SalesData[[#This Row],[Order Date]])</f>
        <v>4</v>
      </c>
      <c r="M1631">
        <f>SalesData[[#This Row],[Sales]]/SalesData[[#This Row],[Quantity]]</f>
        <v>15.28</v>
      </c>
      <c r="N1631" t="str">
        <f>IF(SalesData[[#This Row],[Profit]]&gt;0,"Profit","Loss")</f>
        <v>Profit</v>
      </c>
    </row>
    <row r="1632" spans="1:14" x14ac:dyDescent="0.3">
      <c r="A1632" t="s">
        <v>2113</v>
      </c>
      <c r="B1632" s="3">
        <v>42467</v>
      </c>
      <c r="C1632" t="s">
        <v>13</v>
      </c>
      <c r="D1632" t="s">
        <v>14</v>
      </c>
      <c r="E1632" t="s">
        <v>114</v>
      </c>
      <c r="F1632" s="1">
        <v>25.4</v>
      </c>
      <c r="G1632">
        <v>5</v>
      </c>
      <c r="H1632" s="1">
        <v>8.6359999999999992</v>
      </c>
      <c r="I1632" s="4">
        <f>SalesData[[#This Row],[Profit]]/SalesData[[#This Row],[Sales]]</f>
        <v>0.33999999999999997</v>
      </c>
      <c r="J1632">
        <f>YEAR(SalesData[[#This Row],[Order Date]])</f>
        <v>2016</v>
      </c>
      <c r="K1632" t="str">
        <f>TEXT(SalesData[[#This Row],[Order Date]],"mmm")</f>
        <v>Apr</v>
      </c>
      <c r="L1632">
        <f>MONTH(SalesData[[#This Row],[Order Date]])</f>
        <v>4</v>
      </c>
      <c r="M1632">
        <f>SalesData[[#This Row],[Sales]]/SalesData[[#This Row],[Quantity]]</f>
        <v>5.08</v>
      </c>
      <c r="N1632" t="str">
        <f>IF(SalesData[[#This Row],[Profit]]&gt;0,"Profit","Loss")</f>
        <v>Profit</v>
      </c>
    </row>
    <row r="1633" spans="1:14" x14ac:dyDescent="0.3">
      <c r="A1633" t="s">
        <v>2113</v>
      </c>
      <c r="B1633" s="3">
        <v>42467</v>
      </c>
      <c r="C1633" t="s">
        <v>13</v>
      </c>
      <c r="D1633" t="s">
        <v>21</v>
      </c>
      <c r="E1633" t="s">
        <v>1983</v>
      </c>
      <c r="F1633" s="1">
        <v>43.96</v>
      </c>
      <c r="G1633">
        <v>2</v>
      </c>
      <c r="H1633" s="1">
        <v>20.661200000000001</v>
      </c>
      <c r="I1633" s="4">
        <f>SalesData[[#This Row],[Profit]]/SalesData[[#This Row],[Sales]]</f>
        <v>0.47000000000000003</v>
      </c>
      <c r="J1633">
        <f>YEAR(SalesData[[#This Row],[Order Date]])</f>
        <v>2016</v>
      </c>
      <c r="K1633" t="str">
        <f>TEXT(SalesData[[#This Row],[Order Date]],"mmm")</f>
        <v>Apr</v>
      </c>
      <c r="L1633">
        <f>MONTH(SalesData[[#This Row],[Order Date]])</f>
        <v>4</v>
      </c>
      <c r="M1633">
        <f>SalesData[[#This Row],[Sales]]/SalesData[[#This Row],[Quantity]]</f>
        <v>21.98</v>
      </c>
      <c r="N1633" t="str">
        <f>IF(SalesData[[#This Row],[Profit]]&gt;0,"Profit","Loss")</f>
        <v>Profit</v>
      </c>
    </row>
    <row r="1634" spans="1:14" x14ac:dyDescent="0.3">
      <c r="A1634" t="s">
        <v>2113</v>
      </c>
      <c r="B1634" s="3">
        <v>42467</v>
      </c>
      <c r="C1634" t="s">
        <v>13</v>
      </c>
      <c r="D1634" t="s">
        <v>14</v>
      </c>
      <c r="E1634" t="s">
        <v>1059</v>
      </c>
      <c r="F1634" s="1">
        <v>1279.165</v>
      </c>
      <c r="G1634">
        <v>5</v>
      </c>
      <c r="H1634" s="1">
        <v>225.73500000000001</v>
      </c>
      <c r="I1634" s="4">
        <f>SalesData[[#This Row],[Profit]]/SalesData[[#This Row],[Sales]]</f>
        <v>0.17647058823529413</v>
      </c>
      <c r="J1634">
        <f>YEAR(SalesData[[#This Row],[Order Date]])</f>
        <v>2016</v>
      </c>
      <c r="K1634" t="str">
        <f>TEXT(SalesData[[#This Row],[Order Date]],"mmm")</f>
        <v>Apr</v>
      </c>
      <c r="L1634">
        <f>MONTH(SalesData[[#This Row],[Order Date]])</f>
        <v>4</v>
      </c>
      <c r="M1634">
        <f>SalesData[[#This Row],[Sales]]/SalesData[[#This Row],[Quantity]]</f>
        <v>255.833</v>
      </c>
      <c r="N1634" t="str">
        <f>IF(SalesData[[#This Row],[Profit]]&gt;0,"Profit","Loss")</f>
        <v>Profit</v>
      </c>
    </row>
    <row r="1635" spans="1:14" x14ac:dyDescent="0.3">
      <c r="A1635" t="s">
        <v>2113</v>
      </c>
      <c r="B1635" s="3">
        <v>42467</v>
      </c>
      <c r="C1635" t="s">
        <v>13</v>
      </c>
      <c r="D1635" t="s">
        <v>21</v>
      </c>
      <c r="E1635" t="s">
        <v>229</v>
      </c>
      <c r="F1635" s="1">
        <v>27.92</v>
      </c>
      <c r="G1635">
        <v>4</v>
      </c>
      <c r="H1635" s="1">
        <v>0.55840000000000001</v>
      </c>
      <c r="I1635" s="4">
        <f>SalesData[[#This Row],[Profit]]/SalesData[[#This Row],[Sales]]</f>
        <v>0.02</v>
      </c>
      <c r="J1635">
        <f>YEAR(SalesData[[#This Row],[Order Date]])</f>
        <v>2016</v>
      </c>
      <c r="K1635" t="str">
        <f>TEXT(SalesData[[#This Row],[Order Date]],"mmm")</f>
        <v>Apr</v>
      </c>
      <c r="L1635">
        <f>MONTH(SalesData[[#This Row],[Order Date]])</f>
        <v>4</v>
      </c>
      <c r="M1635">
        <f>SalesData[[#This Row],[Sales]]/SalesData[[#This Row],[Quantity]]</f>
        <v>6.98</v>
      </c>
      <c r="N1635" t="str">
        <f>IF(SalesData[[#This Row],[Profit]]&gt;0,"Profit","Loss")</f>
        <v>Profit</v>
      </c>
    </row>
    <row r="1636" spans="1:14" x14ac:dyDescent="0.3">
      <c r="A1636" t="s">
        <v>2114</v>
      </c>
      <c r="B1636" s="3">
        <v>42467</v>
      </c>
      <c r="C1636" t="s">
        <v>13</v>
      </c>
      <c r="D1636" t="s">
        <v>14</v>
      </c>
      <c r="E1636" t="s">
        <v>114</v>
      </c>
      <c r="F1636" s="1">
        <v>25.4</v>
      </c>
      <c r="G1636">
        <v>5</v>
      </c>
      <c r="H1636" s="1">
        <v>8.6359999999999992</v>
      </c>
      <c r="I1636" s="4">
        <f>SalesData[[#This Row],[Profit]]/SalesData[[#This Row],[Sales]]</f>
        <v>0.33999999999999997</v>
      </c>
      <c r="J1636">
        <f>YEAR(SalesData[[#This Row],[Order Date]])</f>
        <v>2016</v>
      </c>
      <c r="K1636" t="str">
        <f>TEXT(SalesData[[#This Row],[Order Date]],"mmm")</f>
        <v>Apr</v>
      </c>
      <c r="L1636">
        <f>MONTH(SalesData[[#This Row],[Order Date]])</f>
        <v>4</v>
      </c>
      <c r="M1636">
        <f>SalesData[[#This Row],[Sales]]/SalesData[[#This Row],[Quantity]]</f>
        <v>5.08</v>
      </c>
      <c r="N1636" t="str">
        <f>IF(SalesData[[#This Row],[Profit]]&gt;0,"Profit","Loss")</f>
        <v>Profit</v>
      </c>
    </row>
    <row r="1637" spans="1:14" x14ac:dyDescent="0.3">
      <c r="A1637" t="s">
        <v>2114</v>
      </c>
      <c r="B1637" s="3">
        <v>42467</v>
      </c>
      <c r="C1637" t="s">
        <v>13</v>
      </c>
      <c r="D1637" t="s">
        <v>10</v>
      </c>
      <c r="E1637" t="s">
        <v>2115</v>
      </c>
      <c r="F1637" s="1">
        <v>177.48</v>
      </c>
      <c r="G1637">
        <v>3</v>
      </c>
      <c r="H1637" s="1">
        <v>19.9665</v>
      </c>
      <c r="I1637" s="4">
        <f>SalesData[[#This Row],[Profit]]/SalesData[[#This Row],[Sales]]</f>
        <v>0.1125</v>
      </c>
      <c r="J1637">
        <f>YEAR(SalesData[[#This Row],[Order Date]])</f>
        <v>2016</v>
      </c>
      <c r="K1637" t="str">
        <f>TEXT(SalesData[[#This Row],[Order Date]],"mmm")</f>
        <v>Apr</v>
      </c>
      <c r="L1637">
        <f>MONTH(SalesData[[#This Row],[Order Date]])</f>
        <v>4</v>
      </c>
      <c r="M1637">
        <f>SalesData[[#This Row],[Sales]]/SalesData[[#This Row],[Quantity]]</f>
        <v>59.16</v>
      </c>
      <c r="N1637" t="str">
        <f>IF(SalesData[[#This Row],[Profit]]&gt;0,"Profit","Loss")</f>
        <v>Profit</v>
      </c>
    </row>
    <row r="1638" spans="1:14" x14ac:dyDescent="0.3">
      <c r="A1638" t="s">
        <v>2114</v>
      </c>
      <c r="B1638" s="3">
        <v>42467</v>
      </c>
      <c r="C1638" t="s">
        <v>13</v>
      </c>
      <c r="D1638" t="s">
        <v>10</v>
      </c>
      <c r="E1638" t="s">
        <v>2116</v>
      </c>
      <c r="F1638" s="1">
        <v>71.975999999999999</v>
      </c>
      <c r="G1638">
        <v>3</v>
      </c>
      <c r="H1638" s="1">
        <v>8.9969999999999999</v>
      </c>
      <c r="I1638" s="4">
        <f>SalesData[[#This Row],[Profit]]/SalesData[[#This Row],[Sales]]</f>
        <v>0.125</v>
      </c>
      <c r="J1638">
        <f>YEAR(SalesData[[#This Row],[Order Date]])</f>
        <v>2016</v>
      </c>
      <c r="K1638" t="str">
        <f>TEXT(SalesData[[#This Row],[Order Date]],"mmm")</f>
        <v>Apr</v>
      </c>
      <c r="L1638">
        <f>MONTH(SalesData[[#This Row],[Order Date]])</f>
        <v>4</v>
      </c>
      <c r="M1638">
        <f>SalesData[[#This Row],[Sales]]/SalesData[[#This Row],[Quantity]]</f>
        <v>23.992000000000001</v>
      </c>
      <c r="N1638" t="str">
        <f>IF(SalesData[[#This Row],[Profit]]&gt;0,"Profit","Loss")</f>
        <v>Profit</v>
      </c>
    </row>
    <row r="1639" spans="1:14" x14ac:dyDescent="0.3">
      <c r="A1639" t="s">
        <v>2117</v>
      </c>
      <c r="B1639" s="3">
        <v>42468</v>
      </c>
      <c r="C1639" t="s">
        <v>46</v>
      </c>
      <c r="D1639" t="s">
        <v>21</v>
      </c>
      <c r="E1639" t="s">
        <v>1069</v>
      </c>
      <c r="F1639" s="1">
        <v>35.06</v>
      </c>
      <c r="G1639">
        <v>2</v>
      </c>
      <c r="H1639" s="1">
        <v>10.518000000000001</v>
      </c>
      <c r="I1639" s="4">
        <f>SalesData[[#This Row],[Profit]]/SalesData[[#This Row],[Sales]]</f>
        <v>0.3</v>
      </c>
      <c r="J1639">
        <f>YEAR(SalesData[[#This Row],[Order Date]])</f>
        <v>2016</v>
      </c>
      <c r="K1639" t="str">
        <f>TEXT(SalesData[[#This Row],[Order Date]],"mmm")</f>
        <v>Apr</v>
      </c>
      <c r="L1639">
        <f>MONTH(SalesData[[#This Row],[Order Date]])</f>
        <v>4</v>
      </c>
      <c r="M1639">
        <f>SalesData[[#This Row],[Sales]]/SalesData[[#This Row],[Quantity]]</f>
        <v>17.53</v>
      </c>
      <c r="N1639" t="str">
        <f>IF(SalesData[[#This Row],[Profit]]&gt;0,"Profit","Loss")</f>
        <v>Profit</v>
      </c>
    </row>
    <row r="1640" spans="1:14" x14ac:dyDescent="0.3">
      <c r="A1640" t="s">
        <v>2117</v>
      </c>
      <c r="B1640" s="3">
        <v>42468</v>
      </c>
      <c r="C1640" t="s">
        <v>46</v>
      </c>
      <c r="D1640" t="s">
        <v>21</v>
      </c>
      <c r="E1640" t="s">
        <v>1377</v>
      </c>
      <c r="F1640" s="1">
        <v>4.13</v>
      </c>
      <c r="G1640">
        <v>1</v>
      </c>
      <c r="H1640" s="1">
        <v>1.8997999999999999</v>
      </c>
      <c r="I1640" s="4">
        <f>SalesData[[#This Row],[Profit]]/SalesData[[#This Row],[Sales]]</f>
        <v>0.46</v>
      </c>
      <c r="J1640">
        <f>YEAR(SalesData[[#This Row],[Order Date]])</f>
        <v>2016</v>
      </c>
      <c r="K1640" t="str">
        <f>TEXT(SalesData[[#This Row],[Order Date]],"mmm")</f>
        <v>Apr</v>
      </c>
      <c r="L1640">
        <f>MONTH(SalesData[[#This Row],[Order Date]])</f>
        <v>4</v>
      </c>
      <c r="M1640">
        <f>SalesData[[#This Row],[Sales]]/SalesData[[#This Row],[Quantity]]</f>
        <v>4.13</v>
      </c>
      <c r="N1640" t="str">
        <f>IF(SalesData[[#This Row],[Profit]]&gt;0,"Profit","Loss")</f>
        <v>Profit</v>
      </c>
    </row>
    <row r="1641" spans="1:14" x14ac:dyDescent="0.3">
      <c r="A1641" t="s">
        <v>2117</v>
      </c>
      <c r="B1641" s="3">
        <v>42468</v>
      </c>
      <c r="C1641" t="s">
        <v>46</v>
      </c>
      <c r="D1641" t="s">
        <v>14</v>
      </c>
      <c r="E1641" t="s">
        <v>428</v>
      </c>
      <c r="F1641" s="1">
        <v>109.8</v>
      </c>
      <c r="G1641">
        <v>9</v>
      </c>
      <c r="H1641" s="1">
        <v>46.116</v>
      </c>
      <c r="I1641" s="4">
        <f>SalesData[[#This Row],[Profit]]/SalesData[[#This Row],[Sales]]</f>
        <v>0.42</v>
      </c>
      <c r="J1641">
        <f>YEAR(SalesData[[#This Row],[Order Date]])</f>
        <v>2016</v>
      </c>
      <c r="K1641" t="str">
        <f>TEXT(SalesData[[#This Row],[Order Date]],"mmm")</f>
        <v>Apr</v>
      </c>
      <c r="L1641">
        <f>MONTH(SalesData[[#This Row],[Order Date]])</f>
        <v>4</v>
      </c>
      <c r="M1641">
        <f>SalesData[[#This Row],[Sales]]/SalesData[[#This Row],[Quantity]]</f>
        <v>12.2</v>
      </c>
      <c r="N1641" t="str">
        <f>IF(SalesData[[#This Row],[Profit]]&gt;0,"Profit","Loss")</f>
        <v>Profit</v>
      </c>
    </row>
    <row r="1642" spans="1:14" x14ac:dyDescent="0.3">
      <c r="A1642" t="s">
        <v>2117</v>
      </c>
      <c r="B1642" s="3">
        <v>42468</v>
      </c>
      <c r="C1642" t="s">
        <v>46</v>
      </c>
      <c r="D1642" t="s">
        <v>21</v>
      </c>
      <c r="E1642" t="s">
        <v>2118</v>
      </c>
      <c r="F1642" s="1">
        <v>9.82</v>
      </c>
      <c r="G1642">
        <v>2</v>
      </c>
      <c r="H1642" s="1">
        <v>4.8117999999999999</v>
      </c>
      <c r="I1642" s="4">
        <f>SalesData[[#This Row],[Profit]]/SalesData[[#This Row],[Sales]]</f>
        <v>0.49</v>
      </c>
      <c r="J1642">
        <f>YEAR(SalesData[[#This Row],[Order Date]])</f>
        <v>2016</v>
      </c>
      <c r="K1642" t="str">
        <f>TEXT(SalesData[[#This Row],[Order Date]],"mmm")</f>
        <v>Apr</v>
      </c>
      <c r="L1642">
        <f>MONTH(SalesData[[#This Row],[Order Date]])</f>
        <v>4</v>
      </c>
      <c r="M1642">
        <f>SalesData[[#This Row],[Sales]]/SalesData[[#This Row],[Quantity]]</f>
        <v>4.91</v>
      </c>
      <c r="N1642" t="str">
        <f>IF(SalesData[[#This Row],[Profit]]&gt;0,"Profit","Loss")</f>
        <v>Profit</v>
      </c>
    </row>
    <row r="1643" spans="1:14" x14ac:dyDescent="0.3">
      <c r="A1643" t="s">
        <v>2119</v>
      </c>
      <c r="B1643" s="3">
        <v>42468</v>
      </c>
      <c r="C1643" t="s">
        <v>9</v>
      </c>
      <c r="D1643" t="s">
        <v>21</v>
      </c>
      <c r="E1643" t="s">
        <v>1152</v>
      </c>
      <c r="F1643" s="1">
        <v>3.98</v>
      </c>
      <c r="G1643">
        <v>5</v>
      </c>
      <c r="H1643" s="1">
        <v>-6.5670000000000002</v>
      </c>
      <c r="I1643" s="4">
        <f>SalesData[[#This Row],[Profit]]/SalesData[[#This Row],[Sales]]</f>
        <v>-1.6500000000000001</v>
      </c>
      <c r="J1643">
        <f>YEAR(SalesData[[#This Row],[Order Date]])</f>
        <v>2016</v>
      </c>
      <c r="K1643" t="str">
        <f>TEXT(SalesData[[#This Row],[Order Date]],"mmm")</f>
        <v>Apr</v>
      </c>
      <c r="L1643">
        <f>MONTH(SalesData[[#This Row],[Order Date]])</f>
        <v>4</v>
      </c>
      <c r="M1643">
        <f>SalesData[[#This Row],[Sales]]/SalesData[[#This Row],[Quantity]]</f>
        <v>0.79600000000000004</v>
      </c>
      <c r="N1643" t="str">
        <f>IF(SalesData[[#This Row],[Profit]]&gt;0,"Profit","Loss")</f>
        <v>Loss</v>
      </c>
    </row>
    <row r="1644" spans="1:14" x14ac:dyDescent="0.3">
      <c r="A1644" t="s">
        <v>2120</v>
      </c>
      <c r="B1644" s="3">
        <v>42468</v>
      </c>
      <c r="C1644" t="s">
        <v>13</v>
      </c>
      <c r="D1644" t="s">
        <v>10</v>
      </c>
      <c r="E1644" t="s">
        <v>740</v>
      </c>
      <c r="F1644" s="1">
        <v>302.38400000000001</v>
      </c>
      <c r="G1644">
        <v>2</v>
      </c>
      <c r="H1644" s="1">
        <v>30.238399999999999</v>
      </c>
      <c r="I1644" s="4">
        <f>SalesData[[#This Row],[Profit]]/SalesData[[#This Row],[Sales]]</f>
        <v>9.9999999999999992E-2</v>
      </c>
      <c r="J1644">
        <f>YEAR(SalesData[[#This Row],[Order Date]])</f>
        <v>2016</v>
      </c>
      <c r="K1644" t="str">
        <f>TEXT(SalesData[[#This Row],[Order Date]],"mmm")</f>
        <v>Apr</v>
      </c>
      <c r="L1644">
        <f>MONTH(SalesData[[#This Row],[Order Date]])</f>
        <v>4</v>
      </c>
      <c r="M1644">
        <f>SalesData[[#This Row],[Sales]]/SalesData[[#This Row],[Quantity]]</f>
        <v>151.19200000000001</v>
      </c>
      <c r="N1644" t="str">
        <f>IF(SalesData[[#This Row],[Profit]]&gt;0,"Profit","Loss")</f>
        <v>Profit</v>
      </c>
    </row>
    <row r="1645" spans="1:14" x14ac:dyDescent="0.3">
      <c r="A1645" t="s">
        <v>2120</v>
      </c>
      <c r="B1645" s="3">
        <v>42468</v>
      </c>
      <c r="C1645" t="s">
        <v>13</v>
      </c>
      <c r="D1645" t="s">
        <v>21</v>
      </c>
      <c r="E1645" t="s">
        <v>760</v>
      </c>
      <c r="F1645" s="1">
        <v>20.952000000000002</v>
      </c>
      <c r="G1645">
        <v>3</v>
      </c>
      <c r="H1645" s="1">
        <v>7.0712999999999999</v>
      </c>
      <c r="I1645" s="4">
        <f>SalesData[[#This Row],[Profit]]/SalesData[[#This Row],[Sales]]</f>
        <v>0.33749999999999997</v>
      </c>
      <c r="J1645">
        <f>YEAR(SalesData[[#This Row],[Order Date]])</f>
        <v>2016</v>
      </c>
      <c r="K1645" t="str">
        <f>TEXT(SalesData[[#This Row],[Order Date]],"mmm")</f>
        <v>Apr</v>
      </c>
      <c r="L1645">
        <f>MONTH(SalesData[[#This Row],[Order Date]])</f>
        <v>4</v>
      </c>
      <c r="M1645">
        <f>SalesData[[#This Row],[Sales]]/SalesData[[#This Row],[Quantity]]</f>
        <v>6.9840000000000009</v>
      </c>
      <c r="N1645" t="str">
        <f>IF(SalesData[[#This Row],[Profit]]&gt;0,"Profit","Loss")</f>
        <v>Profit</v>
      </c>
    </row>
    <row r="1646" spans="1:14" x14ac:dyDescent="0.3">
      <c r="A1646" t="s">
        <v>2120</v>
      </c>
      <c r="B1646" s="3">
        <v>42468</v>
      </c>
      <c r="C1646" t="s">
        <v>13</v>
      </c>
      <c r="D1646" t="s">
        <v>21</v>
      </c>
      <c r="E1646" t="s">
        <v>2121</v>
      </c>
      <c r="F1646" s="1">
        <v>11.784000000000001</v>
      </c>
      <c r="G1646">
        <v>3</v>
      </c>
      <c r="H1646" s="1">
        <v>3.9771000000000001</v>
      </c>
      <c r="I1646" s="4">
        <f>SalesData[[#This Row],[Profit]]/SalesData[[#This Row],[Sales]]</f>
        <v>0.33749999999999997</v>
      </c>
      <c r="J1646">
        <f>YEAR(SalesData[[#This Row],[Order Date]])</f>
        <v>2016</v>
      </c>
      <c r="K1646" t="str">
        <f>TEXT(SalesData[[#This Row],[Order Date]],"mmm")</f>
        <v>Apr</v>
      </c>
      <c r="L1646">
        <f>MONTH(SalesData[[#This Row],[Order Date]])</f>
        <v>4</v>
      </c>
      <c r="M1646">
        <f>SalesData[[#This Row],[Sales]]/SalesData[[#This Row],[Quantity]]</f>
        <v>3.9280000000000004</v>
      </c>
      <c r="N1646" t="str">
        <f>IF(SalesData[[#This Row],[Profit]]&gt;0,"Profit","Loss")</f>
        <v>Profit</v>
      </c>
    </row>
    <row r="1647" spans="1:14" x14ac:dyDescent="0.3">
      <c r="A1647" t="s">
        <v>2122</v>
      </c>
      <c r="B1647" s="3">
        <v>42469</v>
      </c>
      <c r="C1647" t="s">
        <v>9</v>
      </c>
      <c r="D1647" t="s">
        <v>21</v>
      </c>
      <c r="E1647" t="s">
        <v>1691</v>
      </c>
      <c r="F1647" s="1">
        <v>3.9119999999999999</v>
      </c>
      <c r="G1647">
        <v>1</v>
      </c>
      <c r="H1647" s="1">
        <v>1.0268999999999999</v>
      </c>
      <c r="I1647" s="4">
        <f>SalesData[[#This Row],[Profit]]/SalesData[[#This Row],[Sales]]</f>
        <v>0.26250000000000001</v>
      </c>
      <c r="J1647">
        <f>YEAR(SalesData[[#This Row],[Order Date]])</f>
        <v>2016</v>
      </c>
      <c r="K1647" t="str">
        <f>TEXT(SalesData[[#This Row],[Order Date]],"mmm")</f>
        <v>Apr</v>
      </c>
      <c r="L1647">
        <f>MONTH(SalesData[[#This Row],[Order Date]])</f>
        <v>4</v>
      </c>
      <c r="M1647">
        <f>SalesData[[#This Row],[Sales]]/SalesData[[#This Row],[Quantity]]</f>
        <v>3.9119999999999999</v>
      </c>
      <c r="N1647" t="str">
        <f>IF(SalesData[[#This Row],[Profit]]&gt;0,"Profit","Loss")</f>
        <v>Profit</v>
      </c>
    </row>
    <row r="1648" spans="1:14" x14ac:dyDescent="0.3">
      <c r="A1648" t="s">
        <v>2122</v>
      </c>
      <c r="B1648" s="3">
        <v>42469</v>
      </c>
      <c r="C1648" t="s">
        <v>9</v>
      </c>
      <c r="D1648" t="s">
        <v>21</v>
      </c>
      <c r="E1648" t="s">
        <v>825</v>
      </c>
      <c r="F1648" s="1">
        <v>62.375999999999998</v>
      </c>
      <c r="G1648">
        <v>3</v>
      </c>
      <c r="H1648" s="1">
        <v>7.0172999999999996</v>
      </c>
      <c r="I1648" s="4">
        <f>SalesData[[#This Row],[Profit]]/SalesData[[#This Row],[Sales]]</f>
        <v>0.1125</v>
      </c>
      <c r="J1648">
        <f>YEAR(SalesData[[#This Row],[Order Date]])</f>
        <v>2016</v>
      </c>
      <c r="K1648" t="str">
        <f>TEXT(SalesData[[#This Row],[Order Date]],"mmm")</f>
        <v>Apr</v>
      </c>
      <c r="L1648">
        <f>MONTH(SalesData[[#This Row],[Order Date]])</f>
        <v>4</v>
      </c>
      <c r="M1648">
        <f>SalesData[[#This Row],[Sales]]/SalesData[[#This Row],[Quantity]]</f>
        <v>20.791999999999998</v>
      </c>
      <c r="N1648" t="str">
        <f>IF(SalesData[[#This Row],[Profit]]&gt;0,"Profit","Loss")</f>
        <v>Profit</v>
      </c>
    </row>
    <row r="1649" spans="1:14" x14ac:dyDescent="0.3">
      <c r="A1649" t="s">
        <v>2123</v>
      </c>
      <c r="B1649" s="3">
        <v>42469</v>
      </c>
      <c r="C1649" t="s">
        <v>17</v>
      </c>
      <c r="D1649" t="s">
        <v>14</v>
      </c>
      <c r="E1649" t="s">
        <v>1426</v>
      </c>
      <c r="F1649" s="1">
        <v>63.94</v>
      </c>
      <c r="G1649">
        <v>1</v>
      </c>
      <c r="H1649" s="1">
        <v>24.936599999999999</v>
      </c>
      <c r="I1649" s="4">
        <f>SalesData[[#This Row],[Profit]]/SalesData[[#This Row],[Sales]]</f>
        <v>0.39</v>
      </c>
      <c r="J1649">
        <f>YEAR(SalesData[[#This Row],[Order Date]])</f>
        <v>2016</v>
      </c>
      <c r="K1649" t="str">
        <f>TEXT(SalesData[[#This Row],[Order Date]],"mmm")</f>
        <v>Apr</v>
      </c>
      <c r="L1649">
        <f>MONTH(SalesData[[#This Row],[Order Date]])</f>
        <v>4</v>
      </c>
      <c r="M1649">
        <f>SalesData[[#This Row],[Sales]]/SalesData[[#This Row],[Quantity]]</f>
        <v>63.94</v>
      </c>
      <c r="N1649" t="str">
        <f>IF(SalesData[[#This Row],[Profit]]&gt;0,"Profit","Loss")</f>
        <v>Profit</v>
      </c>
    </row>
    <row r="1650" spans="1:14" x14ac:dyDescent="0.3">
      <c r="A1650" t="s">
        <v>2123</v>
      </c>
      <c r="B1650" s="3">
        <v>42469</v>
      </c>
      <c r="C1650" t="s">
        <v>17</v>
      </c>
      <c r="D1650" t="s">
        <v>21</v>
      </c>
      <c r="E1650" t="s">
        <v>2124</v>
      </c>
      <c r="F1650" s="1">
        <v>60.6</v>
      </c>
      <c r="G1650">
        <v>5</v>
      </c>
      <c r="H1650" s="1">
        <v>20.452500000000001</v>
      </c>
      <c r="I1650" s="4">
        <f>SalesData[[#This Row],[Profit]]/SalesData[[#This Row],[Sales]]</f>
        <v>0.33750000000000002</v>
      </c>
      <c r="J1650">
        <f>YEAR(SalesData[[#This Row],[Order Date]])</f>
        <v>2016</v>
      </c>
      <c r="K1650" t="str">
        <f>TEXT(SalesData[[#This Row],[Order Date]],"mmm")</f>
        <v>Apr</v>
      </c>
      <c r="L1650">
        <f>MONTH(SalesData[[#This Row],[Order Date]])</f>
        <v>4</v>
      </c>
      <c r="M1650">
        <f>SalesData[[#This Row],[Sales]]/SalesData[[#This Row],[Quantity]]</f>
        <v>12.120000000000001</v>
      </c>
      <c r="N1650" t="str">
        <f>IF(SalesData[[#This Row],[Profit]]&gt;0,"Profit","Loss")</f>
        <v>Profit</v>
      </c>
    </row>
    <row r="1651" spans="1:14" x14ac:dyDescent="0.3">
      <c r="A1651" t="s">
        <v>2123</v>
      </c>
      <c r="B1651" s="3">
        <v>42469</v>
      </c>
      <c r="C1651" t="s">
        <v>17</v>
      </c>
      <c r="D1651" t="s">
        <v>21</v>
      </c>
      <c r="E1651" t="s">
        <v>2125</v>
      </c>
      <c r="F1651" s="1">
        <v>22.72</v>
      </c>
      <c r="G1651">
        <v>4</v>
      </c>
      <c r="H1651" s="1">
        <v>6.5888</v>
      </c>
      <c r="I1651" s="4">
        <f>SalesData[[#This Row],[Profit]]/SalesData[[#This Row],[Sales]]</f>
        <v>0.29000000000000004</v>
      </c>
      <c r="J1651">
        <f>YEAR(SalesData[[#This Row],[Order Date]])</f>
        <v>2016</v>
      </c>
      <c r="K1651" t="str">
        <f>TEXT(SalesData[[#This Row],[Order Date]],"mmm")</f>
        <v>Apr</v>
      </c>
      <c r="L1651">
        <f>MONTH(SalesData[[#This Row],[Order Date]])</f>
        <v>4</v>
      </c>
      <c r="M1651">
        <f>SalesData[[#This Row],[Sales]]/SalesData[[#This Row],[Quantity]]</f>
        <v>5.68</v>
      </c>
      <c r="N1651" t="str">
        <f>IF(SalesData[[#This Row],[Profit]]&gt;0,"Profit","Loss")</f>
        <v>Profit</v>
      </c>
    </row>
    <row r="1652" spans="1:14" x14ac:dyDescent="0.3">
      <c r="A1652" t="s">
        <v>2126</v>
      </c>
      <c r="B1652" s="3">
        <v>42469</v>
      </c>
      <c r="C1652" t="s">
        <v>46</v>
      </c>
      <c r="D1652" t="s">
        <v>21</v>
      </c>
      <c r="E1652" t="s">
        <v>215</v>
      </c>
      <c r="F1652" s="1">
        <v>12.192</v>
      </c>
      <c r="G1652">
        <v>3</v>
      </c>
      <c r="H1652" s="1">
        <v>4.1147999999999998</v>
      </c>
      <c r="I1652" s="4">
        <f>SalesData[[#This Row],[Profit]]/SalesData[[#This Row],[Sales]]</f>
        <v>0.33749999999999997</v>
      </c>
      <c r="J1652">
        <f>YEAR(SalesData[[#This Row],[Order Date]])</f>
        <v>2016</v>
      </c>
      <c r="K1652" t="str">
        <f>TEXT(SalesData[[#This Row],[Order Date]],"mmm")</f>
        <v>Apr</v>
      </c>
      <c r="L1652">
        <f>MONTH(SalesData[[#This Row],[Order Date]])</f>
        <v>4</v>
      </c>
      <c r="M1652">
        <f>SalesData[[#This Row],[Sales]]/SalesData[[#This Row],[Quantity]]</f>
        <v>4.0640000000000001</v>
      </c>
      <c r="N1652" t="str">
        <f>IF(SalesData[[#This Row],[Profit]]&gt;0,"Profit","Loss")</f>
        <v>Profit</v>
      </c>
    </row>
    <row r="1653" spans="1:14" x14ac:dyDescent="0.3">
      <c r="A1653" t="s">
        <v>2126</v>
      </c>
      <c r="B1653" s="3">
        <v>42469</v>
      </c>
      <c r="C1653" t="s">
        <v>46</v>
      </c>
      <c r="D1653" t="s">
        <v>21</v>
      </c>
      <c r="E1653" t="s">
        <v>1609</v>
      </c>
      <c r="F1653" s="1">
        <v>87.168000000000006</v>
      </c>
      <c r="G1653">
        <v>2</v>
      </c>
      <c r="H1653" s="1">
        <v>8.7167999999999992</v>
      </c>
      <c r="I1653" s="4">
        <f>SalesData[[#This Row],[Profit]]/SalesData[[#This Row],[Sales]]</f>
        <v>9.9999999999999978E-2</v>
      </c>
      <c r="J1653">
        <f>YEAR(SalesData[[#This Row],[Order Date]])</f>
        <v>2016</v>
      </c>
      <c r="K1653" t="str">
        <f>TEXT(SalesData[[#This Row],[Order Date]],"mmm")</f>
        <v>Apr</v>
      </c>
      <c r="L1653">
        <f>MONTH(SalesData[[#This Row],[Order Date]])</f>
        <v>4</v>
      </c>
      <c r="M1653">
        <f>SalesData[[#This Row],[Sales]]/SalesData[[#This Row],[Quantity]]</f>
        <v>43.584000000000003</v>
      </c>
      <c r="N1653" t="str">
        <f>IF(SalesData[[#This Row],[Profit]]&gt;0,"Profit","Loss")</f>
        <v>Profit</v>
      </c>
    </row>
    <row r="1654" spans="1:14" x14ac:dyDescent="0.3">
      <c r="A1654" t="s">
        <v>2126</v>
      </c>
      <c r="B1654" s="3">
        <v>42469</v>
      </c>
      <c r="C1654" t="s">
        <v>46</v>
      </c>
      <c r="D1654" t="s">
        <v>21</v>
      </c>
      <c r="E1654" t="s">
        <v>981</v>
      </c>
      <c r="F1654" s="1">
        <v>31.744</v>
      </c>
      <c r="G1654">
        <v>2</v>
      </c>
      <c r="H1654" s="1">
        <v>8.3328000000000007</v>
      </c>
      <c r="I1654" s="4">
        <f>SalesData[[#This Row],[Profit]]/SalesData[[#This Row],[Sales]]</f>
        <v>0.26250000000000001</v>
      </c>
      <c r="J1654">
        <f>YEAR(SalesData[[#This Row],[Order Date]])</f>
        <v>2016</v>
      </c>
      <c r="K1654" t="str">
        <f>TEXT(SalesData[[#This Row],[Order Date]],"mmm")</f>
        <v>Apr</v>
      </c>
      <c r="L1654">
        <f>MONTH(SalesData[[#This Row],[Order Date]])</f>
        <v>4</v>
      </c>
      <c r="M1654">
        <f>SalesData[[#This Row],[Sales]]/SalesData[[#This Row],[Quantity]]</f>
        <v>15.872</v>
      </c>
      <c r="N1654" t="str">
        <f>IF(SalesData[[#This Row],[Profit]]&gt;0,"Profit","Loss")</f>
        <v>Profit</v>
      </c>
    </row>
    <row r="1655" spans="1:14" x14ac:dyDescent="0.3">
      <c r="A1655" t="s">
        <v>2127</v>
      </c>
      <c r="B1655" s="3">
        <v>42469</v>
      </c>
      <c r="C1655" t="s">
        <v>46</v>
      </c>
      <c r="D1655" t="s">
        <v>14</v>
      </c>
      <c r="E1655" t="s">
        <v>1194</v>
      </c>
      <c r="F1655" s="1">
        <v>42.6</v>
      </c>
      <c r="G1655">
        <v>3</v>
      </c>
      <c r="H1655" s="1">
        <v>16.614000000000001</v>
      </c>
      <c r="I1655" s="4">
        <f>SalesData[[#This Row],[Profit]]/SalesData[[#This Row],[Sales]]</f>
        <v>0.39</v>
      </c>
      <c r="J1655">
        <f>YEAR(SalesData[[#This Row],[Order Date]])</f>
        <v>2016</v>
      </c>
      <c r="K1655" t="str">
        <f>TEXT(SalesData[[#This Row],[Order Date]],"mmm")</f>
        <v>Apr</v>
      </c>
      <c r="L1655">
        <f>MONTH(SalesData[[#This Row],[Order Date]])</f>
        <v>4</v>
      </c>
      <c r="M1655">
        <f>SalesData[[#This Row],[Sales]]/SalesData[[#This Row],[Quantity]]</f>
        <v>14.200000000000001</v>
      </c>
      <c r="N1655" t="str">
        <f>IF(SalesData[[#This Row],[Profit]]&gt;0,"Profit","Loss")</f>
        <v>Profit</v>
      </c>
    </row>
    <row r="1656" spans="1:14" x14ac:dyDescent="0.3">
      <c r="A1656" t="s">
        <v>2127</v>
      </c>
      <c r="B1656" s="3">
        <v>42469</v>
      </c>
      <c r="C1656" t="s">
        <v>46</v>
      </c>
      <c r="D1656" t="s">
        <v>21</v>
      </c>
      <c r="E1656" t="s">
        <v>869</v>
      </c>
      <c r="F1656" s="1">
        <v>113.94</v>
      </c>
      <c r="G1656">
        <v>6</v>
      </c>
      <c r="H1656" s="1">
        <v>54.691200000000002</v>
      </c>
      <c r="I1656" s="4">
        <f>SalesData[[#This Row],[Profit]]/SalesData[[#This Row],[Sales]]</f>
        <v>0.48000000000000004</v>
      </c>
      <c r="J1656">
        <f>YEAR(SalesData[[#This Row],[Order Date]])</f>
        <v>2016</v>
      </c>
      <c r="K1656" t="str">
        <f>TEXT(SalesData[[#This Row],[Order Date]],"mmm")</f>
        <v>Apr</v>
      </c>
      <c r="L1656">
        <f>MONTH(SalesData[[#This Row],[Order Date]])</f>
        <v>4</v>
      </c>
      <c r="M1656">
        <f>SalesData[[#This Row],[Sales]]/SalesData[[#This Row],[Quantity]]</f>
        <v>18.989999999999998</v>
      </c>
      <c r="N1656" t="str">
        <f>IF(SalesData[[#This Row],[Profit]]&gt;0,"Profit","Loss")</f>
        <v>Profit</v>
      </c>
    </row>
    <row r="1657" spans="1:14" x14ac:dyDescent="0.3">
      <c r="A1657" t="s">
        <v>2127</v>
      </c>
      <c r="B1657" s="3">
        <v>42469</v>
      </c>
      <c r="C1657" t="s">
        <v>46</v>
      </c>
      <c r="D1657" t="s">
        <v>21</v>
      </c>
      <c r="E1657" t="s">
        <v>882</v>
      </c>
      <c r="F1657" s="1">
        <v>129.91999999999999</v>
      </c>
      <c r="G1657">
        <v>4</v>
      </c>
      <c r="H1657" s="1">
        <v>5.1967999999999996</v>
      </c>
      <c r="I1657" s="4">
        <f>SalesData[[#This Row],[Profit]]/SalesData[[#This Row],[Sales]]</f>
        <v>0.04</v>
      </c>
      <c r="J1657">
        <f>YEAR(SalesData[[#This Row],[Order Date]])</f>
        <v>2016</v>
      </c>
      <c r="K1657" t="str">
        <f>TEXT(SalesData[[#This Row],[Order Date]],"mmm")</f>
        <v>Apr</v>
      </c>
      <c r="L1657">
        <f>MONTH(SalesData[[#This Row],[Order Date]])</f>
        <v>4</v>
      </c>
      <c r="M1657">
        <f>SalesData[[#This Row],[Sales]]/SalesData[[#This Row],[Quantity]]</f>
        <v>32.479999999999997</v>
      </c>
      <c r="N1657" t="str">
        <f>IF(SalesData[[#This Row],[Profit]]&gt;0,"Profit","Loss")</f>
        <v>Profit</v>
      </c>
    </row>
    <row r="1658" spans="1:14" x14ac:dyDescent="0.3">
      <c r="A1658" t="s">
        <v>2127</v>
      </c>
      <c r="B1658" s="3">
        <v>42469</v>
      </c>
      <c r="C1658" t="s">
        <v>46</v>
      </c>
      <c r="D1658" t="s">
        <v>21</v>
      </c>
      <c r="E1658" t="s">
        <v>708</v>
      </c>
      <c r="F1658" s="1">
        <v>5.28</v>
      </c>
      <c r="G1658">
        <v>3</v>
      </c>
      <c r="H1658" s="1">
        <v>2.5344000000000002</v>
      </c>
      <c r="I1658" s="4">
        <f>SalesData[[#This Row],[Profit]]/SalesData[[#This Row],[Sales]]</f>
        <v>0.48000000000000004</v>
      </c>
      <c r="J1658">
        <f>YEAR(SalesData[[#This Row],[Order Date]])</f>
        <v>2016</v>
      </c>
      <c r="K1658" t="str">
        <f>TEXT(SalesData[[#This Row],[Order Date]],"mmm")</f>
        <v>Apr</v>
      </c>
      <c r="L1658">
        <f>MONTH(SalesData[[#This Row],[Order Date]])</f>
        <v>4</v>
      </c>
      <c r="M1658">
        <f>SalesData[[#This Row],[Sales]]/SalesData[[#This Row],[Quantity]]</f>
        <v>1.76</v>
      </c>
      <c r="N1658" t="str">
        <f>IF(SalesData[[#This Row],[Profit]]&gt;0,"Profit","Loss")</f>
        <v>Profit</v>
      </c>
    </row>
    <row r="1659" spans="1:14" x14ac:dyDescent="0.3">
      <c r="A1659" t="s">
        <v>2128</v>
      </c>
      <c r="B1659" s="3">
        <v>42469</v>
      </c>
      <c r="C1659" t="s">
        <v>9</v>
      </c>
      <c r="D1659" t="s">
        <v>21</v>
      </c>
      <c r="E1659" t="s">
        <v>150</v>
      </c>
      <c r="F1659" s="1">
        <v>535.41</v>
      </c>
      <c r="G1659">
        <v>3</v>
      </c>
      <c r="H1659" s="1">
        <v>160.62299999999999</v>
      </c>
      <c r="I1659" s="4">
        <f>SalesData[[#This Row],[Profit]]/SalesData[[#This Row],[Sales]]</f>
        <v>0.3</v>
      </c>
      <c r="J1659">
        <f>YEAR(SalesData[[#This Row],[Order Date]])</f>
        <v>2016</v>
      </c>
      <c r="K1659" t="str">
        <f>TEXT(SalesData[[#This Row],[Order Date]],"mmm")</f>
        <v>Apr</v>
      </c>
      <c r="L1659">
        <f>MONTH(SalesData[[#This Row],[Order Date]])</f>
        <v>4</v>
      </c>
      <c r="M1659">
        <f>SalesData[[#This Row],[Sales]]/SalesData[[#This Row],[Quantity]]</f>
        <v>178.47</v>
      </c>
      <c r="N1659" t="str">
        <f>IF(SalesData[[#This Row],[Profit]]&gt;0,"Profit","Loss")</f>
        <v>Profit</v>
      </c>
    </row>
    <row r="1660" spans="1:14" x14ac:dyDescent="0.3">
      <c r="A1660" t="s">
        <v>2129</v>
      </c>
      <c r="B1660" s="3">
        <v>42469</v>
      </c>
      <c r="C1660" t="s">
        <v>9</v>
      </c>
      <c r="D1660" t="s">
        <v>21</v>
      </c>
      <c r="E1660" t="s">
        <v>127</v>
      </c>
      <c r="F1660" s="1">
        <v>16.559999999999999</v>
      </c>
      <c r="G1660">
        <v>2</v>
      </c>
      <c r="H1660" s="1">
        <v>7.7831999999999999</v>
      </c>
      <c r="I1660" s="4">
        <f>SalesData[[#This Row],[Profit]]/SalesData[[#This Row],[Sales]]</f>
        <v>0.47000000000000003</v>
      </c>
      <c r="J1660">
        <f>YEAR(SalesData[[#This Row],[Order Date]])</f>
        <v>2016</v>
      </c>
      <c r="K1660" t="str">
        <f>TEXT(SalesData[[#This Row],[Order Date]],"mmm")</f>
        <v>Apr</v>
      </c>
      <c r="L1660">
        <f>MONTH(SalesData[[#This Row],[Order Date]])</f>
        <v>4</v>
      </c>
      <c r="M1660">
        <f>SalesData[[#This Row],[Sales]]/SalesData[[#This Row],[Quantity]]</f>
        <v>8.2799999999999994</v>
      </c>
      <c r="N1660" t="str">
        <f>IF(SalesData[[#This Row],[Profit]]&gt;0,"Profit","Loss")</f>
        <v>Profit</v>
      </c>
    </row>
    <row r="1661" spans="1:14" x14ac:dyDescent="0.3">
      <c r="A1661" t="s">
        <v>2129</v>
      </c>
      <c r="B1661" s="3">
        <v>42469</v>
      </c>
      <c r="C1661" t="s">
        <v>9</v>
      </c>
      <c r="D1661" t="s">
        <v>10</v>
      </c>
      <c r="E1661" t="s">
        <v>734</v>
      </c>
      <c r="F1661" s="1">
        <v>279.95</v>
      </c>
      <c r="G1661">
        <v>5</v>
      </c>
      <c r="H1661" s="1">
        <v>67.188000000000002</v>
      </c>
      <c r="I1661" s="4">
        <f>SalesData[[#This Row],[Profit]]/SalesData[[#This Row],[Sales]]</f>
        <v>0.24000000000000002</v>
      </c>
      <c r="J1661">
        <f>YEAR(SalesData[[#This Row],[Order Date]])</f>
        <v>2016</v>
      </c>
      <c r="K1661" t="str">
        <f>TEXT(SalesData[[#This Row],[Order Date]],"mmm")</f>
        <v>Apr</v>
      </c>
      <c r="L1661">
        <f>MONTH(SalesData[[#This Row],[Order Date]])</f>
        <v>4</v>
      </c>
      <c r="M1661">
        <f>SalesData[[#This Row],[Sales]]/SalesData[[#This Row],[Quantity]]</f>
        <v>55.989999999999995</v>
      </c>
      <c r="N1661" t="str">
        <f>IF(SalesData[[#This Row],[Profit]]&gt;0,"Profit","Loss")</f>
        <v>Profit</v>
      </c>
    </row>
    <row r="1662" spans="1:14" x14ac:dyDescent="0.3">
      <c r="A1662" t="s">
        <v>2130</v>
      </c>
      <c r="B1662" s="3">
        <v>42469</v>
      </c>
      <c r="C1662" t="s">
        <v>46</v>
      </c>
      <c r="D1662" t="s">
        <v>21</v>
      </c>
      <c r="E1662" t="s">
        <v>1520</v>
      </c>
      <c r="F1662" s="1">
        <v>239.5</v>
      </c>
      <c r="G1662">
        <v>5</v>
      </c>
      <c r="H1662" s="1">
        <v>114.96</v>
      </c>
      <c r="I1662" s="4">
        <f>SalesData[[#This Row],[Profit]]/SalesData[[#This Row],[Sales]]</f>
        <v>0.48</v>
      </c>
      <c r="J1662">
        <f>YEAR(SalesData[[#This Row],[Order Date]])</f>
        <v>2016</v>
      </c>
      <c r="K1662" t="str">
        <f>TEXT(SalesData[[#This Row],[Order Date]],"mmm")</f>
        <v>Apr</v>
      </c>
      <c r="L1662">
        <f>MONTH(SalesData[[#This Row],[Order Date]])</f>
        <v>4</v>
      </c>
      <c r="M1662">
        <f>SalesData[[#This Row],[Sales]]/SalesData[[#This Row],[Quantity]]</f>
        <v>47.9</v>
      </c>
      <c r="N1662" t="str">
        <f>IF(SalesData[[#This Row],[Profit]]&gt;0,"Profit","Loss")</f>
        <v>Profit</v>
      </c>
    </row>
    <row r="1663" spans="1:14" x14ac:dyDescent="0.3">
      <c r="A1663" t="s">
        <v>2131</v>
      </c>
      <c r="B1663" s="3">
        <v>42469</v>
      </c>
      <c r="C1663" t="s">
        <v>13</v>
      </c>
      <c r="D1663" t="s">
        <v>14</v>
      </c>
      <c r="E1663" t="s">
        <v>2132</v>
      </c>
      <c r="F1663" s="1">
        <v>24.27</v>
      </c>
      <c r="G1663">
        <v>3</v>
      </c>
      <c r="H1663" s="1">
        <v>8.7371999999999996</v>
      </c>
      <c r="I1663" s="4">
        <f>SalesData[[#This Row],[Profit]]/SalesData[[#This Row],[Sales]]</f>
        <v>0.36</v>
      </c>
      <c r="J1663">
        <f>YEAR(SalesData[[#This Row],[Order Date]])</f>
        <v>2016</v>
      </c>
      <c r="K1663" t="str">
        <f>TEXT(SalesData[[#This Row],[Order Date]],"mmm")</f>
        <v>Apr</v>
      </c>
      <c r="L1663">
        <f>MONTH(SalesData[[#This Row],[Order Date]])</f>
        <v>4</v>
      </c>
      <c r="M1663">
        <f>SalesData[[#This Row],[Sales]]/SalesData[[#This Row],[Quantity]]</f>
        <v>8.09</v>
      </c>
      <c r="N1663" t="str">
        <f>IF(SalesData[[#This Row],[Profit]]&gt;0,"Profit","Loss")</f>
        <v>Profit</v>
      </c>
    </row>
    <row r="1664" spans="1:14" x14ac:dyDescent="0.3">
      <c r="A1664" t="s">
        <v>2131</v>
      </c>
      <c r="B1664" s="3">
        <v>42469</v>
      </c>
      <c r="C1664" t="s">
        <v>13</v>
      </c>
      <c r="D1664" t="s">
        <v>10</v>
      </c>
      <c r="E1664" t="s">
        <v>1409</v>
      </c>
      <c r="F1664" s="1">
        <v>2799.96</v>
      </c>
      <c r="G1664">
        <v>5</v>
      </c>
      <c r="H1664" s="1">
        <v>944.98649999999998</v>
      </c>
      <c r="I1664" s="4">
        <f>SalesData[[#This Row],[Profit]]/SalesData[[#This Row],[Sales]]</f>
        <v>0.33749999999999997</v>
      </c>
      <c r="J1664">
        <f>YEAR(SalesData[[#This Row],[Order Date]])</f>
        <v>2016</v>
      </c>
      <c r="K1664" t="str">
        <f>TEXT(SalesData[[#This Row],[Order Date]],"mmm")</f>
        <v>Apr</v>
      </c>
      <c r="L1664">
        <f>MONTH(SalesData[[#This Row],[Order Date]])</f>
        <v>4</v>
      </c>
      <c r="M1664">
        <f>SalesData[[#This Row],[Sales]]/SalesData[[#This Row],[Quantity]]</f>
        <v>559.99199999999996</v>
      </c>
      <c r="N1664" t="str">
        <f>IF(SalesData[[#This Row],[Profit]]&gt;0,"Profit","Loss")</f>
        <v>Profit</v>
      </c>
    </row>
    <row r="1665" spans="1:14" x14ac:dyDescent="0.3">
      <c r="A1665" t="s">
        <v>2133</v>
      </c>
      <c r="B1665" s="3">
        <v>42470</v>
      </c>
      <c r="C1665" t="s">
        <v>9</v>
      </c>
      <c r="D1665" t="s">
        <v>21</v>
      </c>
      <c r="E1665" t="s">
        <v>2134</v>
      </c>
      <c r="F1665" s="1">
        <v>59.752000000000002</v>
      </c>
      <c r="G1665">
        <v>7</v>
      </c>
      <c r="H1665" s="1">
        <v>19.4194</v>
      </c>
      <c r="I1665" s="4">
        <f>SalesData[[#This Row],[Profit]]/SalesData[[#This Row],[Sales]]</f>
        <v>0.32499999999999996</v>
      </c>
      <c r="J1665">
        <f>YEAR(SalesData[[#This Row],[Order Date]])</f>
        <v>2016</v>
      </c>
      <c r="K1665" t="str">
        <f>TEXT(SalesData[[#This Row],[Order Date]],"mmm")</f>
        <v>Apr</v>
      </c>
      <c r="L1665">
        <f>MONTH(SalesData[[#This Row],[Order Date]])</f>
        <v>4</v>
      </c>
      <c r="M1665">
        <f>SalesData[[#This Row],[Sales]]/SalesData[[#This Row],[Quantity]]</f>
        <v>8.5359999999999996</v>
      </c>
      <c r="N1665" t="str">
        <f>IF(SalesData[[#This Row],[Profit]]&gt;0,"Profit","Loss")</f>
        <v>Profit</v>
      </c>
    </row>
    <row r="1666" spans="1:14" x14ac:dyDescent="0.3">
      <c r="A1666" t="s">
        <v>2135</v>
      </c>
      <c r="B1666" s="3">
        <v>42470</v>
      </c>
      <c r="C1666" t="s">
        <v>17</v>
      </c>
      <c r="D1666" t="s">
        <v>21</v>
      </c>
      <c r="E1666" t="s">
        <v>2136</v>
      </c>
      <c r="F1666" s="1">
        <v>30.4</v>
      </c>
      <c r="G1666">
        <v>1</v>
      </c>
      <c r="H1666" s="1">
        <v>13.984</v>
      </c>
      <c r="I1666" s="4">
        <f>SalesData[[#This Row],[Profit]]/SalesData[[#This Row],[Sales]]</f>
        <v>0.46</v>
      </c>
      <c r="J1666">
        <f>YEAR(SalesData[[#This Row],[Order Date]])</f>
        <v>2016</v>
      </c>
      <c r="K1666" t="str">
        <f>TEXT(SalesData[[#This Row],[Order Date]],"mmm")</f>
        <v>Apr</v>
      </c>
      <c r="L1666">
        <f>MONTH(SalesData[[#This Row],[Order Date]])</f>
        <v>4</v>
      </c>
      <c r="M1666">
        <f>SalesData[[#This Row],[Sales]]/SalesData[[#This Row],[Quantity]]</f>
        <v>30.4</v>
      </c>
      <c r="N1666" t="str">
        <f>IF(SalesData[[#This Row],[Profit]]&gt;0,"Profit","Loss")</f>
        <v>Profit</v>
      </c>
    </row>
    <row r="1667" spans="1:14" x14ac:dyDescent="0.3">
      <c r="A1667" t="s">
        <v>2135</v>
      </c>
      <c r="B1667" s="3">
        <v>42470</v>
      </c>
      <c r="C1667" t="s">
        <v>17</v>
      </c>
      <c r="D1667" t="s">
        <v>10</v>
      </c>
      <c r="E1667" t="s">
        <v>656</v>
      </c>
      <c r="F1667" s="1">
        <v>5399.91</v>
      </c>
      <c r="G1667">
        <v>9</v>
      </c>
      <c r="H1667" s="1">
        <v>2591.9567999999999</v>
      </c>
      <c r="I1667" s="4">
        <f>SalesData[[#This Row],[Profit]]/SalesData[[#This Row],[Sales]]</f>
        <v>0.48</v>
      </c>
      <c r="J1667">
        <f>YEAR(SalesData[[#This Row],[Order Date]])</f>
        <v>2016</v>
      </c>
      <c r="K1667" t="str">
        <f>TEXT(SalesData[[#This Row],[Order Date]],"mmm")</f>
        <v>Apr</v>
      </c>
      <c r="L1667">
        <f>MONTH(SalesData[[#This Row],[Order Date]])</f>
        <v>4</v>
      </c>
      <c r="M1667">
        <f>SalesData[[#This Row],[Sales]]/SalesData[[#This Row],[Quantity]]</f>
        <v>599.99</v>
      </c>
      <c r="N1667" t="str">
        <f>IF(SalesData[[#This Row],[Profit]]&gt;0,"Profit","Loss")</f>
        <v>Profit</v>
      </c>
    </row>
    <row r="1668" spans="1:14" x14ac:dyDescent="0.3">
      <c r="A1668" t="s">
        <v>2135</v>
      </c>
      <c r="B1668" s="3">
        <v>42470</v>
      </c>
      <c r="C1668" t="s">
        <v>17</v>
      </c>
      <c r="D1668" t="s">
        <v>21</v>
      </c>
      <c r="E1668" t="s">
        <v>2137</v>
      </c>
      <c r="F1668" s="1">
        <v>119.1</v>
      </c>
      <c r="G1668">
        <v>3</v>
      </c>
      <c r="H1668" s="1">
        <v>34.539000000000001</v>
      </c>
      <c r="I1668" s="4">
        <f>SalesData[[#This Row],[Profit]]/SalesData[[#This Row],[Sales]]</f>
        <v>0.29000000000000004</v>
      </c>
      <c r="J1668">
        <f>YEAR(SalesData[[#This Row],[Order Date]])</f>
        <v>2016</v>
      </c>
      <c r="K1668" t="str">
        <f>TEXT(SalesData[[#This Row],[Order Date]],"mmm")</f>
        <v>Apr</v>
      </c>
      <c r="L1668">
        <f>MONTH(SalesData[[#This Row],[Order Date]])</f>
        <v>4</v>
      </c>
      <c r="M1668">
        <f>SalesData[[#This Row],[Sales]]/SalesData[[#This Row],[Quantity]]</f>
        <v>39.699999999999996</v>
      </c>
      <c r="N1668" t="str">
        <f>IF(SalesData[[#This Row],[Profit]]&gt;0,"Profit","Loss")</f>
        <v>Profit</v>
      </c>
    </row>
    <row r="1669" spans="1:14" x14ac:dyDescent="0.3">
      <c r="A1669" t="s">
        <v>2138</v>
      </c>
      <c r="B1669" s="3">
        <v>42470</v>
      </c>
      <c r="C1669" t="s">
        <v>17</v>
      </c>
      <c r="D1669" t="s">
        <v>14</v>
      </c>
      <c r="E1669" t="s">
        <v>2139</v>
      </c>
      <c r="F1669" s="1">
        <v>239.37200000000001</v>
      </c>
      <c r="G1669">
        <v>2</v>
      </c>
      <c r="H1669" s="1">
        <v>-23.937200000000001</v>
      </c>
      <c r="I1669" s="4">
        <f>SalesData[[#This Row],[Profit]]/SalesData[[#This Row],[Sales]]</f>
        <v>-9.9999999999999992E-2</v>
      </c>
      <c r="J1669">
        <f>YEAR(SalesData[[#This Row],[Order Date]])</f>
        <v>2016</v>
      </c>
      <c r="K1669" t="str">
        <f>TEXT(SalesData[[#This Row],[Order Date]],"mmm")</f>
        <v>Apr</v>
      </c>
      <c r="L1669">
        <f>MONTH(SalesData[[#This Row],[Order Date]])</f>
        <v>4</v>
      </c>
      <c r="M1669">
        <f>SalesData[[#This Row],[Sales]]/SalesData[[#This Row],[Quantity]]</f>
        <v>119.68600000000001</v>
      </c>
      <c r="N1669" t="str">
        <f>IF(SalesData[[#This Row],[Profit]]&gt;0,"Profit","Loss")</f>
        <v>Loss</v>
      </c>
    </row>
    <row r="1670" spans="1:14" x14ac:dyDescent="0.3">
      <c r="A1670" t="s">
        <v>2140</v>
      </c>
      <c r="B1670" s="3">
        <v>42470</v>
      </c>
      <c r="C1670" t="s">
        <v>46</v>
      </c>
      <c r="D1670" t="s">
        <v>10</v>
      </c>
      <c r="E1670" t="s">
        <v>721</v>
      </c>
      <c r="F1670" s="1">
        <v>52.68</v>
      </c>
      <c r="G1670">
        <v>3</v>
      </c>
      <c r="H1670" s="1">
        <v>19.754999999999999</v>
      </c>
      <c r="I1670" s="4">
        <f>SalesData[[#This Row],[Profit]]/SalesData[[#This Row],[Sales]]</f>
        <v>0.375</v>
      </c>
      <c r="J1670">
        <f>YEAR(SalesData[[#This Row],[Order Date]])</f>
        <v>2016</v>
      </c>
      <c r="K1670" t="str">
        <f>TEXT(SalesData[[#This Row],[Order Date]],"mmm")</f>
        <v>Apr</v>
      </c>
      <c r="L1670">
        <f>MONTH(SalesData[[#This Row],[Order Date]])</f>
        <v>4</v>
      </c>
      <c r="M1670">
        <f>SalesData[[#This Row],[Sales]]/SalesData[[#This Row],[Quantity]]</f>
        <v>17.559999999999999</v>
      </c>
      <c r="N1670" t="str">
        <f>IF(SalesData[[#This Row],[Profit]]&gt;0,"Profit","Loss")</f>
        <v>Profit</v>
      </c>
    </row>
    <row r="1671" spans="1:14" x14ac:dyDescent="0.3">
      <c r="A1671" t="s">
        <v>2140</v>
      </c>
      <c r="B1671" s="3">
        <v>42470</v>
      </c>
      <c r="C1671" t="s">
        <v>46</v>
      </c>
      <c r="D1671" t="s">
        <v>14</v>
      </c>
      <c r="E1671" t="s">
        <v>2068</v>
      </c>
      <c r="F1671" s="1">
        <v>11.568</v>
      </c>
      <c r="G1671">
        <v>3</v>
      </c>
      <c r="H1671" s="1">
        <v>2.6027999999999998</v>
      </c>
      <c r="I1671" s="4">
        <f>SalesData[[#This Row],[Profit]]/SalesData[[#This Row],[Sales]]</f>
        <v>0.22499999999999998</v>
      </c>
      <c r="J1671">
        <f>YEAR(SalesData[[#This Row],[Order Date]])</f>
        <v>2016</v>
      </c>
      <c r="K1671" t="str">
        <f>TEXT(SalesData[[#This Row],[Order Date]],"mmm")</f>
        <v>Apr</v>
      </c>
      <c r="L1671">
        <f>MONTH(SalesData[[#This Row],[Order Date]])</f>
        <v>4</v>
      </c>
      <c r="M1671">
        <f>SalesData[[#This Row],[Sales]]/SalesData[[#This Row],[Quantity]]</f>
        <v>3.8559999999999999</v>
      </c>
      <c r="N1671" t="str">
        <f>IF(SalesData[[#This Row],[Profit]]&gt;0,"Profit","Loss")</f>
        <v>Profit</v>
      </c>
    </row>
    <row r="1672" spans="1:14" x14ac:dyDescent="0.3">
      <c r="A1672" t="s">
        <v>2141</v>
      </c>
      <c r="B1672" s="3">
        <v>42471</v>
      </c>
      <c r="C1672" t="s">
        <v>46</v>
      </c>
      <c r="D1672" t="s">
        <v>21</v>
      </c>
      <c r="E1672" t="s">
        <v>2142</v>
      </c>
      <c r="F1672" s="1">
        <v>10.74</v>
      </c>
      <c r="G1672">
        <v>3</v>
      </c>
      <c r="H1672" s="1">
        <v>5.2625999999999999</v>
      </c>
      <c r="I1672" s="4">
        <f>SalesData[[#This Row],[Profit]]/SalesData[[#This Row],[Sales]]</f>
        <v>0.49</v>
      </c>
      <c r="J1672">
        <f>YEAR(SalesData[[#This Row],[Order Date]])</f>
        <v>2016</v>
      </c>
      <c r="K1672" t="str">
        <f>TEXT(SalesData[[#This Row],[Order Date]],"mmm")</f>
        <v>Apr</v>
      </c>
      <c r="L1672">
        <f>MONTH(SalesData[[#This Row],[Order Date]])</f>
        <v>4</v>
      </c>
      <c r="M1672">
        <f>SalesData[[#This Row],[Sales]]/SalesData[[#This Row],[Quantity]]</f>
        <v>3.58</v>
      </c>
      <c r="N1672" t="str">
        <f>IF(SalesData[[#This Row],[Profit]]&gt;0,"Profit","Loss")</f>
        <v>Profit</v>
      </c>
    </row>
    <row r="1673" spans="1:14" x14ac:dyDescent="0.3">
      <c r="A1673" t="s">
        <v>2143</v>
      </c>
      <c r="B1673" s="3">
        <v>42471</v>
      </c>
      <c r="C1673" t="s">
        <v>13</v>
      </c>
      <c r="D1673" t="s">
        <v>14</v>
      </c>
      <c r="E1673" t="s">
        <v>2042</v>
      </c>
      <c r="F1673" s="1">
        <v>209.88</v>
      </c>
      <c r="G1673">
        <v>3</v>
      </c>
      <c r="H1673" s="1">
        <v>35.679600000000001</v>
      </c>
      <c r="I1673" s="4">
        <f>SalesData[[#This Row],[Profit]]/SalesData[[#This Row],[Sales]]</f>
        <v>0.17</v>
      </c>
      <c r="J1673">
        <f>YEAR(SalesData[[#This Row],[Order Date]])</f>
        <v>2016</v>
      </c>
      <c r="K1673" t="str">
        <f>TEXT(SalesData[[#This Row],[Order Date]],"mmm")</f>
        <v>Apr</v>
      </c>
      <c r="L1673">
        <f>MONTH(SalesData[[#This Row],[Order Date]])</f>
        <v>4</v>
      </c>
      <c r="M1673">
        <f>SalesData[[#This Row],[Sales]]/SalesData[[#This Row],[Quantity]]</f>
        <v>69.959999999999994</v>
      </c>
      <c r="N1673" t="str">
        <f>IF(SalesData[[#This Row],[Profit]]&gt;0,"Profit","Loss")</f>
        <v>Profit</v>
      </c>
    </row>
    <row r="1674" spans="1:14" x14ac:dyDescent="0.3">
      <c r="A1674" t="s">
        <v>2144</v>
      </c>
      <c r="B1674" s="3">
        <v>42471</v>
      </c>
      <c r="C1674" t="s">
        <v>13</v>
      </c>
      <c r="D1674" t="s">
        <v>14</v>
      </c>
      <c r="E1674" t="s">
        <v>316</v>
      </c>
      <c r="F1674" s="1">
        <v>38.29</v>
      </c>
      <c r="G1674">
        <v>7</v>
      </c>
      <c r="H1674" s="1">
        <v>16.464700000000001</v>
      </c>
      <c r="I1674" s="4">
        <f>SalesData[[#This Row],[Profit]]/SalesData[[#This Row],[Sales]]</f>
        <v>0.43000000000000005</v>
      </c>
      <c r="J1674">
        <f>YEAR(SalesData[[#This Row],[Order Date]])</f>
        <v>2016</v>
      </c>
      <c r="K1674" t="str">
        <f>TEXT(SalesData[[#This Row],[Order Date]],"mmm")</f>
        <v>Apr</v>
      </c>
      <c r="L1674">
        <f>MONTH(SalesData[[#This Row],[Order Date]])</f>
        <v>4</v>
      </c>
      <c r="M1674">
        <f>SalesData[[#This Row],[Sales]]/SalesData[[#This Row],[Quantity]]</f>
        <v>5.47</v>
      </c>
      <c r="N1674" t="str">
        <f>IF(SalesData[[#This Row],[Profit]]&gt;0,"Profit","Loss")</f>
        <v>Profit</v>
      </c>
    </row>
    <row r="1675" spans="1:14" x14ac:dyDescent="0.3">
      <c r="A1675" t="s">
        <v>2145</v>
      </c>
      <c r="B1675" s="3">
        <v>42471</v>
      </c>
      <c r="C1675" t="s">
        <v>13</v>
      </c>
      <c r="D1675" t="s">
        <v>21</v>
      </c>
      <c r="E1675" t="s">
        <v>44</v>
      </c>
      <c r="F1675" s="1">
        <v>192.8</v>
      </c>
      <c r="G1675">
        <v>4</v>
      </c>
      <c r="H1675" s="1">
        <v>55.911999999999999</v>
      </c>
      <c r="I1675" s="4">
        <f>SalesData[[#This Row],[Profit]]/SalesData[[#This Row],[Sales]]</f>
        <v>0.28999999999999998</v>
      </c>
      <c r="J1675">
        <f>YEAR(SalesData[[#This Row],[Order Date]])</f>
        <v>2016</v>
      </c>
      <c r="K1675" t="str">
        <f>TEXT(SalesData[[#This Row],[Order Date]],"mmm")</f>
        <v>Apr</v>
      </c>
      <c r="L1675">
        <f>MONTH(SalesData[[#This Row],[Order Date]])</f>
        <v>4</v>
      </c>
      <c r="M1675">
        <f>SalesData[[#This Row],[Sales]]/SalesData[[#This Row],[Quantity]]</f>
        <v>48.2</v>
      </c>
      <c r="N1675" t="str">
        <f>IF(SalesData[[#This Row],[Profit]]&gt;0,"Profit","Loss")</f>
        <v>Profit</v>
      </c>
    </row>
    <row r="1676" spans="1:14" x14ac:dyDescent="0.3">
      <c r="A1676" t="s">
        <v>2146</v>
      </c>
      <c r="B1676" s="3">
        <v>42471</v>
      </c>
      <c r="C1676" t="s">
        <v>13</v>
      </c>
      <c r="D1676" t="s">
        <v>21</v>
      </c>
      <c r="E1676" t="s">
        <v>2147</v>
      </c>
      <c r="F1676" s="1">
        <v>17.584</v>
      </c>
      <c r="G1676">
        <v>7</v>
      </c>
      <c r="H1676" s="1">
        <v>-4.1761999999999997</v>
      </c>
      <c r="I1676" s="4">
        <f>SalesData[[#This Row],[Profit]]/SalesData[[#This Row],[Sales]]</f>
        <v>-0.23749999999999999</v>
      </c>
      <c r="J1676">
        <f>YEAR(SalesData[[#This Row],[Order Date]])</f>
        <v>2016</v>
      </c>
      <c r="K1676" t="str">
        <f>TEXT(SalesData[[#This Row],[Order Date]],"mmm")</f>
        <v>Apr</v>
      </c>
      <c r="L1676">
        <f>MONTH(SalesData[[#This Row],[Order Date]])</f>
        <v>4</v>
      </c>
      <c r="M1676">
        <f>SalesData[[#This Row],[Sales]]/SalesData[[#This Row],[Quantity]]</f>
        <v>2.512</v>
      </c>
      <c r="N1676" t="str">
        <f>IF(SalesData[[#This Row],[Profit]]&gt;0,"Profit","Loss")</f>
        <v>Loss</v>
      </c>
    </row>
    <row r="1677" spans="1:14" x14ac:dyDescent="0.3">
      <c r="A1677" t="s">
        <v>2146</v>
      </c>
      <c r="B1677" s="3">
        <v>42471</v>
      </c>
      <c r="C1677" t="s">
        <v>13</v>
      </c>
      <c r="D1677" t="s">
        <v>14</v>
      </c>
      <c r="E1677" t="s">
        <v>361</v>
      </c>
      <c r="F1677" s="1">
        <v>104.78400000000001</v>
      </c>
      <c r="G1677">
        <v>1</v>
      </c>
      <c r="H1677" s="1">
        <v>-14.4078</v>
      </c>
      <c r="I1677" s="4">
        <f>SalesData[[#This Row],[Profit]]/SalesData[[#This Row],[Sales]]</f>
        <v>-0.13749999999999998</v>
      </c>
      <c r="J1677">
        <f>YEAR(SalesData[[#This Row],[Order Date]])</f>
        <v>2016</v>
      </c>
      <c r="K1677" t="str">
        <f>TEXT(SalesData[[#This Row],[Order Date]],"mmm")</f>
        <v>Apr</v>
      </c>
      <c r="L1677">
        <f>MONTH(SalesData[[#This Row],[Order Date]])</f>
        <v>4</v>
      </c>
      <c r="M1677">
        <f>SalesData[[#This Row],[Sales]]/SalesData[[#This Row],[Quantity]]</f>
        <v>104.78400000000001</v>
      </c>
      <c r="N1677" t="str">
        <f>IF(SalesData[[#This Row],[Profit]]&gt;0,"Profit","Loss")</f>
        <v>Loss</v>
      </c>
    </row>
    <row r="1678" spans="1:14" x14ac:dyDescent="0.3">
      <c r="A1678" t="s">
        <v>2146</v>
      </c>
      <c r="B1678" s="3">
        <v>42471</v>
      </c>
      <c r="C1678" t="s">
        <v>13</v>
      </c>
      <c r="D1678" t="s">
        <v>21</v>
      </c>
      <c r="E1678" t="s">
        <v>353</v>
      </c>
      <c r="F1678" s="1">
        <v>47.951999999999998</v>
      </c>
      <c r="G1678">
        <v>3</v>
      </c>
      <c r="H1678" s="1">
        <v>16.783200000000001</v>
      </c>
      <c r="I1678" s="4">
        <f>SalesData[[#This Row],[Profit]]/SalesData[[#This Row],[Sales]]</f>
        <v>0.35000000000000003</v>
      </c>
      <c r="J1678">
        <f>YEAR(SalesData[[#This Row],[Order Date]])</f>
        <v>2016</v>
      </c>
      <c r="K1678" t="str">
        <f>TEXT(SalesData[[#This Row],[Order Date]],"mmm")</f>
        <v>Apr</v>
      </c>
      <c r="L1678">
        <f>MONTH(SalesData[[#This Row],[Order Date]])</f>
        <v>4</v>
      </c>
      <c r="M1678">
        <f>SalesData[[#This Row],[Sales]]/SalesData[[#This Row],[Quantity]]</f>
        <v>15.984</v>
      </c>
      <c r="N1678" t="str">
        <f>IF(SalesData[[#This Row],[Profit]]&gt;0,"Profit","Loss")</f>
        <v>Profit</v>
      </c>
    </row>
    <row r="1679" spans="1:14" x14ac:dyDescent="0.3">
      <c r="A1679" t="s">
        <v>2146</v>
      </c>
      <c r="B1679" s="3">
        <v>42471</v>
      </c>
      <c r="C1679" t="s">
        <v>13</v>
      </c>
      <c r="D1679" t="s">
        <v>14</v>
      </c>
      <c r="E1679" t="s">
        <v>940</v>
      </c>
      <c r="F1679" s="1">
        <v>650.35199999999998</v>
      </c>
      <c r="G1679">
        <v>3</v>
      </c>
      <c r="H1679" s="1">
        <v>-97.552800000000005</v>
      </c>
      <c r="I1679" s="4">
        <f>SalesData[[#This Row],[Profit]]/SalesData[[#This Row],[Sales]]</f>
        <v>-0.15000000000000002</v>
      </c>
      <c r="J1679">
        <f>YEAR(SalesData[[#This Row],[Order Date]])</f>
        <v>2016</v>
      </c>
      <c r="K1679" t="str">
        <f>TEXT(SalesData[[#This Row],[Order Date]],"mmm")</f>
        <v>Apr</v>
      </c>
      <c r="L1679">
        <f>MONTH(SalesData[[#This Row],[Order Date]])</f>
        <v>4</v>
      </c>
      <c r="M1679">
        <f>SalesData[[#This Row],[Sales]]/SalesData[[#This Row],[Quantity]]</f>
        <v>216.78399999999999</v>
      </c>
      <c r="N1679" t="str">
        <f>IF(SalesData[[#This Row],[Profit]]&gt;0,"Profit","Loss")</f>
        <v>Loss</v>
      </c>
    </row>
    <row r="1680" spans="1:14" x14ac:dyDescent="0.3">
      <c r="A1680" t="s">
        <v>2146</v>
      </c>
      <c r="B1680" s="3">
        <v>42471</v>
      </c>
      <c r="C1680" t="s">
        <v>13</v>
      </c>
      <c r="D1680" t="s">
        <v>21</v>
      </c>
      <c r="E1680" t="s">
        <v>836</v>
      </c>
      <c r="F1680" s="1">
        <v>629.18399999999997</v>
      </c>
      <c r="G1680">
        <v>8</v>
      </c>
      <c r="H1680" s="1">
        <v>228.07919999999999</v>
      </c>
      <c r="I1680" s="4">
        <f>SalesData[[#This Row],[Profit]]/SalesData[[#This Row],[Sales]]</f>
        <v>0.36249999999999999</v>
      </c>
      <c r="J1680">
        <f>YEAR(SalesData[[#This Row],[Order Date]])</f>
        <v>2016</v>
      </c>
      <c r="K1680" t="str">
        <f>TEXT(SalesData[[#This Row],[Order Date]],"mmm")</f>
        <v>Apr</v>
      </c>
      <c r="L1680">
        <f>MONTH(SalesData[[#This Row],[Order Date]])</f>
        <v>4</v>
      </c>
      <c r="M1680">
        <f>SalesData[[#This Row],[Sales]]/SalesData[[#This Row],[Quantity]]</f>
        <v>78.647999999999996</v>
      </c>
      <c r="N1680" t="str">
        <f>IF(SalesData[[#This Row],[Profit]]&gt;0,"Profit","Loss")</f>
        <v>Profit</v>
      </c>
    </row>
    <row r="1681" spans="1:14" x14ac:dyDescent="0.3">
      <c r="A1681" t="s">
        <v>2146</v>
      </c>
      <c r="B1681" s="3">
        <v>42471</v>
      </c>
      <c r="C1681" t="s">
        <v>13</v>
      </c>
      <c r="D1681" t="s">
        <v>21</v>
      </c>
      <c r="E1681" t="s">
        <v>2148</v>
      </c>
      <c r="F1681" s="1">
        <v>15.176</v>
      </c>
      <c r="G1681">
        <v>1</v>
      </c>
      <c r="H1681" s="1">
        <v>5.3116000000000003</v>
      </c>
      <c r="I1681" s="4">
        <f>SalesData[[#This Row],[Profit]]/SalesData[[#This Row],[Sales]]</f>
        <v>0.35000000000000003</v>
      </c>
      <c r="J1681">
        <f>YEAR(SalesData[[#This Row],[Order Date]])</f>
        <v>2016</v>
      </c>
      <c r="K1681" t="str">
        <f>TEXT(SalesData[[#This Row],[Order Date]],"mmm")</f>
        <v>Apr</v>
      </c>
      <c r="L1681">
        <f>MONTH(SalesData[[#This Row],[Order Date]])</f>
        <v>4</v>
      </c>
      <c r="M1681">
        <f>SalesData[[#This Row],[Sales]]/SalesData[[#This Row],[Quantity]]</f>
        <v>15.176</v>
      </c>
      <c r="N1681" t="str">
        <f>IF(SalesData[[#This Row],[Profit]]&gt;0,"Profit","Loss")</f>
        <v>Profit</v>
      </c>
    </row>
    <row r="1682" spans="1:14" x14ac:dyDescent="0.3">
      <c r="A1682" t="s">
        <v>2149</v>
      </c>
      <c r="B1682" s="3">
        <v>42471</v>
      </c>
      <c r="C1682" t="s">
        <v>46</v>
      </c>
      <c r="D1682" t="s">
        <v>14</v>
      </c>
      <c r="E1682" t="s">
        <v>1985</v>
      </c>
      <c r="F1682" s="1">
        <v>50.496000000000002</v>
      </c>
      <c r="G1682">
        <v>6</v>
      </c>
      <c r="H1682" s="1">
        <v>8.2056000000000004</v>
      </c>
      <c r="I1682" s="4">
        <f>SalesData[[#This Row],[Profit]]/SalesData[[#This Row],[Sales]]</f>
        <v>0.16250000000000001</v>
      </c>
      <c r="J1682">
        <f>YEAR(SalesData[[#This Row],[Order Date]])</f>
        <v>2016</v>
      </c>
      <c r="K1682" t="str">
        <f>TEXT(SalesData[[#This Row],[Order Date]],"mmm")</f>
        <v>Apr</v>
      </c>
      <c r="L1682">
        <f>MONTH(SalesData[[#This Row],[Order Date]])</f>
        <v>4</v>
      </c>
      <c r="M1682">
        <f>SalesData[[#This Row],[Sales]]/SalesData[[#This Row],[Quantity]]</f>
        <v>8.4160000000000004</v>
      </c>
      <c r="N1682" t="str">
        <f>IF(SalesData[[#This Row],[Profit]]&gt;0,"Profit","Loss")</f>
        <v>Profit</v>
      </c>
    </row>
    <row r="1683" spans="1:14" x14ac:dyDescent="0.3">
      <c r="A1683" t="s">
        <v>2150</v>
      </c>
      <c r="B1683" s="3">
        <v>42471</v>
      </c>
      <c r="C1683" t="s">
        <v>13</v>
      </c>
      <c r="D1683" t="s">
        <v>21</v>
      </c>
      <c r="E1683" t="s">
        <v>838</v>
      </c>
      <c r="F1683" s="1">
        <v>7.7119999999999997</v>
      </c>
      <c r="G1683">
        <v>2</v>
      </c>
      <c r="H1683" s="1">
        <v>2.7955999999999999</v>
      </c>
      <c r="I1683" s="4">
        <f>SalesData[[#This Row],[Profit]]/SalesData[[#This Row],[Sales]]</f>
        <v>0.36249999999999999</v>
      </c>
      <c r="J1683">
        <f>YEAR(SalesData[[#This Row],[Order Date]])</f>
        <v>2016</v>
      </c>
      <c r="K1683" t="str">
        <f>TEXT(SalesData[[#This Row],[Order Date]],"mmm")</f>
        <v>Apr</v>
      </c>
      <c r="L1683">
        <f>MONTH(SalesData[[#This Row],[Order Date]])</f>
        <v>4</v>
      </c>
      <c r="M1683">
        <f>SalesData[[#This Row],[Sales]]/SalesData[[#This Row],[Quantity]]</f>
        <v>3.8559999999999999</v>
      </c>
      <c r="N1683" t="str">
        <f>IF(SalesData[[#This Row],[Profit]]&gt;0,"Profit","Loss")</f>
        <v>Profit</v>
      </c>
    </row>
    <row r="1684" spans="1:14" x14ac:dyDescent="0.3">
      <c r="A1684" t="s">
        <v>2150</v>
      </c>
      <c r="B1684" s="3">
        <v>42471</v>
      </c>
      <c r="C1684" t="s">
        <v>13</v>
      </c>
      <c r="D1684" t="s">
        <v>21</v>
      </c>
      <c r="E1684" t="s">
        <v>103</v>
      </c>
      <c r="F1684" s="1">
        <v>4.1760000000000002</v>
      </c>
      <c r="G1684">
        <v>1</v>
      </c>
      <c r="H1684" s="1">
        <v>1.3049999999999999</v>
      </c>
      <c r="I1684" s="4">
        <f>SalesData[[#This Row],[Profit]]/SalesData[[#This Row],[Sales]]</f>
        <v>0.3125</v>
      </c>
      <c r="J1684">
        <f>YEAR(SalesData[[#This Row],[Order Date]])</f>
        <v>2016</v>
      </c>
      <c r="K1684" t="str">
        <f>TEXT(SalesData[[#This Row],[Order Date]],"mmm")</f>
        <v>Apr</v>
      </c>
      <c r="L1684">
        <f>MONTH(SalesData[[#This Row],[Order Date]])</f>
        <v>4</v>
      </c>
      <c r="M1684">
        <f>SalesData[[#This Row],[Sales]]/SalesData[[#This Row],[Quantity]]</f>
        <v>4.1760000000000002</v>
      </c>
      <c r="N1684" t="str">
        <f>IF(SalesData[[#This Row],[Profit]]&gt;0,"Profit","Loss")</f>
        <v>Profit</v>
      </c>
    </row>
    <row r="1685" spans="1:14" x14ac:dyDescent="0.3">
      <c r="A1685" t="s">
        <v>2150</v>
      </c>
      <c r="B1685" s="3">
        <v>42471</v>
      </c>
      <c r="C1685" t="s">
        <v>13</v>
      </c>
      <c r="D1685" t="s">
        <v>21</v>
      </c>
      <c r="E1685" t="s">
        <v>1003</v>
      </c>
      <c r="F1685" s="1">
        <v>38.880000000000003</v>
      </c>
      <c r="G1685">
        <v>6</v>
      </c>
      <c r="H1685" s="1">
        <v>18.662400000000002</v>
      </c>
      <c r="I1685" s="4">
        <f>SalesData[[#This Row],[Profit]]/SalesData[[#This Row],[Sales]]</f>
        <v>0.48000000000000004</v>
      </c>
      <c r="J1685">
        <f>YEAR(SalesData[[#This Row],[Order Date]])</f>
        <v>2016</v>
      </c>
      <c r="K1685" t="str">
        <f>TEXT(SalesData[[#This Row],[Order Date]],"mmm")</f>
        <v>Apr</v>
      </c>
      <c r="L1685">
        <f>MONTH(SalesData[[#This Row],[Order Date]])</f>
        <v>4</v>
      </c>
      <c r="M1685">
        <f>SalesData[[#This Row],[Sales]]/SalesData[[#This Row],[Quantity]]</f>
        <v>6.48</v>
      </c>
      <c r="N1685" t="str">
        <f>IF(SalesData[[#This Row],[Profit]]&gt;0,"Profit","Loss")</f>
        <v>Profit</v>
      </c>
    </row>
    <row r="1686" spans="1:14" x14ac:dyDescent="0.3">
      <c r="A1686" t="s">
        <v>2151</v>
      </c>
      <c r="B1686" s="3">
        <v>42471</v>
      </c>
      <c r="C1686" t="s">
        <v>46</v>
      </c>
      <c r="D1686" t="s">
        <v>21</v>
      </c>
      <c r="E1686" t="s">
        <v>413</v>
      </c>
      <c r="F1686" s="1">
        <v>45.247999999999998</v>
      </c>
      <c r="G1686">
        <v>2</v>
      </c>
      <c r="H1686" s="1">
        <v>3.9592000000000001</v>
      </c>
      <c r="I1686" s="4">
        <f>SalesData[[#This Row],[Profit]]/SalesData[[#This Row],[Sales]]</f>
        <v>8.7500000000000008E-2</v>
      </c>
      <c r="J1686">
        <f>YEAR(SalesData[[#This Row],[Order Date]])</f>
        <v>2016</v>
      </c>
      <c r="K1686" t="str">
        <f>TEXT(SalesData[[#This Row],[Order Date]],"mmm")</f>
        <v>Apr</v>
      </c>
      <c r="L1686">
        <f>MONTH(SalesData[[#This Row],[Order Date]])</f>
        <v>4</v>
      </c>
      <c r="M1686">
        <f>SalesData[[#This Row],[Sales]]/SalesData[[#This Row],[Quantity]]</f>
        <v>22.623999999999999</v>
      </c>
      <c r="N1686" t="str">
        <f>IF(SalesData[[#This Row],[Profit]]&gt;0,"Profit","Loss")</f>
        <v>Profit</v>
      </c>
    </row>
    <row r="1687" spans="1:14" x14ac:dyDescent="0.3">
      <c r="A1687" t="s">
        <v>2151</v>
      </c>
      <c r="B1687" s="3">
        <v>42471</v>
      </c>
      <c r="C1687" t="s">
        <v>46</v>
      </c>
      <c r="D1687" t="s">
        <v>14</v>
      </c>
      <c r="E1687" t="s">
        <v>2152</v>
      </c>
      <c r="F1687" s="1">
        <v>876.3</v>
      </c>
      <c r="G1687">
        <v>10</v>
      </c>
      <c r="H1687" s="1">
        <v>-292.10000000000002</v>
      </c>
      <c r="I1687" s="4">
        <f>SalesData[[#This Row],[Profit]]/SalesData[[#This Row],[Sales]]</f>
        <v>-0.33333333333333337</v>
      </c>
      <c r="J1687">
        <f>YEAR(SalesData[[#This Row],[Order Date]])</f>
        <v>2016</v>
      </c>
      <c r="K1687" t="str">
        <f>TEXT(SalesData[[#This Row],[Order Date]],"mmm")</f>
        <v>Apr</v>
      </c>
      <c r="L1687">
        <f>MONTH(SalesData[[#This Row],[Order Date]])</f>
        <v>4</v>
      </c>
      <c r="M1687">
        <f>SalesData[[#This Row],[Sales]]/SalesData[[#This Row],[Quantity]]</f>
        <v>87.63</v>
      </c>
      <c r="N1687" t="str">
        <f>IF(SalesData[[#This Row],[Profit]]&gt;0,"Profit","Loss")</f>
        <v>Loss</v>
      </c>
    </row>
    <row r="1688" spans="1:14" x14ac:dyDescent="0.3">
      <c r="A1688" t="s">
        <v>2151</v>
      </c>
      <c r="B1688" s="3">
        <v>42471</v>
      </c>
      <c r="C1688" t="s">
        <v>46</v>
      </c>
      <c r="D1688" t="s">
        <v>21</v>
      </c>
      <c r="E1688" t="s">
        <v>2153</v>
      </c>
      <c r="F1688" s="1">
        <v>185.376</v>
      </c>
      <c r="G1688">
        <v>2</v>
      </c>
      <c r="H1688" s="1">
        <v>-34.758000000000003</v>
      </c>
      <c r="I1688" s="4">
        <f>SalesData[[#This Row],[Profit]]/SalesData[[#This Row],[Sales]]</f>
        <v>-0.1875</v>
      </c>
      <c r="J1688">
        <f>YEAR(SalesData[[#This Row],[Order Date]])</f>
        <v>2016</v>
      </c>
      <c r="K1688" t="str">
        <f>TEXT(SalesData[[#This Row],[Order Date]],"mmm")</f>
        <v>Apr</v>
      </c>
      <c r="L1688">
        <f>MONTH(SalesData[[#This Row],[Order Date]])</f>
        <v>4</v>
      </c>
      <c r="M1688">
        <f>SalesData[[#This Row],[Sales]]/SalesData[[#This Row],[Quantity]]</f>
        <v>92.688000000000002</v>
      </c>
      <c r="N1688" t="str">
        <f>IF(SalesData[[#This Row],[Profit]]&gt;0,"Profit","Loss")</f>
        <v>Loss</v>
      </c>
    </row>
    <row r="1689" spans="1:14" x14ac:dyDescent="0.3">
      <c r="A1689" t="s">
        <v>2154</v>
      </c>
      <c r="B1689" s="3">
        <v>42471</v>
      </c>
      <c r="C1689" t="s">
        <v>13</v>
      </c>
      <c r="D1689" t="s">
        <v>10</v>
      </c>
      <c r="E1689" t="s">
        <v>2155</v>
      </c>
      <c r="F1689" s="1">
        <v>686.4</v>
      </c>
      <c r="G1689">
        <v>2</v>
      </c>
      <c r="H1689" s="1">
        <v>77.22</v>
      </c>
      <c r="I1689" s="4">
        <f>SalesData[[#This Row],[Profit]]/SalesData[[#This Row],[Sales]]</f>
        <v>0.1125</v>
      </c>
      <c r="J1689">
        <f>YEAR(SalesData[[#This Row],[Order Date]])</f>
        <v>2016</v>
      </c>
      <c r="K1689" t="str">
        <f>TEXT(SalesData[[#This Row],[Order Date]],"mmm")</f>
        <v>Apr</v>
      </c>
      <c r="L1689">
        <f>MONTH(SalesData[[#This Row],[Order Date]])</f>
        <v>4</v>
      </c>
      <c r="M1689">
        <f>SalesData[[#This Row],[Sales]]/SalesData[[#This Row],[Quantity]]</f>
        <v>343.2</v>
      </c>
      <c r="N1689" t="str">
        <f>IF(SalesData[[#This Row],[Profit]]&gt;0,"Profit","Loss")</f>
        <v>Profit</v>
      </c>
    </row>
    <row r="1690" spans="1:14" x14ac:dyDescent="0.3">
      <c r="A1690" t="s">
        <v>2156</v>
      </c>
      <c r="B1690" s="3">
        <v>42471</v>
      </c>
      <c r="C1690" t="s">
        <v>9</v>
      </c>
      <c r="D1690" t="s">
        <v>14</v>
      </c>
      <c r="E1690" t="s">
        <v>1310</v>
      </c>
      <c r="F1690" s="1">
        <v>11.375999999999999</v>
      </c>
      <c r="G1690">
        <v>3</v>
      </c>
      <c r="H1690" s="1">
        <v>-5.6879999999999997</v>
      </c>
      <c r="I1690" s="4">
        <f>SalesData[[#This Row],[Profit]]/SalesData[[#This Row],[Sales]]</f>
        <v>-0.5</v>
      </c>
      <c r="J1690">
        <f>YEAR(SalesData[[#This Row],[Order Date]])</f>
        <v>2016</v>
      </c>
      <c r="K1690" t="str">
        <f>TEXT(SalesData[[#This Row],[Order Date]],"mmm")</f>
        <v>Apr</v>
      </c>
      <c r="L1690">
        <f>MONTH(SalesData[[#This Row],[Order Date]])</f>
        <v>4</v>
      </c>
      <c r="M1690">
        <f>SalesData[[#This Row],[Sales]]/SalesData[[#This Row],[Quantity]]</f>
        <v>3.7919999999999998</v>
      </c>
      <c r="N1690" t="str">
        <f>IF(SalesData[[#This Row],[Profit]]&gt;0,"Profit","Loss")</f>
        <v>Loss</v>
      </c>
    </row>
    <row r="1691" spans="1:14" x14ac:dyDescent="0.3">
      <c r="A1691" t="s">
        <v>2156</v>
      </c>
      <c r="B1691" s="3">
        <v>42471</v>
      </c>
      <c r="C1691" t="s">
        <v>9</v>
      </c>
      <c r="D1691" t="s">
        <v>14</v>
      </c>
      <c r="E1691" t="s">
        <v>906</v>
      </c>
      <c r="F1691" s="1">
        <v>66.111999999999995</v>
      </c>
      <c r="G1691">
        <v>4</v>
      </c>
      <c r="H1691" s="1">
        <v>-84.2928</v>
      </c>
      <c r="I1691" s="4">
        <f>SalesData[[#This Row],[Profit]]/SalesData[[#This Row],[Sales]]</f>
        <v>-1.2750000000000001</v>
      </c>
      <c r="J1691">
        <f>YEAR(SalesData[[#This Row],[Order Date]])</f>
        <v>2016</v>
      </c>
      <c r="K1691" t="str">
        <f>TEXT(SalesData[[#This Row],[Order Date]],"mmm")</f>
        <v>Apr</v>
      </c>
      <c r="L1691">
        <f>MONTH(SalesData[[#This Row],[Order Date]])</f>
        <v>4</v>
      </c>
      <c r="M1691">
        <f>SalesData[[#This Row],[Sales]]/SalesData[[#This Row],[Quantity]]</f>
        <v>16.527999999999999</v>
      </c>
      <c r="N1691" t="str">
        <f>IF(SalesData[[#This Row],[Profit]]&gt;0,"Profit","Loss")</f>
        <v>Loss</v>
      </c>
    </row>
    <row r="1692" spans="1:14" x14ac:dyDescent="0.3">
      <c r="A1692" t="s">
        <v>2157</v>
      </c>
      <c r="B1692" s="3">
        <v>42472</v>
      </c>
      <c r="C1692" t="s">
        <v>17</v>
      </c>
      <c r="D1692" t="s">
        <v>14</v>
      </c>
      <c r="E1692" t="s">
        <v>672</v>
      </c>
      <c r="F1692" s="1">
        <v>113.79</v>
      </c>
      <c r="G1692">
        <v>3</v>
      </c>
      <c r="H1692" s="1">
        <v>20.482199999999999</v>
      </c>
      <c r="I1692" s="4">
        <f>SalesData[[#This Row],[Profit]]/SalesData[[#This Row],[Sales]]</f>
        <v>0.18</v>
      </c>
      <c r="J1692">
        <f>YEAR(SalesData[[#This Row],[Order Date]])</f>
        <v>2016</v>
      </c>
      <c r="K1692" t="str">
        <f>TEXT(SalesData[[#This Row],[Order Date]],"mmm")</f>
        <v>Apr</v>
      </c>
      <c r="L1692">
        <f>MONTH(SalesData[[#This Row],[Order Date]])</f>
        <v>4</v>
      </c>
      <c r="M1692">
        <f>SalesData[[#This Row],[Sales]]/SalesData[[#This Row],[Quantity]]</f>
        <v>37.93</v>
      </c>
      <c r="N1692" t="str">
        <f>IF(SalesData[[#This Row],[Profit]]&gt;0,"Profit","Loss")</f>
        <v>Profit</v>
      </c>
    </row>
    <row r="1693" spans="1:14" x14ac:dyDescent="0.3">
      <c r="A1693" t="s">
        <v>2157</v>
      </c>
      <c r="B1693" s="3">
        <v>42472</v>
      </c>
      <c r="C1693" t="s">
        <v>17</v>
      </c>
      <c r="D1693" t="s">
        <v>10</v>
      </c>
      <c r="E1693" t="s">
        <v>11</v>
      </c>
      <c r="F1693" s="1">
        <v>78.150000000000006</v>
      </c>
      <c r="G1693">
        <v>1</v>
      </c>
      <c r="H1693" s="1">
        <v>34.386000000000003</v>
      </c>
      <c r="I1693" s="4">
        <f>SalesData[[#This Row],[Profit]]/SalesData[[#This Row],[Sales]]</f>
        <v>0.44</v>
      </c>
      <c r="J1693">
        <f>YEAR(SalesData[[#This Row],[Order Date]])</f>
        <v>2016</v>
      </c>
      <c r="K1693" t="str">
        <f>TEXT(SalesData[[#This Row],[Order Date]],"mmm")</f>
        <v>Apr</v>
      </c>
      <c r="L1693">
        <f>MONTH(SalesData[[#This Row],[Order Date]])</f>
        <v>4</v>
      </c>
      <c r="M1693">
        <f>SalesData[[#This Row],[Sales]]/SalesData[[#This Row],[Quantity]]</f>
        <v>78.150000000000006</v>
      </c>
      <c r="N1693" t="str">
        <f>IF(SalesData[[#This Row],[Profit]]&gt;0,"Profit","Loss")</f>
        <v>Profit</v>
      </c>
    </row>
    <row r="1694" spans="1:14" x14ac:dyDescent="0.3">
      <c r="A1694" t="s">
        <v>2157</v>
      </c>
      <c r="B1694" s="3">
        <v>42472</v>
      </c>
      <c r="C1694" t="s">
        <v>17</v>
      </c>
      <c r="D1694" t="s">
        <v>21</v>
      </c>
      <c r="E1694" t="s">
        <v>2158</v>
      </c>
      <c r="F1694" s="1">
        <v>1.728</v>
      </c>
      <c r="G1694">
        <v>1</v>
      </c>
      <c r="H1694" s="1">
        <v>0.6048</v>
      </c>
      <c r="I1694" s="4">
        <f>SalesData[[#This Row],[Profit]]/SalesData[[#This Row],[Sales]]</f>
        <v>0.35000000000000003</v>
      </c>
      <c r="J1694">
        <f>YEAR(SalesData[[#This Row],[Order Date]])</f>
        <v>2016</v>
      </c>
      <c r="K1694" t="str">
        <f>TEXT(SalesData[[#This Row],[Order Date]],"mmm")</f>
        <v>Apr</v>
      </c>
      <c r="L1694">
        <f>MONTH(SalesData[[#This Row],[Order Date]])</f>
        <v>4</v>
      </c>
      <c r="M1694">
        <f>SalesData[[#This Row],[Sales]]/SalesData[[#This Row],[Quantity]]</f>
        <v>1.728</v>
      </c>
      <c r="N1694" t="str">
        <f>IF(SalesData[[#This Row],[Profit]]&gt;0,"Profit","Loss")</f>
        <v>Profit</v>
      </c>
    </row>
    <row r="1695" spans="1:14" x14ac:dyDescent="0.3">
      <c r="A1695" t="s">
        <v>2157</v>
      </c>
      <c r="B1695" s="3">
        <v>42472</v>
      </c>
      <c r="C1695" t="s">
        <v>17</v>
      </c>
      <c r="D1695" t="s">
        <v>21</v>
      </c>
      <c r="E1695" t="s">
        <v>94</v>
      </c>
      <c r="F1695" s="1">
        <v>40.56</v>
      </c>
      <c r="G1695">
        <v>4</v>
      </c>
      <c r="H1695" s="1">
        <v>19.874400000000001</v>
      </c>
      <c r="I1695" s="4">
        <f>SalesData[[#This Row],[Profit]]/SalesData[[#This Row],[Sales]]</f>
        <v>0.49</v>
      </c>
      <c r="J1695">
        <f>YEAR(SalesData[[#This Row],[Order Date]])</f>
        <v>2016</v>
      </c>
      <c r="K1695" t="str">
        <f>TEXT(SalesData[[#This Row],[Order Date]],"mmm")</f>
        <v>Apr</v>
      </c>
      <c r="L1695">
        <f>MONTH(SalesData[[#This Row],[Order Date]])</f>
        <v>4</v>
      </c>
      <c r="M1695">
        <f>SalesData[[#This Row],[Sales]]/SalesData[[#This Row],[Quantity]]</f>
        <v>10.14</v>
      </c>
      <c r="N1695" t="str">
        <f>IF(SalesData[[#This Row],[Profit]]&gt;0,"Profit","Loss")</f>
        <v>Profit</v>
      </c>
    </row>
    <row r="1696" spans="1:14" x14ac:dyDescent="0.3">
      <c r="A1696" t="s">
        <v>2157</v>
      </c>
      <c r="B1696" s="3">
        <v>42472</v>
      </c>
      <c r="C1696" t="s">
        <v>17</v>
      </c>
      <c r="D1696" t="s">
        <v>21</v>
      </c>
      <c r="E1696" t="s">
        <v>2159</v>
      </c>
      <c r="F1696" s="1">
        <v>182.94</v>
      </c>
      <c r="G1696">
        <v>3</v>
      </c>
      <c r="H1696" s="1">
        <v>3.6587999999999998</v>
      </c>
      <c r="I1696" s="4">
        <f>SalesData[[#This Row],[Profit]]/SalesData[[#This Row],[Sales]]</f>
        <v>0.02</v>
      </c>
      <c r="J1696">
        <f>YEAR(SalesData[[#This Row],[Order Date]])</f>
        <v>2016</v>
      </c>
      <c r="K1696" t="str">
        <f>TEXT(SalesData[[#This Row],[Order Date]],"mmm")</f>
        <v>Apr</v>
      </c>
      <c r="L1696">
        <f>MONTH(SalesData[[#This Row],[Order Date]])</f>
        <v>4</v>
      </c>
      <c r="M1696">
        <f>SalesData[[#This Row],[Sales]]/SalesData[[#This Row],[Quantity]]</f>
        <v>60.98</v>
      </c>
      <c r="N1696" t="str">
        <f>IF(SalesData[[#This Row],[Profit]]&gt;0,"Profit","Loss")</f>
        <v>Profit</v>
      </c>
    </row>
    <row r="1697" spans="1:14" x14ac:dyDescent="0.3">
      <c r="A1697" t="s">
        <v>2157</v>
      </c>
      <c r="B1697" s="3">
        <v>42472</v>
      </c>
      <c r="C1697" t="s">
        <v>17</v>
      </c>
      <c r="D1697" t="s">
        <v>21</v>
      </c>
      <c r="E1697" t="s">
        <v>2160</v>
      </c>
      <c r="F1697" s="1">
        <v>193.86</v>
      </c>
      <c r="G1697">
        <v>2</v>
      </c>
      <c r="H1697" s="1">
        <v>11.631600000000001</v>
      </c>
      <c r="I1697" s="4">
        <f>SalesData[[#This Row],[Profit]]/SalesData[[#This Row],[Sales]]</f>
        <v>0.06</v>
      </c>
      <c r="J1697">
        <f>YEAR(SalesData[[#This Row],[Order Date]])</f>
        <v>2016</v>
      </c>
      <c r="K1697" t="str">
        <f>TEXT(SalesData[[#This Row],[Order Date]],"mmm")</f>
        <v>Apr</v>
      </c>
      <c r="L1697">
        <f>MONTH(SalesData[[#This Row],[Order Date]])</f>
        <v>4</v>
      </c>
      <c r="M1697">
        <f>SalesData[[#This Row],[Sales]]/SalesData[[#This Row],[Quantity]]</f>
        <v>96.93</v>
      </c>
      <c r="N1697" t="str">
        <f>IF(SalesData[[#This Row],[Profit]]&gt;0,"Profit","Loss")</f>
        <v>Profit</v>
      </c>
    </row>
    <row r="1698" spans="1:14" x14ac:dyDescent="0.3">
      <c r="A1698" t="s">
        <v>2161</v>
      </c>
      <c r="B1698" s="3">
        <v>42472</v>
      </c>
      <c r="C1698" t="s">
        <v>17</v>
      </c>
      <c r="D1698" t="s">
        <v>21</v>
      </c>
      <c r="E1698" t="s">
        <v>2162</v>
      </c>
      <c r="F1698" s="1">
        <v>212.88</v>
      </c>
      <c r="G1698">
        <v>6</v>
      </c>
      <c r="H1698" s="1">
        <v>0</v>
      </c>
      <c r="I1698" s="4">
        <f>SalesData[[#This Row],[Profit]]/SalesData[[#This Row],[Sales]]</f>
        <v>0</v>
      </c>
      <c r="J1698">
        <f>YEAR(SalesData[[#This Row],[Order Date]])</f>
        <v>2016</v>
      </c>
      <c r="K1698" t="str">
        <f>TEXT(SalesData[[#This Row],[Order Date]],"mmm")</f>
        <v>Apr</v>
      </c>
      <c r="L1698">
        <f>MONTH(SalesData[[#This Row],[Order Date]])</f>
        <v>4</v>
      </c>
      <c r="M1698">
        <f>SalesData[[#This Row],[Sales]]/SalesData[[#This Row],[Quantity]]</f>
        <v>35.479999999999997</v>
      </c>
      <c r="N1698" t="str">
        <f>IF(SalesData[[#This Row],[Profit]]&gt;0,"Profit","Loss")</f>
        <v>Loss</v>
      </c>
    </row>
    <row r="1699" spans="1:14" x14ac:dyDescent="0.3">
      <c r="A1699" t="s">
        <v>2163</v>
      </c>
      <c r="B1699" s="3">
        <v>42472</v>
      </c>
      <c r="C1699" t="s">
        <v>17</v>
      </c>
      <c r="D1699" t="s">
        <v>21</v>
      </c>
      <c r="E1699" t="s">
        <v>2164</v>
      </c>
      <c r="F1699" s="1">
        <v>15.528</v>
      </c>
      <c r="G1699">
        <v>3</v>
      </c>
      <c r="H1699" s="1">
        <v>5.8230000000000004</v>
      </c>
      <c r="I1699" s="4">
        <f>SalesData[[#This Row],[Profit]]/SalesData[[#This Row],[Sales]]</f>
        <v>0.375</v>
      </c>
      <c r="J1699">
        <f>YEAR(SalesData[[#This Row],[Order Date]])</f>
        <v>2016</v>
      </c>
      <c r="K1699" t="str">
        <f>TEXT(SalesData[[#This Row],[Order Date]],"mmm")</f>
        <v>Apr</v>
      </c>
      <c r="L1699">
        <f>MONTH(SalesData[[#This Row],[Order Date]])</f>
        <v>4</v>
      </c>
      <c r="M1699">
        <f>SalesData[[#This Row],[Sales]]/SalesData[[#This Row],[Quantity]]</f>
        <v>5.1760000000000002</v>
      </c>
      <c r="N1699" t="str">
        <f>IF(SalesData[[#This Row],[Profit]]&gt;0,"Profit","Loss")</f>
        <v>Profit</v>
      </c>
    </row>
    <row r="1700" spans="1:14" x14ac:dyDescent="0.3">
      <c r="A1700" t="s">
        <v>2165</v>
      </c>
      <c r="B1700" s="3">
        <v>42472</v>
      </c>
      <c r="C1700" t="s">
        <v>13</v>
      </c>
      <c r="D1700" t="s">
        <v>21</v>
      </c>
      <c r="E1700" t="s">
        <v>2166</v>
      </c>
      <c r="F1700" s="1">
        <v>104.85</v>
      </c>
      <c r="G1700">
        <v>1</v>
      </c>
      <c r="H1700" s="1">
        <v>50.328000000000003</v>
      </c>
      <c r="I1700" s="4">
        <f>SalesData[[#This Row],[Profit]]/SalesData[[#This Row],[Sales]]</f>
        <v>0.48000000000000004</v>
      </c>
      <c r="J1700">
        <f>YEAR(SalesData[[#This Row],[Order Date]])</f>
        <v>2016</v>
      </c>
      <c r="K1700" t="str">
        <f>TEXT(SalesData[[#This Row],[Order Date]],"mmm")</f>
        <v>Apr</v>
      </c>
      <c r="L1700">
        <f>MONTH(SalesData[[#This Row],[Order Date]])</f>
        <v>4</v>
      </c>
      <c r="M1700">
        <f>SalesData[[#This Row],[Sales]]/SalesData[[#This Row],[Quantity]]</f>
        <v>104.85</v>
      </c>
      <c r="N1700" t="str">
        <f>IF(SalesData[[#This Row],[Profit]]&gt;0,"Profit","Loss")</f>
        <v>Profit</v>
      </c>
    </row>
    <row r="1701" spans="1:14" x14ac:dyDescent="0.3">
      <c r="A1701" t="s">
        <v>2167</v>
      </c>
      <c r="B1701" s="3">
        <v>42491</v>
      </c>
      <c r="C1701" t="s">
        <v>46</v>
      </c>
      <c r="D1701" t="s">
        <v>10</v>
      </c>
      <c r="E1701" t="s">
        <v>1980</v>
      </c>
      <c r="F1701" s="1">
        <v>191.47200000000001</v>
      </c>
      <c r="G1701">
        <v>6</v>
      </c>
      <c r="H1701" s="1">
        <v>40.687800000000003</v>
      </c>
      <c r="I1701" s="4">
        <f>SalesData[[#This Row],[Profit]]/SalesData[[#This Row],[Sales]]</f>
        <v>0.21249999999999999</v>
      </c>
      <c r="J1701">
        <f>YEAR(SalesData[[#This Row],[Order Date]])</f>
        <v>2016</v>
      </c>
      <c r="K1701" t="str">
        <f>TEXT(SalesData[[#This Row],[Order Date]],"mmm")</f>
        <v>May</v>
      </c>
      <c r="L1701">
        <f>MONTH(SalesData[[#This Row],[Order Date]])</f>
        <v>5</v>
      </c>
      <c r="M1701">
        <f>SalesData[[#This Row],[Sales]]/SalesData[[#This Row],[Quantity]]</f>
        <v>31.912000000000003</v>
      </c>
      <c r="N1701" t="str">
        <f>IF(SalesData[[#This Row],[Profit]]&gt;0,"Profit","Loss")</f>
        <v>Profit</v>
      </c>
    </row>
    <row r="1702" spans="1:14" x14ac:dyDescent="0.3">
      <c r="A1702" t="s">
        <v>2167</v>
      </c>
      <c r="B1702" s="3">
        <v>42491</v>
      </c>
      <c r="C1702" t="s">
        <v>46</v>
      </c>
      <c r="D1702" t="s">
        <v>21</v>
      </c>
      <c r="E1702" t="s">
        <v>2168</v>
      </c>
      <c r="F1702" s="1">
        <v>5.2480000000000002</v>
      </c>
      <c r="G1702">
        <v>2</v>
      </c>
      <c r="H1702" s="1">
        <v>0.59040000000000004</v>
      </c>
      <c r="I1702" s="4">
        <f>SalesData[[#This Row],[Profit]]/SalesData[[#This Row],[Sales]]</f>
        <v>0.1125</v>
      </c>
      <c r="J1702">
        <f>YEAR(SalesData[[#This Row],[Order Date]])</f>
        <v>2016</v>
      </c>
      <c r="K1702" t="str">
        <f>TEXT(SalesData[[#This Row],[Order Date]],"mmm")</f>
        <v>May</v>
      </c>
      <c r="L1702">
        <f>MONTH(SalesData[[#This Row],[Order Date]])</f>
        <v>5</v>
      </c>
      <c r="M1702">
        <f>SalesData[[#This Row],[Sales]]/SalesData[[#This Row],[Quantity]]</f>
        <v>2.6240000000000001</v>
      </c>
      <c r="N1702" t="str">
        <f>IF(SalesData[[#This Row],[Profit]]&gt;0,"Profit","Loss")</f>
        <v>Profit</v>
      </c>
    </row>
    <row r="1703" spans="1:14" x14ac:dyDescent="0.3">
      <c r="A1703" t="s">
        <v>2167</v>
      </c>
      <c r="B1703" s="3">
        <v>42491</v>
      </c>
      <c r="C1703" t="s">
        <v>46</v>
      </c>
      <c r="D1703" t="s">
        <v>10</v>
      </c>
      <c r="E1703" t="s">
        <v>152</v>
      </c>
      <c r="F1703" s="1">
        <v>59.183999999999997</v>
      </c>
      <c r="G1703">
        <v>2</v>
      </c>
      <c r="H1703" s="1">
        <v>5.1786000000000003</v>
      </c>
      <c r="I1703" s="4">
        <f>SalesData[[#This Row],[Profit]]/SalesData[[#This Row],[Sales]]</f>
        <v>8.7500000000000008E-2</v>
      </c>
      <c r="J1703">
        <f>YEAR(SalesData[[#This Row],[Order Date]])</f>
        <v>2016</v>
      </c>
      <c r="K1703" t="str">
        <f>TEXT(SalesData[[#This Row],[Order Date]],"mmm")</f>
        <v>May</v>
      </c>
      <c r="L1703">
        <f>MONTH(SalesData[[#This Row],[Order Date]])</f>
        <v>5</v>
      </c>
      <c r="M1703">
        <f>SalesData[[#This Row],[Sales]]/SalesData[[#This Row],[Quantity]]</f>
        <v>29.591999999999999</v>
      </c>
      <c r="N1703" t="str">
        <f>IF(SalesData[[#This Row],[Profit]]&gt;0,"Profit","Loss")</f>
        <v>Profit</v>
      </c>
    </row>
    <row r="1704" spans="1:14" x14ac:dyDescent="0.3">
      <c r="A1704" t="s">
        <v>2169</v>
      </c>
      <c r="B1704" s="3">
        <v>42492</v>
      </c>
      <c r="C1704" t="s">
        <v>46</v>
      </c>
      <c r="D1704" t="s">
        <v>21</v>
      </c>
      <c r="E1704" t="s">
        <v>566</v>
      </c>
      <c r="F1704" s="1">
        <v>80.98</v>
      </c>
      <c r="G1704">
        <v>1</v>
      </c>
      <c r="H1704" s="1">
        <v>1.6195999999999999</v>
      </c>
      <c r="I1704" s="4">
        <f>SalesData[[#This Row],[Profit]]/SalesData[[#This Row],[Sales]]</f>
        <v>1.9999999999999997E-2</v>
      </c>
      <c r="J1704">
        <f>YEAR(SalesData[[#This Row],[Order Date]])</f>
        <v>2016</v>
      </c>
      <c r="K1704" t="str">
        <f>TEXT(SalesData[[#This Row],[Order Date]],"mmm")</f>
        <v>May</v>
      </c>
      <c r="L1704">
        <f>MONTH(SalesData[[#This Row],[Order Date]])</f>
        <v>5</v>
      </c>
      <c r="M1704">
        <f>SalesData[[#This Row],[Sales]]/SalesData[[#This Row],[Quantity]]</f>
        <v>80.98</v>
      </c>
      <c r="N1704" t="str">
        <f>IF(SalesData[[#This Row],[Profit]]&gt;0,"Profit","Loss")</f>
        <v>Profit</v>
      </c>
    </row>
    <row r="1705" spans="1:14" x14ac:dyDescent="0.3">
      <c r="A1705" t="s">
        <v>2169</v>
      </c>
      <c r="B1705" s="3">
        <v>42492</v>
      </c>
      <c r="C1705" t="s">
        <v>46</v>
      </c>
      <c r="D1705" t="s">
        <v>21</v>
      </c>
      <c r="E1705" t="s">
        <v>257</v>
      </c>
      <c r="F1705" s="1">
        <v>348.84</v>
      </c>
      <c r="G1705">
        <v>9</v>
      </c>
      <c r="H1705" s="1">
        <v>170.9316</v>
      </c>
      <c r="I1705" s="4">
        <f>SalesData[[#This Row],[Profit]]/SalesData[[#This Row],[Sales]]</f>
        <v>0.49000000000000005</v>
      </c>
      <c r="J1705">
        <f>YEAR(SalesData[[#This Row],[Order Date]])</f>
        <v>2016</v>
      </c>
      <c r="K1705" t="str">
        <f>TEXT(SalesData[[#This Row],[Order Date]],"mmm")</f>
        <v>May</v>
      </c>
      <c r="L1705">
        <f>MONTH(SalesData[[#This Row],[Order Date]])</f>
        <v>5</v>
      </c>
      <c r="M1705">
        <f>SalesData[[#This Row],[Sales]]/SalesData[[#This Row],[Quantity]]</f>
        <v>38.76</v>
      </c>
      <c r="N1705" t="str">
        <f>IF(SalesData[[#This Row],[Profit]]&gt;0,"Profit","Loss")</f>
        <v>Profit</v>
      </c>
    </row>
    <row r="1706" spans="1:14" x14ac:dyDescent="0.3">
      <c r="A1706" t="s">
        <v>2169</v>
      </c>
      <c r="B1706" s="3">
        <v>42492</v>
      </c>
      <c r="C1706" t="s">
        <v>46</v>
      </c>
      <c r="D1706" t="s">
        <v>21</v>
      </c>
      <c r="E1706" t="s">
        <v>2170</v>
      </c>
      <c r="F1706" s="1">
        <v>9.4499999999999993</v>
      </c>
      <c r="G1706">
        <v>5</v>
      </c>
      <c r="H1706" s="1">
        <v>0.189</v>
      </c>
      <c r="I1706" s="4">
        <f>SalesData[[#This Row],[Profit]]/SalesData[[#This Row],[Sales]]</f>
        <v>0.02</v>
      </c>
      <c r="J1706">
        <f>YEAR(SalesData[[#This Row],[Order Date]])</f>
        <v>2016</v>
      </c>
      <c r="K1706" t="str">
        <f>TEXT(SalesData[[#This Row],[Order Date]],"mmm")</f>
        <v>May</v>
      </c>
      <c r="L1706">
        <f>MONTH(SalesData[[#This Row],[Order Date]])</f>
        <v>5</v>
      </c>
      <c r="M1706">
        <f>SalesData[[#This Row],[Sales]]/SalesData[[#This Row],[Quantity]]</f>
        <v>1.89</v>
      </c>
      <c r="N1706" t="str">
        <f>IF(SalesData[[#This Row],[Profit]]&gt;0,"Profit","Loss")</f>
        <v>Profit</v>
      </c>
    </row>
    <row r="1707" spans="1:14" x14ac:dyDescent="0.3">
      <c r="A1707" t="s">
        <v>2169</v>
      </c>
      <c r="B1707" s="3">
        <v>42492</v>
      </c>
      <c r="C1707" t="s">
        <v>46</v>
      </c>
      <c r="D1707" t="s">
        <v>14</v>
      </c>
      <c r="E1707" t="s">
        <v>807</v>
      </c>
      <c r="F1707" s="1">
        <v>18.84</v>
      </c>
      <c r="G1707">
        <v>3</v>
      </c>
      <c r="H1707" s="1">
        <v>7.1592000000000002</v>
      </c>
      <c r="I1707" s="4">
        <f>SalesData[[#This Row],[Profit]]/SalesData[[#This Row],[Sales]]</f>
        <v>0.38</v>
      </c>
      <c r="J1707">
        <f>YEAR(SalesData[[#This Row],[Order Date]])</f>
        <v>2016</v>
      </c>
      <c r="K1707" t="str">
        <f>TEXT(SalesData[[#This Row],[Order Date]],"mmm")</f>
        <v>May</v>
      </c>
      <c r="L1707">
        <f>MONTH(SalesData[[#This Row],[Order Date]])</f>
        <v>5</v>
      </c>
      <c r="M1707">
        <f>SalesData[[#This Row],[Sales]]/SalesData[[#This Row],[Quantity]]</f>
        <v>6.28</v>
      </c>
      <c r="N1707" t="str">
        <f>IF(SalesData[[#This Row],[Profit]]&gt;0,"Profit","Loss")</f>
        <v>Profit</v>
      </c>
    </row>
    <row r="1708" spans="1:14" x14ac:dyDescent="0.3">
      <c r="A1708" t="s">
        <v>2169</v>
      </c>
      <c r="B1708" s="3">
        <v>42492</v>
      </c>
      <c r="C1708" t="s">
        <v>46</v>
      </c>
      <c r="D1708" t="s">
        <v>14</v>
      </c>
      <c r="E1708" t="s">
        <v>2171</v>
      </c>
      <c r="F1708" s="1">
        <v>239.98</v>
      </c>
      <c r="G1708">
        <v>2</v>
      </c>
      <c r="H1708" s="1">
        <v>52.7956</v>
      </c>
      <c r="I1708" s="4">
        <f>SalesData[[#This Row],[Profit]]/SalesData[[#This Row],[Sales]]</f>
        <v>0.22</v>
      </c>
      <c r="J1708">
        <f>YEAR(SalesData[[#This Row],[Order Date]])</f>
        <v>2016</v>
      </c>
      <c r="K1708" t="str">
        <f>TEXT(SalesData[[#This Row],[Order Date]],"mmm")</f>
        <v>May</v>
      </c>
      <c r="L1708">
        <f>MONTH(SalesData[[#This Row],[Order Date]])</f>
        <v>5</v>
      </c>
      <c r="M1708">
        <f>SalesData[[#This Row],[Sales]]/SalesData[[#This Row],[Quantity]]</f>
        <v>119.99</v>
      </c>
      <c r="N1708" t="str">
        <f>IF(SalesData[[#This Row],[Profit]]&gt;0,"Profit","Loss")</f>
        <v>Profit</v>
      </c>
    </row>
    <row r="1709" spans="1:14" x14ac:dyDescent="0.3">
      <c r="A1709" t="s">
        <v>2169</v>
      </c>
      <c r="B1709" s="3">
        <v>42492</v>
      </c>
      <c r="C1709" t="s">
        <v>46</v>
      </c>
      <c r="D1709" t="s">
        <v>21</v>
      </c>
      <c r="E1709" t="s">
        <v>2172</v>
      </c>
      <c r="F1709" s="1">
        <v>167.96</v>
      </c>
      <c r="G1709">
        <v>2</v>
      </c>
      <c r="H1709" s="1">
        <v>78.941199999999995</v>
      </c>
      <c r="I1709" s="4">
        <f>SalesData[[#This Row],[Profit]]/SalesData[[#This Row],[Sales]]</f>
        <v>0.47</v>
      </c>
      <c r="J1709">
        <f>YEAR(SalesData[[#This Row],[Order Date]])</f>
        <v>2016</v>
      </c>
      <c r="K1709" t="str">
        <f>TEXT(SalesData[[#This Row],[Order Date]],"mmm")</f>
        <v>May</v>
      </c>
      <c r="L1709">
        <f>MONTH(SalesData[[#This Row],[Order Date]])</f>
        <v>5</v>
      </c>
      <c r="M1709">
        <f>SalesData[[#This Row],[Sales]]/SalesData[[#This Row],[Quantity]]</f>
        <v>83.98</v>
      </c>
      <c r="N1709" t="str">
        <f>IF(SalesData[[#This Row],[Profit]]&gt;0,"Profit","Loss")</f>
        <v>Profit</v>
      </c>
    </row>
    <row r="1710" spans="1:14" x14ac:dyDescent="0.3">
      <c r="A1710" t="s">
        <v>2169</v>
      </c>
      <c r="B1710" s="3">
        <v>42492</v>
      </c>
      <c r="C1710" t="s">
        <v>46</v>
      </c>
      <c r="D1710" t="s">
        <v>10</v>
      </c>
      <c r="E1710" t="s">
        <v>598</v>
      </c>
      <c r="F1710" s="1">
        <v>104.85</v>
      </c>
      <c r="G1710">
        <v>3</v>
      </c>
      <c r="H1710" s="1">
        <v>28.3095</v>
      </c>
      <c r="I1710" s="4">
        <f>SalesData[[#This Row],[Profit]]/SalesData[[#This Row],[Sales]]</f>
        <v>0.27</v>
      </c>
      <c r="J1710">
        <f>YEAR(SalesData[[#This Row],[Order Date]])</f>
        <v>2016</v>
      </c>
      <c r="K1710" t="str">
        <f>TEXT(SalesData[[#This Row],[Order Date]],"mmm")</f>
        <v>May</v>
      </c>
      <c r="L1710">
        <f>MONTH(SalesData[[#This Row],[Order Date]])</f>
        <v>5</v>
      </c>
      <c r="M1710">
        <f>SalesData[[#This Row],[Sales]]/SalesData[[#This Row],[Quantity]]</f>
        <v>34.949999999999996</v>
      </c>
      <c r="N1710" t="str">
        <f>IF(SalesData[[#This Row],[Profit]]&gt;0,"Profit","Loss")</f>
        <v>Profit</v>
      </c>
    </row>
    <row r="1711" spans="1:14" x14ac:dyDescent="0.3">
      <c r="A1711" t="s">
        <v>2169</v>
      </c>
      <c r="B1711" s="3">
        <v>42492</v>
      </c>
      <c r="C1711" t="s">
        <v>46</v>
      </c>
      <c r="D1711" t="s">
        <v>10</v>
      </c>
      <c r="E1711" t="s">
        <v>496</v>
      </c>
      <c r="F1711" s="1">
        <v>484.83</v>
      </c>
      <c r="G1711">
        <v>3</v>
      </c>
      <c r="H1711" s="1">
        <v>126.0558</v>
      </c>
      <c r="I1711" s="4">
        <f>SalesData[[#This Row],[Profit]]/SalesData[[#This Row],[Sales]]</f>
        <v>0.26</v>
      </c>
      <c r="J1711">
        <f>YEAR(SalesData[[#This Row],[Order Date]])</f>
        <v>2016</v>
      </c>
      <c r="K1711" t="str">
        <f>TEXT(SalesData[[#This Row],[Order Date]],"mmm")</f>
        <v>May</v>
      </c>
      <c r="L1711">
        <f>MONTH(SalesData[[#This Row],[Order Date]])</f>
        <v>5</v>
      </c>
      <c r="M1711">
        <f>SalesData[[#This Row],[Sales]]/SalesData[[#This Row],[Quantity]]</f>
        <v>161.60999999999999</v>
      </c>
      <c r="N1711" t="str">
        <f>IF(SalesData[[#This Row],[Profit]]&gt;0,"Profit","Loss")</f>
        <v>Profit</v>
      </c>
    </row>
    <row r="1712" spans="1:14" x14ac:dyDescent="0.3">
      <c r="A1712" t="s">
        <v>2169</v>
      </c>
      <c r="B1712" s="3">
        <v>42492</v>
      </c>
      <c r="C1712" t="s">
        <v>46</v>
      </c>
      <c r="D1712" t="s">
        <v>21</v>
      </c>
      <c r="E1712" t="s">
        <v>2173</v>
      </c>
      <c r="F1712" s="1">
        <v>122.97</v>
      </c>
      <c r="G1712">
        <v>3</v>
      </c>
      <c r="H1712" s="1">
        <v>60.255299999999998</v>
      </c>
      <c r="I1712" s="4">
        <f>SalesData[[#This Row],[Profit]]/SalesData[[#This Row],[Sales]]</f>
        <v>0.49</v>
      </c>
      <c r="J1712">
        <f>YEAR(SalesData[[#This Row],[Order Date]])</f>
        <v>2016</v>
      </c>
      <c r="K1712" t="str">
        <f>TEXT(SalesData[[#This Row],[Order Date]],"mmm")</f>
        <v>May</v>
      </c>
      <c r="L1712">
        <f>MONTH(SalesData[[#This Row],[Order Date]])</f>
        <v>5</v>
      </c>
      <c r="M1712">
        <f>SalesData[[#This Row],[Sales]]/SalesData[[#This Row],[Quantity]]</f>
        <v>40.99</v>
      </c>
      <c r="N1712" t="str">
        <f>IF(SalesData[[#This Row],[Profit]]&gt;0,"Profit","Loss")</f>
        <v>Profit</v>
      </c>
    </row>
    <row r="1713" spans="1:14" x14ac:dyDescent="0.3">
      <c r="A1713" t="s">
        <v>2169</v>
      </c>
      <c r="B1713" s="3">
        <v>42492</v>
      </c>
      <c r="C1713" t="s">
        <v>46</v>
      </c>
      <c r="D1713" t="s">
        <v>21</v>
      </c>
      <c r="E1713" t="s">
        <v>1445</v>
      </c>
      <c r="F1713" s="1">
        <v>154.44</v>
      </c>
      <c r="G1713">
        <v>3</v>
      </c>
      <c r="H1713" s="1">
        <v>1.5444</v>
      </c>
      <c r="I1713" s="4">
        <f>SalesData[[#This Row],[Profit]]/SalesData[[#This Row],[Sales]]</f>
        <v>0.01</v>
      </c>
      <c r="J1713">
        <f>YEAR(SalesData[[#This Row],[Order Date]])</f>
        <v>2016</v>
      </c>
      <c r="K1713" t="str">
        <f>TEXT(SalesData[[#This Row],[Order Date]],"mmm")</f>
        <v>May</v>
      </c>
      <c r="L1713">
        <f>MONTH(SalesData[[#This Row],[Order Date]])</f>
        <v>5</v>
      </c>
      <c r="M1713">
        <f>SalesData[[#This Row],[Sales]]/SalesData[[#This Row],[Quantity]]</f>
        <v>51.48</v>
      </c>
      <c r="N1713" t="str">
        <f>IF(SalesData[[#This Row],[Profit]]&gt;0,"Profit","Loss")</f>
        <v>Profit</v>
      </c>
    </row>
    <row r="1714" spans="1:14" x14ac:dyDescent="0.3">
      <c r="A1714" t="s">
        <v>2169</v>
      </c>
      <c r="B1714" s="3">
        <v>42492</v>
      </c>
      <c r="C1714" t="s">
        <v>46</v>
      </c>
      <c r="D1714" t="s">
        <v>21</v>
      </c>
      <c r="E1714" t="s">
        <v>2174</v>
      </c>
      <c r="F1714" s="1">
        <v>342.37</v>
      </c>
      <c r="G1714">
        <v>7</v>
      </c>
      <c r="H1714" s="1">
        <v>160.91390000000001</v>
      </c>
      <c r="I1714" s="4">
        <f>SalesData[[#This Row],[Profit]]/SalesData[[#This Row],[Sales]]</f>
        <v>0.47000000000000003</v>
      </c>
      <c r="J1714">
        <f>YEAR(SalesData[[#This Row],[Order Date]])</f>
        <v>2016</v>
      </c>
      <c r="K1714" t="str">
        <f>TEXT(SalesData[[#This Row],[Order Date]],"mmm")</f>
        <v>May</v>
      </c>
      <c r="L1714">
        <f>MONTH(SalesData[[#This Row],[Order Date]])</f>
        <v>5</v>
      </c>
      <c r="M1714">
        <f>SalesData[[#This Row],[Sales]]/SalesData[[#This Row],[Quantity]]</f>
        <v>48.910000000000004</v>
      </c>
      <c r="N1714" t="str">
        <f>IF(SalesData[[#This Row],[Profit]]&gt;0,"Profit","Loss")</f>
        <v>Profit</v>
      </c>
    </row>
    <row r="1715" spans="1:14" x14ac:dyDescent="0.3">
      <c r="A1715" t="s">
        <v>2175</v>
      </c>
      <c r="B1715" s="3">
        <v>42492</v>
      </c>
      <c r="C1715" t="s">
        <v>13</v>
      </c>
      <c r="D1715" t="s">
        <v>21</v>
      </c>
      <c r="E1715" t="s">
        <v>301</v>
      </c>
      <c r="F1715" s="1">
        <v>14.73</v>
      </c>
      <c r="G1715">
        <v>3</v>
      </c>
      <c r="H1715" s="1">
        <v>7.2176999999999998</v>
      </c>
      <c r="I1715" s="4">
        <f>SalesData[[#This Row],[Profit]]/SalesData[[#This Row],[Sales]]</f>
        <v>0.49</v>
      </c>
      <c r="J1715">
        <f>YEAR(SalesData[[#This Row],[Order Date]])</f>
        <v>2016</v>
      </c>
      <c r="K1715" t="str">
        <f>TEXT(SalesData[[#This Row],[Order Date]],"mmm")</f>
        <v>May</v>
      </c>
      <c r="L1715">
        <f>MONTH(SalesData[[#This Row],[Order Date]])</f>
        <v>5</v>
      </c>
      <c r="M1715">
        <f>SalesData[[#This Row],[Sales]]/SalesData[[#This Row],[Quantity]]</f>
        <v>4.91</v>
      </c>
      <c r="N1715" t="str">
        <f>IF(SalesData[[#This Row],[Profit]]&gt;0,"Profit","Loss")</f>
        <v>Profit</v>
      </c>
    </row>
    <row r="1716" spans="1:14" x14ac:dyDescent="0.3">
      <c r="A1716" t="s">
        <v>2175</v>
      </c>
      <c r="B1716" s="3">
        <v>42492</v>
      </c>
      <c r="C1716" t="s">
        <v>13</v>
      </c>
      <c r="D1716" t="s">
        <v>21</v>
      </c>
      <c r="E1716" t="s">
        <v>2176</v>
      </c>
      <c r="F1716" s="1">
        <v>186.54</v>
      </c>
      <c r="G1716">
        <v>3</v>
      </c>
      <c r="H1716" s="1">
        <v>50.3658</v>
      </c>
      <c r="I1716" s="4">
        <f>SalesData[[#This Row],[Profit]]/SalesData[[#This Row],[Sales]]</f>
        <v>0.27</v>
      </c>
      <c r="J1716">
        <f>YEAR(SalesData[[#This Row],[Order Date]])</f>
        <v>2016</v>
      </c>
      <c r="K1716" t="str">
        <f>TEXT(SalesData[[#This Row],[Order Date]],"mmm")</f>
        <v>May</v>
      </c>
      <c r="L1716">
        <f>MONTH(SalesData[[#This Row],[Order Date]])</f>
        <v>5</v>
      </c>
      <c r="M1716">
        <f>SalesData[[#This Row],[Sales]]/SalesData[[#This Row],[Quantity]]</f>
        <v>62.18</v>
      </c>
      <c r="N1716" t="str">
        <f>IF(SalesData[[#This Row],[Profit]]&gt;0,"Profit","Loss")</f>
        <v>Profit</v>
      </c>
    </row>
    <row r="1717" spans="1:14" x14ac:dyDescent="0.3">
      <c r="A1717" t="s">
        <v>2175</v>
      </c>
      <c r="B1717" s="3">
        <v>42492</v>
      </c>
      <c r="C1717" t="s">
        <v>13</v>
      </c>
      <c r="D1717" t="s">
        <v>14</v>
      </c>
      <c r="E1717" t="s">
        <v>1475</v>
      </c>
      <c r="F1717" s="1">
        <v>557.72799999999995</v>
      </c>
      <c r="G1717">
        <v>4</v>
      </c>
      <c r="H1717" s="1">
        <v>6.9715999999999996</v>
      </c>
      <c r="I1717" s="4">
        <f>SalesData[[#This Row],[Profit]]/SalesData[[#This Row],[Sales]]</f>
        <v>1.2500000000000001E-2</v>
      </c>
      <c r="J1717">
        <f>YEAR(SalesData[[#This Row],[Order Date]])</f>
        <v>2016</v>
      </c>
      <c r="K1717" t="str">
        <f>TEXT(SalesData[[#This Row],[Order Date]],"mmm")</f>
        <v>May</v>
      </c>
      <c r="L1717">
        <f>MONTH(SalesData[[#This Row],[Order Date]])</f>
        <v>5</v>
      </c>
      <c r="M1717">
        <f>SalesData[[#This Row],[Sales]]/SalesData[[#This Row],[Quantity]]</f>
        <v>139.43199999999999</v>
      </c>
      <c r="N1717" t="str">
        <f>IF(SalesData[[#This Row],[Profit]]&gt;0,"Profit","Loss")</f>
        <v>Profit</v>
      </c>
    </row>
    <row r="1718" spans="1:14" x14ac:dyDescent="0.3">
      <c r="A1718" t="s">
        <v>2175</v>
      </c>
      <c r="B1718" s="3">
        <v>42492</v>
      </c>
      <c r="C1718" t="s">
        <v>13</v>
      </c>
      <c r="D1718" t="s">
        <v>10</v>
      </c>
      <c r="E1718" t="s">
        <v>2102</v>
      </c>
      <c r="F1718" s="1">
        <v>159.96799999999999</v>
      </c>
      <c r="G1718">
        <v>4</v>
      </c>
      <c r="H1718" s="1">
        <v>-31.993600000000001</v>
      </c>
      <c r="I1718" s="4">
        <f>SalesData[[#This Row],[Profit]]/SalesData[[#This Row],[Sales]]</f>
        <v>-0.2</v>
      </c>
      <c r="J1718">
        <f>YEAR(SalesData[[#This Row],[Order Date]])</f>
        <v>2016</v>
      </c>
      <c r="K1718" t="str">
        <f>TEXT(SalesData[[#This Row],[Order Date]],"mmm")</f>
        <v>May</v>
      </c>
      <c r="L1718">
        <f>MONTH(SalesData[[#This Row],[Order Date]])</f>
        <v>5</v>
      </c>
      <c r="M1718">
        <f>SalesData[[#This Row],[Sales]]/SalesData[[#This Row],[Quantity]]</f>
        <v>39.991999999999997</v>
      </c>
      <c r="N1718" t="str">
        <f>IF(SalesData[[#This Row],[Profit]]&gt;0,"Profit","Loss")</f>
        <v>Loss</v>
      </c>
    </row>
    <row r="1719" spans="1:14" x14ac:dyDescent="0.3">
      <c r="A1719" t="s">
        <v>2177</v>
      </c>
      <c r="B1719" s="3">
        <v>42493</v>
      </c>
      <c r="C1719" t="s">
        <v>9</v>
      </c>
      <c r="D1719" t="s">
        <v>21</v>
      </c>
      <c r="E1719" t="s">
        <v>472</v>
      </c>
      <c r="F1719" s="1">
        <v>149.352</v>
      </c>
      <c r="G1719">
        <v>3</v>
      </c>
      <c r="H1719" s="1">
        <v>50.406300000000002</v>
      </c>
      <c r="I1719" s="4">
        <f>SalesData[[#This Row],[Profit]]/SalesData[[#This Row],[Sales]]</f>
        <v>0.33750000000000002</v>
      </c>
      <c r="J1719">
        <f>YEAR(SalesData[[#This Row],[Order Date]])</f>
        <v>2016</v>
      </c>
      <c r="K1719" t="str">
        <f>TEXT(SalesData[[#This Row],[Order Date]],"mmm")</f>
        <v>May</v>
      </c>
      <c r="L1719">
        <f>MONTH(SalesData[[#This Row],[Order Date]])</f>
        <v>5</v>
      </c>
      <c r="M1719">
        <f>SalesData[[#This Row],[Sales]]/SalesData[[#This Row],[Quantity]]</f>
        <v>49.783999999999999</v>
      </c>
      <c r="N1719" t="str">
        <f>IF(SalesData[[#This Row],[Profit]]&gt;0,"Profit","Loss")</f>
        <v>Profit</v>
      </c>
    </row>
    <row r="1720" spans="1:14" x14ac:dyDescent="0.3">
      <c r="A1720" t="s">
        <v>2177</v>
      </c>
      <c r="B1720" s="3">
        <v>42493</v>
      </c>
      <c r="C1720" t="s">
        <v>9</v>
      </c>
      <c r="D1720" t="s">
        <v>21</v>
      </c>
      <c r="E1720" t="s">
        <v>288</v>
      </c>
      <c r="F1720" s="1">
        <v>12.992000000000001</v>
      </c>
      <c r="G1720">
        <v>1</v>
      </c>
      <c r="H1720" s="1">
        <v>-0.81200000000000006</v>
      </c>
      <c r="I1720" s="4">
        <f>SalesData[[#This Row],[Profit]]/SalesData[[#This Row],[Sales]]</f>
        <v>-6.25E-2</v>
      </c>
      <c r="J1720">
        <f>YEAR(SalesData[[#This Row],[Order Date]])</f>
        <v>2016</v>
      </c>
      <c r="K1720" t="str">
        <f>TEXT(SalesData[[#This Row],[Order Date]],"mmm")</f>
        <v>May</v>
      </c>
      <c r="L1720">
        <f>MONTH(SalesData[[#This Row],[Order Date]])</f>
        <v>5</v>
      </c>
      <c r="M1720">
        <f>SalesData[[#This Row],[Sales]]/SalesData[[#This Row],[Quantity]]</f>
        <v>12.992000000000001</v>
      </c>
      <c r="N1720" t="str">
        <f>IF(SalesData[[#This Row],[Profit]]&gt;0,"Profit","Loss")</f>
        <v>Loss</v>
      </c>
    </row>
    <row r="1721" spans="1:14" x14ac:dyDescent="0.3">
      <c r="A1721" t="s">
        <v>2178</v>
      </c>
      <c r="B1721" s="3">
        <v>42494</v>
      </c>
      <c r="C1721" t="s">
        <v>9</v>
      </c>
      <c r="D1721" t="s">
        <v>21</v>
      </c>
      <c r="E1721" t="s">
        <v>413</v>
      </c>
      <c r="F1721" s="1">
        <v>158.36799999999999</v>
      </c>
      <c r="G1721">
        <v>7</v>
      </c>
      <c r="H1721" s="1">
        <v>13.857200000000001</v>
      </c>
      <c r="I1721" s="4">
        <f>SalesData[[#This Row],[Profit]]/SalesData[[#This Row],[Sales]]</f>
        <v>8.7500000000000008E-2</v>
      </c>
      <c r="J1721">
        <f>YEAR(SalesData[[#This Row],[Order Date]])</f>
        <v>2016</v>
      </c>
      <c r="K1721" t="str">
        <f>TEXT(SalesData[[#This Row],[Order Date]],"mmm")</f>
        <v>May</v>
      </c>
      <c r="L1721">
        <f>MONTH(SalesData[[#This Row],[Order Date]])</f>
        <v>5</v>
      </c>
      <c r="M1721">
        <f>SalesData[[#This Row],[Sales]]/SalesData[[#This Row],[Quantity]]</f>
        <v>22.623999999999999</v>
      </c>
      <c r="N1721" t="str">
        <f>IF(SalesData[[#This Row],[Profit]]&gt;0,"Profit","Loss")</f>
        <v>Profit</v>
      </c>
    </row>
    <row r="1722" spans="1:14" x14ac:dyDescent="0.3">
      <c r="A1722" t="s">
        <v>2179</v>
      </c>
      <c r="B1722" s="3">
        <v>42494</v>
      </c>
      <c r="C1722" t="s">
        <v>17</v>
      </c>
      <c r="D1722" t="s">
        <v>10</v>
      </c>
      <c r="E1722" t="s">
        <v>2180</v>
      </c>
      <c r="F1722" s="1">
        <v>118.782</v>
      </c>
      <c r="G1722">
        <v>3</v>
      </c>
      <c r="H1722" s="1">
        <v>-27.715800000000002</v>
      </c>
      <c r="I1722" s="4">
        <f>SalesData[[#This Row],[Profit]]/SalesData[[#This Row],[Sales]]</f>
        <v>-0.23333333333333336</v>
      </c>
      <c r="J1722">
        <f>YEAR(SalesData[[#This Row],[Order Date]])</f>
        <v>2016</v>
      </c>
      <c r="K1722" t="str">
        <f>TEXT(SalesData[[#This Row],[Order Date]],"mmm")</f>
        <v>May</v>
      </c>
      <c r="L1722">
        <f>MONTH(SalesData[[#This Row],[Order Date]])</f>
        <v>5</v>
      </c>
      <c r="M1722">
        <f>SalesData[[#This Row],[Sales]]/SalesData[[#This Row],[Quantity]]</f>
        <v>39.594000000000001</v>
      </c>
      <c r="N1722" t="str">
        <f>IF(SalesData[[#This Row],[Profit]]&gt;0,"Profit","Loss")</f>
        <v>Loss</v>
      </c>
    </row>
    <row r="1723" spans="1:14" x14ac:dyDescent="0.3">
      <c r="A1723" t="s">
        <v>2179</v>
      </c>
      <c r="B1723" s="3">
        <v>42494</v>
      </c>
      <c r="C1723" t="s">
        <v>17</v>
      </c>
      <c r="D1723" t="s">
        <v>21</v>
      </c>
      <c r="E1723" t="s">
        <v>2181</v>
      </c>
      <c r="F1723" s="1">
        <v>769.18399999999997</v>
      </c>
      <c r="G1723">
        <v>4</v>
      </c>
      <c r="H1723" s="1">
        <v>-163.45160000000001</v>
      </c>
      <c r="I1723" s="4">
        <f>SalesData[[#This Row],[Profit]]/SalesData[[#This Row],[Sales]]</f>
        <v>-0.21250000000000002</v>
      </c>
      <c r="J1723">
        <f>YEAR(SalesData[[#This Row],[Order Date]])</f>
        <v>2016</v>
      </c>
      <c r="K1723" t="str">
        <f>TEXT(SalesData[[#This Row],[Order Date]],"mmm")</f>
        <v>May</v>
      </c>
      <c r="L1723">
        <f>MONTH(SalesData[[#This Row],[Order Date]])</f>
        <v>5</v>
      </c>
      <c r="M1723">
        <f>SalesData[[#This Row],[Sales]]/SalesData[[#This Row],[Quantity]]</f>
        <v>192.29599999999999</v>
      </c>
      <c r="N1723" t="str">
        <f>IF(SalesData[[#This Row],[Profit]]&gt;0,"Profit","Loss")</f>
        <v>Loss</v>
      </c>
    </row>
    <row r="1724" spans="1:14" x14ac:dyDescent="0.3">
      <c r="A1724" t="s">
        <v>2182</v>
      </c>
      <c r="B1724" s="3">
        <v>42495</v>
      </c>
      <c r="C1724" t="s">
        <v>46</v>
      </c>
      <c r="D1724" t="s">
        <v>21</v>
      </c>
      <c r="E1724" t="s">
        <v>556</v>
      </c>
      <c r="F1724" s="1">
        <v>79.14</v>
      </c>
      <c r="G1724">
        <v>3</v>
      </c>
      <c r="H1724" s="1">
        <v>36.404400000000003</v>
      </c>
      <c r="I1724" s="4">
        <f>SalesData[[#This Row],[Profit]]/SalesData[[#This Row],[Sales]]</f>
        <v>0.46</v>
      </c>
      <c r="J1724">
        <f>YEAR(SalesData[[#This Row],[Order Date]])</f>
        <v>2016</v>
      </c>
      <c r="K1724" t="str">
        <f>TEXT(SalesData[[#This Row],[Order Date]],"mmm")</f>
        <v>May</v>
      </c>
      <c r="L1724">
        <f>MONTH(SalesData[[#This Row],[Order Date]])</f>
        <v>5</v>
      </c>
      <c r="M1724">
        <f>SalesData[[#This Row],[Sales]]/SalesData[[#This Row],[Quantity]]</f>
        <v>26.38</v>
      </c>
      <c r="N1724" t="str">
        <f>IF(SalesData[[#This Row],[Profit]]&gt;0,"Profit","Loss")</f>
        <v>Profit</v>
      </c>
    </row>
    <row r="1725" spans="1:14" x14ac:dyDescent="0.3">
      <c r="A1725" t="s">
        <v>2183</v>
      </c>
      <c r="B1725" s="3">
        <v>42495</v>
      </c>
      <c r="C1725" t="s">
        <v>46</v>
      </c>
      <c r="D1725" t="s">
        <v>21</v>
      </c>
      <c r="E1725" t="s">
        <v>2184</v>
      </c>
      <c r="F1725" s="1">
        <v>14.352</v>
      </c>
      <c r="G1725">
        <v>3</v>
      </c>
      <c r="H1725" s="1">
        <v>5.2026000000000003</v>
      </c>
      <c r="I1725" s="4">
        <f>SalesData[[#This Row],[Profit]]/SalesData[[#This Row],[Sales]]</f>
        <v>0.36249999999999999</v>
      </c>
      <c r="J1725">
        <f>YEAR(SalesData[[#This Row],[Order Date]])</f>
        <v>2016</v>
      </c>
      <c r="K1725" t="str">
        <f>TEXT(SalesData[[#This Row],[Order Date]],"mmm")</f>
        <v>May</v>
      </c>
      <c r="L1725">
        <f>MONTH(SalesData[[#This Row],[Order Date]])</f>
        <v>5</v>
      </c>
      <c r="M1725">
        <f>SalesData[[#This Row],[Sales]]/SalesData[[#This Row],[Quantity]]</f>
        <v>4.7839999999999998</v>
      </c>
      <c r="N1725" t="str">
        <f>IF(SalesData[[#This Row],[Profit]]&gt;0,"Profit","Loss")</f>
        <v>Profit</v>
      </c>
    </row>
    <row r="1726" spans="1:14" x14ac:dyDescent="0.3">
      <c r="A1726" t="s">
        <v>2185</v>
      </c>
      <c r="B1726" s="3">
        <v>42495</v>
      </c>
      <c r="C1726" t="s">
        <v>13</v>
      </c>
      <c r="D1726" t="s">
        <v>21</v>
      </c>
      <c r="E1726" t="s">
        <v>761</v>
      </c>
      <c r="F1726" s="1">
        <v>5.98</v>
      </c>
      <c r="G1726">
        <v>1</v>
      </c>
      <c r="H1726" s="1">
        <v>1.0165999999999999</v>
      </c>
      <c r="I1726" s="4">
        <f>SalesData[[#This Row],[Profit]]/SalesData[[#This Row],[Sales]]</f>
        <v>0.16999999999999998</v>
      </c>
      <c r="J1726">
        <f>YEAR(SalesData[[#This Row],[Order Date]])</f>
        <v>2016</v>
      </c>
      <c r="K1726" t="str">
        <f>TEXT(SalesData[[#This Row],[Order Date]],"mmm")</f>
        <v>May</v>
      </c>
      <c r="L1726">
        <f>MONTH(SalesData[[#This Row],[Order Date]])</f>
        <v>5</v>
      </c>
      <c r="M1726">
        <f>SalesData[[#This Row],[Sales]]/SalesData[[#This Row],[Quantity]]</f>
        <v>5.98</v>
      </c>
      <c r="N1726" t="str">
        <f>IF(SalesData[[#This Row],[Profit]]&gt;0,"Profit","Loss")</f>
        <v>Profit</v>
      </c>
    </row>
    <row r="1727" spans="1:14" x14ac:dyDescent="0.3">
      <c r="A1727" t="s">
        <v>2185</v>
      </c>
      <c r="B1727" s="3">
        <v>42495</v>
      </c>
      <c r="C1727" t="s">
        <v>13</v>
      </c>
      <c r="D1727" t="s">
        <v>10</v>
      </c>
      <c r="E1727" t="s">
        <v>2186</v>
      </c>
      <c r="F1727" s="1">
        <v>246.16800000000001</v>
      </c>
      <c r="G1727">
        <v>3</v>
      </c>
      <c r="H1727" s="1">
        <v>21.5397</v>
      </c>
      <c r="I1727" s="4">
        <f>SalesData[[#This Row],[Profit]]/SalesData[[#This Row],[Sales]]</f>
        <v>8.7499999999999994E-2</v>
      </c>
      <c r="J1727">
        <f>YEAR(SalesData[[#This Row],[Order Date]])</f>
        <v>2016</v>
      </c>
      <c r="K1727" t="str">
        <f>TEXT(SalesData[[#This Row],[Order Date]],"mmm")</f>
        <v>May</v>
      </c>
      <c r="L1727">
        <f>MONTH(SalesData[[#This Row],[Order Date]])</f>
        <v>5</v>
      </c>
      <c r="M1727">
        <f>SalesData[[#This Row],[Sales]]/SalesData[[#This Row],[Quantity]]</f>
        <v>82.055999999999997</v>
      </c>
      <c r="N1727" t="str">
        <f>IF(SalesData[[#This Row],[Profit]]&gt;0,"Profit","Loss")</f>
        <v>Profit</v>
      </c>
    </row>
    <row r="1728" spans="1:14" x14ac:dyDescent="0.3">
      <c r="A1728" t="s">
        <v>2187</v>
      </c>
      <c r="B1728" s="3">
        <v>42495</v>
      </c>
      <c r="C1728" t="s">
        <v>13</v>
      </c>
      <c r="D1728" t="s">
        <v>21</v>
      </c>
      <c r="E1728" t="s">
        <v>2188</v>
      </c>
      <c r="F1728" s="1">
        <v>6.72</v>
      </c>
      <c r="G1728">
        <v>5</v>
      </c>
      <c r="H1728" s="1">
        <v>2.3519999999999999</v>
      </c>
      <c r="I1728" s="4">
        <f>SalesData[[#This Row],[Profit]]/SalesData[[#This Row],[Sales]]</f>
        <v>0.35</v>
      </c>
      <c r="J1728">
        <f>YEAR(SalesData[[#This Row],[Order Date]])</f>
        <v>2016</v>
      </c>
      <c r="K1728" t="str">
        <f>TEXT(SalesData[[#This Row],[Order Date]],"mmm")</f>
        <v>May</v>
      </c>
      <c r="L1728">
        <f>MONTH(SalesData[[#This Row],[Order Date]])</f>
        <v>5</v>
      </c>
      <c r="M1728">
        <f>SalesData[[#This Row],[Sales]]/SalesData[[#This Row],[Quantity]]</f>
        <v>1.3439999999999999</v>
      </c>
      <c r="N1728" t="str">
        <f>IF(SalesData[[#This Row],[Profit]]&gt;0,"Profit","Loss")</f>
        <v>Profit</v>
      </c>
    </row>
    <row r="1729" spans="1:14" x14ac:dyDescent="0.3">
      <c r="A1729" t="s">
        <v>2187</v>
      </c>
      <c r="B1729" s="3">
        <v>42495</v>
      </c>
      <c r="C1729" t="s">
        <v>13</v>
      </c>
      <c r="D1729" t="s">
        <v>14</v>
      </c>
      <c r="E1729" t="s">
        <v>651</v>
      </c>
      <c r="F1729" s="1">
        <v>298.77600000000001</v>
      </c>
      <c r="G1729">
        <v>3</v>
      </c>
      <c r="H1729" s="1">
        <v>7.4694000000000003</v>
      </c>
      <c r="I1729" s="4">
        <f>SalesData[[#This Row],[Profit]]/SalesData[[#This Row],[Sales]]</f>
        <v>2.5000000000000001E-2</v>
      </c>
      <c r="J1729">
        <f>YEAR(SalesData[[#This Row],[Order Date]])</f>
        <v>2016</v>
      </c>
      <c r="K1729" t="str">
        <f>TEXT(SalesData[[#This Row],[Order Date]],"mmm")</f>
        <v>May</v>
      </c>
      <c r="L1729">
        <f>MONTH(SalesData[[#This Row],[Order Date]])</f>
        <v>5</v>
      </c>
      <c r="M1729">
        <f>SalesData[[#This Row],[Sales]]/SalesData[[#This Row],[Quantity]]</f>
        <v>99.591999999999999</v>
      </c>
      <c r="N1729" t="str">
        <f>IF(SalesData[[#This Row],[Profit]]&gt;0,"Profit","Loss")</f>
        <v>Profit</v>
      </c>
    </row>
    <row r="1730" spans="1:14" x14ac:dyDescent="0.3">
      <c r="A1730" t="s">
        <v>2189</v>
      </c>
      <c r="B1730" s="3">
        <v>42495</v>
      </c>
      <c r="C1730" t="s">
        <v>46</v>
      </c>
      <c r="D1730" t="s">
        <v>14</v>
      </c>
      <c r="E1730" t="s">
        <v>1047</v>
      </c>
      <c r="F1730" s="1">
        <v>16.72</v>
      </c>
      <c r="G1730">
        <v>5</v>
      </c>
      <c r="H1730" s="1">
        <v>3.3439999999999999</v>
      </c>
      <c r="I1730" s="4">
        <f>SalesData[[#This Row],[Profit]]/SalesData[[#This Row],[Sales]]</f>
        <v>0.2</v>
      </c>
      <c r="J1730">
        <f>YEAR(SalesData[[#This Row],[Order Date]])</f>
        <v>2016</v>
      </c>
      <c r="K1730" t="str">
        <f>TEXT(SalesData[[#This Row],[Order Date]],"mmm")</f>
        <v>May</v>
      </c>
      <c r="L1730">
        <f>MONTH(SalesData[[#This Row],[Order Date]])</f>
        <v>5</v>
      </c>
      <c r="M1730">
        <f>SalesData[[#This Row],[Sales]]/SalesData[[#This Row],[Quantity]]</f>
        <v>3.3439999999999999</v>
      </c>
      <c r="N1730" t="str">
        <f>IF(SalesData[[#This Row],[Profit]]&gt;0,"Profit","Loss")</f>
        <v>Profit</v>
      </c>
    </row>
    <row r="1731" spans="1:14" x14ac:dyDescent="0.3">
      <c r="A1731" t="s">
        <v>2190</v>
      </c>
      <c r="B1731" s="3">
        <v>42495</v>
      </c>
      <c r="C1731" t="s">
        <v>13</v>
      </c>
      <c r="D1731" t="s">
        <v>14</v>
      </c>
      <c r="E1731" t="s">
        <v>2032</v>
      </c>
      <c r="F1731" s="1">
        <v>71.087999999999994</v>
      </c>
      <c r="G1731">
        <v>2</v>
      </c>
      <c r="H1731" s="1">
        <v>-1.7771999999999999</v>
      </c>
      <c r="I1731" s="4">
        <f>SalesData[[#This Row],[Profit]]/SalesData[[#This Row],[Sales]]</f>
        <v>-2.5000000000000001E-2</v>
      </c>
      <c r="J1731">
        <f>YEAR(SalesData[[#This Row],[Order Date]])</f>
        <v>2016</v>
      </c>
      <c r="K1731" t="str">
        <f>TEXT(SalesData[[#This Row],[Order Date]],"mmm")</f>
        <v>May</v>
      </c>
      <c r="L1731">
        <f>MONTH(SalesData[[#This Row],[Order Date]])</f>
        <v>5</v>
      </c>
      <c r="M1731">
        <f>SalesData[[#This Row],[Sales]]/SalesData[[#This Row],[Quantity]]</f>
        <v>35.543999999999997</v>
      </c>
      <c r="N1731" t="str">
        <f>IF(SalesData[[#This Row],[Profit]]&gt;0,"Profit","Loss")</f>
        <v>Loss</v>
      </c>
    </row>
    <row r="1732" spans="1:14" x14ac:dyDescent="0.3">
      <c r="A1732" t="s">
        <v>2191</v>
      </c>
      <c r="B1732" s="3">
        <v>42495</v>
      </c>
      <c r="C1732" t="s">
        <v>13</v>
      </c>
      <c r="D1732" t="s">
        <v>14</v>
      </c>
      <c r="E1732" t="s">
        <v>2070</v>
      </c>
      <c r="F1732" s="1">
        <v>1685.88</v>
      </c>
      <c r="G1732">
        <v>6</v>
      </c>
      <c r="H1732" s="1">
        <v>320.31720000000001</v>
      </c>
      <c r="I1732" s="4">
        <f>SalesData[[#This Row],[Profit]]/SalesData[[#This Row],[Sales]]</f>
        <v>0.19</v>
      </c>
      <c r="J1732">
        <f>YEAR(SalesData[[#This Row],[Order Date]])</f>
        <v>2016</v>
      </c>
      <c r="K1732" t="str">
        <f>TEXT(SalesData[[#This Row],[Order Date]],"mmm")</f>
        <v>May</v>
      </c>
      <c r="L1732">
        <f>MONTH(SalesData[[#This Row],[Order Date]])</f>
        <v>5</v>
      </c>
      <c r="M1732">
        <f>SalesData[[#This Row],[Sales]]/SalesData[[#This Row],[Quantity]]</f>
        <v>280.98</v>
      </c>
      <c r="N1732" t="str">
        <f>IF(SalesData[[#This Row],[Profit]]&gt;0,"Profit","Loss")</f>
        <v>Profit</v>
      </c>
    </row>
    <row r="1733" spans="1:14" x14ac:dyDescent="0.3">
      <c r="A1733" t="s">
        <v>2191</v>
      </c>
      <c r="B1733" s="3">
        <v>42495</v>
      </c>
      <c r="C1733" t="s">
        <v>13</v>
      </c>
      <c r="D1733" t="s">
        <v>21</v>
      </c>
      <c r="E1733" t="s">
        <v>1071</v>
      </c>
      <c r="F1733" s="1">
        <v>5.7279999999999998</v>
      </c>
      <c r="G1733">
        <v>2</v>
      </c>
      <c r="H1733" s="1">
        <v>2.0047999999999999</v>
      </c>
      <c r="I1733" s="4">
        <f>SalesData[[#This Row],[Profit]]/SalesData[[#This Row],[Sales]]</f>
        <v>0.35</v>
      </c>
      <c r="J1733">
        <f>YEAR(SalesData[[#This Row],[Order Date]])</f>
        <v>2016</v>
      </c>
      <c r="K1733" t="str">
        <f>TEXT(SalesData[[#This Row],[Order Date]],"mmm")</f>
        <v>May</v>
      </c>
      <c r="L1733">
        <f>MONTH(SalesData[[#This Row],[Order Date]])</f>
        <v>5</v>
      </c>
      <c r="M1733">
        <f>SalesData[[#This Row],[Sales]]/SalesData[[#This Row],[Quantity]]</f>
        <v>2.8639999999999999</v>
      </c>
      <c r="N1733" t="str">
        <f>IF(SalesData[[#This Row],[Profit]]&gt;0,"Profit","Loss")</f>
        <v>Profit</v>
      </c>
    </row>
    <row r="1734" spans="1:14" x14ac:dyDescent="0.3">
      <c r="A1734" t="s">
        <v>2192</v>
      </c>
      <c r="B1734" s="3">
        <v>42495</v>
      </c>
      <c r="C1734" t="s">
        <v>46</v>
      </c>
      <c r="D1734" t="s">
        <v>21</v>
      </c>
      <c r="E1734" t="s">
        <v>2193</v>
      </c>
      <c r="F1734" s="1">
        <v>93.248000000000005</v>
      </c>
      <c r="G1734">
        <v>4</v>
      </c>
      <c r="H1734" s="1">
        <v>31.4712</v>
      </c>
      <c r="I1734" s="4">
        <f>SalesData[[#This Row],[Profit]]/SalesData[[#This Row],[Sales]]</f>
        <v>0.33749999999999997</v>
      </c>
      <c r="J1734">
        <f>YEAR(SalesData[[#This Row],[Order Date]])</f>
        <v>2016</v>
      </c>
      <c r="K1734" t="str">
        <f>TEXT(SalesData[[#This Row],[Order Date]],"mmm")</f>
        <v>May</v>
      </c>
      <c r="L1734">
        <f>MONTH(SalesData[[#This Row],[Order Date]])</f>
        <v>5</v>
      </c>
      <c r="M1734">
        <f>SalesData[[#This Row],[Sales]]/SalesData[[#This Row],[Quantity]]</f>
        <v>23.312000000000001</v>
      </c>
      <c r="N1734" t="str">
        <f>IF(SalesData[[#This Row],[Profit]]&gt;0,"Profit","Loss")</f>
        <v>Profit</v>
      </c>
    </row>
    <row r="1735" spans="1:14" x14ac:dyDescent="0.3">
      <c r="A1735" t="s">
        <v>2192</v>
      </c>
      <c r="B1735" s="3">
        <v>42495</v>
      </c>
      <c r="C1735" t="s">
        <v>46</v>
      </c>
      <c r="D1735" t="s">
        <v>10</v>
      </c>
      <c r="E1735" t="s">
        <v>2115</v>
      </c>
      <c r="F1735" s="1">
        <v>177.48</v>
      </c>
      <c r="G1735">
        <v>3</v>
      </c>
      <c r="H1735" s="1">
        <v>19.9665</v>
      </c>
      <c r="I1735" s="4">
        <f>SalesData[[#This Row],[Profit]]/SalesData[[#This Row],[Sales]]</f>
        <v>0.1125</v>
      </c>
      <c r="J1735">
        <f>YEAR(SalesData[[#This Row],[Order Date]])</f>
        <v>2016</v>
      </c>
      <c r="K1735" t="str">
        <f>TEXT(SalesData[[#This Row],[Order Date]],"mmm")</f>
        <v>May</v>
      </c>
      <c r="L1735">
        <f>MONTH(SalesData[[#This Row],[Order Date]])</f>
        <v>5</v>
      </c>
      <c r="M1735">
        <f>SalesData[[#This Row],[Sales]]/SalesData[[#This Row],[Quantity]]</f>
        <v>59.16</v>
      </c>
      <c r="N1735" t="str">
        <f>IF(SalesData[[#This Row],[Profit]]&gt;0,"Profit","Loss")</f>
        <v>Profit</v>
      </c>
    </row>
    <row r="1736" spans="1:14" x14ac:dyDescent="0.3">
      <c r="A1736" t="s">
        <v>2194</v>
      </c>
      <c r="B1736" s="3">
        <v>42496</v>
      </c>
      <c r="C1736" t="s">
        <v>17</v>
      </c>
      <c r="D1736" t="s">
        <v>21</v>
      </c>
      <c r="E1736" t="s">
        <v>2195</v>
      </c>
      <c r="F1736" s="1">
        <v>124.608</v>
      </c>
      <c r="G1736">
        <v>4</v>
      </c>
      <c r="H1736" s="1">
        <v>-23.364000000000001</v>
      </c>
      <c r="I1736" s="4">
        <f>SalesData[[#This Row],[Profit]]/SalesData[[#This Row],[Sales]]</f>
        <v>-0.1875</v>
      </c>
      <c r="J1736">
        <f>YEAR(SalesData[[#This Row],[Order Date]])</f>
        <v>2016</v>
      </c>
      <c r="K1736" t="str">
        <f>TEXT(SalesData[[#This Row],[Order Date]],"mmm")</f>
        <v>May</v>
      </c>
      <c r="L1736">
        <f>MONTH(SalesData[[#This Row],[Order Date]])</f>
        <v>5</v>
      </c>
      <c r="M1736">
        <f>SalesData[[#This Row],[Sales]]/SalesData[[#This Row],[Quantity]]</f>
        <v>31.152000000000001</v>
      </c>
      <c r="N1736" t="str">
        <f>IF(SalesData[[#This Row],[Profit]]&gt;0,"Profit","Loss")</f>
        <v>Loss</v>
      </c>
    </row>
    <row r="1737" spans="1:14" x14ac:dyDescent="0.3">
      <c r="A1737" t="s">
        <v>2194</v>
      </c>
      <c r="B1737" s="3">
        <v>42496</v>
      </c>
      <c r="C1737" t="s">
        <v>17</v>
      </c>
      <c r="D1737" t="s">
        <v>21</v>
      </c>
      <c r="E1737" t="s">
        <v>1954</v>
      </c>
      <c r="F1737" s="1">
        <v>7.56</v>
      </c>
      <c r="G1737">
        <v>3</v>
      </c>
      <c r="H1737" s="1">
        <v>2.6459999999999999</v>
      </c>
      <c r="I1737" s="4">
        <f>SalesData[[#This Row],[Profit]]/SalesData[[#This Row],[Sales]]</f>
        <v>0.35000000000000003</v>
      </c>
      <c r="J1737">
        <f>YEAR(SalesData[[#This Row],[Order Date]])</f>
        <v>2016</v>
      </c>
      <c r="K1737" t="str">
        <f>TEXT(SalesData[[#This Row],[Order Date]],"mmm")</f>
        <v>May</v>
      </c>
      <c r="L1737">
        <f>MONTH(SalesData[[#This Row],[Order Date]])</f>
        <v>5</v>
      </c>
      <c r="M1737">
        <f>SalesData[[#This Row],[Sales]]/SalesData[[#This Row],[Quantity]]</f>
        <v>2.52</v>
      </c>
      <c r="N1737" t="str">
        <f>IF(SalesData[[#This Row],[Profit]]&gt;0,"Profit","Loss")</f>
        <v>Profit</v>
      </c>
    </row>
    <row r="1738" spans="1:14" x14ac:dyDescent="0.3">
      <c r="A1738" t="s">
        <v>2196</v>
      </c>
      <c r="B1738" s="3">
        <v>42496</v>
      </c>
      <c r="C1738" t="s">
        <v>17</v>
      </c>
      <c r="D1738" t="s">
        <v>21</v>
      </c>
      <c r="E1738" t="s">
        <v>554</v>
      </c>
      <c r="F1738" s="1">
        <v>360.38</v>
      </c>
      <c r="G1738">
        <v>2</v>
      </c>
      <c r="H1738" s="1">
        <v>93.698800000000006</v>
      </c>
      <c r="I1738" s="4">
        <f>SalesData[[#This Row],[Profit]]/SalesData[[#This Row],[Sales]]</f>
        <v>0.26</v>
      </c>
      <c r="J1738">
        <f>YEAR(SalesData[[#This Row],[Order Date]])</f>
        <v>2016</v>
      </c>
      <c r="K1738" t="str">
        <f>TEXT(SalesData[[#This Row],[Order Date]],"mmm")</f>
        <v>May</v>
      </c>
      <c r="L1738">
        <f>MONTH(SalesData[[#This Row],[Order Date]])</f>
        <v>5</v>
      </c>
      <c r="M1738">
        <f>SalesData[[#This Row],[Sales]]/SalesData[[#This Row],[Quantity]]</f>
        <v>180.19</v>
      </c>
      <c r="N1738" t="str">
        <f>IF(SalesData[[#This Row],[Profit]]&gt;0,"Profit","Loss")</f>
        <v>Profit</v>
      </c>
    </row>
    <row r="1739" spans="1:14" x14ac:dyDescent="0.3">
      <c r="A1739" t="s">
        <v>2196</v>
      </c>
      <c r="B1739" s="3">
        <v>42496</v>
      </c>
      <c r="C1739" t="s">
        <v>17</v>
      </c>
      <c r="D1739" t="s">
        <v>21</v>
      </c>
      <c r="E1739" t="s">
        <v>1591</v>
      </c>
      <c r="F1739" s="1">
        <v>11.16</v>
      </c>
      <c r="G1739">
        <v>2</v>
      </c>
      <c r="H1739" s="1">
        <v>2.79</v>
      </c>
      <c r="I1739" s="4">
        <f>SalesData[[#This Row],[Profit]]/SalesData[[#This Row],[Sales]]</f>
        <v>0.25</v>
      </c>
      <c r="J1739">
        <f>YEAR(SalesData[[#This Row],[Order Date]])</f>
        <v>2016</v>
      </c>
      <c r="K1739" t="str">
        <f>TEXT(SalesData[[#This Row],[Order Date]],"mmm")</f>
        <v>May</v>
      </c>
      <c r="L1739">
        <f>MONTH(SalesData[[#This Row],[Order Date]])</f>
        <v>5</v>
      </c>
      <c r="M1739">
        <f>SalesData[[#This Row],[Sales]]/SalesData[[#This Row],[Quantity]]</f>
        <v>5.58</v>
      </c>
      <c r="N1739" t="str">
        <f>IF(SalesData[[#This Row],[Profit]]&gt;0,"Profit","Loss")</f>
        <v>Profit</v>
      </c>
    </row>
    <row r="1740" spans="1:14" x14ac:dyDescent="0.3">
      <c r="A1740" t="s">
        <v>2196</v>
      </c>
      <c r="B1740" s="3">
        <v>42496</v>
      </c>
      <c r="C1740" t="s">
        <v>17</v>
      </c>
      <c r="D1740" t="s">
        <v>21</v>
      </c>
      <c r="E1740" t="s">
        <v>861</v>
      </c>
      <c r="F1740" s="1">
        <v>14.94</v>
      </c>
      <c r="G1740">
        <v>3</v>
      </c>
      <c r="H1740" s="1">
        <v>6.8723999999999998</v>
      </c>
      <c r="I1740" s="4">
        <f>SalesData[[#This Row],[Profit]]/SalesData[[#This Row],[Sales]]</f>
        <v>0.46</v>
      </c>
      <c r="J1740">
        <f>YEAR(SalesData[[#This Row],[Order Date]])</f>
        <v>2016</v>
      </c>
      <c r="K1740" t="str">
        <f>TEXT(SalesData[[#This Row],[Order Date]],"mmm")</f>
        <v>May</v>
      </c>
      <c r="L1740">
        <f>MONTH(SalesData[[#This Row],[Order Date]])</f>
        <v>5</v>
      </c>
      <c r="M1740">
        <f>SalesData[[#This Row],[Sales]]/SalesData[[#This Row],[Quantity]]</f>
        <v>4.9799999999999995</v>
      </c>
      <c r="N1740" t="str">
        <f>IF(SalesData[[#This Row],[Profit]]&gt;0,"Profit","Loss")</f>
        <v>Profit</v>
      </c>
    </row>
    <row r="1741" spans="1:14" x14ac:dyDescent="0.3">
      <c r="A1741" t="s">
        <v>2197</v>
      </c>
      <c r="B1741" s="3">
        <v>42496</v>
      </c>
      <c r="C1741" t="s">
        <v>13</v>
      </c>
      <c r="D1741" t="s">
        <v>21</v>
      </c>
      <c r="E1741" t="s">
        <v>319</v>
      </c>
      <c r="F1741" s="1">
        <v>21.552</v>
      </c>
      <c r="G1741">
        <v>6</v>
      </c>
      <c r="H1741" s="1">
        <v>7.0044000000000004</v>
      </c>
      <c r="I1741" s="4">
        <f>SalesData[[#This Row],[Profit]]/SalesData[[#This Row],[Sales]]</f>
        <v>0.32500000000000001</v>
      </c>
      <c r="J1741">
        <f>YEAR(SalesData[[#This Row],[Order Date]])</f>
        <v>2016</v>
      </c>
      <c r="K1741" t="str">
        <f>TEXT(SalesData[[#This Row],[Order Date]],"mmm")</f>
        <v>May</v>
      </c>
      <c r="L1741">
        <f>MONTH(SalesData[[#This Row],[Order Date]])</f>
        <v>5</v>
      </c>
      <c r="M1741">
        <f>SalesData[[#This Row],[Sales]]/SalesData[[#This Row],[Quantity]]</f>
        <v>3.5920000000000001</v>
      </c>
      <c r="N1741" t="str">
        <f>IF(SalesData[[#This Row],[Profit]]&gt;0,"Profit","Loss")</f>
        <v>Profit</v>
      </c>
    </row>
    <row r="1742" spans="1:14" x14ac:dyDescent="0.3">
      <c r="A1742" t="s">
        <v>2197</v>
      </c>
      <c r="B1742" s="3">
        <v>42496</v>
      </c>
      <c r="C1742" t="s">
        <v>13</v>
      </c>
      <c r="D1742" t="s">
        <v>21</v>
      </c>
      <c r="E1742" t="s">
        <v>51</v>
      </c>
      <c r="F1742" s="1">
        <v>58.24</v>
      </c>
      <c r="G1742">
        <v>4</v>
      </c>
      <c r="H1742" s="1">
        <v>15.7248</v>
      </c>
      <c r="I1742" s="4">
        <f>SalesData[[#This Row],[Profit]]/SalesData[[#This Row],[Sales]]</f>
        <v>0.27</v>
      </c>
      <c r="J1742">
        <f>YEAR(SalesData[[#This Row],[Order Date]])</f>
        <v>2016</v>
      </c>
      <c r="K1742" t="str">
        <f>TEXT(SalesData[[#This Row],[Order Date]],"mmm")</f>
        <v>May</v>
      </c>
      <c r="L1742">
        <f>MONTH(SalesData[[#This Row],[Order Date]])</f>
        <v>5</v>
      </c>
      <c r="M1742">
        <f>SalesData[[#This Row],[Sales]]/SalesData[[#This Row],[Quantity]]</f>
        <v>14.56</v>
      </c>
      <c r="N1742" t="str">
        <f>IF(SalesData[[#This Row],[Profit]]&gt;0,"Profit","Loss")</f>
        <v>Profit</v>
      </c>
    </row>
    <row r="1743" spans="1:14" x14ac:dyDescent="0.3">
      <c r="A1743" t="s">
        <v>2198</v>
      </c>
      <c r="B1743" s="3">
        <v>42496</v>
      </c>
      <c r="C1743" t="s">
        <v>13</v>
      </c>
      <c r="D1743" t="s">
        <v>21</v>
      </c>
      <c r="E1743" t="s">
        <v>254</v>
      </c>
      <c r="F1743" s="1">
        <v>61.38</v>
      </c>
      <c r="G1743">
        <v>6</v>
      </c>
      <c r="H1743" s="1">
        <v>15.9588</v>
      </c>
      <c r="I1743" s="4">
        <f>SalesData[[#This Row],[Profit]]/SalesData[[#This Row],[Sales]]</f>
        <v>0.26</v>
      </c>
      <c r="J1743">
        <f>YEAR(SalesData[[#This Row],[Order Date]])</f>
        <v>2016</v>
      </c>
      <c r="K1743" t="str">
        <f>TEXT(SalesData[[#This Row],[Order Date]],"mmm")</f>
        <v>May</v>
      </c>
      <c r="L1743">
        <f>MONTH(SalesData[[#This Row],[Order Date]])</f>
        <v>5</v>
      </c>
      <c r="M1743">
        <f>SalesData[[#This Row],[Sales]]/SalesData[[#This Row],[Quantity]]</f>
        <v>10.23</v>
      </c>
      <c r="N1743" t="str">
        <f>IF(SalesData[[#This Row],[Profit]]&gt;0,"Profit","Loss")</f>
        <v>Profit</v>
      </c>
    </row>
    <row r="1744" spans="1:14" x14ac:dyDescent="0.3">
      <c r="A1744" t="s">
        <v>2199</v>
      </c>
      <c r="B1744" s="3">
        <v>42498</v>
      </c>
      <c r="C1744" t="s">
        <v>46</v>
      </c>
      <c r="D1744" t="s">
        <v>21</v>
      </c>
      <c r="E1744" t="s">
        <v>2200</v>
      </c>
      <c r="F1744" s="1">
        <v>197.05</v>
      </c>
      <c r="G1744">
        <v>7</v>
      </c>
      <c r="H1744" s="1">
        <v>59.115000000000002</v>
      </c>
      <c r="I1744" s="4">
        <f>SalesData[[#This Row],[Profit]]/SalesData[[#This Row],[Sales]]</f>
        <v>0.3</v>
      </c>
      <c r="J1744">
        <f>YEAR(SalesData[[#This Row],[Order Date]])</f>
        <v>2016</v>
      </c>
      <c r="K1744" t="str">
        <f>TEXT(SalesData[[#This Row],[Order Date]],"mmm")</f>
        <v>May</v>
      </c>
      <c r="L1744">
        <f>MONTH(SalesData[[#This Row],[Order Date]])</f>
        <v>5</v>
      </c>
      <c r="M1744">
        <f>SalesData[[#This Row],[Sales]]/SalesData[[#This Row],[Quantity]]</f>
        <v>28.150000000000002</v>
      </c>
      <c r="N1744" t="str">
        <f>IF(SalesData[[#This Row],[Profit]]&gt;0,"Profit","Loss")</f>
        <v>Profit</v>
      </c>
    </row>
    <row r="1745" spans="1:14" x14ac:dyDescent="0.3">
      <c r="A1745" t="s">
        <v>2201</v>
      </c>
      <c r="B1745" s="3">
        <v>42499</v>
      </c>
      <c r="C1745" t="s">
        <v>17</v>
      </c>
      <c r="D1745" t="s">
        <v>14</v>
      </c>
      <c r="E1745" t="s">
        <v>1761</v>
      </c>
      <c r="F1745" s="1">
        <v>82.8</v>
      </c>
      <c r="G1745">
        <v>2</v>
      </c>
      <c r="H1745" s="1">
        <v>10.35</v>
      </c>
      <c r="I1745" s="4">
        <f>SalesData[[#This Row],[Profit]]/SalesData[[#This Row],[Sales]]</f>
        <v>0.125</v>
      </c>
      <c r="J1745">
        <f>YEAR(SalesData[[#This Row],[Order Date]])</f>
        <v>2016</v>
      </c>
      <c r="K1745" t="str">
        <f>TEXT(SalesData[[#This Row],[Order Date]],"mmm")</f>
        <v>May</v>
      </c>
      <c r="L1745">
        <f>MONTH(SalesData[[#This Row],[Order Date]])</f>
        <v>5</v>
      </c>
      <c r="M1745">
        <f>SalesData[[#This Row],[Sales]]/SalesData[[#This Row],[Quantity]]</f>
        <v>41.4</v>
      </c>
      <c r="N1745" t="str">
        <f>IF(SalesData[[#This Row],[Profit]]&gt;0,"Profit","Loss")</f>
        <v>Profit</v>
      </c>
    </row>
    <row r="1746" spans="1:14" x14ac:dyDescent="0.3">
      <c r="A1746" t="s">
        <v>2202</v>
      </c>
      <c r="B1746" s="3">
        <v>42499</v>
      </c>
      <c r="C1746" t="s">
        <v>9</v>
      </c>
      <c r="D1746" t="s">
        <v>14</v>
      </c>
      <c r="E1746" t="s">
        <v>146</v>
      </c>
      <c r="F1746" s="1">
        <v>12.22</v>
      </c>
      <c r="G1746">
        <v>1</v>
      </c>
      <c r="H1746" s="1">
        <v>3.6659999999999999</v>
      </c>
      <c r="I1746" s="4">
        <f>SalesData[[#This Row],[Profit]]/SalesData[[#This Row],[Sales]]</f>
        <v>0.3</v>
      </c>
      <c r="J1746">
        <f>YEAR(SalesData[[#This Row],[Order Date]])</f>
        <v>2016</v>
      </c>
      <c r="K1746" t="str">
        <f>TEXT(SalesData[[#This Row],[Order Date]],"mmm")</f>
        <v>May</v>
      </c>
      <c r="L1746">
        <f>MONTH(SalesData[[#This Row],[Order Date]])</f>
        <v>5</v>
      </c>
      <c r="M1746">
        <f>SalesData[[#This Row],[Sales]]/SalesData[[#This Row],[Quantity]]</f>
        <v>12.22</v>
      </c>
      <c r="N1746" t="str">
        <f>IF(SalesData[[#This Row],[Profit]]&gt;0,"Profit","Loss")</f>
        <v>Profit</v>
      </c>
    </row>
    <row r="1747" spans="1:14" x14ac:dyDescent="0.3">
      <c r="A1747" t="s">
        <v>2202</v>
      </c>
      <c r="B1747" s="3">
        <v>42499</v>
      </c>
      <c r="C1747" t="s">
        <v>9</v>
      </c>
      <c r="D1747" t="s">
        <v>21</v>
      </c>
      <c r="E1747" t="s">
        <v>2203</v>
      </c>
      <c r="F1747" s="1">
        <v>194.94</v>
      </c>
      <c r="G1747">
        <v>3</v>
      </c>
      <c r="H1747" s="1">
        <v>23.392800000000001</v>
      </c>
      <c r="I1747" s="4">
        <f>SalesData[[#This Row],[Profit]]/SalesData[[#This Row],[Sales]]</f>
        <v>0.12000000000000001</v>
      </c>
      <c r="J1747">
        <f>YEAR(SalesData[[#This Row],[Order Date]])</f>
        <v>2016</v>
      </c>
      <c r="K1747" t="str">
        <f>TEXT(SalesData[[#This Row],[Order Date]],"mmm")</f>
        <v>May</v>
      </c>
      <c r="L1747">
        <f>MONTH(SalesData[[#This Row],[Order Date]])</f>
        <v>5</v>
      </c>
      <c r="M1747">
        <f>SalesData[[#This Row],[Sales]]/SalesData[[#This Row],[Quantity]]</f>
        <v>64.98</v>
      </c>
      <c r="N1747" t="str">
        <f>IF(SalesData[[#This Row],[Profit]]&gt;0,"Profit","Loss")</f>
        <v>Profit</v>
      </c>
    </row>
    <row r="1748" spans="1:14" x14ac:dyDescent="0.3">
      <c r="A1748" t="s">
        <v>2202</v>
      </c>
      <c r="B1748" s="3">
        <v>42499</v>
      </c>
      <c r="C1748" t="s">
        <v>9</v>
      </c>
      <c r="D1748" t="s">
        <v>21</v>
      </c>
      <c r="E1748" t="s">
        <v>2204</v>
      </c>
      <c r="F1748" s="1">
        <v>70.95</v>
      </c>
      <c r="G1748">
        <v>3</v>
      </c>
      <c r="H1748" s="1">
        <v>20.575500000000002</v>
      </c>
      <c r="I1748" s="4">
        <f>SalesData[[#This Row],[Profit]]/SalesData[[#This Row],[Sales]]</f>
        <v>0.29000000000000004</v>
      </c>
      <c r="J1748">
        <f>YEAR(SalesData[[#This Row],[Order Date]])</f>
        <v>2016</v>
      </c>
      <c r="K1748" t="str">
        <f>TEXT(SalesData[[#This Row],[Order Date]],"mmm")</f>
        <v>May</v>
      </c>
      <c r="L1748">
        <f>MONTH(SalesData[[#This Row],[Order Date]])</f>
        <v>5</v>
      </c>
      <c r="M1748">
        <f>SalesData[[#This Row],[Sales]]/SalesData[[#This Row],[Quantity]]</f>
        <v>23.650000000000002</v>
      </c>
      <c r="N1748" t="str">
        <f>IF(SalesData[[#This Row],[Profit]]&gt;0,"Profit","Loss")</f>
        <v>Profit</v>
      </c>
    </row>
    <row r="1749" spans="1:14" x14ac:dyDescent="0.3">
      <c r="A1749" t="s">
        <v>2202</v>
      </c>
      <c r="B1749" s="3">
        <v>42499</v>
      </c>
      <c r="C1749" t="s">
        <v>9</v>
      </c>
      <c r="D1749" t="s">
        <v>21</v>
      </c>
      <c r="E1749" t="s">
        <v>873</v>
      </c>
      <c r="F1749" s="1">
        <v>91.36</v>
      </c>
      <c r="G1749">
        <v>4</v>
      </c>
      <c r="H1749" s="1">
        <v>42.025599999999997</v>
      </c>
      <c r="I1749" s="4">
        <f>SalesData[[#This Row],[Profit]]/SalesData[[#This Row],[Sales]]</f>
        <v>0.45999999999999996</v>
      </c>
      <c r="J1749">
        <f>YEAR(SalesData[[#This Row],[Order Date]])</f>
        <v>2016</v>
      </c>
      <c r="K1749" t="str">
        <f>TEXT(SalesData[[#This Row],[Order Date]],"mmm")</f>
        <v>May</v>
      </c>
      <c r="L1749">
        <f>MONTH(SalesData[[#This Row],[Order Date]])</f>
        <v>5</v>
      </c>
      <c r="M1749">
        <f>SalesData[[#This Row],[Sales]]/SalesData[[#This Row],[Quantity]]</f>
        <v>22.84</v>
      </c>
      <c r="N1749" t="str">
        <f>IF(SalesData[[#This Row],[Profit]]&gt;0,"Profit","Loss")</f>
        <v>Profit</v>
      </c>
    </row>
    <row r="1750" spans="1:14" x14ac:dyDescent="0.3">
      <c r="A1750" t="s">
        <v>2202</v>
      </c>
      <c r="B1750" s="3">
        <v>42499</v>
      </c>
      <c r="C1750" t="s">
        <v>9</v>
      </c>
      <c r="D1750" t="s">
        <v>14</v>
      </c>
      <c r="E1750" t="s">
        <v>1232</v>
      </c>
      <c r="F1750" s="1">
        <v>242.94</v>
      </c>
      <c r="G1750">
        <v>3</v>
      </c>
      <c r="H1750" s="1">
        <v>29.152799999999999</v>
      </c>
      <c r="I1750" s="4">
        <f>SalesData[[#This Row],[Profit]]/SalesData[[#This Row],[Sales]]</f>
        <v>0.12</v>
      </c>
      <c r="J1750">
        <f>YEAR(SalesData[[#This Row],[Order Date]])</f>
        <v>2016</v>
      </c>
      <c r="K1750" t="str">
        <f>TEXT(SalesData[[#This Row],[Order Date]],"mmm")</f>
        <v>May</v>
      </c>
      <c r="L1750">
        <f>MONTH(SalesData[[#This Row],[Order Date]])</f>
        <v>5</v>
      </c>
      <c r="M1750">
        <f>SalesData[[#This Row],[Sales]]/SalesData[[#This Row],[Quantity]]</f>
        <v>80.98</v>
      </c>
      <c r="N1750" t="str">
        <f>IF(SalesData[[#This Row],[Profit]]&gt;0,"Profit","Loss")</f>
        <v>Profit</v>
      </c>
    </row>
    <row r="1751" spans="1:14" x14ac:dyDescent="0.3">
      <c r="A1751" t="s">
        <v>2202</v>
      </c>
      <c r="B1751" s="3">
        <v>42499</v>
      </c>
      <c r="C1751" t="s">
        <v>9</v>
      </c>
      <c r="D1751" t="s">
        <v>21</v>
      </c>
      <c r="E1751" t="s">
        <v>1833</v>
      </c>
      <c r="F1751" s="1">
        <v>22.05</v>
      </c>
      <c r="G1751">
        <v>7</v>
      </c>
      <c r="H1751" s="1">
        <v>10.584</v>
      </c>
      <c r="I1751" s="4">
        <f>SalesData[[#This Row],[Profit]]/SalesData[[#This Row],[Sales]]</f>
        <v>0.48</v>
      </c>
      <c r="J1751">
        <f>YEAR(SalesData[[#This Row],[Order Date]])</f>
        <v>2016</v>
      </c>
      <c r="K1751" t="str">
        <f>TEXT(SalesData[[#This Row],[Order Date]],"mmm")</f>
        <v>May</v>
      </c>
      <c r="L1751">
        <f>MONTH(SalesData[[#This Row],[Order Date]])</f>
        <v>5</v>
      </c>
      <c r="M1751">
        <f>SalesData[[#This Row],[Sales]]/SalesData[[#This Row],[Quantity]]</f>
        <v>3.15</v>
      </c>
      <c r="N1751" t="str">
        <f>IF(SalesData[[#This Row],[Profit]]&gt;0,"Profit","Loss")</f>
        <v>Profit</v>
      </c>
    </row>
    <row r="1752" spans="1:14" x14ac:dyDescent="0.3">
      <c r="A1752" t="s">
        <v>2205</v>
      </c>
      <c r="B1752" s="3">
        <v>42499</v>
      </c>
      <c r="C1752" t="s">
        <v>9</v>
      </c>
      <c r="D1752" t="s">
        <v>10</v>
      </c>
      <c r="E1752" t="s">
        <v>954</v>
      </c>
      <c r="F1752" s="1">
        <v>278.39999999999998</v>
      </c>
      <c r="G1752">
        <v>3</v>
      </c>
      <c r="H1752" s="1">
        <v>80.736000000000004</v>
      </c>
      <c r="I1752" s="4">
        <f>SalesData[[#This Row],[Profit]]/SalesData[[#This Row],[Sales]]</f>
        <v>0.29000000000000004</v>
      </c>
      <c r="J1752">
        <f>YEAR(SalesData[[#This Row],[Order Date]])</f>
        <v>2016</v>
      </c>
      <c r="K1752" t="str">
        <f>TEXT(SalesData[[#This Row],[Order Date]],"mmm")</f>
        <v>May</v>
      </c>
      <c r="L1752">
        <f>MONTH(SalesData[[#This Row],[Order Date]])</f>
        <v>5</v>
      </c>
      <c r="M1752">
        <f>SalesData[[#This Row],[Sales]]/SalesData[[#This Row],[Quantity]]</f>
        <v>92.8</v>
      </c>
      <c r="N1752" t="str">
        <f>IF(SalesData[[#This Row],[Profit]]&gt;0,"Profit","Loss")</f>
        <v>Profit</v>
      </c>
    </row>
    <row r="1753" spans="1:14" x14ac:dyDescent="0.3">
      <c r="A1753" t="s">
        <v>2206</v>
      </c>
      <c r="B1753" s="3">
        <v>42499</v>
      </c>
      <c r="C1753" t="s">
        <v>9</v>
      </c>
      <c r="D1753" t="s">
        <v>21</v>
      </c>
      <c r="E1753" t="s">
        <v>1066</v>
      </c>
      <c r="F1753" s="1">
        <v>107.94</v>
      </c>
      <c r="G1753">
        <v>3</v>
      </c>
      <c r="H1753" s="1">
        <v>26.984999999999999</v>
      </c>
      <c r="I1753" s="4">
        <f>SalesData[[#This Row],[Profit]]/SalesData[[#This Row],[Sales]]</f>
        <v>0.25</v>
      </c>
      <c r="J1753">
        <f>YEAR(SalesData[[#This Row],[Order Date]])</f>
        <v>2016</v>
      </c>
      <c r="K1753" t="str">
        <f>TEXT(SalesData[[#This Row],[Order Date]],"mmm")</f>
        <v>May</v>
      </c>
      <c r="L1753">
        <f>MONTH(SalesData[[#This Row],[Order Date]])</f>
        <v>5</v>
      </c>
      <c r="M1753">
        <f>SalesData[[#This Row],[Sales]]/SalesData[[#This Row],[Quantity]]</f>
        <v>35.979999999999997</v>
      </c>
      <c r="N1753" t="str">
        <f>IF(SalesData[[#This Row],[Profit]]&gt;0,"Profit","Loss")</f>
        <v>Profit</v>
      </c>
    </row>
    <row r="1754" spans="1:14" x14ac:dyDescent="0.3">
      <c r="A1754" t="s">
        <v>2207</v>
      </c>
      <c r="B1754" s="3">
        <v>42499</v>
      </c>
      <c r="C1754" t="s">
        <v>9</v>
      </c>
      <c r="D1754" t="s">
        <v>14</v>
      </c>
      <c r="E1754" t="s">
        <v>659</v>
      </c>
      <c r="F1754" s="1">
        <v>347.80200000000002</v>
      </c>
      <c r="G1754">
        <v>7</v>
      </c>
      <c r="H1754" s="1">
        <v>-24.843</v>
      </c>
      <c r="I1754" s="4">
        <f>SalesData[[#This Row],[Profit]]/SalesData[[#This Row],[Sales]]</f>
        <v>-7.1428571428571425E-2</v>
      </c>
      <c r="J1754">
        <f>YEAR(SalesData[[#This Row],[Order Date]])</f>
        <v>2016</v>
      </c>
      <c r="K1754" t="str">
        <f>TEXT(SalesData[[#This Row],[Order Date]],"mmm")</f>
        <v>May</v>
      </c>
      <c r="L1754">
        <f>MONTH(SalesData[[#This Row],[Order Date]])</f>
        <v>5</v>
      </c>
      <c r="M1754">
        <f>SalesData[[#This Row],[Sales]]/SalesData[[#This Row],[Quantity]]</f>
        <v>49.686</v>
      </c>
      <c r="N1754" t="str">
        <f>IF(SalesData[[#This Row],[Profit]]&gt;0,"Profit","Loss")</f>
        <v>Loss</v>
      </c>
    </row>
    <row r="1755" spans="1:14" x14ac:dyDescent="0.3">
      <c r="A1755" t="s">
        <v>2208</v>
      </c>
      <c r="B1755" s="3">
        <v>42499</v>
      </c>
      <c r="C1755" t="s">
        <v>13</v>
      </c>
      <c r="D1755" t="s">
        <v>10</v>
      </c>
      <c r="E1755" t="s">
        <v>1353</v>
      </c>
      <c r="F1755" s="1">
        <v>116</v>
      </c>
      <c r="G1755">
        <v>8</v>
      </c>
      <c r="H1755" s="1">
        <v>29</v>
      </c>
      <c r="I1755" s="4">
        <f>SalesData[[#This Row],[Profit]]/SalesData[[#This Row],[Sales]]</f>
        <v>0.25</v>
      </c>
      <c r="J1755">
        <f>YEAR(SalesData[[#This Row],[Order Date]])</f>
        <v>2016</v>
      </c>
      <c r="K1755" t="str">
        <f>TEXT(SalesData[[#This Row],[Order Date]],"mmm")</f>
        <v>May</v>
      </c>
      <c r="L1755">
        <f>MONTH(SalesData[[#This Row],[Order Date]])</f>
        <v>5</v>
      </c>
      <c r="M1755">
        <f>SalesData[[#This Row],[Sales]]/SalesData[[#This Row],[Quantity]]</f>
        <v>14.5</v>
      </c>
      <c r="N1755" t="str">
        <f>IF(SalesData[[#This Row],[Profit]]&gt;0,"Profit","Loss")</f>
        <v>Profit</v>
      </c>
    </row>
    <row r="1756" spans="1:14" x14ac:dyDescent="0.3">
      <c r="A1756" t="s">
        <v>2209</v>
      </c>
      <c r="B1756" s="3">
        <v>42499</v>
      </c>
      <c r="C1756" t="s">
        <v>17</v>
      </c>
      <c r="D1756" t="s">
        <v>21</v>
      </c>
      <c r="E1756" t="s">
        <v>2210</v>
      </c>
      <c r="F1756" s="1">
        <v>9.5549999999999997</v>
      </c>
      <c r="G1756">
        <v>5</v>
      </c>
      <c r="H1756" s="1">
        <v>-7.3254999999999999</v>
      </c>
      <c r="I1756" s="4">
        <f>SalesData[[#This Row],[Profit]]/SalesData[[#This Row],[Sales]]</f>
        <v>-0.76666666666666672</v>
      </c>
      <c r="J1756">
        <f>YEAR(SalesData[[#This Row],[Order Date]])</f>
        <v>2016</v>
      </c>
      <c r="K1756" t="str">
        <f>TEXT(SalesData[[#This Row],[Order Date]],"mmm")</f>
        <v>May</v>
      </c>
      <c r="L1756">
        <f>MONTH(SalesData[[#This Row],[Order Date]])</f>
        <v>5</v>
      </c>
      <c r="M1756">
        <f>SalesData[[#This Row],[Sales]]/SalesData[[#This Row],[Quantity]]</f>
        <v>1.911</v>
      </c>
      <c r="N1756" t="str">
        <f>IF(SalesData[[#This Row],[Profit]]&gt;0,"Profit","Loss")</f>
        <v>Loss</v>
      </c>
    </row>
    <row r="1757" spans="1:14" x14ac:dyDescent="0.3">
      <c r="A1757" t="s">
        <v>2211</v>
      </c>
      <c r="B1757" s="3">
        <v>42499</v>
      </c>
      <c r="C1757" t="s">
        <v>46</v>
      </c>
      <c r="D1757" t="s">
        <v>21</v>
      </c>
      <c r="E1757" t="s">
        <v>127</v>
      </c>
      <c r="F1757" s="1">
        <v>23.472000000000001</v>
      </c>
      <c r="G1757">
        <v>3</v>
      </c>
      <c r="H1757" s="1">
        <v>7.6284000000000001</v>
      </c>
      <c r="I1757" s="4">
        <f>SalesData[[#This Row],[Profit]]/SalesData[[#This Row],[Sales]]</f>
        <v>0.32500000000000001</v>
      </c>
      <c r="J1757">
        <f>YEAR(SalesData[[#This Row],[Order Date]])</f>
        <v>2016</v>
      </c>
      <c r="K1757" t="str">
        <f>TEXT(SalesData[[#This Row],[Order Date]],"mmm")</f>
        <v>May</v>
      </c>
      <c r="L1757">
        <f>MONTH(SalesData[[#This Row],[Order Date]])</f>
        <v>5</v>
      </c>
      <c r="M1757">
        <f>SalesData[[#This Row],[Sales]]/SalesData[[#This Row],[Quantity]]</f>
        <v>7.8240000000000007</v>
      </c>
      <c r="N1757" t="str">
        <f>IF(SalesData[[#This Row],[Profit]]&gt;0,"Profit","Loss")</f>
        <v>Profit</v>
      </c>
    </row>
    <row r="1758" spans="1:14" x14ac:dyDescent="0.3">
      <c r="A1758" t="s">
        <v>2211</v>
      </c>
      <c r="B1758" s="3">
        <v>42499</v>
      </c>
      <c r="C1758" t="s">
        <v>46</v>
      </c>
      <c r="D1758" t="s">
        <v>21</v>
      </c>
      <c r="E1758" t="s">
        <v>666</v>
      </c>
      <c r="F1758" s="1">
        <v>86.058000000000007</v>
      </c>
      <c r="G1758">
        <v>7</v>
      </c>
      <c r="H1758" s="1">
        <v>-63.109200000000001</v>
      </c>
      <c r="I1758" s="4">
        <f>SalesData[[#This Row],[Profit]]/SalesData[[#This Row],[Sales]]</f>
        <v>-0.73333333333333328</v>
      </c>
      <c r="J1758">
        <f>YEAR(SalesData[[#This Row],[Order Date]])</f>
        <v>2016</v>
      </c>
      <c r="K1758" t="str">
        <f>TEXT(SalesData[[#This Row],[Order Date]],"mmm")</f>
        <v>May</v>
      </c>
      <c r="L1758">
        <f>MONTH(SalesData[[#This Row],[Order Date]])</f>
        <v>5</v>
      </c>
      <c r="M1758">
        <f>SalesData[[#This Row],[Sales]]/SalesData[[#This Row],[Quantity]]</f>
        <v>12.294</v>
      </c>
      <c r="N1758" t="str">
        <f>IF(SalesData[[#This Row],[Profit]]&gt;0,"Profit","Loss")</f>
        <v>Loss</v>
      </c>
    </row>
    <row r="1759" spans="1:14" x14ac:dyDescent="0.3">
      <c r="A1759" t="s">
        <v>2211</v>
      </c>
      <c r="B1759" s="3">
        <v>42499</v>
      </c>
      <c r="C1759" t="s">
        <v>46</v>
      </c>
      <c r="D1759" t="s">
        <v>10</v>
      </c>
      <c r="E1759" t="s">
        <v>2212</v>
      </c>
      <c r="F1759" s="1">
        <v>108.78400000000001</v>
      </c>
      <c r="G1759">
        <v>2</v>
      </c>
      <c r="H1759" s="1">
        <v>6.7990000000000004</v>
      </c>
      <c r="I1759" s="4">
        <f>SalesData[[#This Row],[Profit]]/SalesData[[#This Row],[Sales]]</f>
        <v>6.25E-2</v>
      </c>
      <c r="J1759">
        <f>YEAR(SalesData[[#This Row],[Order Date]])</f>
        <v>2016</v>
      </c>
      <c r="K1759" t="str">
        <f>TEXT(SalesData[[#This Row],[Order Date]],"mmm")</f>
        <v>May</v>
      </c>
      <c r="L1759">
        <f>MONTH(SalesData[[#This Row],[Order Date]])</f>
        <v>5</v>
      </c>
      <c r="M1759">
        <f>SalesData[[#This Row],[Sales]]/SalesData[[#This Row],[Quantity]]</f>
        <v>54.392000000000003</v>
      </c>
      <c r="N1759" t="str">
        <f>IF(SalesData[[#This Row],[Profit]]&gt;0,"Profit","Loss")</f>
        <v>Profit</v>
      </c>
    </row>
    <row r="1760" spans="1:14" x14ac:dyDescent="0.3">
      <c r="A1760" t="s">
        <v>2211</v>
      </c>
      <c r="B1760" s="3">
        <v>42499</v>
      </c>
      <c r="C1760" t="s">
        <v>46</v>
      </c>
      <c r="D1760" t="s">
        <v>21</v>
      </c>
      <c r="E1760" t="s">
        <v>130</v>
      </c>
      <c r="F1760" s="1">
        <v>10.272</v>
      </c>
      <c r="G1760">
        <v>3</v>
      </c>
      <c r="H1760" s="1">
        <v>3.21</v>
      </c>
      <c r="I1760" s="4">
        <f>SalesData[[#This Row],[Profit]]/SalesData[[#This Row],[Sales]]</f>
        <v>0.3125</v>
      </c>
      <c r="J1760">
        <f>YEAR(SalesData[[#This Row],[Order Date]])</f>
        <v>2016</v>
      </c>
      <c r="K1760" t="str">
        <f>TEXT(SalesData[[#This Row],[Order Date]],"mmm")</f>
        <v>May</v>
      </c>
      <c r="L1760">
        <f>MONTH(SalesData[[#This Row],[Order Date]])</f>
        <v>5</v>
      </c>
      <c r="M1760">
        <f>SalesData[[#This Row],[Sales]]/SalesData[[#This Row],[Quantity]]</f>
        <v>3.4239999999999999</v>
      </c>
      <c r="N1760" t="str">
        <f>IF(SalesData[[#This Row],[Profit]]&gt;0,"Profit","Loss")</f>
        <v>Profit</v>
      </c>
    </row>
    <row r="1761" spans="1:14" x14ac:dyDescent="0.3">
      <c r="A1761" t="s">
        <v>2213</v>
      </c>
      <c r="B1761" s="3">
        <v>42499</v>
      </c>
      <c r="C1761" t="s">
        <v>9</v>
      </c>
      <c r="D1761" t="s">
        <v>21</v>
      </c>
      <c r="E1761" t="s">
        <v>1908</v>
      </c>
      <c r="F1761" s="1">
        <v>62.79</v>
      </c>
      <c r="G1761">
        <v>3</v>
      </c>
      <c r="H1761" s="1">
        <v>-166.39349999999999</v>
      </c>
      <c r="I1761" s="4">
        <f>SalesData[[#This Row],[Profit]]/SalesData[[#This Row],[Sales]]</f>
        <v>-2.65</v>
      </c>
      <c r="J1761">
        <f>YEAR(SalesData[[#This Row],[Order Date]])</f>
        <v>2016</v>
      </c>
      <c r="K1761" t="str">
        <f>TEXT(SalesData[[#This Row],[Order Date]],"mmm")</f>
        <v>May</v>
      </c>
      <c r="L1761">
        <f>MONTH(SalesData[[#This Row],[Order Date]])</f>
        <v>5</v>
      </c>
      <c r="M1761">
        <f>SalesData[[#This Row],[Sales]]/SalesData[[#This Row],[Quantity]]</f>
        <v>20.93</v>
      </c>
      <c r="N1761" t="str">
        <f>IF(SalesData[[#This Row],[Profit]]&gt;0,"Profit","Loss")</f>
        <v>Loss</v>
      </c>
    </row>
    <row r="1762" spans="1:14" x14ac:dyDescent="0.3">
      <c r="A1762" t="s">
        <v>2213</v>
      </c>
      <c r="B1762" s="3">
        <v>42499</v>
      </c>
      <c r="C1762" t="s">
        <v>9</v>
      </c>
      <c r="D1762" t="s">
        <v>21</v>
      </c>
      <c r="E1762" t="s">
        <v>1635</v>
      </c>
      <c r="F1762" s="1">
        <v>28.44</v>
      </c>
      <c r="G1762">
        <v>9</v>
      </c>
      <c r="H1762" s="1">
        <v>4.266</v>
      </c>
      <c r="I1762" s="4">
        <f>SalesData[[#This Row],[Profit]]/SalesData[[#This Row],[Sales]]</f>
        <v>0.15</v>
      </c>
      <c r="J1762">
        <f>YEAR(SalesData[[#This Row],[Order Date]])</f>
        <v>2016</v>
      </c>
      <c r="K1762" t="str">
        <f>TEXT(SalesData[[#This Row],[Order Date]],"mmm")</f>
        <v>May</v>
      </c>
      <c r="L1762">
        <f>MONTH(SalesData[[#This Row],[Order Date]])</f>
        <v>5</v>
      </c>
      <c r="M1762">
        <f>SalesData[[#This Row],[Sales]]/SalesData[[#This Row],[Quantity]]</f>
        <v>3.16</v>
      </c>
      <c r="N1762" t="str">
        <f>IF(SalesData[[#This Row],[Profit]]&gt;0,"Profit","Loss")</f>
        <v>Profit</v>
      </c>
    </row>
    <row r="1763" spans="1:14" x14ac:dyDescent="0.3">
      <c r="A1763" t="s">
        <v>2214</v>
      </c>
      <c r="B1763" s="3">
        <v>42499</v>
      </c>
      <c r="C1763" t="s">
        <v>13</v>
      </c>
      <c r="D1763" t="s">
        <v>21</v>
      </c>
      <c r="E1763" t="s">
        <v>2215</v>
      </c>
      <c r="F1763" s="1">
        <v>96.08</v>
      </c>
      <c r="G1763">
        <v>2</v>
      </c>
      <c r="H1763" s="1">
        <v>46.118400000000001</v>
      </c>
      <c r="I1763" s="4">
        <f>SalesData[[#This Row],[Profit]]/SalesData[[#This Row],[Sales]]</f>
        <v>0.48000000000000004</v>
      </c>
      <c r="J1763">
        <f>YEAR(SalesData[[#This Row],[Order Date]])</f>
        <v>2016</v>
      </c>
      <c r="K1763" t="str">
        <f>TEXT(SalesData[[#This Row],[Order Date]],"mmm")</f>
        <v>May</v>
      </c>
      <c r="L1763">
        <f>MONTH(SalesData[[#This Row],[Order Date]])</f>
        <v>5</v>
      </c>
      <c r="M1763">
        <f>SalesData[[#This Row],[Sales]]/SalesData[[#This Row],[Quantity]]</f>
        <v>48.04</v>
      </c>
      <c r="N1763" t="str">
        <f>IF(SalesData[[#This Row],[Profit]]&gt;0,"Profit","Loss")</f>
        <v>Profit</v>
      </c>
    </row>
    <row r="1764" spans="1:14" x14ac:dyDescent="0.3">
      <c r="A1764" t="s">
        <v>2214</v>
      </c>
      <c r="B1764" s="3">
        <v>42499</v>
      </c>
      <c r="C1764" t="s">
        <v>13</v>
      </c>
      <c r="D1764" t="s">
        <v>21</v>
      </c>
      <c r="E1764" t="s">
        <v>199</v>
      </c>
      <c r="F1764" s="1">
        <v>11.68</v>
      </c>
      <c r="G1764">
        <v>2</v>
      </c>
      <c r="H1764" s="1">
        <v>3.9420000000000002</v>
      </c>
      <c r="I1764" s="4">
        <f>SalesData[[#This Row],[Profit]]/SalesData[[#This Row],[Sales]]</f>
        <v>0.33750000000000002</v>
      </c>
      <c r="J1764">
        <f>YEAR(SalesData[[#This Row],[Order Date]])</f>
        <v>2016</v>
      </c>
      <c r="K1764" t="str">
        <f>TEXT(SalesData[[#This Row],[Order Date]],"mmm")</f>
        <v>May</v>
      </c>
      <c r="L1764">
        <f>MONTH(SalesData[[#This Row],[Order Date]])</f>
        <v>5</v>
      </c>
      <c r="M1764">
        <f>SalesData[[#This Row],[Sales]]/SalesData[[#This Row],[Quantity]]</f>
        <v>5.84</v>
      </c>
      <c r="N1764" t="str">
        <f>IF(SalesData[[#This Row],[Profit]]&gt;0,"Profit","Loss")</f>
        <v>Profit</v>
      </c>
    </row>
    <row r="1765" spans="1:14" x14ac:dyDescent="0.3">
      <c r="A1765" t="s">
        <v>2214</v>
      </c>
      <c r="B1765" s="3">
        <v>42499</v>
      </c>
      <c r="C1765" t="s">
        <v>13</v>
      </c>
      <c r="D1765" t="s">
        <v>21</v>
      </c>
      <c r="E1765" t="s">
        <v>2216</v>
      </c>
      <c r="F1765" s="1">
        <v>4.3600000000000003</v>
      </c>
      <c r="G1765">
        <v>2</v>
      </c>
      <c r="H1765" s="1">
        <v>1.7876000000000001</v>
      </c>
      <c r="I1765" s="4">
        <f>SalesData[[#This Row],[Profit]]/SalesData[[#This Row],[Sales]]</f>
        <v>0.41</v>
      </c>
      <c r="J1765">
        <f>YEAR(SalesData[[#This Row],[Order Date]])</f>
        <v>2016</v>
      </c>
      <c r="K1765" t="str">
        <f>TEXT(SalesData[[#This Row],[Order Date]],"mmm")</f>
        <v>May</v>
      </c>
      <c r="L1765">
        <f>MONTH(SalesData[[#This Row],[Order Date]])</f>
        <v>5</v>
      </c>
      <c r="M1765">
        <f>SalesData[[#This Row],[Sales]]/SalesData[[#This Row],[Quantity]]</f>
        <v>2.1800000000000002</v>
      </c>
      <c r="N1765" t="str">
        <f>IF(SalesData[[#This Row],[Profit]]&gt;0,"Profit","Loss")</f>
        <v>Profit</v>
      </c>
    </row>
    <row r="1766" spans="1:14" x14ac:dyDescent="0.3">
      <c r="A1766" t="s">
        <v>2217</v>
      </c>
      <c r="B1766" s="3">
        <v>42499</v>
      </c>
      <c r="C1766" t="s">
        <v>9</v>
      </c>
      <c r="D1766" t="s">
        <v>21</v>
      </c>
      <c r="E1766" t="s">
        <v>1169</v>
      </c>
      <c r="F1766" s="1">
        <v>25.92</v>
      </c>
      <c r="G1766">
        <v>5</v>
      </c>
      <c r="H1766" s="1">
        <v>9.0719999999999992</v>
      </c>
      <c r="I1766" s="4">
        <f>SalesData[[#This Row],[Profit]]/SalesData[[#This Row],[Sales]]</f>
        <v>0.34999999999999992</v>
      </c>
      <c r="J1766">
        <f>YEAR(SalesData[[#This Row],[Order Date]])</f>
        <v>2016</v>
      </c>
      <c r="K1766" t="str">
        <f>TEXT(SalesData[[#This Row],[Order Date]],"mmm")</f>
        <v>May</v>
      </c>
      <c r="L1766">
        <f>MONTH(SalesData[[#This Row],[Order Date]])</f>
        <v>5</v>
      </c>
      <c r="M1766">
        <f>SalesData[[#This Row],[Sales]]/SalesData[[#This Row],[Quantity]]</f>
        <v>5.1840000000000002</v>
      </c>
      <c r="N1766" t="str">
        <f>IF(SalesData[[#This Row],[Profit]]&gt;0,"Profit","Loss")</f>
        <v>Profit</v>
      </c>
    </row>
    <row r="1767" spans="1:14" x14ac:dyDescent="0.3">
      <c r="A1767" t="s">
        <v>2217</v>
      </c>
      <c r="B1767" s="3">
        <v>42499</v>
      </c>
      <c r="C1767" t="s">
        <v>9</v>
      </c>
      <c r="D1767" t="s">
        <v>21</v>
      </c>
      <c r="E1767" t="s">
        <v>83</v>
      </c>
      <c r="F1767" s="1">
        <v>15.808</v>
      </c>
      <c r="G1767">
        <v>8</v>
      </c>
      <c r="H1767" s="1">
        <v>5.3352000000000004</v>
      </c>
      <c r="I1767" s="4">
        <f>SalesData[[#This Row],[Profit]]/SalesData[[#This Row],[Sales]]</f>
        <v>0.33750000000000002</v>
      </c>
      <c r="J1767">
        <f>YEAR(SalesData[[#This Row],[Order Date]])</f>
        <v>2016</v>
      </c>
      <c r="K1767" t="str">
        <f>TEXT(SalesData[[#This Row],[Order Date]],"mmm")</f>
        <v>May</v>
      </c>
      <c r="L1767">
        <f>MONTH(SalesData[[#This Row],[Order Date]])</f>
        <v>5</v>
      </c>
      <c r="M1767">
        <f>SalesData[[#This Row],[Sales]]/SalesData[[#This Row],[Quantity]]</f>
        <v>1.976</v>
      </c>
      <c r="N1767" t="str">
        <f>IF(SalesData[[#This Row],[Profit]]&gt;0,"Profit","Loss")</f>
        <v>Profit</v>
      </c>
    </row>
    <row r="1768" spans="1:14" x14ac:dyDescent="0.3">
      <c r="A1768" t="s">
        <v>2217</v>
      </c>
      <c r="B1768" s="3">
        <v>42499</v>
      </c>
      <c r="C1768" t="s">
        <v>9</v>
      </c>
      <c r="D1768" t="s">
        <v>21</v>
      </c>
      <c r="E1768" t="s">
        <v>1860</v>
      </c>
      <c r="F1768" s="1">
        <v>10.368</v>
      </c>
      <c r="G1768">
        <v>2</v>
      </c>
      <c r="H1768" s="1">
        <v>3.7584</v>
      </c>
      <c r="I1768" s="4">
        <f>SalesData[[#This Row],[Profit]]/SalesData[[#This Row],[Sales]]</f>
        <v>0.36249999999999999</v>
      </c>
      <c r="J1768">
        <f>YEAR(SalesData[[#This Row],[Order Date]])</f>
        <v>2016</v>
      </c>
      <c r="K1768" t="str">
        <f>TEXT(SalesData[[#This Row],[Order Date]],"mmm")</f>
        <v>May</v>
      </c>
      <c r="L1768">
        <f>MONTH(SalesData[[#This Row],[Order Date]])</f>
        <v>5</v>
      </c>
      <c r="M1768">
        <f>SalesData[[#This Row],[Sales]]/SalesData[[#This Row],[Quantity]]</f>
        <v>5.1840000000000002</v>
      </c>
      <c r="N1768" t="str">
        <f>IF(SalesData[[#This Row],[Profit]]&gt;0,"Profit","Loss")</f>
        <v>Profit</v>
      </c>
    </row>
    <row r="1769" spans="1:14" x14ac:dyDescent="0.3">
      <c r="A1769" t="s">
        <v>2218</v>
      </c>
      <c r="B1769" s="3">
        <v>42499</v>
      </c>
      <c r="C1769" t="s">
        <v>17</v>
      </c>
      <c r="D1769" t="s">
        <v>21</v>
      </c>
      <c r="E1769" t="s">
        <v>1657</v>
      </c>
      <c r="F1769" s="1">
        <v>192.16</v>
      </c>
      <c r="G1769">
        <v>4</v>
      </c>
      <c r="H1769" s="1">
        <v>92.236800000000002</v>
      </c>
      <c r="I1769" s="4">
        <f>SalesData[[#This Row],[Profit]]/SalesData[[#This Row],[Sales]]</f>
        <v>0.48000000000000004</v>
      </c>
      <c r="J1769">
        <f>YEAR(SalesData[[#This Row],[Order Date]])</f>
        <v>2016</v>
      </c>
      <c r="K1769" t="str">
        <f>TEXT(SalesData[[#This Row],[Order Date]],"mmm")</f>
        <v>May</v>
      </c>
      <c r="L1769">
        <f>MONTH(SalesData[[#This Row],[Order Date]])</f>
        <v>5</v>
      </c>
      <c r="M1769">
        <f>SalesData[[#This Row],[Sales]]/SalesData[[#This Row],[Quantity]]</f>
        <v>48.04</v>
      </c>
      <c r="N1769" t="str">
        <f>IF(SalesData[[#This Row],[Profit]]&gt;0,"Profit","Loss")</f>
        <v>Profit</v>
      </c>
    </row>
    <row r="1770" spans="1:14" x14ac:dyDescent="0.3">
      <c r="A1770" t="s">
        <v>2219</v>
      </c>
      <c r="B1770" s="3">
        <v>42499</v>
      </c>
      <c r="C1770" t="s">
        <v>9</v>
      </c>
      <c r="D1770" t="s">
        <v>21</v>
      </c>
      <c r="E1770" t="s">
        <v>2195</v>
      </c>
      <c r="F1770" s="1">
        <v>93.456000000000003</v>
      </c>
      <c r="G1770">
        <v>3</v>
      </c>
      <c r="H1770" s="1">
        <v>-17.523</v>
      </c>
      <c r="I1770" s="4">
        <f>SalesData[[#This Row],[Profit]]/SalesData[[#This Row],[Sales]]</f>
        <v>-0.1875</v>
      </c>
      <c r="J1770">
        <f>YEAR(SalesData[[#This Row],[Order Date]])</f>
        <v>2016</v>
      </c>
      <c r="K1770" t="str">
        <f>TEXT(SalesData[[#This Row],[Order Date]],"mmm")</f>
        <v>May</v>
      </c>
      <c r="L1770">
        <f>MONTH(SalesData[[#This Row],[Order Date]])</f>
        <v>5</v>
      </c>
      <c r="M1770">
        <f>SalesData[[#This Row],[Sales]]/SalesData[[#This Row],[Quantity]]</f>
        <v>31.152000000000001</v>
      </c>
      <c r="N1770" t="str">
        <f>IF(SalesData[[#This Row],[Profit]]&gt;0,"Profit","Loss")</f>
        <v>Loss</v>
      </c>
    </row>
    <row r="1771" spans="1:14" x14ac:dyDescent="0.3">
      <c r="A1771" t="s">
        <v>2220</v>
      </c>
      <c r="B1771" s="3">
        <v>42499</v>
      </c>
      <c r="C1771" t="s">
        <v>46</v>
      </c>
      <c r="D1771" t="s">
        <v>21</v>
      </c>
      <c r="E1771" t="s">
        <v>1492</v>
      </c>
      <c r="F1771" s="1">
        <v>25.06</v>
      </c>
      <c r="G1771">
        <v>2</v>
      </c>
      <c r="H1771" s="1">
        <v>11.7782</v>
      </c>
      <c r="I1771" s="4">
        <f>SalesData[[#This Row],[Profit]]/SalesData[[#This Row],[Sales]]</f>
        <v>0.47000000000000003</v>
      </c>
      <c r="J1771">
        <f>YEAR(SalesData[[#This Row],[Order Date]])</f>
        <v>2016</v>
      </c>
      <c r="K1771" t="str">
        <f>TEXT(SalesData[[#This Row],[Order Date]],"mmm")</f>
        <v>May</v>
      </c>
      <c r="L1771">
        <f>MONTH(SalesData[[#This Row],[Order Date]])</f>
        <v>5</v>
      </c>
      <c r="M1771">
        <f>SalesData[[#This Row],[Sales]]/SalesData[[#This Row],[Quantity]]</f>
        <v>12.53</v>
      </c>
      <c r="N1771" t="str">
        <f>IF(SalesData[[#This Row],[Profit]]&gt;0,"Profit","Loss")</f>
        <v>Profit</v>
      </c>
    </row>
    <row r="1772" spans="1:14" x14ac:dyDescent="0.3">
      <c r="A1772" t="s">
        <v>2220</v>
      </c>
      <c r="B1772" s="3">
        <v>42499</v>
      </c>
      <c r="C1772" t="s">
        <v>46</v>
      </c>
      <c r="D1772" t="s">
        <v>14</v>
      </c>
      <c r="E1772" t="s">
        <v>519</v>
      </c>
      <c r="F1772" s="1">
        <v>1652.94</v>
      </c>
      <c r="G1772">
        <v>3</v>
      </c>
      <c r="H1772" s="1">
        <v>314.05860000000001</v>
      </c>
      <c r="I1772" s="4">
        <f>SalesData[[#This Row],[Profit]]/SalesData[[#This Row],[Sales]]</f>
        <v>0.19</v>
      </c>
      <c r="J1772">
        <f>YEAR(SalesData[[#This Row],[Order Date]])</f>
        <v>2016</v>
      </c>
      <c r="K1772" t="str">
        <f>TEXT(SalesData[[#This Row],[Order Date]],"mmm")</f>
        <v>May</v>
      </c>
      <c r="L1772">
        <f>MONTH(SalesData[[#This Row],[Order Date]])</f>
        <v>5</v>
      </c>
      <c r="M1772">
        <f>SalesData[[#This Row],[Sales]]/SalesData[[#This Row],[Quantity]]</f>
        <v>550.98</v>
      </c>
      <c r="N1772" t="str">
        <f>IF(SalesData[[#This Row],[Profit]]&gt;0,"Profit","Loss")</f>
        <v>Profit</v>
      </c>
    </row>
    <row r="1773" spans="1:14" x14ac:dyDescent="0.3">
      <c r="A1773" t="s">
        <v>2221</v>
      </c>
      <c r="B1773" s="3">
        <v>42499</v>
      </c>
      <c r="C1773" t="s">
        <v>9</v>
      </c>
      <c r="D1773" t="s">
        <v>21</v>
      </c>
      <c r="E1773" t="s">
        <v>2222</v>
      </c>
      <c r="F1773" s="1">
        <v>9.2479999999999993</v>
      </c>
      <c r="G1773">
        <v>2</v>
      </c>
      <c r="H1773" s="1">
        <v>3.3523999999999998</v>
      </c>
      <c r="I1773" s="4">
        <f>SalesData[[#This Row],[Profit]]/SalesData[[#This Row],[Sales]]</f>
        <v>0.36249999999999999</v>
      </c>
      <c r="J1773">
        <f>YEAR(SalesData[[#This Row],[Order Date]])</f>
        <v>2016</v>
      </c>
      <c r="K1773" t="str">
        <f>TEXT(SalesData[[#This Row],[Order Date]],"mmm")</f>
        <v>May</v>
      </c>
      <c r="L1773">
        <f>MONTH(SalesData[[#This Row],[Order Date]])</f>
        <v>5</v>
      </c>
      <c r="M1773">
        <f>SalesData[[#This Row],[Sales]]/SalesData[[#This Row],[Quantity]]</f>
        <v>4.6239999999999997</v>
      </c>
      <c r="N1773" t="str">
        <f>IF(SalesData[[#This Row],[Profit]]&gt;0,"Profit","Loss")</f>
        <v>Profit</v>
      </c>
    </row>
    <row r="1774" spans="1:14" x14ac:dyDescent="0.3">
      <c r="A1774" t="s">
        <v>2223</v>
      </c>
      <c r="B1774" s="3">
        <v>42499</v>
      </c>
      <c r="C1774" t="s">
        <v>17</v>
      </c>
      <c r="D1774" t="s">
        <v>21</v>
      </c>
      <c r="E1774" t="s">
        <v>2224</v>
      </c>
      <c r="F1774" s="1">
        <v>8.952</v>
      </c>
      <c r="G1774">
        <v>2</v>
      </c>
      <c r="H1774" s="1">
        <v>-7.46</v>
      </c>
      <c r="I1774" s="4">
        <f>SalesData[[#This Row],[Profit]]/SalesData[[#This Row],[Sales]]</f>
        <v>-0.83333333333333337</v>
      </c>
      <c r="J1774">
        <f>YEAR(SalesData[[#This Row],[Order Date]])</f>
        <v>2016</v>
      </c>
      <c r="K1774" t="str">
        <f>TEXT(SalesData[[#This Row],[Order Date]],"mmm")</f>
        <v>May</v>
      </c>
      <c r="L1774">
        <f>MONTH(SalesData[[#This Row],[Order Date]])</f>
        <v>5</v>
      </c>
      <c r="M1774">
        <f>SalesData[[#This Row],[Sales]]/SalesData[[#This Row],[Quantity]]</f>
        <v>4.476</v>
      </c>
      <c r="N1774" t="str">
        <f>IF(SalesData[[#This Row],[Profit]]&gt;0,"Profit","Loss")</f>
        <v>Loss</v>
      </c>
    </row>
    <row r="1775" spans="1:14" x14ac:dyDescent="0.3">
      <c r="A1775" t="s">
        <v>2223</v>
      </c>
      <c r="B1775" s="3">
        <v>42499</v>
      </c>
      <c r="C1775" t="s">
        <v>17</v>
      </c>
      <c r="D1775" t="s">
        <v>21</v>
      </c>
      <c r="E1775" t="s">
        <v>1164</v>
      </c>
      <c r="F1775" s="1">
        <v>8.8559999999999999</v>
      </c>
      <c r="G1775">
        <v>6</v>
      </c>
      <c r="H1775" s="1">
        <v>-6.4943999999999997</v>
      </c>
      <c r="I1775" s="4">
        <f>SalesData[[#This Row],[Profit]]/SalesData[[#This Row],[Sales]]</f>
        <v>-0.73333333333333328</v>
      </c>
      <c r="J1775">
        <f>YEAR(SalesData[[#This Row],[Order Date]])</f>
        <v>2016</v>
      </c>
      <c r="K1775" t="str">
        <f>TEXT(SalesData[[#This Row],[Order Date]],"mmm")</f>
        <v>May</v>
      </c>
      <c r="L1775">
        <f>MONTH(SalesData[[#This Row],[Order Date]])</f>
        <v>5</v>
      </c>
      <c r="M1775">
        <f>SalesData[[#This Row],[Sales]]/SalesData[[#This Row],[Quantity]]</f>
        <v>1.476</v>
      </c>
      <c r="N1775" t="str">
        <f>IF(SalesData[[#This Row],[Profit]]&gt;0,"Profit","Loss")</f>
        <v>Loss</v>
      </c>
    </row>
    <row r="1776" spans="1:14" x14ac:dyDescent="0.3">
      <c r="A1776" t="s">
        <v>2223</v>
      </c>
      <c r="B1776" s="3">
        <v>42499</v>
      </c>
      <c r="C1776" t="s">
        <v>17</v>
      </c>
      <c r="D1776" t="s">
        <v>14</v>
      </c>
      <c r="E1776" t="s">
        <v>564</v>
      </c>
      <c r="F1776" s="1">
        <v>85.245999999999995</v>
      </c>
      <c r="G1776">
        <v>2</v>
      </c>
      <c r="H1776" s="1">
        <v>-1.2178</v>
      </c>
      <c r="I1776" s="4">
        <f>SalesData[[#This Row],[Profit]]/SalesData[[#This Row],[Sales]]</f>
        <v>-1.4285714285714287E-2</v>
      </c>
      <c r="J1776">
        <f>YEAR(SalesData[[#This Row],[Order Date]])</f>
        <v>2016</v>
      </c>
      <c r="K1776" t="str">
        <f>TEXT(SalesData[[#This Row],[Order Date]],"mmm")</f>
        <v>May</v>
      </c>
      <c r="L1776">
        <f>MONTH(SalesData[[#This Row],[Order Date]])</f>
        <v>5</v>
      </c>
      <c r="M1776">
        <f>SalesData[[#This Row],[Sales]]/SalesData[[#This Row],[Quantity]]</f>
        <v>42.622999999999998</v>
      </c>
      <c r="N1776" t="str">
        <f>IF(SalesData[[#This Row],[Profit]]&gt;0,"Profit","Loss")</f>
        <v>Loss</v>
      </c>
    </row>
    <row r="1777" spans="1:14" x14ac:dyDescent="0.3">
      <c r="A1777" t="s">
        <v>2225</v>
      </c>
      <c r="B1777" s="3">
        <v>42499</v>
      </c>
      <c r="C1777" t="s">
        <v>9</v>
      </c>
      <c r="D1777" t="s">
        <v>14</v>
      </c>
      <c r="E1777" t="s">
        <v>371</v>
      </c>
      <c r="F1777" s="1">
        <v>21.204000000000001</v>
      </c>
      <c r="G1777">
        <v>3</v>
      </c>
      <c r="H1777" s="1">
        <v>-11.6622</v>
      </c>
      <c r="I1777" s="4">
        <f>SalesData[[#This Row],[Profit]]/SalesData[[#This Row],[Sales]]</f>
        <v>-0.55000000000000004</v>
      </c>
      <c r="J1777">
        <f>YEAR(SalesData[[#This Row],[Order Date]])</f>
        <v>2016</v>
      </c>
      <c r="K1777" t="str">
        <f>TEXT(SalesData[[#This Row],[Order Date]],"mmm")</f>
        <v>May</v>
      </c>
      <c r="L1777">
        <f>MONTH(SalesData[[#This Row],[Order Date]])</f>
        <v>5</v>
      </c>
      <c r="M1777">
        <f>SalesData[[#This Row],[Sales]]/SalesData[[#This Row],[Quantity]]</f>
        <v>7.0680000000000005</v>
      </c>
      <c r="N1777" t="str">
        <f>IF(SalesData[[#This Row],[Profit]]&gt;0,"Profit","Loss")</f>
        <v>Loss</v>
      </c>
    </row>
    <row r="1778" spans="1:14" x14ac:dyDescent="0.3">
      <c r="A1778" t="s">
        <v>2226</v>
      </c>
      <c r="B1778" s="3">
        <v>42499</v>
      </c>
      <c r="C1778" t="s">
        <v>17</v>
      </c>
      <c r="D1778" t="s">
        <v>14</v>
      </c>
      <c r="E1778" t="s">
        <v>2132</v>
      </c>
      <c r="F1778" s="1">
        <v>58.247999999999998</v>
      </c>
      <c r="G1778">
        <v>9</v>
      </c>
      <c r="H1778" s="1">
        <v>11.6496</v>
      </c>
      <c r="I1778" s="4">
        <f>SalesData[[#This Row],[Profit]]/SalesData[[#This Row],[Sales]]</f>
        <v>0.2</v>
      </c>
      <c r="J1778">
        <f>YEAR(SalesData[[#This Row],[Order Date]])</f>
        <v>2016</v>
      </c>
      <c r="K1778" t="str">
        <f>TEXT(SalesData[[#This Row],[Order Date]],"mmm")</f>
        <v>May</v>
      </c>
      <c r="L1778">
        <f>MONTH(SalesData[[#This Row],[Order Date]])</f>
        <v>5</v>
      </c>
      <c r="M1778">
        <f>SalesData[[#This Row],[Sales]]/SalesData[[#This Row],[Quantity]]</f>
        <v>6.4719999999999995</v>
      </c>
      <c r="N1778" t="str">
        <f>IF(SalesData[[#This Row],[Profit]]&gt;0,"Profit","Loss")</f>
        <v>Profit</v>
      </c>
    </row>
    <row r="1779" spans="1:14" x14ac:dyDescent="0.3">
      <c r="A1779" t="s">
        <v>2226</v>
      </c>
      <c r="B1779" s="3">
        <v>42499</v>
      </c>
      <c r="C1779" t="s">
        <v>17</v>
      </c>
      <c r="D1779" t="s">
        <v>14</v>
      </c>
      <c r="E1779" t="s">
        <v>2227</v>
      </c>
      <c r="F1779" s="1">
        <v>71.245999999999995</v>
      </c>
      <c r="G1779">
        <v>2</v>
      </c>
      <c r="H1779" s="1">
        <v>-19.338200000000001</v>
      </c>
      <c r="I1779" s="4">
        <f>SalesData[[#This Row],[Profit]]/SalesData[[#This Row],[Sales]]</f>
        <v>-0.27142857142857146</v>
      </c>
      <c r="J1779">
        <f>YEAR(SalesData[[#This Row],[Order Date]])</f>
        <v>2016</v>
      </c>
      <c r="K1779" t="str">
        <f>TEXT(SalesData[[#This Row],[Order Date]],"mmm")</f>
        <v>May</v>
      </c>
      <c r="L1779">
        <f>MONTH(SalesData[[#This Row],[Order Date]])</f>
        <v>5</v>
      </c>
      <c r="M1779">
        <f>SalesData[[#This Row],[Sales]]/SalesData[[#This Row],[Quantity]]</f>
        <v>35.622999999999998</v>
      </c>
      <c r="N1779" t="str">
        <f>IF(SalesData[[#This Row],[Profit]]&gt;0,"Profit","Loss")</f>
        <v>Loss</v>
      </c>
    </row>
    <row r="1780" spans="1:14" x14ac:dyDescent="0.3">
      <c r="A1780" t="s">
        <v>2226</v>
      </c>
      <c r="B1780" s="3">
        <v>42499</v>
      </c>
      <c r="C1780" t="s">
        <v>17</v>
      </c>
      <c r="D1780" t="s">
        <v>21</v>
      </c>
      <c r="E1780" t="s">
        <v>347</v>
      </c>
      <c r="F1780" s="1">
        <v>7.8719999999999999</v>
      </c>
      <c r="G1780">
        <v>3</v>
      </c>
      <c r="H1780" s="1">
        <v>0.59040000000000004</v>
      </c>
      <c r="I1780" s="4">
        <f>SalesData[[#This Row],[Profit]]/SalesData[[#This Row],[Sales]]</f>
        <v>7.5000000000000011E-2</v>
      </c>
      <c r="J1780">
        <f>YEAR(SalesData[[#This Row],[Order Date]])</f>
        <v>2016</v>
      </c>
      <c r="K1780" t="str">
        <f>TEXT(SalesData[[#This Row],[Order Date]],"mmm")</f>
        <v>May</v>
      </c>
      <c r="L1780">
        <f>MONTH(SalesData[[#This Row],[Order Date]])</f>
        <v>5</v>
      </c>
      <c r="M1780">
        <f>SalesData[[#This Row],[Sales]]/SalesData[[#This Row],[Quantity]]</f>
        <v>2.6240000000000001</v>
      </c>
      <c r="N1780" t="str">
        <f>IF(SalesData[[#This Row],[Profit]]&gt;0,"Profit","Loss")</f>
        <v>Profit</v>
      </c>
    </row>
    <row r="1781" spans="1:14" x14ac:dyDescent="0.3">
      <c r="A1781" t="s">
        <v>2226</v>
      </c>
      <c r="B1781" s="3">
        <v>42499</v>
      </c>
      <c r="C1781" t="s">
        <v>17</v>
      </c>
      <c r="D1781" t="s">
        <v>14</v>
      </c>
      <c r="E1781" t="s">
        <v>2228</v>
      </c>
      <c r="F1781" s="1">
        <v>887.27099999999996</v>
      </c>
      <c r="G1781">
        <v>3</v>
      </c>
      <c r="H1781" s="1">
        <v>-63.3765</v>
      </c>
      <c r="I1781" s="4">
        <f>SalesData[[#This Row],[Profit]]/SalesData[[#This Row],[Sales]]</f>
        <v>-7.1428571428571438E-2</v>
      </c>
      <c r="J1781">
        <f>YEAR(SalesData[[#This Row],[Order Date]])</f>
        <v>2016</v>
      </c>
      <c r="K1781" t="str">
        <f>TEXT(SalesData[[#This Row],[Order Date]],"mmm")</f>
        <v>May</v>
      </c>
      <c r="L1781">
        <f>MONTH(SalesData[[#This Row],[Order Date]])</f>
        <v>5</v>
      </c>
      <c r="M1781">
        <f>SalesData[[#This Row],[Sales]]/SalesData[[#This Row],[Quantity]]</f>
        <v>295.75700000000001</v>
      </c>
      <c r="N1781" t="str">
        <f>IF(SalesData[[#This Row],[Profit]]&gt;0,"Profit","Loss")</f>
        <v>Loss</v>
      </c>
    </row>
    <row r="1782" spans="1:14" x14ac:dyDescent="0.3">
      <c r="A1782" t="s">
        <v>2229</v>
      </c>
      <c r="B1782" s="3">
        <v>42499</v>
      </c>
      <c r="C1782" t="s">
        <v>17</v>
      </c>
      <c r="D1782" t="s">
        <v>10</v>
      </c>
      <c r="E1782" t="s">
        <v>828</v>
      </c>
      <c r="F1782" s="1">
        <v>43.6</v>
      </c>
      <c r="G1782">
        <v>4</v>
      </c>
      <c r="H1782" s="1">
        <v>12.208</v>
      </c>
      <c r="I1782" s="4">
        <f>SalesData[[#This Row],[Profit]]/SalesData[[#This Row],[Sales]]</f>
        <v>0.27999999999999997</v>
      </c>
      <c r="J1782">
        <f>YEAR(SalesData[[#This Row],[Order Date]])</f>
        <v>2016</v>
      </c>
      <c r="K1782" t="str">
        <f>TEXT(SalesData[[#This Row],[Order Date]],"mmm")</f>
        <v>May</v>
      </c>
      <c r="L1782">
        <f>MONTH(SalesData[[#This Row],[Order Date]])</f>
        <v>5</v>
      </c>
      <c r="M1782">
        <f>SalesData[[#This Row],[Sales]]/SalesData[[#This Row],[Quantity]]</f>
        <v>10.9</v>
      </c>
      <c r="N1782" t="str">
        <f>IF(SalesData[[#This Row],[Profit]]&gt;0,"Profit","Loss")</f>
        <v>Profit</v>
      </c>
    </row>
    <row r="1783" spans="1:14" x14ac:dyDescent="0.3">
      <c r="A1783" t="s">
        <v>2230</v>
      </c>
      <c r="B1783" s="3">
        <v>42501</v>
      </c>
      <c r="C1783" t="s">
        <v>13</v>
      </c>
      <c r="D1783" t="s">
        <v>21</v>
      </c>
      <c r="E1783" t="s">
        <v>2231</v>
      </c>
      <c r="F1783" s="1">
        <v>29.12</v>
      </c>
      <c r="G1783">
        <v>5</v>
      </c>
      <c r="H1783" s="1">
        <v>9.8279999999999994</v>
      </c>
      <c r="I1783" s="4">
        <f>SalesData[[#This Row],[Profit]]/SalesData[[#This Row],[Sales]]</f>
        <v>0.33749999999999997</v>
      </c>
      <c r="J1783">
        <f>YEAR(SalesData[[#This Row],[Order Date]])</f>
        <v>2016</v>
      </c>
      <c r="K1783" t="str">
        <f>TEXT(SalesData[[#This Row],[Order Date]],"mmm")</f>
        <v>May</v>
      </c>
      <c r="L1783">
        <f>MONTH(SalesData[[#This Row],[Order Date]])</f>
        <v>5</v>
      </c>
      <c r="M1783">
        <f>SalesData[[#This Row],[Sales]]/SalesData[[#This Row],[Quantity]]</f>
        <v>5.8239999999999998</v>
      </c>
      <c r="N1783" t="str">
        <f>IF(SalesData[[#This Row],[Profit]]&gt;0,"Profit","Loss")</f>
        <v>Profit</v>
      </c>
    </row>
    <row r="1784" spans="1:14" x14ac:dyDescent="0.3">
      <c r="A1784" t="s">
        <v>2232</v>
      </c>
      <c r="B1784" s="3">
        <v>42501</v>
      </c>
      <c r="C1784" t="s">
        <v>17</v>
      </c>
      <c r="D1784" t="s">
        <v>10</v>
      </c>
      <c r="E1784" t="s">
        <v>2233</v>
      </c>
      <c r="F1784" s="1">
        <v>23.988</v>
      </c>
      <c r="G1784">
        <v>2</v>
      </c>
      <c r="H1784" s="1">
        <v>-15.992000000000001</v>
      </c>
      <c r="I1784" s="4">
        <f>SalesData[[#This Row],[Profit]]/SalesData[[#This Row],[Sales]]</f>
        <v>-0.66666666666666674</v>
      </c>
      <c r="J1784">
        <f>YEAR(SalesData[[#This Row],[Order Date]])</f>
        <v>2016</v>
      </c>
      <c r="K1784" t="str">
        <f>TEXT(SalesData[[#This Row],[Order Date]],"mmm")</f>
        <v>May</v>
      </c>
      <c r="L1784">
        <f>MONTH(SalesData[[#This Row],[Order Date]])</f>
        <v>5</v>
      </c>
      <c r="M1784">
        <f>SalesData[[#This Row],[Sales]]/SalesData[[#This Row],[Quantity]]</f>
        <v>11.994</v>
      </c>
      <c r="N1784" t="str">
        <f>IF(SalesData[[#This Row],[Profit]]&gt;0,"Profit","Loss")</f>
        <v>Loss</v>
      </c>
    </row>
    <row r="1785" spans="1:14" x14ac:dyDescent="0.3">
      <c r="A1785" t="s">
        <v>2234</v>
      </c>
      <c r="B1785" s="3">
        <v>42501</v>
      </c>
      <c r="C1785" t="s">
        <v>9</v>
      </c>
      <c r="D1785" t="s">
        <v>14</v>
      </c>
      <c r="E1785" t="s">
        <v>1619</v>
      </c>
      <c r="F1785" s="1">
        <v>863.12800000000004</v>
      </c>
      <c r="G1785">
        <v>8</v>
      </c>
      <c r="H1785" s="1">
        <v>-160.29519999999999</v>
      </c>
      <c r="I1785" s="4">
        <f>SalesData[[#This Row],[Profit]]/SalesData[[#This Row],[Sales]]</f>
        <v>-0.18571428571428569</v>
      </c>
      <c r="J1785">
        <f>YEAR(SalesData[[#This Row],[Order Date]])</f>
        <v>2016</v>
      </c>
      <c r="K1785" t="str">
        <f>TEXT(SalesData[[#This Row],[Order Date]],"mmm")</f>
        <v>May</v>
      </c>
      <c r="L1785">
        <f>MONTH(SalesData[[#This Row],[Order Date]])</f>
        <v>5</v>
      </c>
      <c r="M1785">
        <f>SalesData[[#This Row],[Sales]]/SalesData[[#This Row],[Quantity]]</f>
        <v>107.89100000000001</v>
      </c>
      <c r="N1785" t="str">
        <f>IF(SalesData[[#This Row],[Profit]]&gt;0,"Profit","Loss")</f>
        <v>Loss</v>
      </c>
    </row>
    <row r="1786" spans="1:14" x14ac:dyDescent="0.3">
      <c r="A1786" t="s">
        <v>2234</v>
      </c>
      <c r="B1786" s="3">
        <v>42501</v>
      </c>
      <c r="C1786" t="s">
        <v>9</v>
      </c>
      <c r="D1786" t="s">
        <v>21</v>
      </c>
      <c r="E1786" t="s">
        <v>415</v>
      </c>
      <c r="F1786" s="1">
        <v>3.5640000000000001</v>
      </c>
      <c r="G1786">
        <v>3</v>
      </c>
      <c r="H1786" s="1">
        <v>-6.2370000000000001</v>
      </c>
      <c r="I1786" s="4">
        <f>SalesData[[#This Row],[Profit]]/SalesData[[#This Row],[Sales]]</f>
        <v>-1.75</v>
      </c>
      <c r="J1786">
        <f>YEAR(SalesData[[#This Row],[Order Date]])</f>
        <v>2016</v>
      </c>
      <c r="K1786" t="str">
        <f>TEXT(SalesData[[#This Row],[Order Date]],"mmm")</f>
        <v>May</v>
      </c>
      <c r="L1786">
        <f>MONTH(SalesData[[#This Row],[Order Date]])</f>
        <v>5</v>
      </c>
      <c r="M1786">
        <f>SalesData[[#This Row],[Sales]]/SalesData[[#This Row],[Quantity]]</f>
        <v>1.1879999999999999</v>
      </c>
      <c r="N1786" t="str">
        <f>IF(SalesData[[#This Row],[Profit]]&gt;0,"Profit","Loss")</f>
        <v>Loss</v>
      </c>
    </row>
    <row r="1787" spans="1:14" x14ac:dyDescent="0.3">
      <c r="A1787" t="s">
        <v>2234</v>
      </c>
      <c r="B1787" s="3">
        <v>42501</v>
      </c>
      <c r="C1787" t="s">
        <v>9</v>
      </c>
      <c r="D1787" t="s">
        <v>14</v>
      </c>
      <c r="E1787" t="s">
        <v>2235</v>
      </c>
      <c r="F1787" s="1">
        <v>956.66480000000001</v>
      </c>
      <c r="G1787">
        <v>7</v>
      </c>
      <c r="H1787" s="1">
        <v>-225.0976</v>
      </c>
      <c r="I1787" s="4">
        <f>SalesData[[#This Row],[Profit]]/SalesData[[#This Row],[Sales]]</f>
        <v>-0.23529411764705882</v>
      </c>
      <c r="J1787">
        <f>YEAR(SalesData[[#This Row],[Order Date]])</f>
        <v>2016</v>
      </c>
      <c r="K1787" t="str">
        <f>TEXT(SalesData[[#This Row],[Order Date]],"mmm")</f>
        <v>May</v>
      </c>
      <c r="L1787">
        <f>MONTH(SalesData[[#This Row],[Order Date]])</f>
        <v>5</v>
      </c>
      <c r="M1787">
        <f>SalesData[[#This Row],[Sales]]/SalesData[[#This Row],[Quantity]]</f>
        <v>136.66640000000001</v>
      </c>
      <c r="N1787" t="str">
        <f>IF(SalesData[[#This Row],[Profit]]&gt;0,"Profit","Loss")</f>
        <v>Loss</v>
      </c>
    </row>
    <row r="1788" spans="1:14" x14ac:dyDescent="0.3">
      <c r="A1788" t="s">
        <v>2234</v>
      </c>
      <c r="B1788" s="3">
        <v>42501</v>
      </c>
      <c r="C1788" t="s">
        <v>9</v>
      </c>
      <c r="D1788" t="s">
        <v>21</v>
      </c>
      <c r="E1788" t="s">
        <v>2236</v>
      </c>
      <c r="F1788" s="1">
        <v>12.587999999999999</v>
      </c>
      <c r="G1788">
        <v>3</v>
      </c>
      <c r="H1788" s="1">
        <v>-20.140799999999999</v>
      </c>
      <c r="I1788" s="4">
        <f>SalesData[[#This Row],[Profit]]/SalesData[[#This Row],[Sales]]</f>
        <v>-1.6</v>
      </c>
      <c r="J1788">
        <f>YEAR(SalesData[[#This Row],[Order Date]])</f>
        <v>2016</v>
      </c>
      <c r="K1788" t="str">
        <f>TEXT(SalesData[[#This Row],[Order Date]],"mmm")</f>
        <v>May</v>
      </c>
      <c r="L1788">
        <f>MONTH(SalesData[[#This Row],[Order Date]])</f>
        <v>5</v>
      </c>
      <c r="M1788">
        <f>SalesData[[#This Row],[Sales]]/SalesData[[#This Row],[Quantity]]</f>
        <v>4.1959999999999997</v>
      </c>
      <c r="N1788" t="str">
        <f>IF(SalesData[[#This Row],[Profit]]&gt;0,"Profit","Loss")</f>
        <v>Loss</v>
      </c>
    </row>
    <row r="1789" spans="1:14" x14ac:dyDescent="0.3">
      <c r="A1789" t="s">
        <v>2234</v>
      </c>
      <c r="B1789" s="3">
        <v>42501</v>
      </c>
      <c r="C1789" t="s">
        <v>9</v>
      </c>
      <c r="D1789" t="s">
        <v>10</v>
      </c>
      <c r="E1789" t="s">
        <v>2237</v>
      </c>
      <c r="F1789" s="1">
        <v>171.96</v>
      </c>
      <c r="G1789">
        <v>5</v>
      </c>
      <c r="H1789" s="1">
        <v>45.139499999999998</v>
      </c>
      <c r="I1789" s="4">
        <f>SalesData[[#This Row],[Profit]]/SalesData[[#This Row],[Sales]]</f>
        <v>0.26249999999999996</v>
      </c>
      <c r="J1789">
        <f>YEAR(SalesData[[#This Row],[Order Date]])</f>
        <v>2016</v>
      </c>
      <c r="K1789" t="str">
        <f>TEXT(SalesData[[#This Row],[Order Date]],"mmm")</f>
        <v>May</v>
      </c>
      <c r="L1789">
        <f>MONTH(SalesData[[#This Row],[Order Date]])</f>
        <v>5</v>
      </c>
      <c r="M1789">
        <f>SalesData[[#This Row],[Sales]]/SalesData[[#This Row],[Quantity]]</f>
        <v>34.392000000000003</v>
      </c>
      <c r="N1789" t="str">
        <f>IF(SalesData[[#This Row],[Profit]]&gt;0,"Profit","Loss")</f>
        <v>Profit</v>
      </c>
    </row>
    <row r="1790" spans="1:14" x14ac:dyDescent="0.3">
      <c r="A1790" t="s">
        <v>2238</v>
      </c>
      <c r="B1790" s="3">
        <v>42501</v>
      </c>
      <c r="C1790" t="s">
        <v>9</v>
      </c>
      <c r="D1790" t="s">
        <v>21</v>
      </c>
      <c r="E1790" t="s">
        <v>2236</v>
      </c>
      <c r="F1790" s="1">
        <v>104.9</v>
      </c>
      <c r="G1790">
        <v>5</v>
      </c>
      <c r="H1790" s="1">
        <v>50.351999999999997</v>
      </c>
      <c r="I1790" s="4">
        <f>SalesData[[#This Row],[Profit]]/SalesData[[#This Row],[Sales]]</f>
        <v>0.47999999999999993</v>
      </c>
      <c r="J1790">
        <f>YEAR(SalesData[[#This Row],[Order Date]])</f>
        <v>2016</v>
      </c>
      <c r="K1790" t="str">
        <f>TEXT(SalesData[[#This Row],[Order Date]],"mmm")</f>
        <v>May</v>
      </c>
      <c r="L1790">
        <f>MONTH(SalesData[[#This Row],[Order Date]])</f>
        <v>5</v>
      </c>
      <c r="M1790">
        <f>SalesData[[#This Row],[Sales]]/SalesData[[#This Row],[Quantity]]</f>
        <v>20.98</v>
      </c>
      <c r="N1790" t="str">
        <f>IF(SalesData[[#This Row],[Profit]]&gt;0,"Profit","Loss")</f>
        <v>Profit</v>
      </c>
    </row>
    <row r="1791" spans="1:14" x14ac:dyDescent="0.3">
      <c r="A1791" t="s">
        <v>2238</v>
      </c>
      <c r="B1791" s="3">
        <v>42501</v>
      </c>
      <c r="C1791" t="s">
        <v>9</v>
      </c>
      <c r="D1791" t="s">
        <v>21</v>
      </c>
      <c r="E1791" t="s">
        <v>981</v>
      </c>
      <c r="F1791" s="1">
        <v>39.68</v>
      </c>
      <c r="G1791">
        <v>2</v>
      </c>
      <c r="H1791" s="1">
        <v>16.268799999999999</v>
      </c>
      <c r="I1791" s="4">
        <f>SalesData[[#This Row],[Profit]]/SalesData[[#This Row],[Sales]]</f>
        <v>0.41</v>
      </c>
      <c r="J1791">
        <f>YEAR(SalesData[[#This Row],[Order Date]])</f>
        <v>2016</v>
      </c>
      <c r="K1791" t="str">
        <f>TEXT(SalesData[[#This Row],[Order Date]],"mmm")</f>
        <v>May</v>
      </c>
      <c r="L1791">
        <f>MONTH(SalesData[[#This Row],[Order Date]])</f>
        <v>5</v>
      </c>
      <c r="M1791">
        <f>SalesData[[#This Row],[Sales]]/SalesData[[#This Row],[Quantity]]</f>
        <v>19.84</v>
      </c>
      <c r="N1791" t="str">
        <f>IF(SalesData[[#This Row],[Profit]]&gt;0,"Profit","Loss")</f>
        <v>Profit</v>
      </c>
    </row>
    <row r="1792" spans="1:14" x14ac:dyDescent="0.3">
      <c r="A1792" t="s">
        <v>2238</v>
      </c>
      <c r="B1792" s="3">
        <v>42501</v>
      </c>
      <c r="C1792" t="s">
        <v>9</v>
      </c>
      <c r="D1792" t="s">
        <v>21</v>
      </c>
      <c r="E1792" t="s">
        <v>1721</v>
      </c>
      <c r="F1792" s="1">
        <v>51.75</v>
      </c>
      <c r="G1792">
        <v>5</v>
      </c>
      <c r="H1792" s="1">
        <v>24.84</v>
      </c>
      <c r="I1792" s="4">
        <f>SalesData[[#This Row],[Profit]]/SalesData[[#This Row],[Sales]]</f>
        <v>0.48</v>
      </c>
      <c r="J1792">
        <f>YEAR(SalesData[[#This Row],[Order Date]])</f>
        <v>2016</v>
      </c>
      <c r="K1792" t="str">
        <f>TEXT(SalesData[[#This Row],[Order Date]],"mmm")</f>
        <v>May</v>
      </c>
      <c r="L1792">
        <f>MONTH(SalesData[[#This Row],[Order Date]])</f>
        <v>5</v>
      </c>
      <c r="M1792">
        <f>SalesData[[#This Row],[Sales]]/SalesData[[#This Row],[Quantity]]</f>
        <v>10.35</v>
      </c>
      <c r="N1792" t="str">
        <f>IF(SalesData[[#This Row],[Profit]]&gt;0,"Profit","Loss")</f>
        <v>Profit</v>
      </c>
    </row>
    <row r="1793" spans="1:14" x14ac:dyDescent="0.3">
      <c r="A1793" t="s">
        <v>2239</v>
      </c>
      <c r="B1793" s="3">
        <v>42501</v>
      </c>
      <c r="C1793" t="s">
        <v>13</v>
      </c>
      <c r="D1793" t="s">
        <v>21</v>
      </c>
      <c r="E1793" t="s">
        <v>2240</v>
      </c>
      <c r="F1793" s="1">
        <v>53.247999999999998</v>
      </c>
      <c r="G1793">
        <v>2</v>
      </c>
      <c r="H1793" s="1">
        <v>19.968</v>
      </c>
      <c r="I1793" s="4">
        <f>SalesData[[#This Row],[Profit]]/SalesData[[#This Row],[Sales]]</f>
        <v>0.375</v>
      </c>
      <c r="J1793">
        <f>YEAR(SalesData[[#This Row],[Order Date]])</f>
        <v>2016</v>
      </c>
      <c r="K1793" t="str">
        <f>TEXT(SalesData[[#This Row],[Order Date]],"mmm")</f>
        <v>May</v>
      </c>
      <c r="L1793">
        <f>MONTH(SalesData[[#This Row],[Order Date]])</f>
        <v>5</v>
      </c>
      <c r="M1793">
        <f>SalesData[[#This Row],[Sales]]/SalesData[[#This Row],[Quantity]]</f>
        <v>26.623999999999999</v>
      </c>
      <c r="N1793" t="str">
        <f>IF(SalesData[[#This Row],[Profit]]&gt;0,"Profit","Loss")</f>
        <v>Profit</v>
      </c>
    </row>
    <row r="1794" spans="1:14" x14ac:dyDescent="0.3">
      <c r="A1794" t="s">
        <v>2241</v>
      </c>
      <c r="B1794" s="3">
        <v>42501</v>
      </c>
      <c r="C1794" t="s">
        <v>9</v>
      </c>
      <c r="D1794" t="s">
        <v>21</v>
      </c>
      <c r="E1794" t="s">
        <v>32</v>
      </c>
      <c r="F1794" s="1">
        <v>11.84</v>
      </c>
      <c r="G1794">
        <v>1</v>
      </c>
      <c r="H1794" s="1">
        <v>4.4400000000000004</v>
      </c>
      <c r="I1794" s="4">
        <f>SalesData[[#This Row],[Profit]]/SalesData[[#This Row],[Sales]]</f>
        <v>0.37500000000000006</v>
      </c>
      <c r="J1794">
        <f>YEAR(SalesData[[#This Row],[Order Date]])</f>
        <v>2016</v>
      </c>
      <c r="K1794" t="str">
        <f>TEXT(SalesData[[#This Row],[Order Date]],"mmm")</f>
        <v>May</v>
      </c>
      <c r="L1794">
        <f>MONTH(SalesData[[#This Row],[Order Date]])</f>
        <v>5</v>
      </c>
      <c r="M1794">
        <f>SalesData[[#This Row],[Sales]]/SalesData[[#This Row],[Quantity]]</f>
        <v>11.84</v>
      </c>
      <c r="N1794" t="str">
        <f>IF(SalesData[[#This Row],[Profit]]&gt;0,"Profit","Loss")</f>
        <v>Profit</v>
      </c>
    </row>
    <row r="1795" spans="1:14" x14ac:dyDescent="0.3">
      <c r="A1795" t="s">
        <v>2242</v>
      </c>
      <c r="B1795" s="3">
        <v>42501</v>
      </c>
      <c r="C1795" t="s">
        <v>13</v>
      </c>
      <c r="D1795" t="s">
        <v>10</v>
      </c>
      <c r="E1795" t="s">
        <v>2243</v>
      </c>
      <c r="F1795" s="1">
        <v>479.72</v>
      </c>
      <c r="G1795">
        <v>4</v>
      </c>
      <c r="H1795" s="1">
        <v>52.769199999999998</v>
      </c>
      <c r="I1795" s="4">
        <f>SalesData[[#This Row],[Profit]]/SalesData[[#This Row],[Sales]]</f>
        <v>0.10999999999999999</v>
      </c>
      <c r="J1795">
        <f>YEAR(SalesData[[#This Row],[Order Date]])</f>
        <v>2016</v>
      </c>
      <c r="K1795" t="str">
        <f>TEXT(SalesData[[#This Row],[Order Date]],"mmm")</f>
        <v>May</v>
      </c>
      <c r="L1795">
        <f>MONTH(SalesData[[#This Row],[Order Date]])</f>
        <v>5</v>
      </c>
      <c r="M1795">
        <f>SalesData[[#This Row],[Sales]]/SalesData[[#This Row],[Quantity]]</f>
        <v>119.93</v>
      </c>
      <c r="N1795" t="str">
        <f>IF(SalesData[[#This Row],[Profit]]&gt;0,"Profit","Loss")</f>
        <v>Profit</v>
      </c>
    </row>
    <row r="1796" spans="1:14" x14ac:dyDescent="0.3">
      <c r="A1796" t="s">
        <v>2244</v>
      </c>
      <c r="B1796" s="3">
        <v>42501</v>
      </c>
      <c r="C1796" t="s">
        <v>13</v>
      </c>
      <c r="D1796" t="s">
        <v>10</v>
      </c>
      <c r="E1796" t="s">
        <v>1506</v>
      </c>
      <c r="F1796" s="1">
        <v>72</v>
      </c>
      <c r="G1796">
        <v>4</v>
      </c>
      <c r="H1796" s="1">
        <v>12.96</v>
      </c>
      <c r="I1796" s="4">
        <f>SalesData[[#This Row],[Profit]]/SalesData[[#This Row],[Sales]]</f>
        <v>0.18000000000000002</v>
      </c>
      <c r="J1796">
        <f>YEAR(SalesData[[#This Row],[Order Date]])</f>
        <v>2016</v>
      </c>
      <c r="K1796" t="str">
        <f>TEXT(SalesData[[#This Row],[Order Date]],"mmm")</f>
        <v>May</v>
      </c>
      <c r="L1796">
        <f>MONTH(SalesData[[#This Row],[Order Date]])</f>
        <v>5</v>
      </c>
      <c r="M1796">
        <f>SalesData[[#This Row],[Sales]]/SalesData[[#This Row],[Quantity]]</f>
        <v>18</v>
      </c>
      <c r="N1796" t="str">
        <f>IF(SalesData[[#This Row],[Profit]]&gt;0,"Profit","Loss")</f>
        <v>Profit</v>
      </c>
    </row>
    <row r="1797" spans="1:14" x14ac:dyDescent="0.3">
      <c r="A1797" t="s">
        <v>2244</v>
      </c>
      <c r="B1797" s="3">
        <v>42501</v>
      </c>
      <c r="C1797" t="s">
        <v>13</v>
      </c>
      <c r="D1797" t="s">
        <v>14</v>
      </c>
      <c r="E1797" t="s">
        <v>2245</v>
      </c>
      <c r="F1797" s="1">
        <v>113.88800000000001</v>
      </c>
      <c r="G1797">
        <v>2</v>
      </c>
      <c r="H1797" s="1">
        <v>9.9651999999999994</v>
      </c>
      <c r="I1797" s="4">
        <f>SalesData[[#This Row],[Profit]]/SalesData[[#This Row],[Sales]]</f>
        <v>8.7499999999999994E-2</v>
      </c>
      <c r="J1797">
        <f>YEAR(SalesData[[#This Row],[Order Date]])</f>
        <v>2016</v>
      </c>
      <c r="K1797" t="str">
        <f>TEXT(SalesData[[#This Row],[Order Date]],"mmm")</f>
        <v>May</v>
      </c>
      <c r="L1797">
        <f>MONTH(SalesData[[#This Row],[Order Date]])</f>
        <v>5</v>
      </c>
      <c r="M1797">
        <f>SalesData[[#This Row],[Sales]]/SalesData[[#This Row],[Quantity]]</f>
        <v>56.944000000000003</v>
      </c>
      <c r="N1797" t="str">
        <f>IF(SalesData[[#This Row],[Profit]]&gt;0,"Profit","Loss")</f>
        <v>Profit</v>
      </c>
    </row>
    <row r="1798" spans="1:14" x14ac:dyDescent="0.3">
      <c r="A1798" t="s">
        <v>2244</v>
      </c>
      <c r="B1798" s="3">
        <v>42501</v>
      </c>
      <c r="C1798" t="s">
        <v>13</v>
      </c>
      <c r="D1798" t="s">
        <v>21</v>
      </c>
      <c r="E1798" t="s">
        <v>827</v>
      </c>
      <c r="F1798" s="1">
        <v>158.13</v>
      </c>
      <c r="G1798">
        <v>3</v>
      </c>
      <c r="H1798" s="1">
        <v>77.483699999999999</v>
      </c>
      <c r="I1798" s="4">
        <f>SalesData[[#This Row],[Profit]]/SalesData[[#This Row],[Sales]]</f>
        <v>0.49</v>
      </c>
      <c r="J1798">
        <f>YEAR(SalesData[[#This Row],[Order Date]])</f>
        <v>2016</v>
      </c>
      <c r="K1798" t="str">
        <f>TEXT(SalesData[[#This Row],[Order Date]],"mmm")</f>
        <v>May</v>
      </c>
      <c r="L1798">
        <f>MONTH(SalesData[[#This Row],[Order Date]])</f>
        <v>5</v>
      </c>
      <c r="M1798">
        <f>SalesData[[#This Row],[Sales]]/SalesData[[#This Row],[Quantity]]</f>
        <v>52.71</v>
      </c>
      <c r="N1798" t="str">
        <f>IF(SalesData[[#This Row],[Profit]]&gt;0,"Profit","Loss")</f>
        <v>Profit</v>
      </c>
    </row>
    <row r="1799" spans="1:14" x14ac:dyDescent="0.3">
      <c r="A1799" t="s">
        <v>2246</v>
      </c>
      <c r="B1799" s="3">
        <v>42501</v>
      </c>
      <c r="C1799" t="s">
        <v>46</v>
      </c>
      <c r="D1799" t="s">
        <v>14</v>
      </c>
      <c r="E1799" t="s">
        <v>597</v>
      </c>
      <c r="F1799" s="1">
        <v>273.95999999999998</v>
      </c>
      <c r="G1799">
        <v>2</v>
      </c>
      <c r="H1799" s="1">
        <v>71.229600000000005</v>
      </c>
      <c r="I1799" s="4">
        <f>SalesData[[#This Row],[Profit]]/SalesData[[#This Row],[Sales]]</f>
        <v>0.26000000000000006</v>
      </c>
      <c r="J1799">
        <f>YEAR(SalesData[[#This Row],[Order Date]])</f>
        <v>2016</v>
      </c>
      <c r="K1799" t="str">
        <f>TEXT(SalesData[[#This Row],[Order Date]],"mmm")</f>
        <v>May</v>
      </c>
      <c r="L1799">
        <f>MONTH(SalesData[[#This Row],[Order Date]])</f>
        <v>5</v>
      </c>
      <c r="M1799">
        <f>SalesData[[#This Row],[Sales]]/SalesData[[#This Row],[Quantity]]</f>
        <v>136.97999999999999</v>
      </c>
      <c r="N1799" t="str">
        <f>IF(SalesData[[#This Row],[Profit]]&gt;0,"Profit","Loss")</f>
        <v>Profit</v>
      </c>
    </row>
    <row r="1800" spans="1:14" x14ac:dyDescent="0.3">
      <c r="A1800" t="s">
        <v>2246</v>
      </c>
      <c r="B1800" s="3">
        <v>42501</v>
      </c>
      <c r="C1800" t="s">
        <v>46</v>
      </c>
      <c r="D1800" t="s">
        <v>10</v>
      </c>
      <c r="E1800" t="s">
        <v>1241</v>
      </c>
      <c r="F1800" s="1">
        <v>89.97</v>
      </c>
      <c r="G1800">
        <v>3</v>
      </c>
      <c r="H1800" s="1">
        <v>18.893699999999999</v>
      </c>
      <c r="I1800" s="4">
        <f>SalesData[[#This Row],[Profit]]/SalesData[[#This Row],[Sales]]</f>
        <v>0.21</v>
      </c>
      <c r="J1800">
        <f>YEAR(SalesData[[#This Row],[Order Date]])</f>
        <v>2016</v>
      </c>
      <c r="K1800" t="str">
        <f>TEXT(SalesData[[#This Row],[Order Date]],"mmm")</f>
        <v>May</v>
      </c>
      <c r="L1800">
        <f>MONTH(SalesData[[#This Row],[Order Date]])</f>
        <v>5</v>
      </c>
      <c r="M1800">
        <f>SalesData[[#This Row],[Sales]]/SalesData[[#This Row],[Quantity]]</f>
        <v>29.99</v>
      </c>
      <c r="N1800" t="str">
        <f>IF(SalesData[[#This Row],[Profit]]&gt;0,"Profit","Loss")</f>
        <v>Profit</v>
      </c>
    </row>
    <row r="1801" spans="1:14" x14ac:dyDescent="0.3">
      <c r="A1801" t="s">
        <v>2246</v>
      </c>
      <c r="B1801" s="3">
        <v>42501</v>
      </c>
      <c r="C1801" t="s">
        <v>46</v>
      </c>
      <c r="D1801" t="s">
        <v>14</v>
      </c>
      <c r="E1801" t="s">
        <v>2247</v>
      </c>
      <c r="F1801" s="1">
        <v>756.8</v>
      </c>
      <c r="G1801">
        <v>5</v>
      </c>
      <c r="H1801" s="1">
        <v>75.680000000000007</v>
      </c>
      <c r="I1801" s="4">
        <f>SalesData[[#This Row],[Profit]]/SalesData[[#This Row],[Sales]]</f>
        <v>0.10000000000000002</v>
      </c>
      <c r="J1801">
        <f>YEAR(SalesData[[#This Row],[Order Date]])</f>
        <v>2016</v>
      </c>
      <c r="K1801" t="str">
        <f>TEXT(SalesData[[#This Row],[Order Date]],"mmm")</f>
        <v>May</v>
      </c>
      <c r="L1801">
        <f>MONTH(SalesData[[#This Row],[Order Date]])</f>
        <v>5</v>
      </c>
      <c r="M1801">
        <f>SalesData[[#This Row],[Sales]]/SalesData[[#This Row],[Quantity]]</f>
        <v>151.35999999999999</v>
      </c>
      <c r="N1801" t="str">
        <f>IF(SalesData[[#This Row],[Profit]]&gt;0,"Profit","Loss")</f>
        <v>Profit</v>
      </c>
    </row>
    <row r="1802" spans="1:14" x14ac:dyDescent="0.3">
      <c r="A1802" t="s">
        <v>2248</v>
      </c>
      <c r="B1802" s="3">
        <v>42502</v>
      </c>
      <c r="C1802" t="s">
        <v>13</v>
      </c>
      <c r="D1802" t="s">
        <v>21</v>
      </c>
      <c r="E1802" t="s">
        <v>2249</v>
      </c>
      <c r="F1802" s="1">
        <v>407.976</v>
      </c>
      <c r="G1802">
        <v>3</v>
      </c>
      <c r="H1802" s="1">
        <v>132.59219999999999</v>
      </c>
      <c r="I1802" s="4">
        <f>SalesData[[#This Row],[Profit]]/SalesData[[#This Row],[Sales]]</f>
        <v>0.32499999999999996</v>
      </c>
      <c r="J1802">
        <f>YEAR(SalesData[[#This Row],[Order Date]])</f>
        <v>2016</v>
      </c>
      <c r="K1802" t="str">
        <f>TEXT(SalesData[[#This Row],[Order Date]],"mmm")</f>
        <v>May</v>
      </c>
      <c r="L1802">
        <f>MONTH(SalesData[[#This Row],[Order Date]])</f>
        <v>5</v>
      </c>
      <c r="M1802">
        <f>SalesData[[#This Row],[Sales]]/SalesData[[#This Row],[Quantity]]</f>
        <v>135.99199999999999</v>
      </c>
      <c r="N1802" t="str">
        <f>IF(SalesData[[#This Row],[Profit]]&gt;0,"Profit","Loss")</f>
        <v>Profit</v>
      </c>
    </row>
    <row r="1803" spans="1:14" x14ac:dyDescent="0.3">
      <c r="A1803" t="s">
        <v>2250</v>
      </c>
      <c r="B1803" s="3">
        <v>42502</v>
      </c>
      <c r="C1803" t="s">
        <v>9</v>
      </c>
      <c r="D1803" t="s">
        <v>10</v>
      </c>
      <c r="E1803" t="s">
        <v>598</v>
      </c>
      <c r="F1803" s="1">
        <v>384.45</v>
      </c>
      <c r="G1803">
        <v>11</v>
      </c>
      <c r="H1803" s="1">
        <v>103.8015</v>
      </c>
      <c r="I1803" s="4">
        <f>SalesData[[#This Row],[Profit]]/SalesData[[#This Row],[Sales]]</f>
        <v>0.27</v>
      </c>
      <c r="J1803">
        <f>YEAR(SalesData[[#This Row],[Order Date]])</f>
        <v>2016</v>
      </c>
      <c r="K1803" t="str">
        <f>TEXT(SalesData[[#This Row],[Order Date]],"mmm")</f>
        <v>May</v>
      </c>
      <c r="L1803">
        <f>MONTH(SalesData[[#This Row],[Order Date]])</f>
        <v>5</v>
      </c>
      <c r="M1803">
        <f>SalesData[[#This Row],[Sales]]/SalesData[[#This Row],[Quantity]]</f>
        <v>34.949999999999996</v>
      </c>
      <c r="N1803" t="str">
        <f>IF(SalesData[[#This Row],[Profit]]&gt;0,"Profit","Loss")</f>
        <v>Profit</v>
      </c>
    </row>
    <row r="1804" spans="1:14" x14ac:dyDescent="0.3">
      <c r="A1804" t="s">
        <v>2250</v>
      </c>
      <c r="B1804" s="3">
        <v>42502</v>
      </c>
      <c r="C1804" t="s">
        <v>9</v>
      </c>
      <c r="D1804" t="s">
        <v>10</v>
      </c>
      <c r="E1804" t="s">
        <v>2102</v>
      </c>
      <c r="F1804" s="1">
        <v>149.97</v>
      </c>
      <c r="G1804">
        <v>3</v>
      </c>
      <c r="H1804" s="1">
        <v>5.9988000000000001</v>
      </c>
      <c r="I1804" s="4">
        <f>SalesData[[#This Row],[Profit]]/SalesData[[#This Row],[Sales]]</f>
        <v>0.04</v>
      </c>
      <c r="J1804">
        <f>YEAR(SalesData[[#This Row],[Order Date]])</f>
        <v>2016</v>
      </c>
      <c r="K1804" t="str">
        <f>TEXT(SalesData[[#This Row],[Order Date]],"mmm")</f>
        <v>May</v>
      </c>
      <c r="L1804">
        <f>MONTH(SalesData[[#This Row],[Order Date]])</f>
        <v>5</v>
      </c>
      <c r="M1804">
        <f>SalesData[[#This Row],[Sales]]/SalesData[[#This Row],[Quantity]]</f>
        <v>49.99</v>
      </c>
      <c r="N1804" t="str">
        <f>IF(SalesData[[#This Row],[Profit]]&gt;0,"Profit","Loss")</f>
        <v>Profit</v>
      </c>
    </row>
    <row r="1805" spans="1:14" x14ac:dyDescent="0.3">
      <c r="A1805" t="s">
        <v>2250</v>
      </c>
      <c r="B1805" s="3">
        <v>42502</v>
      </c>
      <c r="C1805" t="s">
        <v>9</v>
      </c>
      <c r="D1805" t="s">
        <v>14</v>
      </c>
      <c r="E1805" t="s">
        <v>700</v>
      </c>
      <c r="F1805" s="1">
        <v>1951.84</v>
      </c>
      <c r="G1805">
        <v>8</v>
      </c>
      <c r="H1805" s="1">
        <v>585.55200000000002</v>
      </c>
      <c r="I1805" s="4">
        <f>SalesData[[#This Row],[Profit]]/SalesData[[#This Row],[Sales]]</f>
        <v>0.30000000000000004</v>
      </c>
      <c r="J1805">
        <f>YEAR(SalesData[[#This Row],[Order Date]])</f>
        <v>2016</v>
      </c>
      <c r="K1805" t="str">
        <f>TEXT(SalesData[[#This Row],[Order Date]],"mmm")</f>
        <v>May</v>
      </c>
      <c r="L1805">
        <f>MONTH(SalesData[[#This Row],[Order Date]])</f>
        <v>5</v>
      </c>
      <c r="M1805">
        <f>SalesData[[#This Row],[Sales]]/SalesData[[#This Row],[Quantity]]</f>
        <v>243.98</v>
      </c>
      <c r="N1805" t="str">
        <f>IF(SalesData[[#This Row],[Profit]]&gt;0,"Profit","Loss")</f>
        <v>Profit</v>
      </c>
    </row>
    <row r="1806" spans="1:14" x14ac:dyDescent="0.3">
      <c r="A1806" t="s">
        <v>2250</v>
      </c>
      <c r="B1806" s="3">
        <v>42502</v>
      </c>
      <c r="C1806" t="s">
        <v>9</v>
      </c>
      <c r="D1806" t="s">
        <v>21</v>
      </c>
      <c r="E1806" t="s">
        <v>1270</v>
      </c>
      <c r="F1806" s="1">
        <v>171.55</v>
      </c>
      <c r="G1806">
        <v>5</v>
      </c>
      <c r="H1806" s="1">
        <v>80.628500000000003</v>
      </c>
      <c r="I1806" s="4">
        <f>SalesData[[#This Row],[Profit]]/SalesData[[#This Row],[Sales]]</f>
        <v>0.47</v>
      </c>
      <c r="J1806">
        <f>YEAR(SalesData[[#This Row],[Order Date]])</f>
        <v>2016</v>
      </c>
      <c r="K1806" t="str">
        <f>TEXT(SalesData[[#This Row],[Order Date]],"mmm")</f>
        <v>May</v>
      </c>
      <c r="L1806">
        <f>MONTH(SalesData[[#This Row],[Order Date]])</f>
        <v>5</v>
      </c>
      <c r="M1806">
        <f>SalesData[[#This Row],[Sales]]/SalesData[[#This Row],[Quantity]]</f>
        <v>34.31</v>
      </c>
      <c r="N1806" t="str">
        <f>IF(SalesData[[#This Row],[Profit]]&gt;0,"Profit","Loss")</f>
        <v>Profit</v>
      </c>
    </row>
    <row r="1807" spans="1:14" x14ac:dyDescent="0.3">
      <c r="A1807" t="s">
        <v>2251</v>
      </c>
      <c r="B1807" s="3">
        <v>42502</v>
      </c>
      <c r="C1807" t="s">
        <v>46</v>
      </c>
      <c r="D1807" t="s">
        <v>14</v>
      </c>
      <c r="E1807" t="s">
        <v>1426</v>
      </c>
      <c r="F1807" s="1">
        <v>191.82</v>
      </c>
      <c r="G1807">
        <v>3</v>
      </c>
      <c r="H1807" s="1">
        <v>74.809799999999996</v>
      </c>
      <c r="I1807" s="4">
        <f>SalesData[[#This Row],[Profit]]/SalesData[[#This Row],[Sales]]</f>
        <v>0.39</v>
      </c>
      <c r="J1807">
        <f>YEAR(SalesData[[#This Row],[Order Date]])</f>
        <v>2016</v>
      </c>
      <c r="K1807" t="str">
        <f>TEXT(SalesData[[#This Row],[Order Date]],"mmm")</f>
        <v>May</v>
      </c>
      <c r="L1807">
        <f>MONTH(SalesData[[#This Row],[Order Date]])</f>
        <v>5</v>
      </c>
      <c r="M1807">
        <f>SalesData[[#This Row],[Sales]]/SalesData[[#This Row],[Quantity]]</f>
        <v>63.94</v>
      </c>
      <c r="N1807" t="str">
        <f>IF(SalesData[[#This Row],[Profit]]&gt;0,"Profit","Loss")</f>
        <v>Profit</v>
      </c>
    </row>
    <row r="1808" spans="1:14" x14ac:dyDescent="0.3">
      <c r="A1808" t="s">
        <v>2252</v>
      </c>
      <c r="B1808" s="3">
        <v>42502</v>
      </c>
      <c r="C1808" t="s">
        <v>17</v>
      </c>
      <c r="D1808" t="s">
        <v>21</v>
      </c>
      <c r="E1808" t="s">
        <v>1806</v>
      </c>
      <c r="F1808" s="1">
        <v>465.18</v>
      </c>
      <c r="G1808">
        <v>3</v>
      </c>
      <c r="H1808" s="1">
        <v>120.9468</v>
      </c>
      <c r="I1808" s="4">
        <f>SalesData[[#This Row],[Profit]]/SalesData[[#This Row],[Sales]]</f>
        <v>0.26</v>
      </c>
      <c r="J1808">
        <f>YEAR(SalesData[[#This Row],[Order Date]])</f>
        <v>2016</v>
      </c>
      <c r="K1808" t="str">
        <f>TEXT(SalesData[[#This Row],[Order Date]],"mmm")</f>
        <v>May</v>
      </c>
      <c r="L1808">
        <f>MONTH(SalesData[[#This Row],[Order Date]])</f>
        <v>5</v>
      </c>
      <c r="M1808">
        <f>SalesData[[#This Row],[Sales]]/SalesData[[#This Row],[Quantity]]</f>
        <v>155.06</v>
      </c>
      <c r="N1808" t="str">
        <f>IF(SalesData[[#This Row],[Profit]]&gt;0,"Profit","Loss")</f>
        <v>Profit</v>
      </c>
    </row>
    <row r="1809" spans="1:14" x14ac:dyDescent="0.3">
      <c r="A1809" t="s">
        <v>2253</v>
      </c>
      <c r="B1809" s="3">
        <v>42502</v>
      </c>
      <c r="C1809" t="s">
        <v>17</v>
      </c>
      <c r="D1809" t="s">
        <v>14</v>
      </c>
      <c r="E1809" t="s">
        <v>2254</v>
      </c>
      <c r="F1809" s="1">
        <v>81.94</v>
      </c>
      <c r="G1809">
        <v>1</v>
      </c>
      <c r="H1809" s="1">
        <v>20.484999999999999</v>
      </c>
      <c r="I1809" s="4">
        <f>SalesData[[#This Row],[Profit]]/SalesData[[#This Row],[Sales]]</f>
        <v>0.25</v>
      </c>
      <c r="J1809">
        <f>YEAR(SalesData[[#This Row],[Order Date]])</f>
        <v>2016</v>
      </c>
      <c r="K1809" t="str">
        <f>TEXT(SalesData[[#This Row],[Order Date]],"mmm")</f>
        <v>May</v>
      </c>
      <c r="L1809">
        <f>MONTH(SalesData[[#This Row],[Order Date]])</f>
        <v>5</v>
      </c>
      <c r="M1809">
        <f>SalesData[[#This Row],[Sales]]/SalesData[[#This Row],[Quantity]]</f>
        <v>81.94</v>
      </c>
      <c r="N1809" t="str">
        <f>IF(SalesData[[#This Row],[Profit]]&gt;0,"Profit","Loss")</f>
        <v>Profit</v>
      </c>
    </row>
    <row r="1810" spans="1:14" x14ac:dyDescent="0.3">
      <c r="A1810" t="s">
        <v>2255</v>
      </c>
      <c r="B1810" s="3">
        <v>42502</v>
      </c>
      <c r="C1810" t="s">
        <v>17</v>
      </c>
      <c r="D1810" t="s">
        <v>21</v>
      </c>
      <c r="E1810" t="s">
        <v>947</v>
      </c>
      <c r="F1810" s="1">
        <v>33.92</v>
      </c>
      <c r="G1810">
        <v>8</v>
      </c>
      <c r="H1810" s="1">
        <v>13.2288</v>
      </c>
      <c r="I1810" s="4">
        <f>SalesData[[#This Row],[Profit]]/SalesData[[#This Row],[Sales]]</f>
        <v>0.38999999999999996</v>
      </c>
      <c r="J1810">
        <f>YEAR(SalesData[[#This Row],[Order Date]])</f>
        <v>2016</v>
      </c>
      <c r="K1810" t="str">
        <f>TEXT(SalesData[[#This Row],[Order Date]],"mmm")</f>
        <v>May</v>
      </c>
      <c r="L1810">
        <f>MONTH(SalesData[[#This Row],[Order Date]])</f>
        <v>5</v>
      </c>
      <c r="M1810">
        <f>SalesData[[#This Row],[Sales]]/SalesData[[#This Row],[Quantity]]</f>
        <v>4.24</v>
      </c>
      <c r="N1810" t="str">
        <f>IF(SalesData[[#This Row],[Profit]]&gt;0,"Profit","Loss")</f>
        <v>Profit</v>
      </c>
    </row>
    <row r="1811" spans="1:14" x14ac:dyDescent="0.3">
      <c r="A1811" t="s">
        <v>2256</v>
      </c>
      <c r="B1811" s="3">
        <v>42502</v>
      </c>
      <c r="C1811" t="s">
        <v>46</v>
      </c>
      <c r="D1811" t="s">
        <v>10</v>
      </c>
      <c r="E1811" t="s">
        <v>948</v>
      </c>
      <c r="F1811" s="1">
        <v>699.98</v>
      </c>
      <c r="G1811">
        <v>2</v>
      </c>
      <c r="H1811" s="1">
        <v>195.99440000000001</v>
      </c>
      <c r="I1811" s="4">
        <f>SalesData[[#This Row],[Profit]]/SalesData[[#This Row],[Sales]]</f>
        <v>0.28000000000000003</v>
      </c>
      <c r="J1811">
        <f>YEAR(SalesData[[#This Row],[Order Date]])</f>
        <v>2016</v>
      </c>
      <c r="K1811" t="str">
        <f>TEXT(SalesData[[#This Row],[Order Date]],"mmm")</f>
        <v>May</v>
      </c>
      <c r="L1811">
        <f>MONTH(SalesData[[#This Row],[Order Date]])</f>
        <v>5</v>
      </c>
      <c r="M1811">
        <f>SalesData[[#This Row],[Sales]]/SalesData[[#This Row],[Quantity]]</f>
        <v>349.99</v>
      </c>
      <c r="N1811" t="str">
        <f>IF(SalesData[[#This Row],[Profit]]&gt;0,"Profit","Loss")</f>
        <v>Profit</v>
      </c>
    </row>
    <row r="1812" spans="1:14" x14ac:dyDescent="0.3">
      <c r="A1812" t="s">
        <v>2256</v>
      </c>
      <c r="B1812" s="3">
        <v>42502</v>
      </c>
      <c r="C1812" t="s">
        <v>46</v>
      </c>
      <c r="D1812" t="s">
        <v>21</v>
      </c>
      <c r="E1812" t="s">
        <v>2203</v>
      </c>
      <c r="F1812" s="1">
        <v>584.82000000000005</v>
      </c>
      <c r="G1812">
        <v>9</v>
      </c>
      <c r="H1812" s="1">
        <v>70.178399999999996</v>
      </c>
      <c r="I1812" s="4">
        <f>SalesData[[#This Row],[Profit]]/SalesData[[#This Row],[Sales]]</f>
        <v>0.11999999999999998</v>
      </c>
      <c r="J1812">
        <f>YEAR(SalesData[[#This Row],[Order Date]])</f>
        <v>2016</v>
      </c>
      <c r="K1812" t="str">
        <f>TEXT(SalesData[[#This Row],[Order Date]],"mmm")</f>
        <v>May</v>
      </c>
      <c r="L1812">
        <f>MONTH(SalesData[[#This Row],[Order Date]])</f>
        <v>5</v>
      </c>
      <c r="M1812">
        <f>SalesData[[#This Row],[Sales]]/SalesData[[#This Row],[Quantity]]</f>
        <v>64.98</v>
      </c>
      <c r="N1812" t="str">
        <f>IF(SalesData[[#This Row],[Profit]]&gt;0,"Profit","Loss")</f>
        <v>Profit</v>
      </c>
    </row>
    <row r="1813" spans="1:14" x14ac:dyDescent="0.3">
      <c r="A1813" t="s">
        <v>2257</v>
      </c>
      <c r="B1813" s="3">
        <v>42502</v>
      </c>
      <c r="C1813" t="s">
        <v>9</v>
      </c>
      <c r="D1813" t="s">
        <v>21</v>
      </c>
      <c r="E1813" t="s">
        <v>878</v>
      </c>
      <c r="F1813" s="1">
        <v>11.952</v>
      </c>
      <c r="G1813">
        <v>3</v>
      </c>
      <c r="H1813" s="1">
        <v>3.8843999999999999</v>
      </c>
      <c r="I1813" s="4">
        <f>SalesData[[#This Row],[Profit]]/SalesData[[#This Row],[Sales]]</f>
        <v>0.32500000000000001</v>
      </c>
      <c r="J1813">
        <f>YEAR(SalesData[[#This Row],[Order Date]])</f>
        <v>2016</v>
      </c>
      <c r="K1813" t="str">
        <f>TEXT(SalesData[[#This Row],[Order Date]],"mmm")</f>
        <v>May</v>
      </c>
      <c r="L1813">
        <f>MONTH(SalesData[[#This Row],[Order Date]])</f>
        <v>5</v>
      </c>
      <c r="M1813">
        <f>SalesData[[#This Row],[Sales]]/SalesData[[#This Row],[Quantity]]</f>
        <v>3.984</v>
      </c>
      <c r="N1813" t="str">
        <f>IF(SalesData[[#This Row],[Profit]]&gt;0,"Profit","Loss")</f>
        <v>Profit</v>
      </c>
    </row>
    <row r="1814" spans="1:14" x14ac:dyDescent="0.3">
      <c r="A1814" t="s">
        <v>2258</v>
      </c>
      <c r="B1814" s="3">
        <v>42502</v>
      </c>
      <c r="C1814" t="s">
        <v>9</v>
      </c>
      <c r="D1814" t="s">
        <v>21</v>
      </c>
      <c r="E1814" t="s">
        <v>1855</v>
      </c>
      <c r="F1814" s="1">
        <v>3.536</v>
      </c>
      <c r="G1814">
        <v>2</v>
      </c>
      <c r="H1814" s="1">
        <v>0.30940000000000001</v>
      </c>
      <c r="I1814" s="4">
        <f>SalesData[[#This Row],[Profit]]/SalesData[[#This Row],[Sales]]</f>
        <v>8.7500000000000008E-2</v>
      </c>
      <c r="J1814">
        <f>YEAR(SalesData[[#This Row],[Order Date]])</f>
        <v>2016</v>
      </c>
      <c r="K1814" t="str">
        <f>TEXT(SalesData[[#This Row],[Order Date]],"mmm")</f>
        <v>May</v>
      </c>
      <c r="L1814">
        <f>MONTH(SalesData[[#This Row],[Order Date]])</f>
        <v>5</v>
      </c>
      <c r="M1814">
        <f>SalesData[[#This Row],[Sales]]/SalesData[[#This Row],[Quantity]]</f>
        <v>1.768</v>
      </c>
      <c r="N1814" t="str">
        <f>IF(SalesData[[#This Row],[Profit]]&gt;0,"Profit","Loss")</f>
        <v>Profit</v>
      </c>
    </row>
    <row r="1815" spans="1:14" x14ac:dyDescent="0.3">
      <c r="A1815" t="s">
        <v>2259</v>
      </c>
      <c r="B1815" s="3">
        <v>42502</v>
      </c>
      <c r="C1815" t="s">
        <v>17</v>
      </c>
      <c r="D1815" t="s">
        <v>14</v>
      </c>
      <c r="E1815" t="s">
        <v>1276</v>
      </c>
      <c r="F1815" s="1">
        <v>13.4</v>
      </c>
      <c r="G1815">
        <v>1</v>
      </c>
      <c r="H1815" s="1">
        <v>6.4320000000000004</v>
      </c>
      <c r="I1815" s="4">
        <f>SalesData[[#This Row],[Profit]]/SalesData[[#This Row],[Sales]]</f>
        <v>0.48000000000000004</v>
      </c>
      <c r="J1815">
        <f>YEAR(SalesData[[#This Row],[Order Date]])</f>
        <v>2016</v>
      </c>
      <c r="K1815" t="str">
        <f>TEXT(SalesData[[#This Row],[Order Date]],"mmm")</f>
        <v>May</v>
      </c>
      <c r="L1815">
        <f>MONTH(SalesData[[#This Row],[Order Date]])</f>
        <v>5</v>
      </c>
      <c r="M1815">
        <f>SalesData[[#This Row],[Sales]]/SalesData[[#This Row],[Quantity]]</f>
        <v>13.4</v>
      </c>
      <c r="N1815" t="str">
        <f>IF(SalesData[[#This Row],[Profit]]&gt;0,"Profit","Loss")</f>
        <v>Profit</v>
      </c>
    </row>
    <row r="1816" spans="1:14" x14ac:dyDescent="0.3">
      <c r="A1816" t="s">
        <v>2259</v>
      </c>
      <c r="B1816" s="3">
        <v>42502</v>
      </c>
      <c r="C1816" t="s">
        <v>17</v>
      </c>
      <c r="D1816" t="s">
        <v>21</v>
      </c>
      <c r="E1816" t="s">
        <v>94</v>
      </c>
      <c r="F1816" s="1">
        <v>4.9800000000000004</v>
      </c>
      <c r="G1816">
        <v>1</v>
      </c>
      <c r="H1816" s="1">
        <v>2.3405999999999998</v>
      </c>
      <c r="I1816" s="4">
        <f>SalesData[[#This Row],[Profit]]/SalesData[[#This Row],[Sales]]</f>
        <v>0.46999999999999992</v>
      </c>
      <c r="J1816">
        <f>YEAR(SalesData[[#This Row],[Order Date]])</f>
        <v>2016</v>
      </c>
      <c r="K1816" t="str">
        <f>TEXT(SalesData[[#This Row],[Order Date]],"mmm")</f>
        <v>May</v>
      </c>
      <c r="L1816">
        <f>MONTH(SalesData[[#This Row],[Order Date]])</f>
        <v>5</v>
      </c>
      <c r="M1816">
        <f>SalesData[[#This Row],[Sales]]/SalesData[[#This Row],[Quantity]]</f>
        <v>4.9800000000000004</v>
      </c>
      <c r="N1816" t="str">
        <f>IF(SalesData[[#This Row],[Profit]]&gt;0,"Profit","Loss")</f>
        <v>Profit</v>
      </c>
    </row>
    <row r="1817" spans="1:14" x14ac:dyDescent="0.3">
      <c r="A1817" t="s">
        <v>2259</v>
      </c>
      <c r="B1817" s="3">
        <v>42502</v>
      </c>
      <c r="C1817" t="s">
        <v>17</v>
      </c>
      <c r="D1817" t="s">
        <v>21</v>
      </c>
      <c r="E1817" t="s">
        <v>2260</v>
      </c>
      <c r="F1817" s="1">
        <v>109.69</v>
      </c>
      <c r="G1817">
        <v>7</v>
      </c>
      <c r="H1817" s="1">
        <v>51.554299999999998</v>
      </c>
      <c r="I1817" s="4">
        <f>SalesData[[#This Row],[Profit]]/SalesData[[#This Row],[Sales]]</f>
        <v>0.47</v>
      </c>
      <c r="J1817">
        <f>YEAR(SalesData[[#This Row],[Order Date]])</f>
        <v>2016</v>
      </c>
      <c r="K1817" t="str">
        <f>TEXT(SalesData[[#This Row],[Order Date]],"mmm")</f>
        <v>May</v>
      </c>
      <c r="L1817">
        <f>MONTH(SalesData[[#This Row],[Order Date]])</f>
        <v>5</v>
      </c>
      <c r="M1817">
        <f>SalesData[[#This Row],[Sales]]/SalesData[[#This Row],[Quantity]]</f>
        <v>15.67</v>
      </c>
      <c r="N1817" t="str">
        <f>IF(SalesData[[#This Row],[Profit]]&gt;0,"Profit","Loss")</f>
        <v>Profit</v>
      </c>
    </row>
    <row r="1818" spans="1:14" x14ac:dyDescent="0.3">
      <c r="A1818" t="s">
        <v>2261</v>
      </c>
      <c r="B1818" s="3">
        <v>42523</v>
      </c>
      <c r="C1818" t="s">
        <v>46</v>
      </c>
      <c r="D1818" t="s">
        <v>14</v>
      </c>
      <c r="E1818" t="s">
        <v>906</v>
      </c>
      <c r="F1818" s="1">
        <v>132.22399999999999</v>
      </c>
      <c r="G1818">
        <v>4</v>
      </c>
      <c r="H1818" s="1">
        <v>-18.180800000000001</v>
      </c>
      <c r="I1818" s="4">
        <f>SalesData[[#This Row],[Profit]]/SalesData[[#This Row],[Sales]]</f>
        <v>-0.13750000000000001</v>
      </c>
      <c r="J1818">
        <f>YEAR(SalesData[[#This Row],[Order Date]])</f>
        <v>2016</v>
      </c>
      <c r="K1818" t="str">
        <f>TEXT(SalesData[[#This Row],[Order Date]],"mmm")</f>
        <v>Jun</v>
      </c>
      <c r="L1818">
        <f>MONTH(SalesData[[#This Row],[Order Date]])</f>
        <v>6</v>
      </c>
      <c r="M1818">
        <f>SalesData[[#This Row],[Sales]]/SalesData[[#This Row],[Quantity]]</f>
        <v>33.055999999999997</v>
      </c>
      <c r="N1818" t="str">
        <f>IF(SalesData[[#This Row],[Profit]]&gt;0,"Profit","Loss")</f>
        <v>Loss</v>
      </c>
    </row>
    <row r="1819" spans="1:14" x14ac:dyDescent="0.3">
      <c r="A1819" t="s">
        <v>2262</v>
      </c>
      <c r="B1819" s="3">
        <v>42524</v>
      </c>
      <c r="C1819" t="s">
        <v>17</v>
      </c>
      <c r="D1819" t="s">
        <v>10</v>
      </c>
      <c r="E1819" t="s">
        <v>55</v>
      </c>
      <c r="F1819" s="1">
        <v>431.94</v>
      </c>
      <c r="G1819">
        <v>2</v>
      </c>
      <c r="H1819" s="1">
        <v>-71.989999999999995</v>
      </c>
      <c r="I1819" s="4">
        <f>SalesData[[#This Row],[Profit]]/SalesData[[#This Row],[Sales]]</f>
        <v>-0.16666666666666666</v>
      </c>
      <c r="J1819">
        <f>YEAR(SalesData[[#This Row],[Order Date]])</f>
        <v>2016</v>
      </c>
      <c r="K1819" t="str">
        <f>TEXT(SalesData[[#This Row],[Order Date]],"mmm")</f>
        <v>Jun</v>
      </c>
      <c r="L1819">
        <f>MONTH(SalesData[[#This Row],[Order Date]])</f>
        <v>6</v>
      </c>
      <c r="M1819">
        <f>SalesData[[#This Row],[Sales]]/SalesData[[#This Row],[Quantity]]</f>
        <v>215.97</v>
      </c>
      <c r="N1819" t="str">
        <f>IF(SalesData[[#This Row],[Profit]]&gt;0,"Profit","Loss")</f>
        <v>Loss</v>
      </c>
    </row>
    <row r="1820" spans="1:14" x14ac:dyDescent="0.3">
      <c r="A1820" t="s">
        <v>2262</v>
      </c>
      <c r="B1820" s="3">
        <v>42524</v>
      </c>
      <c r="C1820" t="s">
        <v>17</v>
      </c>
      <c r="D1820" t="s">
        <v>21</v>
      </c>
      <c r="E1820" t="s">
        <v>290</v>
      </c>
      <c r="F1820" s="1">
        <v>2.0430000000000001</v>
      </c>
      <c r="G1820">
        <v>1</v>
      </c>
      <c r="H1820" s="1">
        <v>-1.4982</v>
      </c>
      <c r="I1820" s="4">
        <f>SalesData[[#This Row],[Profit]]/SalesData[[#This Row],[Sales]]</f>
        <v>-0.73333333333333328</v>
      </c>
      <c r="J1820">
        <f>YEAR(SalesData[[#This Row],[Order Date]])</f>
        <v>2016</v>
      </c>
      <c r="K1820" t="str">
        <f>TEXT(SalesData[[#This Row],[Order Date]],"mmm")</f>
        <v>Jun</v>
      </c>
      <c r="L1820">
        <f>MONTH(SalesData[[#This Row],[Order Date]])</f>
        <v>6</v>
      </c>
      <c r="M1820">
        <f>SalesData[[#This Row],[Sales]]/SalesData[[#This Row],[Quantity]]</f>
        <v>2.0430000000000001</v>
      </c>
      <c r="N1820" t="str">
        <f>IF(SalesData[[#This Row],[Profit]]&gt;0,"Profit","Loss")</f>
        <v>Loss</v>
      </c>
    </row>
    <row r="1821" spans="1:14" x14ac:dyDescent="0.3">
      <c r="A1821" t="s">
        <v>2262</v>
      </c>
      <c r="B1821" s="3">
        <v>42524</v>
      </c>
      <c r="C1821" t="s">
        <v>17</v>
      </c>
      <c r="D1821" t="s">
        <v>10</v>
      </c>
      <c r="E1821" t="s">
        <v>2263</v>
      </c>
      <c r="F1821" s="1">
        <v>68.238</v>
      </c>
      <c r="G1821">
        <v>3</v>
      </c>
      <c r="H1821" s="1">
        <v>-12.510300000000001</v>
      </c>
      <c r="I1821" s="4">
        <f>SalesData[[#This Row],[Profit]]/SalesData[[#This Row],[Sales]]</f>
        <v>-0.18333333333333335</v>
      </c>
      <c r="J1821">
        <f>YEAR(SalesData[[#This Row],[Order Date]])</f>
        <v>2016</v>
      </c>
      <c r="K1821" t="str">
        <f>TEXT(SalesData[[#This Row],[Order Date]],"mmm")</f>
        <v>Jun</v>
      </c>
      <c r="L1821">
        <f>MONTH(SalesData[[#This Row],[Order Date]])</f>
        <v>6</v>
      </c>
      <c r="M1821">
        <f>SalesData[[#This Row],[Sales]]/SalesData[[#This Row],[Quantity]]</f>
        <v>22.745999999999999</v>
      </c>
      <c r="N1821" t="str">
        <f>IF(SalesData[[#This Row],[Profit]]&gt;0,"Profit","Loss")</f>
        <v>Loss</v>
      </c>
    </row>
    <row r="1822" spans="1:14" x14ac:dyDescent="0.3">
      <c r="A1822" t="s">
        <v>2264</v>
      </c>
      <c r="B1822" s="3">
        <v>42524</v>
      </c>
      <c r="C1822" t="s">
        <v>9</v>
      </c>
      <c r="D1822" t="s">
        <v>21</v>
      </c>
      <c r="E1822" t="s">
        <v>338</v>
      </c>
      <c r="F1822" s="1">
        <v>2.3340000000000001</v>
      </c>
      <c r="G1822">
        <v>3</v>
      </c>
      <c r="H1822" s="1">
        <v>-6.3018000000000001</v>
      </c>
      <c r="I1822" s="4">
        <f>SalesData[[#This Row],[Profit]]/SalesData[[#This Row],[Sales]]</f>
        <v>-2.6999999999999997</v>
      </c>
      <c r="J1822">
        <f>YEAR(SalesData[[#This Row],[Order Date]])</f>
        <v>2016</v>
      </c>
      <c r="K1822" t="str">
        <f>TEXT(SalesData[[#This Row],[Order Date]],"mmm")</f>
        <v>Jun</v>
      </c>
      <c r="L1822">
        <f>MONTH(SalesData[[#This Row],[Order Date]])</f>
        <v>6</v>
      </c>
      <c r="M1822">
        <f>SalesData[[#This Row],[Sales]]/SalesData[[#This Row],[Quantity]]</f>
        <v>0.77800000000000002</v>
      </c>
      <c r="N1822" t="str">
        <f>IF(SalesData[[#This Row],[Profit]]&gt;0,"Profit","Loss")</f>
        <v>Loss</v>
      </c>
    </row>
    <row r="1823" spans="1:14" x14ac:dyDescent="0.3">
      <c r="A1823" t="s">
        <v>2264</v>
      </c>
      <c r="B1823" s="3">
        <v>42524</v>
      </c>
      <c r="C1823" t="s">
        <v>9</v>
      </c>
      <c r="D1823" t="s">
        <v>21</v>
      </c>
      <c r="E1823" t="s">
        <v>2158</v>
      </c>
      <c r="F1823" s="1">
        <v>1.728</v>
      </c>
      <c r="G1823">
        <v>4</v>
      </c>
      <c r="H1823" s="1">
        <v>-2.7648000000000001</v>
      </c>
      <c r="I1823" s="4">
        <f>SalesData[[#This Row],[Profit]]/SalesData[[#This Row],[Sales]]</f>
        <v>-1.6</v>
      </c>
      <c r="J1823">
        <f>YEAR(SalesData[[#This Row],[Order Date]])</f>
        <v>2016</v>
      </c>
      <c r="K1823" t="str">
        <f>TEXT(SalesData[[#This Row],[Order Date]],"mmm")</f>
        <v>Jun</v>
      </c>
      <c r="L1823">
        <f>MONTH(SalesData[[#This Row],[Order Date]])</f>
        <v>6</v>
      </c>
      <c r="M1823">
        <f>SalesData[[#This Row],[Sales]]/SalesData[[#This Row],[Quantity]]</f>
        <v>0.432</v>
      </c>
      <c r="N1823" t="str">
        <f>IF(SalesData[[#This Row],[Profit]]&gt;0,"Profit","Loss")</f>
        <v>Loss</v>
      </c>
    </row>
    <row r="1824" spans="1:14" x14ac:dyDescent="0.3">
      <c r="A1824" t="s">
        <v>2264</v>
      </c>
      <c r="B1824" s="3">
        <v>42524</v>
      </c>
      <c r="C1824" t="s">
        <v>9</v>
      </c>
      <c r="D1824" t="s">
        <v>14</v>
      </c>
      <c r="E1824" t="s">
        <v>2265</v>
      </c>
      <c r="F1824" s="1">
        <v>159.04</v>
      </c>
      <c r="G1824">
        <v>5</v>
      </c>
      <c r="H1824" s="1">
        <v>-194.82400000000001</v>
      </c>
      <c r="I1824" s="4">
        <f>SalesData[[#This Row],[Profit]]/SalesData[[#This Row],[Sales]]</f>
        <v>-1.2250000000000001</v>
      </c>
      <c r="J1824">
        <f>YEAR(SalesData[[#This Row],[Order Date]])</f>
        <v>2016</v>
      </c>
      <c r="K1824" t="str">
        <f>TEXT(SalesData[[#This Row],[Order Date]],"mmm")</f>
        <v>Jun</v>
      </c>
      <c r="L1824">
        <f>MONTH(SalesData[[#This Row],[Order Date]])</f>
        <v>6</v>
      </c>
      <c r="M1824">
        <f>SalesData[[#This Row],[Sales]]/SalesData[[#This Row],[Quantity]]</f>
        <v>31.808</v>
      </c>
      <c r="N1824" t="str">
        <f>IF(SalesData[[#This Row],[Profit]]&gt;0,"Profit","Loss")</f>
        <v>Loss</v>
      </c>
    </row>
    <row r="1825" spans="1:14" x14ac:dyDescent="0.3">
      <c r="A1825" t="s">
        <v>2264</v>
      </c>
      <c r="B1825" s="3">
        <v>42524</v>
      </c>
      <c r="C1825" t="s">
        <v>9</v>
      </c>
      <c r="D1825" t="s">
        <v>14</v>
      </c>
      <c r="E1825" t="s">
        <v>1798</v>
      </c>
      <c r="F1825" s="1">
        <v>145.97999999999999</v>
      </c>
      <c r="G1825">
        <v>2</v>
      </c>
      <c r="H1825" s="1">
        <v>-99.266400000000004</v>
      </c>
      <c r="I1825" s="4">
        <f>SalesData[[#This Row],[Profit]]/SalesData[[#This Row],[Sales]]</f>
        <v>-0.68</v>
      </c>
      <c r="J1825">
        <f>YEAR(SalesData[[#This Row],[Order Date]])</f>
        <v>2016</v>
      </c>
      <c r="K1825" t="str">
        <f>TEXT(SalesData[[#This Row],[Order Date]],"mmm")</f>
        <v>Jun</v>
      </c>
      <c r="L1825">
        <f>MONTH(SalesData[[#This Row],[Order Date]])</f>
        <v>6</v>
      </c>
      <c r="M1825">
        <f>SalesData[[#This Row],[Sales]]/SalesData[[#This Row],[Quantity]]</f>
        <v>72.989999999999995</v>
      </c>
      <c r="N1825" t="str">
        <f>IF(SalesData[[#This Row],[Profit]]&gt;0,"Profit","Loss")</f>
        <v>Loss</v>
      </c>
    </row>
    <row r="1826" spans="1:14" x14ac:dyDescent="0.3">
      <c r="A1826" t="s">
        <v>2266</v>
      </c>
      <c r="B1826" s="3">
        <v>42525</v>
      </c>
      <c r="C1826" t="s">
        <v>17</v>
      </c>
      <c r="D1826" t="s">
        <v>10</v>
      </c>
      <c r="E1826" t="s">
        <v>2267</v>
      </c>
      <c r="F1826" s="1">
        <v>1294.75</v>
      </c>
      <c r="G1826">
        <v>5</v>
      </c>
      <c r="H1826" s="1">
        <v>336.63499999999999</v>
      </c>
      <c r="I1826" s="4">
        <f>SalesData[[#This Row],[Profit]]/SalesData[[#This Row],[Sales]]</f>
        <v>0.26</v>
      </c>
      <c r="J1826">
        <f>YEAR(SalesData[[#This Row],[Order Date]])</f>
        <v>2016</v>
      </c>
      <c r="K1826" t="str">
        <f>TEXT(SalesData[[#This Row],[Order Date]],"mmm")</f>
        <v>Jun</v>
      </c>
      <c r="L1826">
        <f>MONTH(SalesData[[#This Row],[Order Date]])</f>
        <v>6</v>
      </c>
      <c r="M1826">
        <f>SalesData[[#This Row],[Sales]]/SalesData[[#This Row],[Quantity]]</f>
        <v>258.95</v>
      </c>
      <c r="N1826" t="str">
        <f>IF(SalesData[[#This Row],[Profit]]&gt;0,"Profit","Loss")</f>
        <v>Profit</v>
      </c>
    </row>
    <row r="1827" spans="1:14" x14ac:dyDescent="0.3">
      <c r="A1827" t="s">
        <v>2268</v>
      </c>
      <c r="B1827" s="3">
        <v>42526</v>
      </c>
      <c r="C1827" t="s">
        <v>17</v>
      </c>
      <c r="D1827" t="s">
        <v>21</v>
      </c>
      <c r="E1827" t="s">
        <v>2269</v>
      </c>
      <c r="F1827" s="1">
        <v>7.2160000000000002</v>
      </c>
      <c r="G1827">
        <v>2</v>
      </c>
      <c r="H1827" s="1">
        <v>1.7138</v>
      </c>
      <c r="I1827" s="4">
        <f>SalesData[[#This Row],[Profit]]/SalesData[[#This Row],[Sales]]</f>
        <v>0.23749999999999999</v>
      </c>
      <c r="J1827">
        <f>YEAR(SalesData[[#This Row],[Order Date]])</f>
        <v>2016</v>
      </c>
      <c r="K1827" t="str">
        <f>TEXT(SalesData[[#This Row],[Order Date]],"mmm")</f>
        <v>Jun</v>
      </c>
      <c r="L1827">
        <f>MONTH(SalesData[[#This Row],[Order Date]])</f>
        <v>6</v>
      </c>
      <c r="M1827">
        <f>SalesData[[#This Row],[Sales]]/SalesData[[#This Row],[Quantity]]</f>
        <v>3.6080000000000001</v>
      </c>
      <c r="N1827" t="str">
        <f>IF(SalesData[[#This Row],[Profit]]&gt;0,"Profit","Loss")</f>
        <v>Profit</v>
      </c>
    </row>
    <row r="1828" spans="1:14" x14ac:dyDescent="0.3">
      <c r="A1828" t="s">
        <v>2268</v>
      </c>
      <c r="B1828" s="3">
        <v>42526</v>
      </c>
      <c r="C1828" t="s">
        <v>17</v>
      </c>
      <c r="D1828" t="s">
        <v>21</v>
      </c>
      <c r="E1828" t="s">
        <v>1560</v>
      </c>
      <c r="F1828" s="1">
        <v>49.567999999999998</v>
      </c>
      <c r="G1828">
        <v>2</v>
      </c>
      <c r="H1828" s="1">
        <v>15.49</v>
      </c>
      <c r="I1828" s="4">
        <f>SalesData[[#This Row],[Profit]]/SalesData[[#This Row],[Sales]]</f>
        <v>0.3125</v>
      </c>
      <c r="J1828">
        <f>YEAR(SalesData[[#This Row],[Order Date]])</f>
        <v>2016</v>
      </c>
      <c r="K1828" t="str">
        <f>TEXT(SalesData[[#This Row],[Order Date]],"mmm")</f>
        <v>Jun</v>
      </c>
      <c r="L1828">
        <f>MONTH(SalesData[[#This Row],[Order Date]])</f>
        <v>6</v>
      </c>
      <c r="M1828">
        <f>SalesData[[#This Row],[Sales]]/SalesData[[#This Row],[Quantity]]</f>
        <v>24.783999999999999</v>
      </c>
      <c r="N1828" t="str">
        <f>IF(SalesData[[#This Row],[Profit]]&gt;0,"Profit","Loss")</f>
        <v>Profit</v>
      </c>
    </row>
    <row r="1829" spans="1:14" x14ac:dyDescent="0.3">
      <c r="A1829" t="s">
        <v>2268</v>
      </c>
      <c r="B1829" s="3">
        <v>42526</v>
      </c>
      <c r="C1829" t="s">
        <v>17</v>
      </c>
      <c r="D1829" t="s">
        <v>14</v>
      </c>
      <c r="E1829" t="s">
        <v>2270</v>
      </c>
      <c r="F1829" s="1">
        <v>54.712000000000003</v>
      </c>
      <c r="G1829">
        <v>7</v>
      </c>
      <c r="H1829" s="1">
        <v>11.626300000000001</v>
      </c>
      <c r="I1829" s="4">
        <f>SalesData[[#This Row],[Profit]]/SalesData[[#This Row],[Sales]]</f>
        <v>0.21249999999999999</v>
      </c>
      <c r="J1829">
        <f>YEAR(SalesData[[#This Row],[Order Date]])</f>
        <v>2016</v>
      </c>
      <c r="K1829" t="str">
        <f>TEXT(SalesData[[#This Row],[Order Date]],"mmm")</f>
        <v>Jun</v>
      </c>
      <c r="L1829">
        <f>MONTH(SalesData[[#This Row],[Order Date]])</f>
        <v>6</v>
      </c>
      <c r="M1829">
        <f>SalesData[[#This Row],[Sales]]/SalesData[[#This Row],[Quantity]]</f>
        <v>7.8160000000000007</v>
      </c>
      <c r="N1829" t="str">
        <f>IF(SalesData[[#This Row],[Profit]]&gt;0,"Profit","Loss")</f>
        <v>Profit</v>
      </c>
    </row>
    <row r="1830" spans="1:14" x14ac:dyDescent="0.3">
      <c r="A1830" t="s">
        <v>2271</v>
      </c>
      <c r="B1830" s="3">
        <v>42526</v>
      </c>
      <c r="C1830" t="s">
        <v>9</v>
      </c>
      <c r="D1830" t="s">
        <v>21</v>
      </c>
      <c r="E1830" t="s">
        <v>1382</v>
      </c>
      <c r="F1830" s="1">
        <v>3.2080000000000002</v>
      </c>
      <c r="G1830">
        <v>2</v>
      </c>
      <c r="H1830" s="1">
        <v>-5.2931999999999997</v>
      </c>
      <c r="I1830" s="4">
        <f>SalesData[[#This Row],[Profit]]/SalesData[[#This Row],[Sales]]</f>
        <v>-1.65</v>
      </c>
      <c r="J1830">
        <f>YEAR(SalesData[[#This Row],[Order Date]])</f>
        <v>2016</v>
      </c>
      <c r="K1830" t="str">
        <f>TEXT(SalesData[[#This Row],[Order Date]],"mmm")</f>
        <v>Jun</v>
      </c>
      <c r="L1830">
        <f>MONTH(SalesData[[#This Row],[Order Date]])</f>
        <v>6</v>
      </c>
      <c r="M1830">
        <f>SalesData[[#This Row],[Sales]]/SalesData[[#This Row],[Quantity]]</f>
        <v>1.6040000000000001</v>
      </c>
      <c r="N1830" t="str">
        <f>IF(SalesData[[#This Row],[Profit]]&gt;0,"Profit","Loss")</f>
        <v>Loss</v>
      </c>
    </row>
    <row r="1831" spans="1:14" x14ac:dyDescent="0.3">
      <c r="A1831" t="s">
        <v>2271</v>
      </c>
      <c r="B1831" s="3">
        <v>42526</v>
      </c>
      <c r="C1831" t="s">
        <v>9</v>
      </c>
      <c r="D1831" t="s">
        <v>10</v>
      </c>
      <c r="E1831" t="s">
        <v>435</v>
      </c>
      <c r="F1831" s="1">
        <v>26.175999999999998</v>
      </c>
      <c r="G1831">
        <v>2</v>
      </c>
      <c r="H1831" s="1">
        <v>-3.2719999999999998</v>
      </c>
      <c r="I1831" s="4">
        <f>SalesData[[#This Row],[Profit]]/SalesData[[#This Row],[Sales]]</f>
        <v>-0.125</v>
      </c>
      <c r="J1831">
        <f>YEAR(SalesData[[#This Row],[Order Date]])</f>
        <v>2016</v>
      </c>
      <c r="K1831" t="str">
        <f>TEXT(SalesData[[#This Row],[Order Date]],"mmm")</f>
        <v>Jun</v>
      </c>
      <c r="L1831">
        <f>MONTH(SalesData[[#This Row],[Order Date]])</f>
        <v>6</v>
      </c>
      <c r="M1831">
        <f>SalesData[[#This Row],[Sales]]/SalesData[[#This Row],[Quantity]]</f>
        <v>13.087999999999999</v>
      </c>
      <c r="N1831" t="str">
        <f>IF(SalesData[[#This Row],[Profit]]&gt;0,"Profit","Loss")</f>
        <v>Loss</v>
      </c>
    </row>
    <row r="1832" spans="1:14" x14ac:dyDescent="0.3">
      <c r="A1832" t="s">
        <v>2272</v>
      </c>
      <c r="B1832" s="3">
        <v>42526</v>
      </c>
      <c r="C1832" t="s">
        <v>9</v>
      </c>
      <c r="D1832" t="s">
        <v>21</v>
      </c>
      <c r="E1832" t="s">
        <v>1609</v>
      </c>
      <c r="F1832" s="1">
        <v>54.48</v>
      </c>
      <c r="G1832">
        <v>1</v>
      </c>
      <c r="H1832" s="1">
        <v>15.2544</v>
      </c>
      <c r="I1832" s="4">
        <f>SalesData[[#This Row],[Profit]]/SalesData[[#This Row],[Sales]]</f>
        <v>0.28000000000000003</v>
      </c>
      <c r="J1832">
        <f>YEAR(SalesData[[#This Row],[Order Date]])</f>
        <v>2016</v>
      </c>
      <c r="K1832" t="str">
        <f>TEXT(SalesData[[#This Row],[Order Date]],"mmm")</f>
        <v>Jun</v>
      </c>
      <c r="L1832">
        <f>MONTH(SalesData[[#This Row],[Order Date]])</f>
        <v>6</v>
      </c>
      <c r="M1832">
        <f>SalesData[[#This Row],[Sales]]/SalesData[[#This Row],[Quantity]]</f>
        <v>54.48</v>
      </c>
      <c r="N1832" t="str">
        <f>IF(SalesData[[#This Row],[Profit]]&gt;0,"Profit","Loss")</f>
        <v>Profit</v>
      </c>
    </row>
    <row r="1833" spans="1:14" x14ac:dyDescent="0.3">
      <c r="A1833" t="s">
        <v>2273</v>
      </c>
      <c r="B1833" s="3">
        <v>42526</v>
      </c>
      <c r="C1833" t="s">
        <v>13</v>
      </c>
      <c r="D1833" t="s">
        <v>14</v>
      </c>
      <c r="E1833" t="s">
        <v>2274</v>
      </c>
      <c r="F1833" s="1">
        <v>41.6</v>
      </c>
      <c r="G1833">
        <v>4</v>
      </c>
      <c r="H1833" s="1">
        <v>14.144</v>
      </c>
      <c r="I1833" s="4">
        <f>SalesData[[#This Row],[Profit]]/SalesData[[#This Row],[Sales]]</f>
        <v>0.33999999999999997</v>
      </c>
      <c r="J1833">
        <f>YEAR(SalesData[[#This Row],[Order Date]])</f>
        <v>2016</v>
      </c>
      <c r="K1833" t="str">
        <f>TEXT(SalesData[[#This Row],[Order Date]],"mmm")</f>
        <v>Jun</v>
      </c>
      <c r="L1833">
        <f>MONTH(SalesData[[#This Row],[Order Date]])</f>
        <v>6</v>
      </c>
      <c r="M1833">
        <f>SalesData[[#This Row],[Sales]]/SalesData[[#This Row],[Quantity]]</f>
        <v>10.4</v>
      </c>
      <c r="N1833" t="str">
        <f>IF(SalesData[[#This Row],[Profit]]&gt;0,"Profit","Loss")</f>
        <v>Profit</v>
      </c>
    </row>
    <row r="1834" spans="1:14" x14ac:dyDescent="0.3">
      <c r="A1834" t="s">
        <v>2275</v>
      </c>
      <c r="B1834" s="3">
        <v>42527</v>
      </c>
      <c r="C1834" t="s">
        <v>9</v>
      </c>
      <c r="D1834" t="s">
        <v>10</v>
      </c>
      <c r="E1834" t="s">
        <v>2186</v>
      </c>
      <c r="F1834" s="1">
        <v>328.22399999999999</v>
      </c>
      <c r="G1834">
        <v>4</v>
      </c>
      <c r="H1834" s="1">
        <v>28.7196</v>
      </c>
      <c r="I1834" s="4">
        <f>SalesData[[#This Row],[Profit]]/SalesData[[#This Row],[Sales]]</f>
        <v>8.7500000000000008E-2</v>
      </c>
      <c r="J1834">
        <f>YEAR(SalesData[[#This Row],[Order Date]])</f>
        <v>2016</v>
      </c>
      <c r="K1834" t="str">
        <f>TEXT(SalesData[[#This Row],[Order Date]],"mmm")</f>
        <v>Jun</v>
      </c>
      <c r="L1834">
        <f>MONTH(SalesData[[#This Row],[Order Date]])</f>
        <v>6</v>
      </c>
      <c r="M1834">
        <f>SalesData[[#This Row],[Sales]]/SalesData[[#This Row],[Quantity]]</f>
        <v>82.055999999999997</v>
      </c>
      <c r="N1834" t="str">
        <f>IF(SalesData[[#This Row],[Profit]]&gt;0,"Profit","Loss")</f>
        <v>Profit</v>
      </c>
    </row>
    <row r="1835" spans="1:14" x14ac:dyDescent="0.3">
      <c r="A1835" t="s">
        <v>2276</v>
      </c>
      <c r="B1835" s="3">
        <v>42527</v>
      </c>
      <c r="C1835" t="s">
        <v>17</v>
      </c>
      <c r="D1835" t="s">
        <v>21</v>
      </c>
      <c r="E1835" t="s">
        <v>1724</v>
      </c>
      <c r="F1835" s="1">
        <v>714.3</v>
      </c>
      <c r="G1835">
        <v>5</v>
      </c>
      <c r="H1835" s="1">
        <v>207.14699999999999</v>
      </c>
      <c r="I1835" s="4">
        <f>SalesData[[#This Row],[Profit]]/SalesData[[#This Row],[Sales]]</f>
        <v>0.28999999999999998</v>
      </c>
      <c r="J1835">
        <f>YEAR(SalesData[[#This Row],[Order Date]])</f>
        <v>2016</v>
      </c>
      <c r="K1835" t="str">
        <f>TEXT(SalesData[[#This Row],[Order Date]],"mmm")</f>
        <v>Jun</v>
      </c>
      <c r="L1835">
        <f>MONTH(SalesData[[#This Row],[Order Date]])</f>
        <v>6</v>
      </c>
      <c r="M1835">
        <f>SalesData[[#This Row],[Sales]]/SalesData[[#This Row],[Quantity]]</f>
        <v>142.85999999999999</v>
      </c>
      <c r="N1835" t="str">
        <f>IF(SalesData[[#This Row],[Profit]]&gt;0,"Profit","Loss")</f>
        <v>Profit</v>
      </c>
    </row>
    <row r="1836" spans="1:14" x14ac:dyDescent="0.3">
      <c r="A1836" t="s">
        <v>2277</v>
      </c>
      <c r="B1836" s="3">
        <v>42527</v>
      </c>
      <c r="C1836" t="s">
        <v>17</v>
      </c>
      <c r="D1836" t="s">
        <v>21</v>
      </c>
      <c r="E1836" t="s">
        <v>1265</v>
      </c>
      <c r="F1836" s="1">
        <v>105.52</v>
      </c>
      <c r="G1836">
        <v>4</v>
      </c>
      <c r="H1836" s="1">
        <v>48.539200000000001</v>
      </c>
      <c r="I1836" s="4">
        <f>SalesData[[#This Row],[Profit]]/SalesData[[#This Row],[Sales]]</f>
        <v>0.46</v>
      </c>
      <c r="J1836">
        <f>YEAR(SalesData[[#This Row],[Order Date]])</f>
        <v>2016</v>
      </c>
      <c r="K1836" t="str">
        <f>TEXT(SalesData[[#This Row],[Order Date]],"mmm")</f>
        <v>Jun</v>
      </c>
      <c r="L1836">
        <f>MONTH(SalesData[[#This Row],[Order Date]])</f>
        <v>6</v>
      </c>
      <c r="M1836">
        <f>SalesData[[#This Row],[Sales]]/SalesData[[#This Row],[Quantity]]</f>
        <v>26.38</v>
      </c>
      <c r="N1836" t="str">
        <f>IF(SalesData[[#This Row],[Profit]]&gt;0,"Profit","Loss")</f>
        <v>Profit</v>
      </c>
    </row>
    <row r="1837" spans="1:14" x14ac:dyDescent="0.3">
      <c r="A1837" t="s">
        <v>2278</v>
      </c>
      <c r="B1837" s="3">
        <v>42527</v>
      </c>
      <c r="C1837" t="s">
        <v>46</v>
      </c>
      <c r="D1837" t="s">
        <v>10</v>
      </c>
      <c r="E1837" t="s">
        <v>1246</v>
      </c>
      <c r="F1837" s="1">
        <v>179.94</v>
      </c>
      <c r="G1837">
        <v>6</v>
      </c>
      <c r="H1837" s="1">
        <v>75.574799999999996</v>
      </c>
      <c r="I1837" s="4">
        <f>SalesData[[#This Row],[Profit]]/SalesData[[#This Row],[Sales]]</f>
        <v>0.42</v>
      </c>
      <c r="J1837">
        <f>YEAR(SalesData[[#This Row],[Order Date]])</f>
        <v>2016</v>
      </c>
      <c r="K1837" t="str">
        <f>TEXT(SalesData[[#This Row],[Order Date]],"mmm")</f>
        <v>Jun</v>
      </c>
      <c r="L1837">
        <f>MONTH(SalesData[[#This Row],[Order Date]])</f>
        <v>6</v>
      </c>
      <c r="M1837">
        <f>SalesData[[#This Row],[Sales]]/SalesData[[#This Row],[Quantity]]</f>
        <v>29.99</v>
      </c>
      <c r="N1837" t="str">
        <f>IF(SalesData[[#This Row],[Profit]]&gt;0,"Profit","Loss")</f>
        <v>Profit</v>
      </c>
    </row>
    <row r="1838" spans="1:14" x14ac:dyDescent="0.3">
      <c r="A1838" t="s">
        <v>2278</v>
      </c>
      <c r="B1838" s="3">
        <v>42527</v>
      </c>
      <c r="C1838" t="s">
        <v>46</v>
      </c>
      <c r="D1838" t="s">
        <v>10</v>
      </c>
      <c r="E1838" t="s">
        <v>179</v>
      </c>
      <c r="F1838" s="1">
        <v>26.85</v>
      </c>
      <c r="G1838">
        <v>3</v>
      </c>
      <c r="H1838" s="1">
        <v>5.1014999999999997</v>
      </c>
      <c r="I1838" s="4">
        <f>SalesData[[#This Row],[Profit]]/SalesData[[#This Row],[Sales]]</f>
        <v>0.18999999999999997</v>
      </c>
      <c r="J1838">
        <f>YEAR(SalesData[[#This Row],[Order Date]])</f>
        <v>2016</v>
      </c>
      <c r="K1838" t="str">
        <f>TEXT(SalesData[[#This Row],[Order Date]],"mmm")</f>
        <v>Jun</v>
      </c>
      <c r="L1838">
        <f>MONTH(SalesData[[#This Row],[Order Date]])</f>
        <v>6</v>
      </c>
      <c r="M1838">
        <f>SalesData[[#This Row],[Sales]]/SalesData[[#This Row],[Quantity]]</f>
        <v>8.9500000000000011</v>
      </c>
      <c r="N1838" t="str">
        <f>IF(SalesData[[#This Row],[Profit]]&gt;0,"Profit","Loss")</f>
        <v>Profit</v>
      </c>
    </row>
    <row r="1839" spans="1:14" x14ac:dyDescent="0.3">
      <c r="A1839" t="s">
        <v>2278</v>
      </c>
      <c r="B1839" s="3">
        <v>42527</v>
      </c>
      <c r="C1839" t="s">
        <v>46</v>
      </c>
      <c r="D1839" t="s">
        <v>10</v>
      </c>
      <c r="E1839" t="s">
        <v>2279</v>
      </c>
      <c r="F1839" s="1">
        <v>323.37</v>
      </c>
      <c r="G1839">
        <v>3</v>
      </c>
      <c r="H1839" s="1">
        <v>129.34800000000001</v>
      </c>
      <c r="I1839" s="4">
        <f>SalesData[[#This Row],[Profit]]/SalesData[[#This Row],[Sales]]</f>
        <v>0.4</v>
      </c>
      <c r="J1839">
        <f>YEAR(SalesData[[#This Row],[Order Date]])</f>
        <v>2016</v>
      </c>
      <c r="K1839" t="str">
        <f>TEXT(SalesData[[#This Row],[Order Date]],"mmm")</f>
        <v>Jun</v>
      </c>
      <c r="L1839">
        <f>MONTH(SalesData[[#This Row],[Order Date]])</f>
        <v>6</v>
      </c>
      <c r="M1839">
        <f>SalesData[[#This Row],[Sales]]/SalesData[[#This Row],[Quantity]]</f>
        <v>107.79</v>
      </c>
      <c r="N1839" t="str">
        <f>IF(SalesData[[#This Row],[Profit]]&gt;0,"Profit","Loss")</f>
        <v>Profit</v>
      </c>
    </row>
    <row r="1840" spans="1:14" x14ac:dyDescent="0.3">
      <c r="A1840" t="s">
        <v>2278</v>
      </c>
      <c r="B1840" s="3">
        <v>42527</v>
      </c>
      <c r="C1840" t="s">
        <v>46</v>
      </c>
      <c r="D1840" t="s">
        <v>21</v>
      </c>
      <c r="E1840" t="s">
        <v>2280</v>
      </c>
      <c r="F1840" s="1">
        <v>59.94</v>
      </c>
      <c r="G1840">
        <v>3</v>
      </c>
      <c r="H1840" s="1">
        <v>28.171800000000001</v>
      </c>
      <c r="I1840" s="4">
        <f>SalesData[[#This Row],[Profit]]/SalesData[[#This Row],[Sales]]</f>
        <v>0.47000000000000003</v>
      </c>
      <c r="J1840">
        <f>YEAR(SalesData[[#This Row],[Order Date]])</f>
        <v>2016</v>
      </c>
      <c r="K1840" t="str">
        <f>TEXT(SalesData[[#This Row],[Order Date]],"mmm")</f>
        <v>Jun</v>
      </c>
      <c r="L1840">
        <f>MONTH(SalesData[[#This Row],[Order Date]])</f>
        <v>6</v>
      </c>
      <c r="M1840">
        <f>SalesData[[#This Row],[Sales]]/SalesData[[#This Row],[Quantity]]</f>
        <v>19.98</v>
      </c>
      <c r="N1840" t="str">
        <f>IF(SalesData[[#This Row],[Profit]]&gt;0,"Profit","Loss")</f>
        <v>Profit</v>
      </c>
    </row>
    <row r="1841" spans="1:14" x14ac:dyDescent="0.3">
      <c r="A1841" t="s">
        <v>2278</v>
      </c>
      <c r="B1841" s="3">
        <v>42527</v>
      </c>
      <c r="C1841" t="s">
        <v>46</v>
      </c>
      <c r="D1841" t="s">
        <v>21</v>
      </c>
      <c r="E1841" t="s">
        <v>2281</v>
      </c>
      <c r="F1841" s="1">
        <v>64.14</v>
      </c>
      <c r="G1841">
        <v>3</v>
      </c>
      <c r="H1841" s="1">
        <v>30.787199999999999</v>
      </c>
      <c r="I1841" s="4">
        <f>SalesData[[#This Row],[Profit]]/SalesData[[#This Row],[Sales]]</f>
        <v>0.48</v>
      </c>
      <c r="J1841">
        <f>YEAR(SalesData[[#This Row],[Order Date]])</f>
        <v>2016</v>
      </c>
      <c r="K1841" t="str">
        <f>TEXT(SalesData[[#This Row],[Order Date]],"mmm")</f>
        <v>Jun</v>
      </c>
      <c r="L1841">
        <f>MONTH(SalesData[[#This Row],[Order Date]])</f>
        <v>6</v>
      </c>
      <c r="M1841">
        <f>SalesData[[#This Row],[Sales]]/SalesData[[#This Row],[Quantity]]</f>
        <v>21.38</v>
      </c>
      <c r="N1841" t="str">
        <f>IF(SalesData[[#This Row],[Profit]]&gt;0,"Profit","Loss")</f>
        <v>Profit</v>
      </c>
    </row>
    <row r="1842" spans="1:14" x14ac:dyDescent="0.3">
      <c r="A1842" t="s">
        <v>2278</v>
      </c>
      <c r="B1842" s="3">
        <v>42527</v>
      </c>
      <c r="C1842" t="s">
        <v>46</v>
      </c>
      <c r="D1842" t="s">
        <v>21</v>
      </c>
      <c r="E1842" t="s">
        <v>2282</v>
      </c>
      <c r="F1842" s="1">
        <v>11.67</v>
      </c>
      <c r="G1842">
        <v>3</v>
      </c>
      <c r="H1842" s="1">
        <v>5.6016000000000004</v>
      </c>
      <c r="I1842" s="4">
        <f>SalesData[[#This Row],[Profit]]/SalesData[[#This Row],[Sales]]</f>
        <v>0.48000000000000004</v>
      </c>
      <c r="J1842">
        <f>YEAR(SalesData[[#This Row],[Order Date]])</f>
        <v>2016</v>
      </c>
      <c r="K1842" t="str">
        <f>TEXT(SalesData[[#This Row],[Order Date]],"mmm")</f>
        <v>Jun</v>
      </c>
      <c r="L1842">
        <f>MONTH(SalesData[[#This Row],[Order Date]])</f>
        <v>6</v>
      </c>
      <c r="M1842">
        <f>SalesData[[#This Row],[Sales]]/SalesData[[#This Row],[Quantity]]</f>
        <v>3.89</v>
      </c>
      <c r="N1842" t="str">
        <f>IF(SalesData[[#This Row],[Profit]]&gt;0,"Profit","Loss")</f>
        <v>Profit</v>
      </c>
    </row>
    <row r="1843" spans="1:14" x14ac:dyDescent="0.3">
      <c r="A1843" t="s">
        <v>2278</v>
      </c>
      <c r="B1843" s="3">
        <v>42527</v>
      </c>
      <c r="C1843" t="s">
        <v>46</v>
      </c>
      <c r="D1843" t="s">
        <v>21</v>
      </c>
      <c r="E1843" t="s">
        <v>2283</v>
      </c>
      <c r="F1843" s="1">
        <v>12.96</v>
      </c>
      <c r="G1843">
        <v>2</v>
      </c>
      <c r="H1843" s="1">
        <v>6.2207999999999997</v>
      </c>
      <c r="I1843" s="4">
        <f>SalesData[[#This Row],[Profit]]/SalesData[[#This Row],[Sales]]</f>
        <v>0.47999999999999993</v>
      </c>
      <c r="J1843">
        <f>YEAR(SalesData[[#This Row],[Order Date]])</f>
        <v>2016</v>
      </c>
      <c r="K1843" t="str">
        <f>TEXT(SalesData[[#This Row],[Order Date]],"mmm")</f>
        <v>Jun</v>
      </c>
      <c r="L1843">
        <f>MONTH(SalesData[[#This Row],[Order Date]])</f>
        <v>6</v>
      </c>
      <c r="M1843">
        <f>SalesData[[#This Row],[Sales]]/SalesData[[#This Row],[Quantity]]</f>
        <v>6.48</v>
      </c>
      <c r="N1843" t="str">
        <f>IF(SalesData[[#This Row],[Profit]]&gt;0,"Profit","Loss")</f>
        <v>Profit</v>
      </c>
    </row>
    <row r="1844" spans="1:14" x14ac:dyDescent="0.3">
      <c r="A1844" t="s">
        <v>2284</v>
      </c>
      <c r="B1844" s="3">
        <v>42527</v>
      </c>
      <c r="C1844" t="s">
        <v>13</v>
      </c>
      <c r="D1844" t="s">
        <v>21</v>
      </c>
      <c r="E1844" t="s">
        <v>1393</v>
      </c>
      <c r="F1844" s="1">
        <v>22.05</v>
      </c>
      <c r="G1844">
        <v>7</v>
      </c>
      <c r="H1844" s="1">
        <v>10.584</v>
      </c>
      <c r="I1844" s="4">
        <f>SalesData[[#This Row],[Profit]]/SalesData[[#This Row],[Sales]]</f>
        <v>0.48</v>
      </c>
      <c r="J1844">
        <f>YEAR(SalesData[[#This Row],[Order Date]])</f>
        <v>2016</v>
      </c>
      <c r="K1844" t="str">
        <f>TEXT(SalesData[[#This Row],[Order Date]],"mmm")</f>
        <v>Jun</v>
      </c>
      <c r="L1844">
        <f>MONTH(SalesData[[#This Row],[Order Date]])</f>
        <v>6</v>
      </c>
      <c r="M1844">
        <f>SalesData[[#This Row],[Sales]]/SalesData[[#This Row],[Quantity]]</f>
        <v>3.15</v>
      </c>
      <c r="N1844" t="str">
        <f>IF(SalesData[[#This Row],[Profit]]&gt;0,"Profit","Loss")</f>
        <v>Profit</v>
      </c>
    </row>
    <row r="1845" spans="1:14" x14ac:dyDescent="0.3">
      <c r="A1845" t="s">
        <v>2284</v>
      </c>
      <c r="B1845" s="3">
        <v>42527</v>
      </c>
      <c r="C1845" t="s">
        <v>13</v>
      </c>
      <c r="D1845" t="s">
        <v>21</v>
      </c>
      <c r="E1845" t="s">
        <v>2285</v>
      </c>
      <c r="F1845" s="1">
        <v>99.9</v>
      </c>
      <c r="G1845">
        <v>5</v>
      </c>
      <c r="H1845" s="1">
        <v>46.953000000000003</v>
      </c>
      <c r="I1845" s="4">
        <f>SalesData[[#This Row],[Profit]]/SalesData[[#This Row],[Sales]]</f>
        <v>0.47000000000000003</v>
      </c>
      <c r="J1845">
        <f>YEAR(SalesData[[#This Row],[Order Date]])</f>
        <v>2016</v>
      </c>
      <c r="K1845" t="str">
        <f>TEXT(SalesData[[#This Row],[Order Date]],"mmm")</f>
        <v>Jun</v>
      </c>
      <c r="L1845">
        <f>MONTH(SalesData[[#This Row],[Order Date]])</f>
        <v>6</v>
      </c>
      <c r="M1845">
        <f>SalesData[[#This Row],[Sales]]/SalesData[[#This Row],[Quantity]]</f>
        <v>19.98</v>
      </c>
      <c r="N1845" t="str">
        <f>IF(SalesData[[#This Row],[Profit]]&gt;0,"Profit","Loss")</f>
        <v>Profit</v>
      </c>
    </row>
    <row r="1846" spans="1:14" x14ac:dyDescent="0.3">
      <c r="A1846" t="s">
        <v>2286</v>
      </c>
      <c r="B1846" s="3">
        <v>42527</v>
      </c>
      <c r="C1846" t="s">
        <v>13</v>
      </c>
      <c r="D1846" t="s">
        <v>10</v>
      </c>
      <c r="E1846" t="s">
        <v>2287</v>
      </c>
      <c r="F1846" s="1">
        <v>3023.9279999999999</v>
      </c>
      <c r="G1846">
        <v>9</v>
      </c>
      <c r="H1846" s="1">
        <v>226.7946</v>
      </c>
      <c r="I1846" s="4">
        <f>SalesData[[#This Row],[Profit]]/SalesData[[#This Row],[Sales]]</f>
        <v>7.4999999999999997E-2</v>
      </c>
      <c r="J1846">
        <f>YEAR(SalesData[[#This Row],[Order Date]])</f>
        <v>2016</v>
      </c>
      <c r="K1846" t="str">
        <f>TEXT(SalesData[[#This Row],[Order Date]],"mmm")</f>
        <v>Jun</v>
      </c>
      <c r="L1846">
        <f>MONTH(SalesData[[#This Row],[Order Date]])</f>
        <v>6</v>
      </c>
      <c r="M1846">
        <f>SalesData[[#This Row],[Sales]]/SalesData[[#This Row],[Quantity]]</f>
        <v>335.99199999999996</v>
      </c>
      <c r="N1846" t="str">
        <f>IF(SalesData[[#This Row],[Profit]]&gt;0,"Profit","Loss")</f>
        <v>Profit</v>
      </c>
    </row>
    <row r="1847" spans="1:14" x14ac:dyDescent="0.3">
      <c r="A1847" t="s">
        <v>2286</v>
      </c>
      <c r="B1847" s="3">
        <v>42527</v>
      </c>
      <c r="C1847" t="s">
        <v>13</v>
      </c>
      <c r="D1847" t="s">
        <v>10</v>
      </c>
      <c r="E1847" t="s">
        <v>788</v>
      </c>
      <c r="F1847" s="1">
        <v>26.96</v>
      </c>
      <c r="G1847">
        <v>2</v>
      </c>
      <c r="H1847" s="1">
        <v>3.7744</v>
      </c>
      <c r="I1847" s="4">
        <f>SalesData[[#This Row],[Profit]]/SalesData[[#This Row],[Sales]]</f>
        <v>0.13999999999999999</v>
      </c>
      <c r="J1847">
        <f>YEAR(SalesData[[#This Row],[Order Date]])</f>
        <v>2016</v>
      </c>
      <c r="K1847" t="str">
        <f>TEXT(SalesData[[#This Row],[Order Date]],"mmm")</f>
        <v>Jun</v>
      </c>
      <c r="L1847">
        <f>MONTH(SalesData[[#This Row],[Order Date]])</f>
        <v>6</v>
      </c>
      <c r="M1847">
        <f>SalesData[[#This Row],[Sales]]/SalesData[[#This Row],[Quantity]]</f>
        <v>13.48</v>
      </c>
      <c r="N1847" t="str">
        <f>IF(SalesData[[#This Row],[Profit]]&gt;0,"Profit","Loss")</f>
        <v>Profit</v>
      </c>
    </row>
    <row r="1848" spans="1:14" x14ac:dyDescent="0.3">
      <c r="A1848" t="s">
        <v>2286</v>
      </c>
      <c r="B1848" s="3">
        <v>42527</v>
      </c>
      <c r="C1848" t="s">
        <v>13</v>
      </c>
      <c r="D1848" t="s">
        <v>10</v>
      </c>
      <c r="E1848" t="s">
        <v>175</v>
      </c>
      <c r="F1848" s="1">
        <v>477.6</v>
      </c>
      <c r="G1848">
        <v>3</v>
      </c>
      <c r="H1848" s="1">
        <v>161.19</v>
      </c>
      <c r="I1848" s="4">
        <f>SalesData[[#This Row],[Profit]]/SalesData[[#This Row],[Sales]]</f>
        <v>0.33749999999999997</v>
      </c>
      <c r="J1848">
        <f>YEAR(SalesData[[#This Row],[Order Date]])</f>
        <v>2016</v>
      </c>
      <c r="K1848" t="str">
        <f>TEXT(SalesData[[#This Row],[Order Date]],"mmm")</f>
        <v>Jun</v>
      </c>
      <c r="L1848">
        <f>MONTH(SalesData[[#This Row],[Order Date]])</f>
        <v>6</v>
      </c>
      <c r="M1848">
        <f>SalesData[[#This Row],[Sales]]/SalesData[[#This Row],[Quantity]]</f>
        <v>159.20000000000002</v>
      </c>
      <c r="N1848" t="str">
        <f>IF(SalesData[[#This Row],[Profit]]&gt;0,"Profit","Loss")</f>
        <v>Profit</v>
      </c>
    </row>
    <row r="1849" spans="1:14" x14ac:dyDescent="0.3">
      <c r="A1849" t="s">
        <v>2288</v>
      </c>
      <c r="B1849" s="3">
        <v>42527</v>
      </c>
      <c r="C1849" t="s">
        <v>17</v>
      </c>
      <c r="D1849" t="s">
        <v>14</v>
      </c>
      <c r="E1849" t="s">
        <v>2289</v>
      </c>
      <c r="F1849" s="1">
        <v>466.32</v>
      </c>
      <c r="G1849">
        <v>3</v>
      </c>
      <c r="H1849" s="1">
        <v>34.973999999999997</v>
      </c>
      <c r="I1849" s="4">
        <f>SalesData[[#This Row],[Profit]]/SalesData[[#This Row],[Sales]]</f>
        <v>7.4999999999999997E-2</v>
      </c>
      <c r="J1849">
        <f>YEAR(SalesData[[#This Row],[Order Date]])</f>
        <v>2016</v>
      </c>
      <c r="K1849" t="str">
        <f>TEXT(SalesData[[#This Row],[Order Date]],"mmm")</f>
        <v>Jun</v>
      </c>
      <c r="L1849">
        <f>MONTH(SalesData[[#This Row],[Order Date]])</f>
        <v>6</v>
      </c>
      <c r="M1849">
        <f>SalesData[[#This Row],[Sales]]/SalesData[[#This Row],[Quantity]]</f>
        <v>155.44</v>
      </c>
      <c r="N1849" t="str">
        <f>IF(SalesData[[#This Row],[Profit]]&gt;0,"Profit","Loss")</f>
        <v>Profit</v>
      </c>
    </row>
    <row r="1850" spans="1:14" x14ac:dyDescent="0.3">
      <c r="A1850" t="s">
        <v>2288</v>
      </c>
      <c r="B1850" s="3">
        <v>42527</v>
      </c>
      <c r="C1850" t="s">
        <v>17</v>
      </c>
      <c r="D1850" t="s">
        <v>14</v>
      </c>
      <c r="E1850" t="s">
        <v>2290</v>
      </c>
      <c r="F1850" s="1">
        <v>82.64</v>
      </c>
      <c r="G1850">
        <v>2</v>
      </c>
      <c r="H1850" s="1">
        <v>0</v>
      </c>
      <c r="I1850" s="4">
        <f>SalesData[[#This Row],[Profit]]/SalesData[[#This Row],[Sales]]</f>
        <v>0</v>
      </c>
      <c r="J1850">
        <f>YEAR(SalesData[[#This Row],[Order Date]])</f>
        <v>2016</v>
      </c>
      <c r="K1850" t="str">
        <f>TEXT(SalesData[[#This Row],[Order Date]],"mmm")</f>
        <v>Jun</v>
      </c>
      <c r="L1850">
        <f>MONTH(SalesData[[#This Row],[Order Date]])</f>
        <v>6</v>
      </c>
      <c r="M1850">
        <f>SalesData[[#This Row],[Sales]]/SalesData[[#This Row],[Quantity]]</f>
        <v>41.32</v>
      </c>
      <c r="N1850" t="str">
        <f>IF(SalesData[[#This Row],[Profit]]&gt;0,"Profit","Loss")</f>
        <v>Loss</v>
      </c>
    </row>
    <row r="1851" spans="1:14" x14ac:dyDescent="0.3">
      <c r="A1851" t="s">
        <v>2291</v>
      </c>
      <c r="B1851" s="3">
        <v>42529</v>
      </c>
      <c r="C1851" t="s">
        <v>17</v>
      </c>
      <c r="D1851" t="s">
        <v>21</v>
      </c>
      <c r="E1851" t="s">
        <v>94</v>
      </c>
      <c r="F1851" s="1">
        <v>70.88</v>
      </c>
      <c r="G1851">
        <v>2</v>
      </c>
      <c r="H1851" s="1">
        <v>33.313600000000001</v>
      </c>
      <c r="I1851" s="4">
        <f>SalesData[[#This Row],[Profit]]/SalesData[[#This Row],[Sales]]</f>
        <v>0.47000000000000003</v>
      </c>
      <c r="J1851">
        <f>YEAR(SalesData[[#This Row],[Order Date]])</f>
        <v>2016</v>
      </c>
      <c r="K1851" t="str">
        <f>TEXT(SalesData[[#This Row],[Order Date]],"mmm")</f>
        <v>Jun</v>
      </c>
      <c r="L1851">
        <f>MONTH(SalesData[[#This Row],[Order Date]])</f>
        <v>6</v>
      </c>
      <c r="M1851">
        <f>SalesData[[#This Row],[Sales]]/SalesData[[#This Row],[Quantity]]</f>
        <v>35.44</v>
      </c>
      <c r="N1851" t="str">
        <f>IF(SalesData[[#This Row],[Profit]]&gt;0,"Profit","Loss")</f>
        <v>Profit</v>
      </c>
    </row>
    <row r="1852" spans="1:14" x14ac:dyDescent="0.3">
      <c r="A1852" t="s">
        <v>2292</v>
      </c>
      <c r="B1852" s="3">
        <v>42529</v>
      </c>
      <c r="C1852" t="s">
        <v>13</v>
      </c>
      <c r="D1852" t="s">
        <v>10</v>
      </c>
      <c r="E1852" t="s">
        <v>1263</v>
      </c>
      <c r="F1852" s="1">
        <v>211.16800000000001</v>
      </c>
      <c r="G1852">
        <v>4</v>
      </c>
      <c r="H1852" s="1">
        <v>18.4772</v>
      </c>
      <c r="I1852" s="4">
        <f>SalesData[[#This Row],[Profit]]/SalesData[[#This Row],[Sales]]</f>
        <v>8.7499999999999994E-2</v>
      </c>
      <c r="J1852">
        <f>YEAR(SalesData[[#This Row],[Order Date]])</f>
        <v>2016</v>
      </c>
      <c r="K1852" t="str">
        <f>TEXT(SalesData[[#This Row],[Order Date]],"mmm")</f>
        <v>Jun</v>
      </c>
      <c r="L1852">
        <f>MONTH(SalesData[[#This Row],[Order Date]])</f>
        <v>6</v>
      </c>
      <c r="M1852">
        <f>SalesData[[#This Row],[Sales]]/SalesData[[#This Row],[Quantity]]</f>
        <v>52.792000000000002</v>
      </c>
      <c r="N1852" t="str">
        <f>IF(SalesData[[#This Row],[Profit]]&gt;0,"Profit","Loss")</f>
        <v>Profit</v>
      </c>
    </row>
    <row r="1853" spans="1:14" x14ac:dyDescent="0.3">
      <c r="A1853" t="s">
        <v>2293</v>
      </c>
      <c r="B1853" s="3">
        <v>42529</v>
      </c>
      <c r="C1853" t="s">
        <v>17</v>
      </c>
      <c r="D1853" t="s">
        <v>21</v>
      </c>
      <c r="E1853" t="s">
        <v>486</v>
      </c>
      <c r="F1853" s="1">
        <v>38.340000000000003</v>
      </c>
      <c r="G1853">
        <v>9</v>
      </c>
      <c r="H1853" s="1">
        <v>15.7194</v>
      </c>
      <c r="I1853" s="4">
        <f>SalesData[[#This Row],[Profit]]/SalesData[[#This Row],[Sales]]</f>
        <v>0.41</v>
      </c>
      <c r="J1853">
        <f>YEAR(SalesData[[#This Row],[Order Date]])</f>
        <v>2016</v>
      </c>
      <c r="K1853" t="str">
        <f>TEXT(SalesData[[#This Row],[Order Date]],"mmm")</f>
        <v>Jun</v>
      </c>
      <c r="L1853">
        <f>MONTH(SalesData[[#This Row],[Order Date]])</f>
        <v>6</v>
      </c>
      <c r="M1853">
        <f>SalesData[[#This Row],[Sales]]/SalesData[[#This Row],[Quantity]]</f>
        <v>4.2600000000000007</v>
      </c>
      <c r="N1853" t="str">
        <f>IF(SalesData[[#This Row],[Profit]]&gt;0,"Profit","Loss")</f>
        <v>Profit</v>
      </c>
    </row>
    <row r="1854" spans="1:14" x14ac:dyDescent="0.3">
      <c r="A1854" t="s">
        <v>2294</v>
      </c>
      <c r="B1854" s="3">
        <v>42530</v>
      </c>
      <c r="C1854" t="s">
        <v>9</v>
      </c>
      <c r="D1854" t="s">
        <v>21</v>
      </c>
      <c r="E1854" t="s">
        <v>2295</v>
      </c>
      <c r="F1854" s="1">
        <v>77.88</v>
      </c>
      <c r="G1854">
        <v>6</v>
      </c>
      <c r="H1854" s="1">
        <v>22.5852</v>
      </c>
      <c r="I1854" s="4">
        <f>SalesData[[#This Row],[Profit]]/SalesData[[#This Row],[Sales]]</f>
        <v>0.29000000000000004</v>
      </c>
      <c r="J1854">
        <f>YEAR(SalesData[[#This Row],[Order Date]])</f>
        <v>2016</v>
      </c>
      <c r="K1854" t="str">
        <f>TEXT(SalesData[[#This Row],[Order Date]],"mmm")</f>
        <v>Jun</v>
      </c>
      <c r="L1854">
        <f>MONTH(SalesData[[#This Row],[Order Date]])</f>
        <v>6</v>
      </c>
      <c r="M1854">
        <f>SalesData[[#This Row],[Sales]]/SalesData[[#This Row],[Quantity]]</f>
        <v>12.979999999999999</v>
      </c>
      <c r="N1854" t="str">
        <f>IF(SalesData[[#This Row],[Profit]]&gt;0,"Profit","Loss")</f>
        <v>Profit</v>
      </c>
    </row>
    <row r="1855" spans="1:14" x14ac:dyDescent="0.3">
      <c r="A1855" t="s">
        <v>2296</v>
      </c>
      <c r="B1855" s="3">
        <v>42530</v>
      </c>
      <c r="C1855" t="s">
        <v>17</v>
      </c>
      <c r="D1855" t="s">
        <v>10</v>
      </c>
      <c r="E1855" t="s">
        <v>1804</v>
      </c>
      <c r="F1855" s="1">
        <v>31.86</v>
      </c>
      <c r="G1855">
        <v>2</v>
      </c>
      <c r="H1855" s="1">
        <v>11.151</v>
      </c>
      <c r="I1855" s="4">
        <f>SalesData[[#This Row],[Profit]]/SalesData[[#This Row],[Sales]]</f>
        <v>0.35</v>
      </c>
      <c r="J1855">
        <f>YEAR(SalesData[[#This Row],[Order Date]])</f>
        <v>2016</v>
      </c>
      <c r="K1855" t="str">
        <f>TEXT(SalesData[[#This Row],[Order Date]],"mmm")</f>
        <v>Jun</v>
      </c>
      <c r="L1855">
        <f>MONTH(SalesData[[#This Row],[Order Date]])</f>
        <v>6</v>
      </c>
      <c r="M1855">
        <f>SalesData[[#This Row],[Sales]]/SalesData[[#This Row],[Quantity]]</f>
        <v>15.93</v>
      </c>
      <c r="N1855" t="str">
        <f>IF(SalesData[[#This Row],[Profit]]&gt;0,"Profit","Loss")</f>
        <v>Profit</v>
      </c>
    </row>
    <row r="1856" spans="1:14" x14ac:dyDescent="0.3">
      <c r="A1856" t="s">
        <v>2296</v>
      </c>
      <c r="B1856" s="3">
        <v>42530</v>
      </c>
      <c r="C1856" t="s">
        <v>17</v>
      </c>
      <c r="D1856" t="s">
        <v>14</v>
      </c>
      <c r="E1856" t="s">
        <v>1059</v>
      </c>
      <c r="F1856" s="1">
        <v>722.35199999999998</v>
      </c>
      <c r="G1856">
        <v>3</v>
      </c>
      <c r="H1856" s="1">
        <v>90.293999999999997</v>
      </c>
      <c r="I1856" s="4">
        <f>SalesData[[#This Row],[Profit]]/SalesData[[#This Row],[Sales]]</f>
        <v>0.125</v>
      </c>
      <c r="J1856">
        <f>YEAR(SalesData[[#This Row],[Order Date]])</f>
        <v>2016</v>
      </c>
      <c r="K1856" t="str">
        <f>TEXT(SalesData[[#This Row],[Order Date]],"mmm")</f>
        <v>Jun</v>
      </c>
      <c r="L1856">
        <f>MONTH(SalesData[[#This Row],[Order Date]])</f>
        <v>6</v>
      </c>
      <c r="M1856">
        <f>SalesData[[#This Row],[Sales]]/SalesData[[#This Row],[Quantity]]</f>
        <v>240.78399999999999</v>
      </c>
      <c r="N1856" t="str">
        <f>IF(SalesData[[#This Row],[Profit]]&gt;0,"Profit","Loss")</f>
        <v>Profit</v>
      </c>
    </row>
    <row r="1857" spans="1:14" x14ac:dyDescent="0.3">
      <c r="A1857" t="s">
        <v>2297</v>
      </c>
      <c r="B1857" s="3">
        <v>42530</v>
      </c>
      <c r="C1857" t="s">
        <v>46</v>
      </c>
      <c r="D1857" t="s">
        <v>21</v>
      </c>
      <c r="E1857" t="s">
        <v>1847</v>
      </c>
      <c r="F1857" s="1">
        <v>95.951999999999998</v>
      </c>
      <c r="G1857">
        <v>3</v>
      </c>
      <c r="H1857" s="1">
        <v>29.984999999999999</v>
      </c>
      <c r="I1857" s="4">
        <f>SalesData[[#This Row],[Profit]]/SalesData[[#This Row],[Sales]]</f>
        <v>0.3125</v>
      </c>
      <c r="J1857">
        <f>YEAR(SalesData[[#This Row],[Order Date]])</f>
        <v>2016</v>
      </c>
      <c r="K1857" t="str">
        <f>TEXT(SalesData[[#This Row],[Order Date]],"mmm")</f>
        <v>Jun</v>
      </c>
      <c r="L1857">
        <f>MONTH(SalesData[[#This Row],[Order Date]])</f>
        <v>6</v>
      </c>
      <c r="M1857">
        <f>SalesData[[#This Row],[Sales]]/SalesData[[#This Row],[Quantity]]</f>
        <v>31.983999999999998</v>
      </c>
      <c r="N1857" t="str">
        <f>IF(SalesData[[#This Row],[Profit]]&gt;0,"Profit","Loss")</f>
        <v>Profit</v>
      </c>
    </row>
    <row r="1858" spans="1:14" x14ac:dyDescent="0.3">
      <c r="A1858" t="s">
        <v>2297</v>
      </c>
      <c r="B1858" s="3">
        <v>42530</v>
      </c>
      <c r="C1858" t="s">
        <v>46</v>
      </c>
      <c r="D1858" t="s">
        <v>21</v>
      </c>
      <c r="E1858" t="s">
        <v>1531</v>
      </c>
      <c r="F1858" s="1">
        <v>3.2040000000000002</v>
      </c>
      <c r="G1858">
        <v>2</v>
      </c>
      <c r="H1858" s="1">
        <v>-2.4563999999999999</v>
      </c>
      <c r="I1858" s="4">
        <f>SalesData[[#This Row],[Profit]]/SalesData[[#This Row],[Sales]]</f>
        <v>-0.76666666666666661</v>
      </c>
      <c r="J1858">
        <f>YEAR(SalesData[[#This Row],[Order Date]])</f>
        <v>2016</v>
      </c>
      <c r="K1858" t="str">
        <f>TEXT(SalesData[[#This Row],[Order Date]],"mmm")</f>
        <v>Jun</v>
      </c>
      <c r="L1858">
        <f>MONTH(SalesData[[#This Row],[Order Date]])</f>
        <v>6</v>
      </c>
      <c r="M1858">
        <f>SalesData[[#This Row],[Sales]]/SalesData[[#This Row],[Quantity]]</f>
        <v>1.6020000000000001</v>
      </c>
      <c r="N1858" t="str">
        <f>IF(SalesData[[#This Row],[Profit]]&gt;0,"Profit","Loss")</f>
        <v>Loss</v>
      </c>
    </row>
    <row r="1859" spans="1:14" x14ac:dyDescent="0.3">
      <c r="A1859" t="s">
        <v>2298</v>
      </c>
      <c r="B1859" s="3">
        <v>42530</v>
      </c>
      <c r="C1859" t="s">
        <v>9</v>
      </c>
      <c r="D1859" t="s">
        <v>21</v>
      </c>
      <c r="E1859" t="s">
        <v>1303</v>
      </c>
      <c r="F1859" s="1">
        <v>10.784000000000001</v>
      </c>
      <c r="G1859">
        <v>1</v>
      </c>
      <c r="H1859" s="1">
        <v>0.80879999999999996</v>
      </c>
      <c r="I1859" s="4">
        <f>SalesData[[#This Row],[Profit]]/SalesData[[#This Row],[Sales]]</f>
        <v>7.4999999999999997E-2</v>
      </c>
      <c r="J1859">
        <f>YEAR(SalesData[[#This Row],[Order Date]])</f>
        <v>2016</v>
      </c>
      <c r="K1859" t="str">
        <f>TEXT(SalesData[[#This Row],[Order Date]],"mmm")</f>
        <v>Jun</v>
      </c>
      <c r="L1859">
        <f>MONTH(SalesData[[#This Row],[Order Date]])</f>
        <v>6</v>
      </c>
      <c r="M1859">
        <f>SalesData[[#This Row],[Sales]]/SalesData[[#This Row],[Quantity]]</f>
        <v>10.784000000000001</v>
      </c>
      <c r="N1859" t="str">
        <f>IF(SalesData[[#This Row],[Profit]]&gt;0,"Profit","Loss")</f>
        <v>Profit</v>
      </c>
    </row>
    <row r="1860" spans="1:14" x14ac:dyDescent="0.3">
      <c r="A1860" t="s">
        <v>2299</v>
      </c>
      <c r="B1860" s="3">
        <v>42530</v>
      </c>
      <c r="C1860" t="s">
        <v>9</v>
      </c>
      <c r="D1860" t="s">
        <v>21</v>
      </c>
      <c r="E1860" t="s">
        <v>784</v>
      </c>
      <c r="F1860" s="1">
        <v>41.92</v>
      </c>
      <c r="G1860">
        <v>4</v>
      </c>
      <c r="H1860" s="1">
        <v>15.196</v>
      </c>
      <c r="I1860" s="4">
        <f>SalesData[[#This Row],[Profit]]/SalesData[[#This Row],[Sales]]</f>
        <v>0.36249999999999999</v>
      </c>
      <c r="J1860">
        <f>YEAR(SalesData[[#This Row],[Order Date]])</f>
        <v>2016</v>
      </c>
      <c r="K1860" t="str">
        <f>TEXT(SalesData[[#This Row],[Order Date]],"mmm")</f>
        <v>Jun</v>
      </c>
      <c r="L1860">
        <f>MONTH(SalesData[[#This Row],[Order Date]])</f>
        <v>6</v>
      </c>
      <c r="M1860">
        <f>SalesData[[#This Row],[Sales]]/SalesData[[#This Row],[Quantity]]</f>
        <v>10.48</v>
      </c>
      <c r="N1860" t="str">
        <f>IF(SalesData[[#This Row],[Profit]]&gt;0,"Profit","Loss")</f>
        <v>Profit</v>
      </c>
    </row>
    <row r="1861" spans="1:14" x14ac:dyDescent="0.3">
      <c r="A1861" t="s">
        <v>2299</v>
      </c>
      <c r="B1861" s="3">
        <v>42530</v>
      </c>
      <c r="C1861" t="s">
        <v>9</v>
      </c>
      <c r="D1861" t="s">
        <v>10</v>
      </c>
      <c r="E1861" t="s">
        <v>2300</v>
      </c>
      <c r="F1861" s="1">
        <v>329.584</v>
      </c>
      <c r="G1861">
        <v>2</v>
      </c>
      <c r="H1861" s="1">
        <v>37.078200000000002</v>
      </c>
      <c r="I1861" s="4">
        <f>SalesData[[#This Row],[Profit]]/SalesData[[#This Row],[Sales]]</f>
        <v>0.1125</v>
      </c>
      <c r="J1861">
        <f>YEAR(SalesData[[#This Row],[Order Date]])</f>
        <v>2016</v>
      </c>
      <c r="K1861" t="str">
        <f>TEXT(SalesData[[#This Row],[Order Date]],"mmm")</f>
        <v>Jun</v>
      </c>
      <c r="L1861">
        <f>MONTH(SalesData[[#This Row],[Order Date]])</f>
        <v>6</v>
      </c>
      <c r="M1861">
        <f>SalesData[[#This Row],[Sales]]/SalesData[[#This Row],[Quantity]]</f>
        <v>164.792</v>
      </c>
      <c r="N1861" t="str">
        <f>IF(SalesData[[#This Row],[Profit]]&gt;0,"Profit","Loss")</f>
        <v>Profit</v>
      </c>
    </row>
    <row r="1862" spans="1:14" x14ac:dyDescent="0.3">
      <c r="A1862" t="s">
        <v>2301</v>
      </c>
      <c r="B1862" s="3">
        <v>42531</v>
      </c>
      <c r="C1862" t="s">
        <v>9</v>
      </c>
      <c r="D1862" t="s">
        <v>21</v>
      </c>
      <c r="E1862" t="s">
        <v>1213</v>
      </c>
      <c r="F1862" s="1">
        <v>28.85</v>
      </c>
      <c r="G1862">
        <v>5</v>
      </c>
      <c r="H1862" s="1">
        <v>14.425000000000001</v>
      </c>
      <c r="I1862" s="4">
        <f>SalesData[[#This Row],[Profit]]/SalesData[[#This Row],[Sales]]</f>
        <v>0.5</v>
      </c>
      <c r="J1862">
        <f>YEAR(SalesData[[#This Row],[Order Date]])</f>
        <v>2016</v>
      </c>
      <c r="K1862" t="str">
        <f>TEXT(SalesData[[#This Row],[Order Date]],"mmm")</f>
        <v>Jun</v>
      </c>
      <c r="L1862">
        <f>MONTH(SalesData[[#This Row],[Order Date]])</f>
        <v>6</v>
      </c>
      <c r="M1862">
        <f>SalesData[[#This Row],[Sales]]/SalesData[[#This Row],[Quantity]]</f>
        <v>5.7700000000000005</v>
      </c>
      <c r="N1862" t="str">
        <f>IF(SalesData[[#This Row],[Profit]]&gt;0,"Profit","Loss")</f>
        <v>Profit</v>
      </c>
    </row>
    <row r="1863" spans="1:14" x14ac:dyDescent="0.3">
      <c r="A1863" t="s">
        <v>2302</v>
      </c>
      <c r="B1863" s="3">
        <v>42531</v>
      </c>
      <c r="C1863" t="s">
        <v>13</v>
      </c>
      <c r="D1863" t="s">
        <v>10</v>
      </c>
      <c r="E1863" t="s">
        <v>2303</v>
      </c>
      <c r="F1863" s="1">
        <v>703.71</v>
      </c>
      <c r="G1863">
        <v>6</v>
      </c>
      <c r="H1863" s="1">
        <v>-938.28</v>
      </c>
      <c r="I1863" s="4">
        <f>SalesData[[#This Row],[Profit]]/SalesData[[#This Row],[Sales]]</f>
        <v>-1.3333333333333333</v>
      </c>
      <c r="J1863">
        <f>YEAR(SalesData[[#This Row],[Order Date]])</f>
        <v>2016</v>
      </c>
      <c r="K1863" t="str">
        <f>TEXT(SalesData[[#This Row],[Order Date]],"mmm")</f>
        <v>Jun</v>
      </c>
      <c r="L1863">
        <f>MONTH(SalesData[[#This Row],[Order Date]])</f>
        <v>6</v>
      </c>
      <c r="M1863">
        <f>SalesData[[#This Row],[Sales]]/SalesData[[#This Row],[Quantity]]</f>
        <v>117.28500000000001</v>
      </c>
      <c r="N1863" t="str">
        <f>IF(SalesData[[#This Row],[Profit]]&gt;0,"Profit","Loss")</f>
        <v>Loss</v>
      </c>
    </row>
    <row r="1864" spans="1:14" x14ac:dyDescent="0.3">
      <c r="A1864" t="s">
        <v>2302</v>
      </c>
      <c r="B1864" s="3">
        <v>42531</v>
      </c>
      <c r="C1864" t="s">
        <v>13</v>
      </c>
      <c r="D1864" t="s">
        <v>21</v>
      </c>
      <c r="E1864" t="s">
        <v>2224</v>
      </c>
      <c r="F1864" s="1">
        <v>17.904</v>
      </c>
      <c r="G1864">
        <v>4</v>
      </c>
      <c r="H1864" s="1">
        <v>-14.92</v>
      </c>
      <c r="I1864" s="4">
        <f>SalesData[[#This Row],[Profit]]/SalesData[[#This Row],[Sales]]</f>
        <v>-0.83333333333333337</v>
      </c>
      <c r="J1864">
        <f>YEAR(SalesData[[#This Row],[Order Date]])</f>
        <v>2016</v>
      </c>
      <c r="K1864" t="str">
        <f>TEXT(SalesData[[#This Row],[Order Date]],"mmm")</f>
        <v>Jun</v>
      </c>
      <c r="L1864">
        <f>MONTH(SalesData[[#This Row],[Order Date]])</f>
        <v>6</v>
      </c>
      <c r="M1864">
        <f>SalesData[[#This Row],[Sales]]/SalesData[[#This Row],[Quantity]]</f>
        <v>4.476</v>
      </c>
      <c r="N1864" t="str">
        <f>IF(SalesData[[#This Row],[Profit]]&gt;0,"Profit","Loss")</f>
        <v>Loss</v>
      </c>
    </row>
    <row r="1865" spans="1:14" x14ac:dyDescent="0.3">
      <c r="A1865" t="s">
        <v>2302</v>
      </c>
      <c r="B1865" s="3">
        <v>42531</v>
      </c>
      <c r="C1865" t="s">
        <v>13</v>
      </c>
      <c r="D1865" t="s">
        <v>21</v>
      </c>
      <c r="E1865" t="s">
        <v>2304</v>
      </c>
      <c r="F1865" s="1">
        <v>11.976000000000001</v>
      </c>
      <c r="G1865">
        <v>4</v>
      </c>
      <c r="H1865" s="1">
        <v>-9.1815999999999995</v>
      </c>
      <c r="I1865" s="4">
        <f>SalesData[[#This Row],[Profit]]/SalesData[[#This Row],[Sales]]</f>
        <v>-0.76666666666666661</v>
      </c>
      <c r="J1865">
        <f>YEAR(SalesData[[#This Row],[Order Date]])</f>
        <v>2016</v>
      </c>
      <c r="K1865" t="str">
        <f>TEXT(SalesData[[#This Row],[Order Date]],"mmm")</f>
        <v>Jun</v>
      </c>
      <c r="L1865">
        <f>MONTH(SalesData[[#This Row],[Order Date]])</f>
        <v>6</v>
      </c>
      <c r="M1865">
        <f>SalesData[[#This Row],[Sales]]/SalesData[[#This Row],[Quantity]]</f>
        <v>2.9940000000000002</v>
      </c>
      <c r="N1865" t="str">
        <f>IF(SalesData[[#This Row],[Profit]]&gt;0,"Profit","Loss")</f>
        <v>Loss</v>
      </c>
    </row>
    <row r="1866" spans="1:14" x14ac:dyDescent="0.3">
      <c r="A1866" t="s">
        <v>2302</v>
      </c>
      <c r="B1866" s="3">
        <v>42531</v>
      </c>
      <c r="C1866" t="s">
        <v>13</v>
      </c>
      <c r="D1866" t="s">
        <v>10</v>
      </c>
      <c r="E1866" t="s">
        <v>1732</v>
      </c>
      <c r="F1866" s="1">
        <v>67.959999999999994</v>
      </c>
      <c r="G1866">
        <v>5</v>
      </c>
      <c r="H1866" s="1">
        <v>0.84950000000000003</v>
      </c>
      <c r="I1866" s="4">
        <f>SalesData[[#This Row],[Profit]]/SalesData[[#This Row],[Sales]]</f>
        <v>1.2500000000000002E-2</v>
      </c>
      <c r="J1866">
        <f>YEAR(SalesData[[#This Row],[Order Date]])</f>
        <v>2016</v>
      </c>
      <c r="K1866" t="str">
        <f>TEXT(SalesData[[#This Row],[Order Date]],"mmm")</f>
        <v>Jun</v>
      </c>
      <c r="L1866">
        <f>MONTH(SalesData[[#This Row],[Order Date]])</f>
        <v>6</v>
      </c>
      <c r="M1866">
        <f>SalesData[[#This Row],[Sales]]/SalesData[[#This Row],[Quantity]]</f>
        <v>13.591999999999999</v>
      </c>
      <c r="N1866" t="str">
        <f>IF(SalesData[[#This Row],[Profit]]&gt;0,"Profit","Loss")</f>
        <v>Profit</v>
      </c>
    </row>
    <row r="1867" spans="1:14" x14ac:dyDescent="0.3">
      <c r="A1867" t="s">
        <v>2305</v>
      </c>
      <c r="B1867" s="3">
        <v>42532</v>
      </c>
      <c r="C1867" t="s">
        <v>13</v>
      </c>
      <c r="D1867" t="s">
        <v>14</v>
      </c>
      <c r="E1867" t="s">
        <v>2227</v>
      </c>
      <c r="F1867" s="1">
        <v>81.424000000000007</v>
      </c>
      <c r="G1867">
        <v>2</v>
      </c>
      <c r="H1867" s="1">
        <v>-9.1601999999999997</v>
      </c>
      <c r="I1867" s="4">
        <f>SalesData[[#This Row],[Profit]]/SalesData[[#This Row],[Sales]]</f>
        <v>-0.11249999999999999</v>
      </c>
      <c r="J1867">
        <f>YEAR(SalesData[[#This Row],[Order Date]])</f>
        <v>2016</v>
      </c>
      <c r="K1867" t="str">
        <f>TEXT(SalesData[[#This Row],[Order Date]],"mmm")</f>
        <v>Jun</v>
      </c>
      <c r="L1867">
        <f>MONTH(SalesData[[#This Row],[Order Date]])</f>
        <v>6</v>
      </c>
      <c r="M1867">
        <f>SalesData[[#This Row],[Sales]]/SalesData[[#This Row],[Quantity]]</f>
        <v>40.712000000000003</v>
      </c>
      <c r="N1867" t="str">
        <f>IF(SalesData[[#This Row],[Profit]]&gt;0,"Profit","Loss")</f>
        <v>Loss</v>
      </c>
    </row>
    <row r="1868" spans="1:14" x14ac:dyDescent="0.3">
      <c r="A1868" t="s">
        <v>2305</v>
      </c>
      <c r="B1868" s="3">
        <v>42532</v>
      </c>
      <c r="C1868" t="s">
        <v>13</v>
      </c>
      <c r="D1868" t="s">
        <v>14</v>
      </c>
      <c r="E1868" t="s">
        <v>2265</v>
      </c>
      <c r="F1868" s="1">
        <v>238.56</v>
      </c>
      <c r="G1868">
        <v>3</v>
      </c>
      <c r="H1868" s="1">
        <v>26.241599999999998</v>
      </c>
      <c r="I1868" s="4">
        <f>SalesData[[#This Row],[Profit]]/SalesData[[#This Row],[Sales]]</f>
        <v>0.10999999999999999</v>
      </c>
      <c r="J1868">
        <f>YEAR(SalesData[[#This Row],[Order Date]])</f>
        <v>2016</v>
      </c>
      <c r="K1868" t="str">
        <f>TEXT(SalesData[[#This Row],[Order Date]],"mmm")</f>
        <v>Jun</v>
      </c>
      <c r="L1868">
        <f>MONTH(SalesData[[#This Row],[Order Date]])</f>
        <v>6</v>
      </c>
      <c r="M1868">
        <f>SalesData[[#This Row],[Sales]]/SalesData[[#This Row],[Quantity]]</f>
        <v>79.52</v>
      </c>
      <c r="N1868" t="str">
        <f>IF(SalesData[[#This Row],[Profit]]&gt;0,"Profit","Loss")</f>
        <v>Profit</v>
      </c>
    </row>
    <row r="1869" spans="1:14" x14ac:dyDescent="0.3">
      <c r="A1869" t="s">
        <v>2306</v>
      </c>
      <c r="B1869" s="3">
        <v>42532</v>
      </c>
      <c r="C1869" t="s">
        <v>46</v>
      </c>
      <c r="D1869" t="s">
        <v>14</v>
      </c>
      <c r="E1869" t="s">
        <v>1666</v>
      </c>
      <c r="F1869" s="1">
        <v>207.98400000000001</v>
      </c>
      <c r="G1869">
        <v>2</v>
      </c>
      <c r="H1869" s="1">
        <v>-28.597799999999999</v>
      </c>
      <c r="I1869" s="4">
        <f>SalesData[[#This Row],[Profit]]/SalesData[[#This Row],[Sales]]</f>
        <v>-0.13749999999999998</v>
      </c>
      <c r="J1869">
        <f>YEAR(SalesData[[#This Row],[Order Date]])</f>
        <v>2016</v>
      </c>
      <c r="K1869" t="str">
        <f>TEXT(SalesData[[#This Row],[Order Date]],"mmm")</f>
        <v>Jun</v>
      </c>
      <c r="L1869">
        <f>MONTH(SalesData[[#This Row],[Order Date]])</f>
        <v>6</v>
      </c>
      <c r="M1869">
        <f>SalesData[[#This Row],[Sales]]/SalesData[[#This Row],[Quantity]]</f>
        <v>103.992</v>
      </c>
      <c r="N1869" t="str">
        <f>IF(SalesData[[#This Row],[Profit]]&gt;0,"Profit","Loss")</f>
        <v>Loss</v>
      </c>
    </row>
    <row r="1870" spans="1:14" x14ac:dyDescent="0.3">
      <c r="A1870" t="s">
        <v>2306</v>
      </c>
      <c r="B1870" s="3">
        <v>42532</v>
      </c>
      <c r="C1870" t="s">
        <v>46</v>
      </c>
      <c r="D1870" t="s">
        <v>21</v>
      </c>
      <c r="E1870" t="s">
        <v>2307</v>
      </c>
      <c r="F1870" s="1">
        <v>36.112000000000002</v>
      </c>
      <c r="G1870">
        <v>2</v>
      </c>
      <c r="H1870" s="1">
        <v>12.639200000000001</v>
      </c>
      <c r="I1870" s="4">
        <f>SalesData[[#This Row],[Profit]]/SalesData[[#This Row],[Sales]]</f>
        <v>0.35</v>
      </c>
      <c r="J1870">
        <f>YEAR(SalesData[[#This Row],[Order Date]])</f>
        <v>2016</v>
      </c>
      <c r="K1870" t="str">
        <f>TEXT(SalesData[[#This Row],[Order Date]],"mmm")</f>
        <v>Jun</v>
      </c>
      <c r="L1870">
        <f>MONTH(SalesData[[#This Row],[Order Date]])</f>
        <v>6</v>
      </c>
      <c r="M1870">
        <f>SalesData[[#This Row],[Sales]]/SalesData[[#This Row],[Quantity]]</f>
        <v>18.056000000000001</v>
      </c>
      <c r="N1870" t="str">
        <f>IF(SalesData[[#This Row],[Profit]]&gt;0,"Profit","Loss")</f>
        <v>Profit</v>
      </c>
    </row>
    <row r="1871" spans="1:14" x14ac:dyDescent="0.3">
      <c r="A1871" t="s">
        <v>2306</v>
      </c>
      <c r="B1871" s="3">
        <v>42532</v>
      </c>
      <c r="C1871" t="s">
        <v>46</v>
      </c>
      <c r="D1871" t="s">
        <v>14</v>
      </c>
      <c r="E1871" t="s">
        <v>1385</v>
      </c>
      <c r="F1871" s="1">
        <v>35.567999999999998</v>
      </c>
      <c r="G1871">
        <v>2</v>
      </c>
      <c r="H1871" s="1">
        <v>5.7797999999999998</v>
      </c>
      <c r="I1871" s="4">
        <f>SalesData[[#This Row],[Profit]]/SalesData[[#This Row],[Sales]]</f>
        <v>0.16250000000000001</v>
      </c>
      <c r="J1871">
        <f>YEAR(SalesData[[#This Row],[Order Date]])</f>
        <v>2016</v>
      </c>
      <c r="K1871" t="str">
        <f>TEXT(SalesData[[#This Row],[Order Date]],"mmm")</f>
        <v>Jun</v>
      </c>
      <c r="L1871">
        <f>MONTH(SalesData[[#This Row],[Order Date]])</f>
        <v>6</v>
      </c>
      <c r="M1871">
        <f>SalesData[[#This Row],[Sales]]/SalesData[[#This Row],[Quantity]]</f>
        <v>17.783999999999999</v>
      </c>
      <c r="N1871" t="str">
        <f>IF(SalesData[[#This Row],[Profit]]&gt;0,"Profit","Loss")</f>
        <v>Profit</v>
      </c>
    </row>
    <row r="1872" spans="1:14" x14ac:dyDescent="0.3">
      <c r="A1872" t="s">
        <v>2306</v>
      </c>
      <c r="B1872" s="3">
        <v>42532</v>
      </c>
      <c r="C1872" t="s">
        <v>46</v>
      </c>
      <c r="D1872" t="s">
        <v>21</v>
      </c>
      <c r="E1872" t="s">
        <v>391</v>
      </c>
      <c r="F1872" s="1">
        <v>88.768000000000001</v>
      </c>
      <c r="G1872">
        <v>2</v>
      </c>
      <c r="H1872" s="1">
        <v>31.0688</v>
      </c>
      <c r="I1872" s="4">
        <f>SalesData[[#This Row],[Profit]]/SalesData[[#This Row],[Sales]]</f>
        <v>0.35</v>
      </c>
      <c r="J1872">
        <f>YEAR(SalesData[[#This Row],[Order Date]])</f>
        <v>2016</v>
      </c>
      <c r="K1872" t="str">
        <f>TEXT(SalesData[[#This Row],[Order Date]],"mmm")</f>
        <v>Jun</v>
      </c>
      <c r="L1872">
        <f>MONTH(SalesData[[#This Row],[Order Date]])</f>
        <v>6</v>
      </c>
      <c r="M1872">
        <f>SalesData[[#This Row],[Sales]]/SalesData[[#This Row],[Quantity]]</f>
        <v>44.384</v>
      </c>
      <c r="N1872" t="str">
        <f>IF(SalesData[[#This Row],[Profit]]&gt;0,"Profit","Loss")</f>
        <v>Profit</v>
      </c>
    </row>
    <row r="1873" spans="1:14" x14ac:dyDescent="0.3">
      <c r="A1873" t="s">
        <v>2308</v>
      </c>
      <c r="B1873" s="3">
        <v>42532</v>
      </c>
      <c r="C1873" t="s">
        <v>13</v>
      </c>
      <c r="D1873" t="s">
        <v>21</v>
      </c>
      <c r="E1873" t="s">
        <v>413</v>
      </c>
      <c r="F1873" s="1">
        <v>84.84</v>
      </c>
      <c r="G1873">
        <v>3</v>
      </c>
      <c r="H1873" s="1">
        <v>22.9068</v>
      </c>
      <c r="I1873" s="4">
        <f>SalesData[[#This Row],[Profit]]/SalesData[[#This Row],[Sales]]</f>
        <v>0.27</v>
      </c>
      <c r="J1873">
        <f>YEAR(SalesData[[#This Row],[Order Date]])</f>
        <v>2016</v>
      </c>
      <c r="K1873" t="str">
        <f>TEXT(SalesData[[#This Row],[Order Date]],"mmm")</f>
        <v>Jun</v>
      </c>
      <c r="L1873">
        <f>MONTH(SalesData[[#This Row],[Order Date]])</f>
        <v>6</v>
      </c>
      <c r="M1873">
        <f>SalesData[[#This Row],[Sales]]/SalesData[[#This Row],[Quantity]]</f>
        <v>28.28</v>
      </c>
      <c r="N1873" t="str">
        <f>IF(SalesData[[#This Row],[Profit]]&gt;0,"Profit","Loss")</f>
        <v>Profit</v>
      </c>
    </row>
    <row r="1874" spans="1:14" x14ac:dyDescent="0.3">
      <c r="A1874" t="s">
        <v>2309</v>
      </c>
      <c r="B1874" s="3">
        <v>42533</v>
      </c>
      <c r="C1874" t="s">
        <v>13</v>
      </c>
      <c r="D1874" t="s">
        <v>21</v>
      </c>
      <c r="E1874" t="s">
        <v>70</v>
      </c>
      <c r="F1874" s="1">
        <v>19.440000000000001</v>
      </c>
      <c r="G1874">
        <v>3</v>
      </c>
      <c r="H1874" s="1">
        <v>9.3312000000000008</v>
      </c>
      <c r="I1874" s="4">
        <f>SalesData[[#This Row],[Profit]]/SalesData[[#This Row],[Sales]]</f>
        <v>0.48000000000000004</v>
      </c>
      <c r="J1874">
        <f>YEAR(SalesData[[#This Row],[Order Date]])</f>
        <v>2016</v>
      </c>
      <c r="K1874" t="str">
        <f>TEXT(SalesData[[#This Row],[Order Date]],"mmm")</f>
        <v>Jun</v>
      </c>
      <c r="L1874">
        <f>MONTH(SalesData[[#This Row],[Order Date]])</f>
        <v>6</v>
      </c>
      <c r="M1874">
        <f>SalesData[[#This Row],[Sales]]/SalesData[[#This Row],[Quantity]]</f>
        <v>6.48</v>
      </c>
      <c r="N1874" t="str">
        <f>IF(SalesData[[#This Row],[Profit]]&gt;0,"Profit","Loss")</f>
        <v>Profit</v>
      </c>
    </row>
    <row r="1875" spans="1:14" x14ac:dyDescent="0.3">
      <c r="A1875" t="s">
        <v>2310</v>
      </c>
      <c r="B1875" s="3">
        <v>42533</v>
      </c>
      <c r="C1875" t="s">
        <v>13</v>
      </c>
      <c r="D1875" t="s">
        <v>10</v>
      </c>
      <c r="E1875" t="s">
        <v>2311</v>
      </c>
      <c r="F1875" s="1">
        <v>156.792</v>
      </c>
      <c r="G1875">
        <v>1</v>
      </c>
      <c r="H1875" s="1">
        <v>13.7193</v>
      </c>
      <c r="I1875" s="4">
        <f>SalesData[[#This Row],[Profit]]/SalesData[[#This Row],[Sales]]</f>
        <v>8.7500000000000008E-2</v>
      </c>
      <c r="J1875">
        <f>YEAR(SalesData[[#This Row],[Order Date]])</f>
        <v>2016</v>
      </c>
      <c r="K1875" t="str">
        <f>TEXT(SalesData[[#This Row],[Order Date]],"mmm")</f>
        <v>Jun</v>
      </c>
      <c r="L1875">
        <f>MONTH(SalesData[[#This Row],[Order Date]])</f>
        <v>6</v>
      </c>
      <c r="M1875">
        <f>SalesData[[#This Row],[Sales]]/SalesData[[#This Row],[Quantity]]</f>
        <v>156.792</v>
      </c>
      <c r="N1875" t="str">
        <f>IF(SalesData[[#This Row],[Profit]]&gt;0,"Profit","Loss")</f>
        <v>Profit</v>
      </c>
    </row>
    <row r="1876" spans="1:14" x14ac:dyDescent="0.3">
      <c r="A1876" t="s">
        <v>2310</v>
      </c>
      <c r="B1876" s="3">
        <v>42533</v>
      </c>
      <c r="C1876" t="s">
        <v>13</v>
      </c>
      <c r="D1876" t="s">
        <v>10</v>
      </c>
      <c r="E1876" t="s">
        <v>2312</v>
      </c>
      <c r="F1876" s="1">
        <v>431.976</v>
      </c>
      <c r="G1876">
        <v>3</v>
      </c>
      <c r="H1876" s="1">
        <v>26.9985</v>
      </c>
      <c r="I1876" s="4">
        <f>SalesData[[#This Row],[Profit]]/SalesData[[#This Row],[Sales]]</f>
        <v>6.25E-2</v>
      </c>
      <c r="J1876">
        <f>YEAR(SalesData[[#This Row],[Order Date]])</f>
        <v>2016</v>
      </c>
      <c r="K1876" t="str">
        <f>TEXT(SalesData[[#This Row],[Order Date]],"mmm")</f>
        <v>Jun</v>
      </c>
      <c r="L1876">
        <f>MONTH(SalesData[[#This Row],[Order Date]])</f>
        <v>6</v>
      </c>
      <c r="M1876">
        <f>SalesData[[#This Row],[Sales]]/SalesData[[#This Row],[Quantity]]</f>
        <v>143.99199999999999</v>
      </c>
      <c r="N1876" t="str">
        <f>IF(SalesData[[#This Row],[Profit]]&gt;0,"Profit","Loss")</f>
        <v>Profit</v>
      </c>
    </row>
    <row r="1877" spans="1:14" x14ac:dyDescent="0.3">
      <c r="A1877" t="s">
        <v>2310</v>
      </c>
      <c r="B1877" s="3">
        <v>42533</v>
      </c>
      <c r="C1877" t="s">
        <v>13</v>
      </c>
      <c r="D1877" t="s">
        <v>21</v>
      </c>
      <c r="E1877" t="s">
        <v>1220</v>
      </c>
      <c r="F1877" s="1">
        <v>35.89</v>
      </c>
      <c r="G1877">
        <v>1</v>
      </c>
      <c r="H1877" s="1">
        <v>16.150500000000001</v>
      </c>
      <c r="I1877" s="4">
        <f>SalesData[[#This Row],[Profit]]/SalesData[[#This Row],[Sales]]</f>
        <v>0.45</v>
      </c>
      <c r="J1877">
        <f>YEAR(SalesData[[#This Row],[Order Date]])</f>
        <v>2016</v>
      </c>
      <c r="K1877" t="str">
        <f>TEXT(SalesData[[#This Row],[Order Date]],"mmm")</f>
        <v>Jun</v>
      </c>
      <c r="L1877">
        <f>MONTH(SalesData[[#This Row],[Order Date]])</f>
        <v>6</v>
      </c>
      <c r="M1877">
        <f>SalesData[[#This Row],[Sales]]/SalesData[[#This Row],[Quantity]]</f>
        <v>35.89</v>
      </c>
      <c r="N1877" t="str">
        <f>IF(SalesData[[#This Row],[Profit]]&gt;0,"Profit","Loss")</f>
        <v>Profit</v>
      </c>
    </row>
    <row r="1878" spans="1:14" x14ac:dyDescent="0.3">
      <c r="A1878" t="s">
        <v>2310</v>
      </c>
      <c r="B1878" s="3">
        <v>42533</v>
      </c>
      <c r="C1878" t="s">
        <v>13</v>
      </c>
      <c r="D1878" t="s">
        <v>21</v>
      </c>
      <c r="E1878" t="s">
        <v>2313</v>
      </c>
      <c r="F1878" s="1">
        <v>47.207999999999998</v>
      </c>
      <c r="G1878">
        <v>7</v>
      </c>
      <c r="H1878" s="1">
        <v>15.342599999999999</v>
      </c>
      <c r="I1878" s="4">
        <f>SalesData[[#This Row],[Profit]]/SalesData[[#This Row],[Sales]]</f>
        <v>0.32500000000000001</v>
      </c>
      <c r="J1878">
        <f>YEAR(SalesData[[#This Row],[Order Date]])</f>
        <v>2016</v>
      </c>
      <c r="K1878" t="str">
        <f>TEXT(SalesData[[#This Row],[Order Date]],"mmm")</f>
        <v>Jun</v>
      </c>
      <c r="L1878">
        <f>MONTH(SalesData[[#This Row],[Order Date]])</f>
        <v>6</v>
      </c>
      <c r="M1878">
        <f>SalesData[[#This Row],[Sales]]/SalesData[[#This Row],[Quantity]]</f>
        <v>6.7439999999999998</v>
      </c>
      <c r="N1878" t="str">
        <f>IF(SalesData[[#This Row],[Profit]]&gt;0,"Profit","Loss")</f>
        <v>Profit</v>
      </c>
    </row>
    <row r="1879" spans="1:14" x14ac:dyDescent="0.3">
      <c r="A1879" t="s">
        <v>2310</v>
      </c>
      <c r="B1879" s="3">
        <v>42533</v>
      </c>
      <c r="C1879" t="s">
        <v>13</v>
      </c>
      <c r="D1879" t="s">
        <v>21</v>
      </c>
      <c r="E1879" t="s">
        <v>2314</v>
      </c>
      <c r="F1879" s="1">
        <v>248.08</v>
      </c>
      <c r="G1879">
        <v>7</v>
      </c>
      <c r="H1879" s="1">
        <v>116.5976</v>
      </c>
      <c r="I1879" s="4">
        <f>SalesData[[#This Row],[Profit]]/SalesData[[#This Row],[Sales]]</f>
        <v>0.47</v>
      </c>
      <c r="J1879">
        <f>YEAR(SalesData[[#This Row],[Order Date]])</f>
        <v>2016</v>
      </c>
      <c r="K1879" t="str">
        <f>TEXT(SalesData[[#This Row],[Order Date]],"mmm")</f>
        <v>Jun</v>
      </c>
      <c r="L1879">
        <f>MONTH(SalesData[[#This Row],[Order Date]])</f>
        <v>6</v>
      </c>
      <c r="M1879">
        <f>SalesData[[#This Row],[Sales]]/SalesData[[#This Row],[Quantity]]</f>
        <v>35.440000000000005</v>
      </c>
      <c r="N1879" t="str">
        <f>IF(SalesData[[#This Row],[Profit]]&gt;0,"Profit","Loss")</f>
        <v>Profit</v>
      </c>
    </row>
    <row r="1880" spans="1:14" x14ac:dyDescent="0.3">
      <c r="A1880" t="s">
        <v>2310</v>
      </c>
      <c r="B1880" s="3">
        <v>42533</v>
      </c>
      <c r="C1880" t="s">
        <v>13</v>
      </c>
      <c r="D1880" t="s">
        <v>21</v>
      </c>
      <c r="E1880" t="s">
        <v>705</v>
      </c>
      <c r="F1880" s="1">
        <v>189.7</v>
      </c>
      <c r="G1880">
        <v>5</v>
      </c>
      <c r="H1880" s="1">
        <v>89.159000000000006</v>
      </c>
      <c r="I1880" s="4">
        <f>SalesData[[#This Row],[Profit]]/SalesData[[#This Row],[Sales]]</f>
        <v>0.47000000000000008</v>
      </c>
      <c r="J1880">
        <f>YEAR(SalesData[[#This Row],[Order Date]])</f>
        <v>2016</v>
      </c>
      <c r="K1880" t="str">
        <f>TEXT(SalesData[[#This Row],[Order Date]],"mmm")</f>
        <v>Jun</v>
      </c>
      <c r="L1880">
        <f>MONTH(SalesData[[#This Row],[Order Date]])</f>
        <v>6</v>
      </c>
      <c r="M1880">
        <f>SalesData[[#This Row],[Sales]]/SalesData[[#This Row],[Quantity]]</f>
        <v>37.94</v>
      </c>
      <c r="N1880" t="str">
        <f>IF(SalesData[[#This Row],[Profit]]&gt;0,"Profit","Loss")</f>
        <v>Profit</v>
      </c>
    </row>
    <row r="1881" spans="1:14" x14ac:dyDescent="0.3">
      <c r="A1881" t="s">
        <v>2310</v>
      </c>
      <c r="B1881" s="3">
        <v>42533</v>
      </c>
      <c r="C1881" t="s">
        <v>13</v>
      </c>
      <c r="D1881" t="s">
        <v>21</v>
      </c>
      <c r="E1881" t="s">
        <v>104</v>
      </c>
      <c r="F1881" s="1">
        <v>59.808</v>
      </c>
      <c r="G1881">
        <v>3</v>
      </c>
      <c r="H1881" s="1">
        <v>19.4376</v>
      </c>
      <c r="I1881" s="4">
        <f>SalesData[[#This Row],[Profit]]/SalesData[[#This Row],[Sales]]</f>
        <v>0.32500000000000001</v>
      </c>
      <c r="J1881">
        <f>YEAR(SalesData[[#This Row],[Order Date]])</f>
        <v>2016</v>
      </c>
      <c r="K1881" t="str">
        <f>TEXT(SalesData[[#This Row],[Order Date]],"mmm")</f>
        <v>Jun</v>
      </c>
      <c r="L1881">
        <f>MONTH(SalesData[[#This Row],[Order Date]])</f>
        <v>6</v>
      </c>
      <c r="M1881">
        <f>SalesData[[#This Row],[Sales]]/SalesData[[#This Row],[Quantity]]</f>
        <v>19.936</v>
      </c>
      <c r="N1881" t="str">
        <f>IF(SalesData[[#This Row],[Profit]]&gt;0,"Profit","Loss")</f>
        <v>Profit</v>
      </c>
    </row>
    <row r="1882" spans="1:14" x14ac:dyDescent="0.3">
      <c r="A1882" t="s">
        <v>2315</v>
      </c>
      <c r="B1882" s="3">
        <v>42533</v>
      </c>
      <c r="C1882" t="s">
        <v>17</v>
      </c>
      <c r="D1882" t="s">
        <v>21</v>
      </c>
      <c r="E1882" t="s">
        <v>1999</v>
      </c>
      <c r="F1882" s="1">
        <v>968.74400000000003</v>
      </c>
      <c r="G1882">
        <v>7</v>
      </c>
      <c r="H1882" s="1">
        <v>314.84179999999998</v>
      </c>
      <c r="I1882" s="4">
        <f>SalesData[[#This Row],[Profit]]/SalesData[[#This Row],[Sales]]</f>
        <v>0.32499999999999996</v>
      </c>
      <c r="J1882">
        <f>YEAR(SalesData[[#This Row],[Order Date]])</f>
        <v>2016</v>
      </c>
      <c r="K1882" t="str">
        <f>TEXT(SalesData[[#This Row],[Order Date]],"mmm")</f>
        <v>Jun</v>
      </c>
      <c r="L1882">
        <f>MONTH(SalesData[[#This Row],[Order Date]])</f>
        <v>6</v>
      </c>
      <c r="M1882">
        <f>SalesData[[#This Row],[Sales]]/SalesData[[#This Row],[Quantity]]</f>
        <v>138.392</v>
      </c>
      <c r="N1882" t="str">
        <f>IF(SalesData[[#This Row],[Profit]]&gt;0,"Profit","Loss")</f>
        <v>Profit</v>
      </c>
    </row>
    <row r="1883" spans="1:14" x14ac:dyDescent="0.3">
      <c r="A1883" t="s">
        <v>2315</v>
      </c>
      <c r="B1883" s="3">
        <v>42533</v>
      </c>
      <c r="C1883" t="s">
        <v>17</v>
      </c>
      <c r="D1883" t="s">
        <v>21</v>
      </c>
      <c r="E1883" t="s">
        <v>2281</v>
      </c>
      <c r="F1883" s="1">
        <v>222.352</v>
      </c>
      <c r="G1883">
        <v>13</v>
      </c>
      <c r="H1883" s="1">
        <v>77.8232</v>
      </c>
      <c r="I1883" s="4">
        <f>SalesData[[#This Row],[Profit]]/SalesData[[#This Row],[Sales]]</f>
        <v>0.35</v>
      </c>
      <c r="J1883">
        <f>YEAR(SalesData[[#This Row],[Order Date]])</f>
        <v>2016</v>
      </c>
      <c r="K1883" t="str">
        <f>TEXT(SalesData[[#This Row],[Order Date]],"mmm")</f>
        <v>Jun</v>
      </c>
      <c r="L1883">
        <f>MONTH(SalesData[[#This Row],[Order Date]])</f>
        <v>6</v>
      </c>
      <c r="M1883">
        <f>SalesData[[#This Row],[Sales]]/SalesData[[#This Row],[Quantity]]</f>
        <v>17.103999999999999</v>
      </c>
      <c r="N1883" t="str">
        <f>IF(SalesData[[#This Row],[Profit]]&gt;0,"Profit","Loss")</f>
        <v>Profit</v>
      </c>
    </row>
    <row r="1884" spans="1:14" x14ac:dyDescent="0.3">
      <c r="A1884" t="s">
        <v>2315</v>
      </c>
      <c r="B1884" s="3">
        <v>42533</v>
      </c>
      <c r="C1884" t="s">
        <v>17</v>
      </c>
      <c r="D1884" t="s">
        <v>10</v>
      </c>
      <c r="E1884" t="s">
        <v>144</v>
      </c>
      <c r="F1884" s="1">
        <v>479.98399999999998</v>
      </c>
      <c r="G1884">
        <v>2</v>
      </c>
      <c r="H1884" s="1">
        <v>89.997</v>
      </c>
      <c r="I1884" s="4">
        <f>SalesData[[#This Row],[Profit]]/SalesData[[#This Row],[Sales]]</f>
        <v>0.1875</v>
      </c>
      <c r="J1884">
        <f>YEAR(SalesData[[#This Row],[Order Date]])</f>
        <v>2016</v>
      </c>
      <c r="K1884" t="str">
        <f>TEXT(SalesData[[#This Row],[Order Date]],"mmm")</f>
        <v>Jun</v>
      </c>
      <c r="L1884">
        <f>MONTH(SalesData[[#This Row],[Order Date]])</f>
        <v>6</v>
      </c>
      <c r="M1884">
        <f>SalesData[[#This Row],[Sales]]/SalesData[[#This Row],[Quantity]]</f>
        <v>239.99199999999999</v>
      </c>
      <c r="N1884" t="str">
        <f>IF(SalesData[[#This Row],[Profit]]&gt;0,"Profit","Loss")</f>
        <v>Profit</v>
      </c>
    </row>
    <row r="1885" spans="1:14" x14ac:dyDescent="0.3">
      <c r="A1885" t="s">
        <v>2316</v>
      </c>
      <c r="B1885" s="3">
        <v>42533</v>
      </c>
      <c r="C1885" t="s">
        <v>13</v>
      </c>
      <c r="D1885" t="s">
        <v>10</v>
      </c>
      <c r="E1885" t="s">
        <v>2317</v>
      </c>
      <c r="F1885" s="1">
        <v>271.95999999999998</v>
      </c>
      <c r="G1885">
        <v>5</v>
      </c>
      <c r="H1885" s="1">
        <v>27.196000000000002</v>
      </c>
      <c r="I1885" s="4">
        <f>SalesData[[#This Row],[Profit]]/SalesData[[#This Row],[Sales]]</f>
        <v>0.10000000000000002</v>
      </c>
      <c r="J1885">
        <f>YEAR(SalesData[[#This Row],[Order Date]])</f>
        <v>2016</v>
      </c>
      <c r="K1885" t="str">
        <f>TEXT(SalesData[[#This Row],[Order Date]],"mmm")</f>
        <v>Jun</v>
      </c>
      <c r="L1885">
        <f>MONTH(SalesData[[#This Row],[Order Date]])</f>
        <v>6</v>
      </c>
      <c r="M1885">
        <f>SalesData[[#This Row],[Sales]]/SalesData[[#This Row],[Quantity]]</f>
        <v>54.391999999999996</v>
      </c>
      <c r="N1885" t="str">
        <f>IF(SalesData[[#This Row],[Profit]]&gt;0,"Profit","Loss")</f>
        <v>Profit</v>
      </c>
    </row>
    <row r="1886" spans="1:14" x14ac:dyDescent="0.3">
      <c r="A1886" t="s">
        <v>2316</v>
      </c>
      <c r="B1886" s="3">
        <v>42533</v>
      </c>
      <c r="C1886" t="s">
        <v>13</v>
      </c>
      <c r="D1886" t="s">
        <v>21</v>
      </c>
      <c r="E1886" t="s">
        <v>1986</v>
      </c>
      <c r="F1886" s="1">
        <v>18.690000000000001</v>
      </c>
      <c r="G1886">
        <v>7</v>
      </c>
      <c r="H1886" s="1">
        <v>5.2332000000000001</v>
      </c>
      <c r="I1886" s="4">
        <f>SalesData[[#This Row],[Profit]]/SalesData[[#This Row],[Sales]]</f>
        <v>0.27999999999999997</v>
      </c>
      <c r="J1886">
        <f>YEAR(SalesData[[#This Row],[Order Date]])</f>
        <v>2016</v>
      </c>
      <c r="K1886" t="str">
        <f>TEXT(SalesData[[#This Row],[Order Date]],"mmm")</f>
        <v>Jun</v>
      </c>
      <c r="L1886">
        <f>MONTH(SalesData[[#This Row],[Order Date]])</f>
        <v>6</v>
      </c>
      <c r="M1886">
        <f>SalesData[[#This Row],[Sales]]/SalesData[[#This Row],[Quantity]]</f>
        <v>2.6700000000000004</v>
      </c>
      <c r="N1886" t="str">
        <f>IF(SalesData[[#This Row],[Profit]]&gt;0,"Profit","Loss")</f>
        <v>Profit</v>
      </c>
    </row>
    <row r="1887" spans="1:14" x14ac:dyDescent="0.3">
      <c r="A1887" t="s">
        <v>2316</v>
      </c>
      <c r="B1887" s="3">
        <v>42533</v>
      </c>
      <c r="C1887" t="s">
        <v>13</v>
      </c>
      <c r="D1887" t="s">
        <v>21</v>
      </c>
      <c r="E1887" t="s">
        <v>2318</v>
      </c>
      <c r="F1887" s="1">
        <v>13.36</v>
      </c>
      <c r="G1887">
        <v>2</v>
      </c>
      <c r="H1887" s="1">
        <v>6.4127999999999998</v>
      </c>
      <c r="I1887" s="4">
        <f>SalesData[[#This Row],[Profit]]/SalesData[[#This Row],[Sales]]</f>
        <v>0.48</v>
      </c>
      <c r="J1887">
        <f>YEAR(SalesData[[#This Row],[Order Date]])</f>
        <v>2016</v>
      </c>
      <c r="K1887" t="str">
        <f>TEXT(SalesData[[#This Row],[Order Date]],"mmm")</f>
        <v>Jun</v>
      </c>
      <c r="L1887">
        <f>MONTH(SalesData[[#This Row],[Order Date]])</f>
        <v>6</v>
      </c>
      <c r="M1887">
        <f>SalesData[[#This Row],[Sales]]/SalesData[[#This Row],[Quantity]]</f>
        <v>6.68</v>
      </c>
      <c r="N1887" t="str">
        <f>IF(SalesData[[#This Row],[Profit]]&gt;0,"Profit","Loss")</f>
        <v>Profit</v>
      </c>
    </row>
    <row r="1888" spans="1:14" x14ac:dyDescent="0.3">
      <c r="A1888" t="s">
        <v>2316</v>
      </c>
      <c r="B1888" s="3">
        <v>42533</v>
      </c>
      <c r="C1888" t="s">
        <v>13</v>
      </c>
      <c r="D1888" t="s">
        <v>10</v>
      </c>
      <c r="E1888" t="s">
        <v>1084</v>
      </c>
      <c r="F1888" s="1">
        <v>249.584</v>
      </c>
      <c r="G1888">
        <v>2</v>
      </c>
      <c r="H1888" s="1">
        <v>31.198</v>
      </c>
      <c r="I1888" s="4">
        <f>SalesData[[#This Row],[Profit]]/SalesData[[#This Row],[Sales]]</f>
        <v>0.125</v>
      </c>
      <c r="J1888">
        <f>YEAR(SalesData[[#This Row],[Order Date]])</f>
        <v>2016</v>
      </c>
      <c r="K1888" t="str">
        <f>TEXT(SalesData[[#This Row],[Order Date]],"mmm")</f>
        <v>Jun</v>
      </c>
      <c r="L1888">
        <f>MONTH(SalesData[[#This Row],[Order Date]])</f>
        <v>6</v>
      </c>
      <c r="M1888">
        <f>SalesData[[#This Row],[Sales]]/SalesData[[#This Row],[Quantity]]</f>
        <v>124.792</v>
      </c>
      <c r="N1888" t="str">
        <f>IF(SalesData[[#This Row],[Profit]]&gt;0,"Profit","Loss")</f>
        <v>Profit</v>
      </c>
    </row>
    <row r="1889" spans="1:14" x14ac:dyDescent="0.3">
      <c r="A1889" t="s">
        <v>2316</v>
      </c>
      <c r="B1889" s="3">
        <v>42533</v>
      </c>
      <c r="C1889" t="s">
        <v>13</v>
      </c>
      <c r="D1889" t="s">
        <v>21</v>
      </c>
      <c r="E1889" t="s">
        <v>1528</v>
      </c>
      <c r="F1889" s="1">
        <v>13.86</v>
      </c>
      <c r="G1889">
        <v>7</v>
      </c>
      <c r="H1889" s="1">
        <v>0</v>
      </c>
      <c r="I1889" s="4">
        <f>SalesData[[#This Row],[Profit]]/SalesData[[#This Row],[Sales]]</f>
        <v>0</v>
      </c>
      <c r="J1889">
        <f>YEAR(SalesData[[#This Row],[Order Date]])</f>
        <v>2016</v>
      </c>
      <c r="K1889" t="str">
        <f>TEXT(SalesData[[#This Row],[Order Date]],"mmm")</f>
        <v>Jun</v>
      </c>
      <c r="L1889">
        <f>MONTH(SalesData[[#This Row],[Order Date]])</f>
        <v>6</v>
      </c>
      <c r="M1889">
        <f>SalesData[[#This Row],[Sales]]/SalesData[[#This Row],[Quantity]]</f>
        <v>1.98</v>
      </c>
      <c r="N1889" t="str">
        <f>IF(SalesData[[#This Row],[Profit]]&gt;0,"Profit","Loss")</f>
        <v>Loss</v>
      </c>
    </row>
    <row r="1890" spans="1:14" x14ac:dyDescent="0.3">
      <c r="A1890" t="s">
        <v>2316</v>
      </c>
      <c r="B1890" s="3">
        <v>42533</v>
      </c>
      <c r="C1890" t="s">
        <v>13</v>
      </c>
      <c r="D1890" t="s">
        <v>21</v>
      </c>
      <c r="E1890" t="s">
        <v>1532</v>
      </c>
      <c r="F1890" s="1">
        <v>13.375999999999999</v>
      </c>
      <c r="G1890">
        <v>4</v>
      </c>
      <c r="H1890" s="1">
        <v>4.6816000000000004</v>
      </c>
      <c r="I1890" s="4">
        <f>SalesData[[#This Row],[Profit]]/SalesData[[#This Row],[Sales]]</f>
        <v>0.35000000000000003</v>
      </c>
      <c r="J1890">
        <f>YEAR(SalesData[[#This Row],[Order Date]])</f>
        <v>2016</v>
      </c>
      <c r="K1890" t="str">
        <f>TEXT(SalesData[[#This Row],[Order Date]],"mmm")</f>
        <v>Jun</v>
      </c>
      <c r="L1890">
        <f>MONTH(SalesData[[#This Row],[Order Date]])</f>
        <v>6</v>
      </c>
      <c r="M1890">
        <f>SalesData[[#This Row],[Sales]]/SalesData[[#This Row],[Quantity]]</f>
        <v>3.3439999999999999</v>
      </c>
      <c r="N1890" t="str">
        <f>IF(SalesData[[#This Row],[Profit]]&gt;0,"Profit","Loss")</f>
        <v>Profit</v>
      </c>
    </row>
    <row r="1891" spans="1:14" x14ac:dyDescent="0.3">
      <c r="A1891" t="s">
        <v>2316</v>
      </c>
      <c r="B1891" s="3">
        <v>42533</v>
      </c>
      <c r="C1891" t="s">
        <v>13</v>
      </c>
      <c r="D1891" t="s">
        <v>21</v>
      </c>
      <c r="E1891" t="s">
        <v>1210</v>
      </c>
      <c r="F1891" s="1">
        <v>437.47199999999998</v>
      </c>
      <c r="G1891">
        <v>14</v>
      </c>
      <c r="H1891" s="1">
        <v>153.11519999999999</v>
      </c>
      <c r="I1891" s="4">
        <f>SalesData[[#This Row],[Profit]]/SalesData[[#This Row],[Sales]]</f>
        <v>0.35</v>
      </c>
      <c r="J1891">
        <f>YEAR(SalesData[[#This Row],[Order Date]])</f>
        <v>2016</v>
      </c>
      <c r="K1891" t="str">
        <f>TEXT(SalesData[[#This Row],[Order Date]],"mmm")</f>
        <v>Jun</v>
      </c>
      <c r="L1891">
        <f>MONTH(SalesData[[#This Row],[Order Date]])</f>
        <v>6</v>
      </c>
      <c r="M1891">
        <f>SalesData[[#This Row],[Sales]]/SalesData[[#This Row],[Quantity]]</f>
        <v>31.247999999999998</v>
      </c>
      <c r="N1891" t="str">
        <f>IF(SalesData[[#This Row],[Profit]]&gt;0,"Profit","Loss")</f>
        <v>Profit</v>
      </c>
    </row>
    <row r="1892" spans="1:14" x14ac:dyDescent="0.3">
      <c r="A1892" t="s">
        <v>2319</v>
      </c>
      <c r="B1892" s="3">
        <v>42552</v>
      </c>
      <c r="C1892" t="s">
        <v>13</v>
      </c>
      <c r="D1892" t="s">
        <v>21</v>
      </c>
      <c r="E1892" t="s">
        <v>1058</v>
      </c>
      <c r="F1892" s="1">
        <v>34.58</v>
      </c>
      <c r="G1892">
        <v>1</v>
      </c>
      <c r="H1892" s="1">
        <v>10.0282</v>
      </c>
      <c r="I1892" s="4">
        <f>SalesData[[#This Row],[Profit]]/SalesData[[#This Row],[Sales]]</f>
        <v>0.29000000000000004</v>
      </c>
      <c r="J1892">
        <f>YEAR(SalesData[[#This Row],[Order Date]])</f>
        <v>2016</v>
      </c>
      <c r="K1892" t="str">
        <f>TEXT(SalesData[[#This Row],[Order Date]],"mmm")</f>
        <v>Jul</v>
      </c>
      <c r="L1892">
        <f>MONTH(SalesData[[#This Row],[Order Date]])</f>
        <v>7</v>
      </c>
      <c r="M1892">
        <f>SalesData[[#This Row],[Sales]]/SalesData[[#This Row],[Quantity]]</f>
        <v>34.58</v>
      </c>
      <c r="N1892" t="str">
        <f>IF(SalesData[[#This Row],[Profit]]&gt;0,"Profit","Loss")</f>
        <v>Profit</v>
      </c>
    </row>
    <row r="1893" spans="1:14" x14ac:dyDescent="0.3">
      <c r="A1893" t="s">
        <v>2320</v>
      </c>
      <c r="B1893" s="3">
        <v>42552</v>
      </c>
      <c r="C1893" t="s">
        <v>9</v>
      </c>
      <c r="D1893" t="s">
        <v>14</v>
      </c>
      <c r="E1893" t="s">
        <v>595</v>
      </c>
      <c r="F1893" s="1">
        <v>23.076000000000001</v>
      </c>
      <c r="G1893">
        <v>3</v>
      </c>
      <c r="H1893" s="1">
        <v>-10.9611</v>
      </c>
      <c r="I1893" s="4">
        <f>SalesData[[#This Row],[Profit]]/SalesData[[#This Row],[Sales]]</f>
        <v>-0.47499999999999998</v>
      </c>
      <c r="J1893">
        <f>YEAR(SalesData[[#This Row],[Order Date]])</f>
        <v>2016</v>
      </c>
      <c r="K1893" t="str">
        <f>TEXT(SalesData[[#This Row],[Order Date]],"mmm")</f>
        <v>Jul</v>
      </c>
      <c r="L1893">
        <f>MONTH(SalesData[[#This Row],[Order Date]])</f>
        <v>7</v>
      </c>
      <c r="M1893">
        <f>SalesData[[#This Row],[Sales]]/SalesData[[#This Row],[Quantity]]</f>
        <v>7.6920000000000002</v>
      </c>
      <c r="N1893" t="str">
        <f>IF(SalesData[[#This Row],[Profit]]&gt;0,"Profit","Loss")</f>
        <v>Loss</v>
      </c>
    </row>
    <row r="1894" spans="1:14" x14ac:dyDescent="0.3">
      <c r="A1894" t="s">
        <v>2320</v>
      </c>
      <c r="B1894" s="3">
        <v>42552</v>
      </c>
      <c r="C1894" t="s">
        <v>9</v>
      </c>
      <c r="D1894" t="s">
        <v>21</v>
      </c>
      <c r="E1894" t="s">
        <v>2321</v>
      </c>
      <c r="F1894" s="1">
        <v>25.92</v>
      </c>
      <c r="G1894">
        <v>5</v>
      </c>
      <c r="H1894" s="1">
        <v>9.0719999999999992</v>
      </c>
      <c r="I1894" s="4">
        <f>SalesData[[#This Row],[Profit]]/SalesData[[#This Row],[Sales]]</f>
        <v>0.34999999999999992</v>
      </c>
      <c r="J1894">
        <f>YEAR(SalesData[[#This Row],[Order Date]])</f>
        <v>2016</v>
      </c>
      <c r="K1894" t="str">
        <f>TEXT(SalesData[[#This Row],[Order Date]],"mmm")</f>
        <v>Jul</v>
      </c>
      <c r="L1894">
        <f>MONTH(SalesData[[#This Row],[Order Date]])</f>
        <v>7</v>
      </c>
      <c r="M1894">
        <f>SalesData[[#This Row],[Sales]]/SalesData[[#This Row],[Quantity]]</f>
        <v>5.1840000000000002</v>
      </c>
      <c r="N1894" t="str">
        <f>IF(SalesData[[#This Row],[Profit]]&gt;0,"Profit","Loss")</f>
        <v>Profit</v>
      </c>
    </row>
    <row r="1895" spans="1:14" x14ac:dyDescent="0.3">
      <c r="A1895" t="s">
        <v>2322</v>
      </c>
      <c r="B1895" s="3">
        <v>42553</v>
      </c>
      <c r="C1895" t="s">
        <v>46</v>
      </c>
      <c r="D1895" t="s">
        <v>10</v>
      </c>
      <c r="E1895" t="s">
        <v>2323</v>
      </c>
      <c r="F1895" s="1">
        <v>100</v>
      </c>
      <c r="G1895">
        <v>4</v>
      </c>
      <c r="H1895" s="1">
        <v>21</v>
      </c>
      <c r="I1895" s="4">
        <f>SalesData[[#This Row],[Profit]]/SalesData[[#This Row],[Sales]]</f>
        <v>0.21</v>
      </c>
      <c r="J1895">
        <f>YEAR(SalesData[[#This Row],[Order Date]])</f>
        <v>2016</v>
      </c>
      <c r="K1895" t="str">
        <f>TEXT(SalesData[[#This Row],[Order Date]],"mmm")</f>
        <v>Jul</v>
      </c>
      <c r="L1895">
        <f>MONTH(SalesData[[#This Row],[Order Date]])</f>
        <v>7</v>
      </c>
      <c r="M1895">
        <f>SalesData[[#This Row],[Sales]]/SalesData[[#This Row],[Quantity]]</f>
        <v>25</v>
      </c>
      <c r="N1895" t="str">
        <f>IF(SalesData[[#This Row],[Profit]]&gt;0,"Profit","Loss")</f>
        <v>Profit</v>
      </c>
    </row>
    <row r="1896" spans="1:14" x14ac:dyDescent="0.3">
      <c r="A1896" t="s">
        <v>2322</v>
      </c>
      <c r="B1896" s="3">
        <v>42553</v>
      </c>
      <c r="C1896" t="s">
        <v>46</v>
      </c>
      <c r="D1896" t="s">
        <v>21</v>
      </c>
      <c r="E1896" t="s">
        <v>1728</v>
      </c>
      <c r="F1896" s="1">
        <v>7.83</v>
      </c>
      <c r="G1896">
        <v>3</v>
      </c>
      <c r="H1896" s="1">
        <v>3.6017999999999999</v>
      </c>
      <c r="I1896" s="4">
        <f>SalesData[[#This Row],[Profit]]/SalesData[[#This Row],[Sales]]</f>
        <v>0.45999999999999996</v>
      </c>
      <c r="J1896">
        <f>YEAR(SalesData[[#This Row],[Order Date]])</f>
        <v>2016</v>
      </c>
      <c r="K1896" t="str">
        <f>TEXT(SalesData[[#This Row],[Order Date]],"mmm")</f>
        <v>Jul</v>
      </c>
      <c r="L1896">
        <f>MONTH(SalesData[[#This Row],[Order Date]])</f>
        <v>7</v>
      </c>
      <c r="M1896">
        <f>SalesData[[#This Row],[Sales]]/SalesData[[#This Row],[Quantity]]</f>
        <v>2.61</v>
      </c>
      <c r="N1896" t="str">
        <f>IF(SalesData[[#This Row],[Profit]]&gt;0,"Profit","Loss")</f>
        <v>Profit</v>
      </c>
    </row>
    <row r="1897" spans="1:14" x14ac:dyDescent="0.3">
      <c r="A1897" t="s">
        <v>2324</v>
      </c>
      <c r="B1897" s="3">
        <v>42553</v>
      </c>
      <c r="C1897" t="s">
        <v>17</v>
      </c>
      <c r="D1897" t="s">
        <v>21</v>
      </c>
      <c r="E1897" t="s">
        <v>805</v>
      </c>
      <c r="F1897" s="1">
        <v>30.352</v>
      </c>
      <c r="G1897">
        <v>2</v>
      </c>
      <c r="H1897" s="1">
        <v>10.623200000000001</v>
      </c>
      <c r="I1897" s="4">
        <f>SalesData[[#This Row],[Profit]]/SalesData[[#This Row],[Sales]]</f>
        <v>0.35000000000000003</v>
      </c>
      <c r="J1897">
        <f>YEAR(SalesData[[#This Row],[Order Date]])</f>
        <v>2016</v>
      </c>
      <c r="K1897" t="str">
        <f>TEXT(SalesData[[#This Row],[Order Date]],"mmm")</f>
        <v>Jul</v>
      </c>
      <c r="L1897">
        <f>MONTH(SalesData[[#This Row],[Order Date]])</f>
        <v>7</v>
      </c>
      <c r="M1897">
        <f>SalesData[[#This Row],[Sales]]/SalesData[[#This Row],[Quantity]]</f>
        <v>15.176</v>
      </c>
      <c r="N1897" t="str">
        <f>IF(SalesData[[#This Row],[Profit]]&gt;0,"Profit","Loss")</f>
        <v>Profit</v>
      </c>
    </row>
    <row r="1898" spans="1:14" x14ac:dyDescent="0.3">
      <c r="A1898" t="s">
        <v>2325</v>
      </c>
      <c r="B1898" s="3">
        <v>42553</v>
      </c>
      <c r="C1898" t="s">
        <v>13</v>
      </c>
      <c r="D1898" t="s">
        <v>10</v>
      </c>
      <c r="E1898" t="s">
        <v>2326</v>
      </c>
      <c r="F1898" s="1">
        <v>623.96</v>
      </c>
      <c r="G1898">
        <v>5</v>
      </c>
      <c r="H1898" s="1">
        <v>38.997500000000002</v>
      </c>
      <c r="I1898" s="4">
        <f>SalesData[[#This Row],[Profit]]/SalesData[[#This Row],[Sales]]</f>
        <v>6.25E-2</v>
      </c>
      <c r="J1898">
        <f>YEAR(SalesData[[#This Row],[Order Date]])</f>
        <v>2016</v>
      </c>
      <c r="K1898" t="str">
        <f>TEXT(SalesData[[#This Row],[Order Date]],"mmm")</f>
        <v>Jul</v>
      </c>
      <c r="L1898">
        <f>MONTH(SalesData[[#This Row],[Order Date]])</f>
        <v>7</v>
      </c>
      <c r="M1898">
        <f>SalesData[[#This Row],[Sales]]/SalesData[[#This Row],[Quantity]]</f>
        <v>124.792</v>
      </c>
      <c r="N1898" t="str">
        <f>IF(SalesData[[#This Row],[Profit]]&gt;0,"Profit","Loss")</f>
        <v>Profit</v>
      </c>
    </row>
    <row r="1899" spans="1:14" x14ac:dyDescent="0.3">
      <c r="A1899" t="s">
        <v>2327</v>
      </c>
      <c r="B1899" s="3">
        <v>42554</v>
      </c>
      <c r="C1899" t="s">
        <v>9</v>
      </c>
      <c r="D1899" t="s">
        <v>10</v>
      </c>
      <c r="E1899" t="s">
        <v>1870</v>
      </c>
      <c r="F1899" s="1">
        <v>21.071999999999999</v>
      </c>
      <c r="G1899">
        <v>3</v>
      </c>
      <c r="H1899" s="1">
        <v>1.5804</v>
      </c>
      <c r="I1899" s="4">
        <f>SalesData[[#This Row],[Profit]]/SalesData[[#This Row],[Sales]]</f>
        <v>7.5000000000000011E-2</v>
      </c>
      <c r="J1899">
        <f>YEAR(SalesData[[#This Row],[Order Date]])</f>
        <v>2016</v>
      </c>
      <c r="K1899" t="str">
        <f>TEXT(SalesData[[#This Row],[Order Date]],"mmm")</f>
        <v>Jul</v>
      </c>
      <c r="L1899">
        <f>MONTH(SalesData[[#This Row],[Order Date]])</f>
        <v>7</v>
      </c>
      <c r="M1899">
        <f>SalesData[[#This Row],[Sales]]/SalesData[[#This Row],[Quantity]]</f>
        <v>7.024</v>
      </c>
      <c r="N1899" t="str">
        <f>IF(SalesData[[#This Row],[Profit]]&gt;0,"Profit","Loss")</f>
        <v>Profit</v>
      </c>
    </row>
    <row r="1900" spans="1:14" x14ac:dyDescent="0.3">
      <c r="A1900" t="s">
        <v>2328</v>
      </c>
      <c r="B1900" s="3">
        <v>42555</v>
      </c>
      <c r="C1900" t="s">
        <v>13</v>
      </c>
      <c r="D1900" t="s">
        <v>10</v>
      </c>
      <c r="E1900" t="s">
        <v>1455</v>
      </c>
      <c r="F1900" s="1">
        <v>1199.9760000000001</v>
      </c>
      <c r="G1900">
        <v>3</v>
      </c>
      <c r="H1900" s="1">
        <v>374.99250000000001</v>
      </c>
      <c r="I1900" s="4">
        <f>SalesData[[#This Row],[Profit]]/SalesData[[#This Row],[Sales]]</f>
        <v>0.3125</v>
      </c>
      <c r="J1900">
        <f>YEAR(SalesData[[#This Row],[Order Date]])</f>
        <v>2016</v>
      </c>
      <c r="K1900" t="str">
        <f>TEXT(SalesData[[#This Row],[Order Date]],"mmm")</f>
        <v>Jul</v>
      </c>
      <c r="L1900">
        <f>MONTH(SalesData[[#This Row],[Order Date]])</f>
        <v>7</v>
      </c>
      <c r="M1900">
        <f>SalesData[[#This Row],[Sales]]/SalesData[[#This Row],[Quantity]]</f>
        <v>399.99200000000002</v>
      </c>
      <c r="N1900" t="str">
        <f>IF(SalesData[[#This Row],[Profit]]&gt;0,"Profit","Loss")</f>
        <v>Profit</v>
      </c>
    </row>
    <row r="1901" spans="1:14" x14ac:dyDescent="0.3">
      <c r="A1901" t="s">
        <v>2329</v>
      </c>
      <c r="B1901" s="3">
        <v>42555</v>
      </c>
      <c r="C1901" t="s">
        <v>17</v>
      </c>
      <c r="D1901" t="s">
        <v>14</v>
      </c>
      <c r="E1901" t="s">
        <v>700</v>
      </c>
      <c r="F1901" s="1">
        <v>658.74599999999998</v>
      </c>
      <c r="G1901">
        <v>3</v>
      </c>
      <c r="H1901" s="1">
        <v>146.38800000000001</v>
      </c>
      <c r="I1901" s="4">
        <f>SalesData[[#This Row],[Profit]]/SalesData[[#This Row],[Sales]]</f>
        <v>0.22222222222222224</v>
      </c>
      <c r="J1901">
        <f>YEAR(SalesData[[#This Row],[Order Date]])</f>
        <v>2016</v>
      </c>
      <c r="K1901" t="str">
        <f>TEXT(SalesData[[#This Row],[Order Date]],"mmm")</f>
        <v>Jul</v>
      </c>
      <c r="L1901">
        <f>MONTH(SalesData[[#This Row],[Order Date]])</f>
        <v>7</v>
      </c>
      <c r="M1901">
        <f>SalesData[[#This Row],[Sales]]/SalesData[[#This Row],[Quantity]]</f>
        <v>219.58199999999999</v>
      </c>
      <c r="N1901" t="str">
        <f>IF(SalesData[[#This Row],[Profit]]&gt;0,"Profit","Loss")</f>
        <v>Profit</v>
      </c>
    </row>
    <row r="1902" spans="1:14" x14ac:dyDescent="0.3">
      <c r="A1902" t="s">
        <v>2330</v>
      </c>
      <c r="B1902" s="3">
        <v>42555</v>
      </c>
      <c r="C1902" t="s">
        <v>17</v>
      </c>
      <c r="D1902" t="s">
        <v>21</v>
      </c>
      <c r="E1902" t="s">
        <v>426</v>
      </c>
      <c r="F1902" s="1">
        <v>3.64</v>
      </c>
      <c r="G1902">
        <v>2</v>
      </c>
      <c r="H1902" s="1">
        <v>0.98280000000000001</v>
      </c>
      <c r="I1902" s="4">
        <f>SalesData[[#This Row],[Profit]]/SalesData[[#This Row],[Sales]]</f>
        <v>0.27</v>
      </c>
      <c r="J1902">
        <f>YEAR(SalesData[[#This Row],[Order Date]])</f>
        <v>2016</v>
      </c>
      <c r="K1902" t="str">
        <f>TEXT(SalesData[[#This Row],[Order Date]],"mmm")</f>
        <v>Jul</v>
      </c>
      <c r="L1902">
        <f>MONTH(SalesData[[#This Row],[Order Date]])</f>
        <v>7</v>
      </c>
      <c r="M1902">
        <f>SalesData[[#This Row],[Sales]]/SalesData[[#This Row],[Quantity]]</f>
        <v>1.82</v>
      </c>
      <c r="N1902" t="str">
        <f>IF(SalesData[[#This Row],[Profit]]&gt;0,"Profit","Loss")</f>
        <v>Profit</v>
      </c>
    </row>
    <row r="1903" spans="1:14" x14ac:dyDescent="0.3">
      <c r="A1903" t="s">
        <v>2331</v>
      </c>
      <c r="B1903" s="3">
        <v>42555</v>
      </c>
      <c r="C1903" t="s">
        <v>17</v>
      </c>
      <c r="D1903" t="s">
        <v>21</v>
      </c>
      <c r="E1903" t="s">
        <v>2332</v>
      </c>
      <c r="F1903" s="1">
        <v>37.94</v>
      </c>
      <c r="G1903">
        <v>2</v>
      </c>
      <c r="H1903" s="1">
        <v>18.211200000000002</v>
      </c>
      <c r="I1903" s="4">
        <f>SalesData[[#This Row],[Profit]]/SalesData[[#This Row],[Sales]]</f>
        <v>0.48000000000000009</v>
      </c>
      <c r="J1903">
        <f>YEAR(SalesData[[#This Row],[Order Date]])</f>
        <v>2016</v>
      </c>
      <c r="K1903" t="str">
        <f>TEXT(SalesData[[#This Row],[Order Date]],"mmm")</f>
        <v>Jul</v>
      </c>
      <c r="L1903">
        <f>MONTH(SalesData[[#This Row],[Order Date]])</f>
        <v>7</v>
      </c>
      <c r="M1903">
        <f>SalesData[[#This Row],[Sales]]/SalesData[[#This Row],[Quantity]]</f>
        <v>18.97</v>
      </c>
      <c r="N1903" t="str">
        <f>IF(SalesData[[#This Row],[Profit]]&gt;0,"Profit","Loss")</f>
        <v>Profit</v>
      </c>
    </row>
    <row r="1904" spans="1:14" x14ac:dyDescent="0.3">
      <c r="A1904" t="s">
        <v>2333</v>
      </c>
      <c r="B1904" s="3">
        <v>42555</v>
      </c>
      <c r="C1904" t="s">
        <v>17</v>
      </c>
      <c r="D1904" t="s">
        <v>21</v>
      </c>
      <c r="E1904" t="s">
        <v>2334</v>
      </c>
      <c r="F1904" s="1">
        <v>33.527999999999999</v>
      </c>
      <c r="G1904">
        <v>3</v>
      </c>
      <c r="H1904" s="1">
        <v>2.5146000000000002</v>
      </c>
      <c r="I1904" s="4">
        <f>SalesData[[#This Row],[Profit]]/SalesData[[#This Row],[Sales]]</f>
        <v>7.5000000000000011E-2</v>
      </c>
      <c r="J1904">
        <f>YEAR(SalesData[[#This Row],[Order Date]])</f>
        <v>2016</v>
      </c>
      <c r="K1904" t="str">
        <f>TEXT(SalesData[[#This Row],[Order Date]],"mmm")</f>
        <v>Jul</v>
      </c>
      <c r="L1904">
        <f>MONTH(SalesData[[#This Row],[Order Date]])</f>
        <v>7</v>
      </c>
      <c r="M1904">
        <f>SalesData[[#This Row],[Sales]]/SalesData[[#This Row],[Quantity]]</f>
        <v>11.176</v>
      </c>
      <c r="N1904" t="str">
        <f>IF(SalesData[[#This Row],[Profit]]&gt;0,"Profit","Loss")</f>
        <v>Profit</v>
      </c>
    </row>
    <row r="1905" spans="1:14" x14ac:dyDescent="0.3">
      <c r="A1905" t="s">
        <v>2333</v>
      </c>
      <c r="B1905" s="3">
        <v>42555</v>
      </c>
      <c r="C1905" t="s">
        <v>17</v>
      </c>
      <c r="D1905" t="s">
        <v>21</v>
      </c>
      <c r="E1905" t="s">
        <v>2335</v>
      </c>
      <c r="F1905" s="1">
        <v>36.744</v>
      </c>
      <c r="G1905">
        <v>3</v>
      </c>
      <c r="H1905" s="1">
        <v>3.6743999999999999</v>
      </c>
      <c r="I1905" s="4">
        <f>SalesData[[#This Row],[Profit]]/SalesData[[#This Row],[Sales]]</f>
        <v>9.9999999999999992E-2</v>
      </c>
      <c r="J1905">
        <f>YEAR(SalesData[[#This Row],[Order Date]])</f>
        <v>2016</v>
      </c>
      <c r="K1905" t="str">
        <f>TEXT(SalesData[[#This Row],[Order Date]],"mmm")</f>
        <v>Jul</v>
      </c>
      <c r="L1905">
        <f>MONTH(SalesData[[#This Row],[Order Date]])</f>
        <v>7</v>
      </c>
      <c r="M1905">
        <f>SalesData[[#This Row],[Sales]]/SalesData[[#This Row],[Quantity]]</f>
        <v>12.247999999999999</v>
      </c>
      <c r="N1905" t="str">
        <f>IF(SalesData[[#This Row],[Profit]]&gt;0,"Profit","Loss")</f>
        <v>Profit</v>
      </c>
    </row>
    <row r="1906" spans="1:14" x14ac:dyDescent="0.3">
      <c r="A1906" t="s">
        <v>2336</v>
      </c>
      <c r="B1906" s="3">
        <v>42556</v>
      </c>
      <c r="C1906" t="s">
        <v>17</v>
      </c>
      <c r="D1906" t="s">
        <v>21</v>
      </c>
      <c r="E1906" t="s">
        <v>1068</v>
      </c>
      <c r="F1906" s="1">
        <v>85.231999999999999</v>
      </c>
      <c r="G1906">
        <v>7</v>
      </c>
      <c r="H1906" s="1">
        <v>30.896599999999999</v>
      </c>
      <c r="I1906" s="4">
        <f>SalesData[[#This Row],[Profit]]/SalesData[[#This Row],[Sales]]</f>
        <v>0.36249999999999999</v>
      </c>
      <c r="J1906">
        <f>YEAR(SalesData[[#This Row],[Order Date]])</f>
        <v>2016</v>
      </c>
      <c r="K1906" t="str">
        <f>TEXT(SalesData[[#This Row],[Order Date]],"mmm")</f>
        <v>Jul</v>
      </c>
      <c r="L1906">
        <f>MONTH(SalesData[[#This Row],[Order Date]])</f>
        <v>7</v>
      </c>
      <c r="M1906">
        <f>SalesData[[#This Row],[Sales]]/SalesData[[#This Row],[Quantity]]</f>
        <v>12.176</v>
      </c>
      <c r="N1906" t="str">
        <f>IF(SalesData[[#This Row],[Profit]]&gt;0,"Profit","Loss")</f>
        <v>Profit</v>
      </c>
    </row>
    <row r="1907" spans="1:14" x14ac:dyDescent="0.3">
      <c r="A1907" t="s">
        <v>2336</v>
      </c>
      <c r="B1907" s="3">
        <v>42556</v>
      </c>
      <c r="C1907" t="s">
        <v>17</v>
      </c>
      <c r="D1907" t="s">
        <v>21</v>
      </c>
      <c r="E1907" t="s">
        <v>781</v>
      </c>
      <c r="F1907" s="1">
        <v>44.4</v>
      </c>
      <c r="G1907">
        <v>3</v>
      </c>
      <c r="H1907" s="1">
        <v>22.2</v>
      </c>
      <c r="I1907" s="4">
        <f>SalesData[[#This Row],[Profit]]/SalesData[[#This Row],[Sales]]</f>
        <v>0.5</v>
      </c>
      <c r="J1907">
        <f>YEAR(SalesData[[#This Row],[Order Date]])</f>
        <v>2016</v>
      </c>
      <c r="K1907" t="str">
        <f>TEXT(SalesData[[#This Row],[Order Date]],"mmm")</f>
        <v>Jul</v>
      </c>
      <c r="L1907">
        <f>MONTH(SalesData[[#This Row],[Order Date]])</f>
        <v>7</v>
      </c>
      <c r="M1907">
        <f>SalesData[[#This Row],[Sales]]/SalesData[[#This Row],[Quantity]]</f>
        <v>14.799999999999999</v>
      </c>
      <c r="N1907" t="str">
        <f>IF(SalesData[[#This Row],[Profit]]&gt;0,"Profit","Loss")</f>
        <v>Profit</v>
      </c>
    </row>
    <row r="1908" spans="1:14" x14ac:dyDescent="0.3">
      <c r="A1908" t="s">
        <v>2336</v>
      </c>
      <c r="B1908" s="3">
        <v>42556</v>
      </c>
      <c r="C1908" t="s">
        <v>17</v>
      </c>
      <c r="D1908" t="s">
        <v>14</v>
      </c>
      <c r="E1908" t="s">
        <v>1543</v>
      </c>
      <c r="F1908" s="1">
        <v>442.76400000000001</v>
      </c>
      <c r="G1908">
        <v>4</v>
      </c>
      <c r="H1908" s="1">
        <v>59.035200000000003</v>
      </c>
      <c r="I1908" s="4">
        <f>SalesData[[#This Row],[Profit]]/SalesData[[#This Row],[Sales]]</f>
        <v>0.13333333333333333</v>
      </c>
      <c r="J1908">
        <f>YEAR(SalesData[[#This Row],[Order Date]])</f>
        <v>2016</v>
      </c>
      <c r="K1908" t="str">
        <f>TEXT(SalesData[[#This Row],[Order Date]],"mmm")</f>
        <v>Jul</v>
      </c>
      <c r="L1908">
        <f>MONTH(SalesData[[#This Row],[Order Date]])</f>
        <v>7</v>
      </c>
      <c r="M1908">
        <f>SalesData[[#This Row],[Sales]]/SalesData[[#This Row],[Quantity]]</f>
        <v>110.691</v>
      </c>
      <c r="N1908" t="str">
        <f>IF(SalesData[[#This Row],[Profit]]&gt;0,"Profit","Loss")</f>
        <v>Profit</v>
      </c>
    </row>
    <row r="1909" spans="1:14" x14ac:dyDescent="0.3">
      <c r="A1909" t="s">
        <v>2336</v>
      </c>
      <c r="B1909" s="3">
        <v>42556</v>
      </c>
      <c r="C1909" t="s">
        <v>17</v>
      </c>
      <c r="D1909" t="s">
        <v>10</v>
      </c>
      <c r="E1909" t="s">
        <v>2337</v>
      </c>
      <c r="F1909" s="1">
        <v>3999.95</v>
      </c>
      <c r="G1909">
        <v>5</v>
      </c>
      <c r="H1909" s="1">
        <v>1159.9855</v>
      </c>
      <c r="I1909" s="4">
        <f>SalesData[[#This Row],[Profit]]/SalesData[[#This Row],[Sales]]</f>
        <v>0.29000000000000004</v>
      </c>
      <c r="J1909">
        <f>YEAR(SalesData[[#This Row],[Order Date]])</f>
        <v>2016</v>
      </c>
      <c r="K1909" t="str">
        <f>TEXT(SalesData[[#This Row],[Order Date]],"mmm")</f>
        <v>Jul</v>
      </c>
      <c r="L1909">
        <f>MONTH(SalesData[[#This Row],[Order Date]])</f>
        <v>7</v>
      </c>
      <c r="M1909">
        <f>SalesData[[#This Row],[Sales]]/SalesData[[#This Row],[Quantity]]</f>
        <v>799.99</v>
      </c>
      <c r="N1909" t="str">
        <f>IF(SalesData[[#This Row],[Profit]]&gt;0,"Profit","Loss")</f>
        <v>Profit</v>
      </c>
    </row>
    <row r="1910" spans="1:14" x14ac:dyDescent="0.3">
      <c r="A1910" t="s">
        <v>2336</v>
      </c>
      <c r="B1910" s="3">
        <v>42556</v>
      </c>
      <c r="C1910" t="s">
        <v>17</v>
      </c>
      <c r="D1910" t="s">
        <v>10</v>
      </c>
      <c r="E1910" t="s">
        <v>673</v>
      </c>
      <c r="F1910" s="1">
        <v>199.95</v>
      </c>
      <c r="G1910">
        <v>5</v>
      </c>
      <c r="H1910" s="1">
        <v>21.994499999999999</v>
      </c>
      <c r="I1910" s="4">
        <f>SalesData[[#This Row],[Profit]]/SalesData[[#This Row],[Sales]]</f>
        <v>0.11</v>
      </c>
      <c r="J1910">
        <f>YEAR(SalesData[[#This Row],[Order Date]])</f>
        <v>2016</v>
      </c>
      <c r="K1910" t="str">
        <f>TEXT(SalesData[[#This Row],[Order Date]],"mmm")</f>
        <v>Jul</v>
      </c>
      <c r="L1910">
        <f>MONTH(SalesData[[#This Row],[Order Date]])</f>
        <v>7</v>
      </c>
      <c r="M1910">
        <f>SalesData[[#This Row],[Sales]]/SalesData[[#This Row],[Quantity]]</f>
        <v>39.989999999999995</v>
      </c>
      <c r="N1910" t="str">
        <f>IF(SalesData[[#This Row],[Profit]]&gt;0,"Profit","Loss")</f>
        <v>Profit</v>
      </c>
    </row>
    <row r="1911" spans="1:14" x14ac:dyDescent="0.3">
      <c r="A1911" t="s">
        <v>2336</v>
      </c>
      <c r="B1911" s="3">
        <v>42556</v>
      </c>
      <c r="C1911" t="s">
        <v>17</v>
      </c>
      <c r="D1911" t="s">
        <v>14</v>
      </c>
      <c r="E1911" t="s">
        <v>1278</v>
      </c>
      <c r="F1911" s="1">
        <v>63.68</v>
      </c>
      <c r="G1911">
        <v>8</v>
      </c>
      <c r="H1911" s="1">
        <v>28.019200000000001</v>
      </c>
      <c r="I1911" s="4">
        <f>SalesData[[#This Row],[Profit]]/SalesData[[#This Row],[Sales]]</f>
        <v>0.44</v>
      </c>
      <c r="J1911">
        <f>YEAR(SalesData[[#This Row],[Order Date]])</f>
        <v>2016</v>
      </c>
      <c r="K1911" t="str">
        <f>TEXT(SalesData[[#This Row],[Order Date]],"mmm")</f>
        <v>Jul</v>
      </c>
      <c r="L1911">
        <f>MONTH(SalesData[[#This Row],[Order Date]])</f>
        <v>7</v>
      </c>
      <c r="M1911">
        <f>SalesData[[#This Row],[Sales]]/SalesData[[#This Row],[Quantity]]</f>
        <v>7.96</v>
      </c>
      <c r="N1911" t="str">
        <f>IF(SalesData[[#This Row],[Profit]]&gt;0,"Profit","Loss")</f>
        <v>Profit</v>
      </c>
    </row>
    <row r="1912" spans="1:14" x14ac:dyDescent="0.3">
      <c r="A1912" t="s">
        <v>2338</v>
      </c>
      <c r="B1912" s="3">
        <v>42557</v>
      </c>
      <c r="C1912" t="s">
        <v>17</v>
      </c>
      <c r="D1912" t="s">
        <v>21</v>
      </c>
      <c r="E1912" t="s">
        <v>580</v>
      </c>
      <c r="F1912" s="1">
        <v>32.4</v>
      </c>
      <c r="G1912">
        <v>5</v>
      </c>
      <c r="H1912" s="1">
        <v>15.552</v>
      </c>
      <c r="I1912" s="4">
        <f>SalesData[[#This Row],[Profit]]/SalesData[[#This Row],[Sales]]</f>
        <v>0.48</v>
      </c>
      <c r="J1912">
        <f>YEAR(SalesData[[#This Row],[Order Date]])</f>
        <v>2016</v>
      </c>
      <c r="K1912" t="str">
        <f>TEXT(SalesData[[#This Row],[Order Date]],"mmm")</f>
        <v>Jul</v>
      </c>
      <c r="L1912">
        <f>MONTH(SalesData[[#This Row],[Order Date]])</f>
        <v>7</v>
      </c>
      <c r="M1912">
        <f>SalesData[[#This Row],[Sales]]/SalesData[[#This Row],[Quantity]]</f>
        <v>6.4799999999999995</v>
      </c>
      <c r="N1912" t="str">
        <f>IF(SalesData[[#This Row],[Profit]]&gt;0,"Profit","Loss")</f>
        <v>Profit</v>
      </c>
    </row>
    <row r="1913" spans="1:14" x14ac:dyDescent="0.3">
      <c r="A1913" t="s">
        <v>2339</v>
      </c>
      <c r="B1913" s="3">
        <v>42557</v>
      </c>
      <c r="C1913" t="s">
        <v>13</v>
      </c>
      <c r="D1913" t="s">
        <v>21</v>
      </c>
      <c r="E1913" t="s">
        <v>1518</v>
      </c>
      <c r="F1913" s="1">
        <v>4.7839999999999998</v>
      </c>
      <c r="G1913">
        <v>1</v>
      </c>
      <c r="H1913" s="1">
        <v>1.5548</v>
      </c>
      <c r="I1913" s="4">
        <f>SalesData[[#This Row],[Profit]]/SalesData[[#This Row],[Sales]]</f>
        <v>0.32500000000000001</v>
      </c>
      <c r="J1913">
        <f>YEAR(SalesData[[#This Row],[Order Date]])</f>
        <v>2016</v>
      </c>
      <c r="K1913" t="str">
        <f>TEXT(SalesData[[#This Row],[Order Date]],"mmm")</f>
        <v>Jul</v>
      </c>
      <c r="L1913">
        <f>MONTH(SalesData[[#This Row],[Order Date]])</f>
        <v>7</v>
      </c>
      <c r="M1913">
        <f>SalesData[[#This Row],[Sales]]/SalesData[[#This Row],[Quantity]]</f>
        <v>4.7839999999999998</v>
      </c>
      <c r="N1913" t="str">
        <f>IF(SalesData[[#This Row],[Profit]]&gt;0,"Profit","Loss")</f>
        <v>Profit</v>
      </c>
    </row>
    <row r="1914" spans="1:14" x14ac:dyDescent="0.3">
      <c r="A1914" t="s">
        <v>2339</v>
      </c>
      <c r="B1914" s="3">
        <v>42557</v>
      </c>
      <c r="C1914" t="s">
        <v>13</v>
      </c>
      <c r="D1914" t="s">
        <v>21</v>
      </c>
      <c r="E1914" t="s">
        <v>1669</v>
      </c>
      <c r="F1914" s="1">
        <v>4.7300000000000004</v>
      </c>
      <c r="G1914">
        <v>1</v>
      </c>
      <c r="H1914" s="1">
        <v>2.3176999999999999</v>
      </c>
      <c r="I1914" s="4">
        <f>SalesData[[#This Row],[Profit]]/SalesData[[#This Row],[Sales]]</f>
        <v>0.48999999999999994</v>
      </c>
      <c r="J1914">
        <f>YEAR(SalesData[[#This Row],[Order Date]])</f>
        <v>2016</v>
      </c>
      <c r="K1914" t="str">
        <f>TEXT(SalesData[[#This Row],[Order Date]],"mmm")</f>
        <v>Jul</v>
      </c>
      <c r="L1914">
        <f>MONTH(SalesData[[#This Row],[Order Date]])</f>
        <v>7</v>
      </c>
      <c r="M1914">
        <f>SalesData[[#This Row],[Sales]]/SalesData[[#This Row],[Quantity]]</f>
        <v>4.7300000000000004</v>
      </c>
      <c r="N1914" t="str">
        <f>IF(SalesData[[#This Row],[Profit]]&gt;0,"Profit","Loss")</f>
        <v>Profit</v>
      </c>
    </row>
    <row r="1915" spans="1:14" x14ac:dyDescent="0.3">
      <c r="A1915" t="s">
        <v>2340</v>
      </c>
      <c r="B1915" s="3">
        <v>42557</v>
      </c>
      <c r="C1915" t="s">
        <v>17</v>
      </c>
      <c r="D1915" t="s">
        <v>21</v>
      </c>
      <c r="E1915" t="s">
        <v>694</v>
      </c>
      <c r="F1915" s="1">
        <v>9.6479999999999997</v>
      </c>
      <c r="G1915">
        <v>6</v>
      </c>
      <c r="H1915" s="1">
        <v>3.4973999999999998</v>
      </c>
      <c r="I1915" s="4">
        <f>SalesData[[#This Row],[Profit]]/SalesData[[#This Row],[Sales]]</f>
        <v>0.36249999999999999</v>
      </c>
      <c r="J1915">
        <f>YEAR(SalesData[[#This Row],[Order Date]])</f>
        <v>2016</v>
      </c>
      <c r="K1915" t="str">
        <f>TEXT(SalesData[[#This Row],[Order Date]],"mmm")</f>
        <v>Jul</v>
      </c>
      <c r="L1915">
        <f>MONTH(SalesData[[#This Row],[Order Date]])</f>
        <v>7</v>
      </c>
      <c r="M1915">
        <f>SalesData[[#This Row],[Sales]]/SalesData[[#This Row],[Quantity]]</f>
        <v>1.6079999999999999</v>
      </c>
      <c r="N1915" t="str">
        <f>IF(SalesData[[#This Row],[Profit]]&gt;0,"Profit","Loss")</f>
        <v>Profit</v>
      </c>
    </row>
    <row r="1916" spans="1:14" x14ac:dyDescent="0.3">
      <c r="A1916" t="s">
        <v>2341</v>
      </c>
      <c r="B1916" s="3">
        <v>42558</v>
      </c>
      <c r="C1916" t="s">
        <v>46</v>
      </c>
      <c r="D1916" t="s">
        <v>21</v>
      </c>
      <c r="E1916" t="s">
        <v>1932</v>
      </c>
      <c r="F1916" s="1">
        <v>45.584000000000003</v>
      </c>
      <c r="G1916">
        <v>7</v>
      </c>
      <c r="H1916" s="1">
        <v>5.1281999999999996</v>
      </c>
      <c r="I1916" s="4">
        <f>SalesData[[#This Row],[Profit]]/SalesData[[#This Row],[Sales]]</f>
        <v>0.11249999999999999</v>
      </c>
      <c r="J1916">
        <f>YEAR(SalesData[[#This Row],[Order Date]])</f>
        <v>2016</v>
      </c>
      <c r="K1916" t="str">
        <f>TEXT(SalesData[[#This Row],[Order Date]],"mmm")</f>
        <v>Jul</v>
      </c>
      <c r="L1916">
        <f>MONTH(SalesData[[#This Row],[Order Date]])</f>
        <v>7</v>
      </c>
      <c r="M1916">
        <f>SalesData[[#This Row],[Sales]]/SalesData[[#This Row],[Quantity]]</f>
        <v>6.5120000000000005</v>
      </c>
      <c r="N1916" t="str">
        <f>IF(SalesData[[#This Row],[Profit]]&gt;0,"Profit","Loss")</f>
        <v>Profit</v>
      </c>
    </row>
    <row r="1917" spans="1:14" x14ac:dyDescent="0.3">
      <c r="A1917" t="s">
        <v>2342</v>
      </c>
      <c r="B1917" s="3">
        <v>42558</v>
      </c>
      <c r="C1917" t="s">
        <v>13</v>
      </c>
      <c r="D1917" t="s">
        <v>14</v>
      </c>
      <c r="E1917" t="s">
        <v>590</v>
      </c>
      <c r="F1917" s="1">
        <v>215.65</v>
      </c>
      <c r="G1917">
        <v>5</v>
      </c>
      <c r="H1917" s="1">
        <v>73.320999999999998</v>
      </c>
      <c r="I1917" s="4">
        <f>SalesData[[#This Row],[Profit]]/SalesData[[#This Row],[Sales]]</f>
        <v>0.33999999999999997</v>
      </c>
      <c r="J1917">
        <f>YEAR(SalesData[[#This Row],[Order Date]])</f>
        <v>2016</v>
      </c>
      <c r="K1917" t="str">
        <f>TEXT(SalesData[[#This Row],[Order Date]],"mmm")</f>
        <v>Jul</v>
      </c>
      <c r="L1917">
        <f>MONTH(SalesData[[#This Row],[Order Date]])</f>
        <v>7</v>
      </c>
      <c r="M1917">
        <f>SalesData[[#This Row],[Sales]]/SalesData[[#This Row],[Quantity]]</f>
        <v>43.13</v>
      </c>
      <c r="N1917" t="str">
        <f>IF(SalesData[[#This Row],[Profit]]&gt;0,"Profit","Loss")</f>
        <v>Profit</v>
      </c>
    </row>
    <row r="1918" spans="1:14" x14ac:dyDescent="0.3">
      <c r="A1918" t="s">
        <v>2343</v>
      </c>
      <c r="B1918" s="3">
        <v>42558</v>
      </c>
      <c r="C1918" t="s">
        <v>9</v>
      </c>
      <c r="D1918" t="s">
        <v>14</v>
      </c>
      <c r="E1918" t="s">
        <v>2344</v>
      </c>
      <c r="F1918" s="1">
        <v>60.287999999999997</v>
      </c>
      <c r="G1918">
        <v>8</v>
      </c>
      <c r="H1918" s="1">
        <v>-27.1296</v>
      </c>
      <c r="I1918" s="4">
        <f>SalesData[[#This Row],[Profit]]/SalesData[[#This Row],[Sales]]</f>
        <v>-0.45</v>
      </c>
      <c r="J1918">
        <f>YEAR(SalesData[[#This Row],[Order Date]])</f>
        <v>2016</v>
      </c>
      <c r="K1918" t="str">
        <f>TEXT(SalesData[[#This Row],[Order Date]],"mmm")</f>
        <v>Jul</v>
      </c>
      <c r="L1918">
        <f>MONTH(SalesData[[#This Row],[Order Date]])</f>
        <v>7</v>
      </c>
      <c r="M1918">
        <f>SalesData[[#This Row],[Sales]]/SalesData[[#This Row],[Quantity]]</f>
        <v>7.5359999999999996</v>
      </c>
      <c r="N1918" t="str">
        <f>IF(SalesData[[#This Row],[Profit]]&gt;0,"Profit","Loss")</f>
        <v>Loss</v>
      </c>
    </row>
    <row r="1919" spans="1:14" x14ac:dyDescent="0.3">
      <c r="A1919" t="s">
        <v>2343</v>
      </c>
      <c r="B1919" s="3">
        <v>42558</v>
      </c>
      <c r="C1919" t="s">
        <v>9</v>
      </c>
      <c r="D1919" t="s">
        <v>21</v>
      </c>
      <c r="E1919" t="s">
        <v>614</v>
      </c>
      <c r="F1919" s="1">
        <v>2.6320000000000001</v>
      </c>
      <c r="G1919">
        <v>1</v>
      </c>
      <c r="H1919" s="1">
        <v>0.82250000000000001</v>
      </c>
      <c r="I1919" s="4">
        <f>SalesData[[#This Row],[Profit]]/SalesData[[#This Row],[Sales]]</f>
        <v>0.3125</v>
      </c>
      <c r="J1919">
        <f>YEAR(SalesData[[#This Row],[Order Date]])</f>
        <v>2016</v>
      </c>
      <c r="K1919" t="str">
        <f>TEXT(SalesData[[#This Row],[Order Date]],"mmm")</f>
        <v>Jul</v>
      </c>
      <c r="L1919">
        <f>MONTH(SalesData[[#This Row],[Order Date]])</f>
        <v>7</v>
      </c>
      <c r="M1919">
        <f>SalesData[[#This Row],[Sales]]/SalesData[[#This Row],[Quantity]]</f>
        <v>2.6320000000000001</v>
      </c>
      <c r="N1919" t="str">
        <f>IF(SalesData[[#This Row],[Profit]]&gt;0,"Profit","Loss")</f>
        <v>Profit</v>
      </c>
    </row>
    <row r="1920" spans="1:14" x14ac:dyDescent="0.3">
      <c r="A1920" t="s">
        <v>2343</v>
      </c>
      <c r="B1920" s="3">
        <v>42558</v>
      </c>
      <c r="C1920" t="s">
        <v>9</v>
      </c>
      <c r="D1920" t="s">
        <v>21</v>
      </c>
      <c r="E1920" t="s">
        <v>1632</v>
      </c>
      <c r="F1920" s="1">
        <v>23.687999999999999</v>
      </c>
      <c r="G1920">
        <v>9</v>
      </c>
      <c r="H1920" s="1">
        <v>7.6985999999999999</v>
      </c>
      <c r="I1920" s="4">
        <f>SalesData[[#This Row],[Profit]]/SalesData[[#This Row],[Sales]]</f>
        <v>0.32500000000000001</v>
      </c>
      <c r="J1920">
        <f>YEAR(SalesData[[#This Row],[Order Date]])</f>
        <v>2016</v>
      </c>
      <c r="K1920" t="str">
        <f>TEXT(SalesData[[#This Row],[Order Date]],"mmm")</f>
        <v>Jul</v>
      </c>
      <c r="L1920">
        <f>MONTH(SalesData[[#This Row],[Order Date]])</f>
        <v>7</v>
      </c>
      <c r="M1920">
        <f>SalesData[[#This Row],[Sales]]/SalesData[[#This Row],[Quantity]]</f>
        <v>2.6319999999999997</v>
      </c>
      <c r="N1920" t="str">
        <f>IF(SalesData[[#This Row],[Profit]]&gt;0,"Profit","Loss")</f>
        <v>Profit</v>
      </c>
    </row>
    <row r="1921" spans="1:14" x14ac:dyDescent="0.3">
      <c r="A1921" t="s">
        <v>2343</v>
      </c>
      <c r="B1921" s="3">
        <v>42558</v>
      </c>
      <c r="C1921" t="s">
        <v>9</v>
      </c>
      <c r="D1921" t="s">
        <v>14</v>
      </c>
      <c r="E1921" t="s">
        <v>1567</v>
      </c>
      <c r="F1921" s="1">
        <v>253.37200000000001</v>
      </c>
      <c r="G1921">
        <v>2</v>
      </c>
      <c r="H1921" s="1">
        <v>-14.478400000000001</v>
      </c>
      <c r="I1921" s="4">
        <f>SalesData[[#This Row],[Profit]]/SalesData[[#This Row],[Sales]]</f>
        <v>-5.7142857142857141E-2</v>
      </c>
      <c r="J1921">
        <f>YEAR(SalesData[[#This Row],[Order Date]])</f>
        <v>2016</v>
      </c>
      <c r="K1921" t="str">
        <f>TEXT(SalesData[[#This Row],[Order Date]],"mmm")</f>
        <v>Jul</v>
      </c>
      <c r="L1921">
        <f>MONTH(SalesData[[#This Row],[Order Date]])</f>
        <v>7</v>
      </c>
      <c r="M1921">
        <f>SalesData[[#This Row],[Sales]]/SalesData[[#This Row],[Quantity]]</f>
        <v>126.68600000000001</v>
      </c>
      <c r="N1921" t="str">
        <f>IF(SalesData[[#This Row],[Profit]]&gt;0,"Profit","Loss")</f>
        <v>Loss</v>
      </c>
    </row>
    <row r="1922" spans="1:14" x14ac:dyDescent="0.3">
      <c r="A1922" t="s">
        <v>2345</v>
      </c>
      <c r="B1922" s="3">
        <v>42558</v>
      </c>
      <c r="C1922" t="s">
        <v>13</v>
      </c>
      <c r="D1922" t="s">
        <v>14</v>
      </c>
      <c r="E1922" t="s">
        <v>1982</v>
      </c>
      <c r="F1922" s="1">
        <v>287.96800000000002</v>
      </c>
      <c r="G1922">
        <v>4</v>
      </c>
      <c r="H1922" s="1">
        <v>-3.5996000000000001</v>
      </c>
      <c r="I1922" s="4">
        <f>SalesData[[#This Row],[Profit]]/SalesData[[#This Row],[Sales]]</f>
        <v>-1.2499999999999999E-2</v>
      </c>
      <c r="J1922">
        <f>YEAR(SalesData[[#This Row],[Order Date]])</f>
        <v>2016</v>
      </c>
      <c r="K1922" t="str">
        <f>TEXT(SalesData[[#This Row],[Order Date]],"mmm")</f>
        <v>Jul</v>
      </c>
      <c r="L1922">
        <f>MONTH(SalesData[[#This Row],[Order Date]])</f>
        <v>7</v>
      </c>
      <c r="M1922">
        <f>SalesData[[#This Row],[Sales]]/SalesData[[#This Row],[Quantity]]</f>
        <v>71.992000000000004</v>
      </c>
      <c r="N1922" t="str">
        <f>IF(SalesData[[#This Row],[Profit]]&gt;0,"Profit","Loss")</f>
        <v>Loss</v>
      </c>
    </row>
    <row r="1923" spans="1:14" x14ac:dyDescent="0.3">
      <c r="A1923" t="s">
        <v>2345</v>
      </c>
      <c r="B1923" s="3">
        <v>42558</v>
      </c>
      <c r="C1923" t="s">
        <v>13</v>
      </c>
      <c r="D1923" t="s">
        <v>10</v>
      </c>
      <c r="E1923" t="s">
        <v>1409</v>
      </c>
      <c r="F1923" s="1">
        <v>2799.96</v>
      </c>
      <c r="G1923">
        <v>5</v>
      </c>
      <c r="H1923" s="1">
        <v>944.98649999999998</v>
      </c>
      <c r="I1923" s="4">
        <f>SalesData[[#This Row],[Profit]]/SalesData[[#This Row],[Sales]]</f>
        <v>0.33749999999999997</v>
      </c>
      <c r="J1923">
        <f>YEAR(SalesData[[#This Row],[Order Date]])</f>
        <v>2016</v>
      </c>
      <c r="K1923" t="str">
        <f>TEXT(SalesData[[#This Row],[Order Date]],"mmm")</f>
        <v>Jul</v>
      </c>
      <c r="L1923">
        <f>MONTH(SalesData[[#This Row],[Order Date]])</f>
        <v>7</v>
      </c>
      <c r="M1923">
        <f>SalesData[[#This Row],[Sales]]/SalesData[[#This Row],[Quantity]]</f>
        <v>559.99199999999996</v>
      </c>
      <c r="N1923" t="str">
        <f>IF(SalesData[[#This Row],[Profit]]&gt;0,"Profit","Loss")</f>
        <v>Profit</v>
      </c>
    </row>
    <row r="1924" spans="1:14" x14ac:dyDescent="0.3">
      <c r="A1924" t="s">
        <v>2345</v>
      </c>
      <c r="B1924" s="3">
        <v>42558</v>
      </c>
      <c r="C1924" t="s">
        <v>13</v>
      </c>
      <c r="D1924" t="s">
        <v>21</v>
      </c>
      <c r="E1924" t="s">
        <v>210</v>
      </c>
      <c r="F1924" s="1">
        <v>48.94</v>
      </c>
      <c r="G1924">
        <v>1</v>
      </c>
      <c r="H1924" s="1">
        <v>24.47</v>
      </c>
      <c r="I1924" s="4">
        <f>SalesData[[#This Row],[Profit]]/SalesData[[#This Row],[Sales]]</f>
        <v>0.5</v>
      </c>
      <c r="J1924">
        <f>YEAR(SalesData[[#This Row],[Order Date]])</f>
        <v>2016</v>
      </c>
      <c r="K1924" t="str">
        <f>TEXT(SalesData[[#This Row],[Order Date]],"mmm")</f>
        <v>Jul</v>
      </c>
      <c r="L1924">
        <f>MONTH(SalesData[[#This Row],[Order Date]])</f>
        <v>7</v>
      </c>
      <c r="M1924">
        <f>SalesData[[#This Row],[Sales]]/SalesData[[#This Row],[Quantity]]</f>
        <v>48.94</v>
      </c>
      <c r="N1924" t="str">
        <f>IF(SalesData[[#This Row],[Profit]]&gt;0,"Profit","Loss")</f>
        <v>Profit</v>
      </c>
    </row>
    <row r="1925" spans="1:14" x14ac:dyDescent="0.3">
      <c r="A1925" t="s">
        <v>2346</v>
      </c>
      <c r="B1925" s="3">
        <v>42558</v>
      </c>
      <c r="C1925" t="s">
        <v>17</v>
      </c>
      <c r="D1925" t="s">
        <v>21</v>
      </c>
      <c r="E1925" t="s">
        <v>1599</v>
      </c>
      <c r="F1925" s="1">
        <v>10.08</v>
      </c>
      <c r="G1925">
        <v>2</v>
      </c>
      <c r="H1925" s="1">
        <v>3.2759999999999998</v>
      </c>
      <c r="I1925" s="4">
        <f>SalesData[[#This Row],[Profit]]/SalesData[[#This Row],[Sales]]</f>
        <v>0.32499999999999996</v>
      </c>
      <c r="J1925">
        <f>YEAR(SalesData[[#This Row],[Order Date]])</f>
        <v>2016</v>
      </c>
      <c r="K1925" t="str">
        <f>TEXT(SalesData[[#This Row],[Order Date]],"mmm")</f>
        <v>Jul</v>
      </c>
      <c r="L1925">
        <f>MONTH(SalesData[[#This Row],[Order Date]])</f>
        <v>7</v>
      </c>
      <c r="M1925">
        <f>SalesData[[#This Row],[Sales]]/SalesData[[#This Row],[Quantity]]</f>
        <v>5.04</v>
      </c>
      <c r="N1925" t="str">
        <f>IF(SalesData[[#This Row],[Profit]]&gt;0,"Profit","Loss")</f>
        <v>Profit</v>
      </c>
    </row>
    <row r="1926" spans="1:14" x14ac:dyDescent="0.3">
      <c r="A1926" t="s">
        <v>2346</v>
      </c>
      <c r="B1926" s="3">
        <v>42558</v>
      </c>
      <c r="C1926" t="s">
        <v>17</v>
      </c>
      <c r="D1926" t="s">
        <v>10</v>
      </c>
      <c r="E1926" t="s">
        <v>348</v>
      </c>
      <c r="F1926" s="1">
        <v>59.994</v>
      </c>
      <c r="G1926">
        <v>1</v>
      </c>
      <c r="H1926" s="1">
        <v>-12.998699999999999</v>
      </c>
      <c r="I1926" s="4">
        <f>SalesData[[#This Row],[Profit]]/SalesData[[#This Row],[Sales]]</f>
        <v>-0.21666666666666665</v>
      </c>
      <c r="J1926">
        <f>YEAR(SalesData[[#This Row],[Order Date]])</f>
        <v>2016</v>
      </c>
      <c r="K1926" t="str">
        <f>TEXT(SalesData[[#This Row],[Order Date]],"mmm")</f>
        <v>Jul</v>
      </c>
      <c r="L1926">
        <f>MONTH(SalesData[[#This Row],[Order Date]])</f>
        <v>7</v>
      </c>
      <c r="M1926">
        <f>SalesData[[#This Row],[Sales]]/SalesData[[#This Row],[Quantity]]</f>
        <v>59.994</v>
      </c>
      <c r="N1926" t="str">
        <f>IF(SalesData[[#This Row],[Profit]]&gt;0,"Profit","Loss")</f>
        <v>Loss</v>
      </c>
    </row>
    <row r="1927" spans="1:14" x14ac:dyDescent="0.3">
      <c r="A1927" t="s">
        <v>2346</v>
      </c>
      <c r="B1927" s="3">
        <v>42558</v>
      </c>
      <c r="C1927" t="s">
        <v>17</v>
      </c>
      <c r="D1927" t="s">
        <v>21</v>
      </c>
      <c r="E1927" t="s">
        <v>2347</v>
      </c>
      <c r="F1927" s="1">
        <v>5.7149999999999999</v>
      </c>
      <c r="G1927">
        <v>5</v>
      </c>
      <c r="H1927" s="1">
        <v>-4.7625000000000002</v>
      </c>
      <c r="I1927" s="4">
        <f>SalesData[[#This Row],[Profit]]/SalesData[[#This Row],[Sales]]</f>
        <v>-0.83333333333333337</v>
      </c>
      <c r="J1927">
        <f>YEAR(SalesData[[#This Row],[Order Date]])</f>
        <v>2016</v>
      </c>
      <c r="K1927" t="str">
        <f>TEXT(SalesData[[#This Row],[Order Date]],"mmm")</f>
        <v>Jul</v>
      </c>
      <c r="L1927">
        <f>MONTH(SalesData[[#This Row],[Order Date]])</f>
        <v>7</v>
      </c>
      <c r="M1927">
        <f>SalesData[[#This Row],[Sales]]/SalesData[[#This Row],[Quantity]]</f>
        <v>1.143</v>
      </c>
      <c r="N1927" t="str">
        <f>IF(SalesData[[#This Row],[Profit]]&gt;0,"Profit","Loss")</f>
        <v>Loss</v>
      </c>
    </row>
    <row r="1928" spans="1:14" x14ac:dyDescent="0.3">
      <c r="A1928" t="s">
        <v>2346</v>
      </c>
      <c r="B1928" s="3">
        <v>42558</v>
      </c>
      <c r="C1928" t="s">
        <v>17</v>
      </c>
      <c r="D1928" t="s">
        <v>21</v>
      </c>
      <c r="E1928" t="s">
        <v>1758</v>
      </c>
      <c r="F1928" s="1">
        <v>9.42</v>
      </c>
      <c r="G1928">
        <v>5</v>
      </c>
      <c r="H1928" s="1">
        <v>-7.85</v>
      </c>
      <c r="I1928" s="4">
        <f>SalesData[[#This Row],[Profit]]/SalesData[[#This Row],[Sales]]</f>
        <v>-0.83333333333333326</v>
      </c>
      <c r="J1928">
        <f>YEAR(SalesData[[#This Row],[Order Date]])</f>
        <v>2016</v>
      </c>
      <c r="K1928" t="str">
        <f>TEXT(SalesData[[#This Row],[Order Date]],"mmm")</f>
        <v>Jul</v>
      </c>
      <c r="L1928">
        <f>MONTH(SalesData[[#This Row],[Order Date]])</f>
        <v>7</v>
      </c>
      <c r="M1928">
        <f>SalesData[[#This Row],[Sales]]/SalesData[[#This Row],[Quantity]]</f>
        <v>1.8839999999999999</v>
      </c>
      <c r="N1928" t="str">
        <f>IF(SalesData[[#This Row],[Profit]]&gt;0,"Profit","Loss")</f>
        <v>Loss</v>
      </c>
    </row>
    <row r="1929" spans="1:14" x14ac:dyDescent="0.3">
      <c r="A1929" t="s">
        <v>2348</v>
      </c>
      <c r="B1929" s="3">
        <v>42558</v>
      </c>
      <c r="C1929" t="s">
        <v>13</v>
      </c>
      <c r="D1929" t="s">
        <v>21</v>
      </c>
      <c r="E1929" t="s">
        <v>580</v>
      </c>
      <c r="F1929" s="1">
        <v>12.96</v>
      </c>
      <c r="G1929">
        <v>2</v>
      </c>
      <c r="H1929" s="1">
        <v>6.2207999999999997</v>
      </c>
      <c r="I1929" s="4">
        <f>SalesData[[#This Row],[Profit]]/SalesData[[#This Row],[Sales]]</f>
        <v>0.47999999999999993</v>
      </c>
      <c r="J1929">
        <f>YEAR(SalesData[[#This Row],[Order Date]])</f>
        <v>2016</v>
      </c>
      <c r="K1929" t="str">
        <f>TEXT(SalesData[[#This Row],[Order Date]],"mmm")</f>
        <v>Jul</v>
      </c>
      <c r="L1929">
        <f>MONTH(SalesData[[#This Row],[Order Date]])</f>
        <v>7</v>
      </c>
      <c r="M1929">
        <f>SalesData[[#This Row],[Sales]]/SalesData[[#This Row],[Quantity]]</f>
        <v>6.48</v>
      </c>
      <c r="N1929" t="str">
        <f>IF(SalesData[[#This Row],[Profit]]&gt;0,"Profit","Loss")</f>
        <v>Profit</v>
      </c>
    </row>
    <row r="1930" spans="1:14" x14ac:dyDescent="0.3">
      <c r="A1930" t="s">
        <v>2348</v>
      </c>
      <c r="B1930" s="3">
        <v>42558</v>
      </c>
      <c r="C1930" t="s">
        <v>13</v>
      </c>
      <c r="D1930" t="s">
        <v>21</v>
      </c>
      <c r="E1930" t="s">
        <v>437</v>
      </c>
      <c r="F1930" s="1">
        <v>45.98</v>
      </c>
      <c r="G1930">
        <v>2</v>
      </c>
      <c r="H1930" s="1">
        <v>12.8744</v>
      </c>
      <c r="I1930" s="4">
        <f>SalesData[[#This Row],[Profit]]/SalesData[[#This Row],[Sales]]</f>
        <v>0.28000000000000003</v>
      </c>
      <c r="J1930">
        <f>YEAR(SalesData[[#This Row],[Order Date]])</f>
        <v>2016</v>
      </c>
      <c r="K1930" t="str">
        <f>TEXT(SalesData[[#This Row],[Order Date]],"mmm")</f>
        <v>Jul</v>
      </c>
      <c r="L1930">
        <f>MONTH(SalesData[[#This Row],[Order Date]])</f>
        <v>7</v>
      </c>
      <c r="M1930">
        <f>SalesData[[#This Row],[Sales]]/SalesData[[#This Row],[Quantity]]</f>
        <v>22.99</v>
      </c>
      <c r="N1930" t="str">
        <f>IF(SalesData[[#This Row],[Profit]]&gt;0,"Profit","Loss")</f>
        <v>Profit</v>
      </c>
    </row>
    <row r="1931" spans="1:14" x14ac:dyDescent="0.3">
      <c r="A1931" t="s">
        <v>2349</v>
      </c>
      <c r="B1931" s="3">
        <v>42559</v>
      </c>
      <c r="C1931" t="s">
        <v>13</v>
      </c>
      <c r="D1931" t="s">
        <v>10</v>
      </c>
      <c r="E1931" t="s">
        <v>2350</v>
      </c>
      <c r="F1931" s="1">
        <v>179.97</v>
      </c>
      <c r="G1931">
        <v>3</v>
      </c>
      <c r="H1931" s="1">
        <v>86.385599999999997</v>
      </c>
      <c r="I1931" s="4">
        <f>SalesData[[#This Row],[Profit]]/SalesData[[#This Row],[Sales]]</f>
        <v>0.48</v>
      </c>
      <c r="J1931">
        <f>YEAR(SalesData[[#This Row],[Order Date]])</f>
        <v>2016</v>
      </c>
      <c r="K1931" t="str">
        <f>TEXT(SalesData[[#This Row],[Order Date]],"mmm")</f>
        <v>Jul</v>
      </c>
      <c r="L1931">
        <f>MONTH(SalesData[[#This Row],[Order Date]])</f>
        <v>7</v>
      </c>
      <c r="M1931">
        <f>SalesData[[#This Row],[Sales]]/SalesData[[#This Row],[Quantity]]</f>
        <v>59.99</v>
      </c>
      <c r="N1931" t="str">
        <f>IF(SalesData[[#This Row],[Profit]]&gt;0,"Profit","Loss")</f>
        <v>Profit</v>
      </c>
    </row>
    <row r="1932" spans="1:14" x14ac:dyDescent="0.3">
      <c r="A1932" t="s">
        <v>2351</v>
      </c>
      <c r="B1932" s="3">
        <v>42561</v>
      </c>
      <c r="C1932" t="s">
        <v>13</v>
      </c>
      <c r="D1932" t="s">
        <v>21</v>
      </c>
      <c r="E1932" t="s">
        <v>1639</v>
      </c>
      <c r="F1932" s="1">
        <v>27.263999999999999</v>
      </c>
      <c r="G1932">
        <v>2</v>
      </c>
      <c r="H1932" s="1">
        <v>8.8607999999999993</v>
      </c>
      <c r="I1932" s="4">
        <f>SalesData[[#This Row],[Profit]]/SalesData[[#This Row],[Sales]]</f>
        <v>0.32500000000000001</v>
      </c>
      <c r="J1932">
        <f>YEAR(SalesData[[#This Row],[Order Date]])</f>
        <v>2016</v>
      </c>
      <c r="K1932" t="str">
        <f>TEXT(SalesData[[#This Row],[Order Date]],"mmm")</f>
        <v>Jul</v>
      </c>
      <c r="L1932">
        <f>MONTH(SalesData[[#This Row],[Order Date]])</f>
        <v>7</v>
      </c>
      <c r="M1932">
        <f>SalesData[[#This Row],[Sales]]/SalesData[[#This Row],[Quantity]]</f>
        <v>13.632</v>
      </c>
      <c r="N1932" t="str">
        <f>IF(SalesData[[#This Row],[Profit]]&gt;0,"Profit","Loss")</f>
        <v>Profit</v>
      </c>
    </row>
    <row r="1933" spans="1:14" x14ac:dyDescent="0.3">
      <c r="A1933" t="s">
        <v>2352</v>
      </c>
      <c r="B1933" s="3">
        <v>42561</v>
      </c>
      <c r="C1933" t="s">
        <v>13</v>
      </c>
      <c r="D1933" t="s">
        <v>10</v>
      </c>
      <c r="E1933" t="s">
        <v>1153</v>
      </c>
      <c r="F1933" s="1">
        <v>837.6</v>
      </c>
      <c r="G1933">
        <v>3</v>
      </c>
      <c r="H1933" s="1">
        <v>62.82</v>
      </c>
      <c r="I1933" s="4">
        <f>SalesData[[#This Row],[Profit]]/SalesData[[#This Row],[Sales]]</f>
        <v>7.4999999999999997E-2</v>
      </c>
      <c r="J1933">
        <f>YEAR(SalesData[[#This Row],[Order Date]])</f>
        <v>2016</v>
      </c>
      <c r="K1933" t="str">
        <f>TEXT(SalesData[[#This Row],[Order Date]],"mmm")</f>
        <v>Jul</v>
      </c>
      <c r="L1933">
        <f>MONTH(SalesData[[#This Row],[Order Date]])</f>
        <v>7</v>
      </c>
      <c r="M1933">
        <f>SalesData[[#This Row],[Sales]]/SalesData[[#This Row],[Quantity]]</f>
        <v>279.2</v>
      </c>
      <c r="N1933" t="str">
        <f>IF(SalesData[[#This Row],[Profit]]&gt;0,"Profit","Loss")</f>
        <v>Profit</v>
      </c>
    </row>
    <row r="1934" spans="1:14" x14ac:dyDescent="0.3">
      <c r="A1934" t="s">
        <v>2353</v>
      </c>
      <c r="B1934" s="3">
        <v>42561</v>
      </c>
      <c r="C1934" t="s">
        <v>13</v>
      </c>
      <c r="D1934" t="s">
        <v>21</v>
      </c>
      <c r="E1934" t="s">
        <v>816</v>
      </c>
      <c r="F1934" s="1">
        <v>10.56</v>
      </c>
      <c r="G1934">
        <v>2</v>
      </c>
      <c r="H1934" s="1">
        <v>5.0688000000000004</v>
      </c>
      <c r="I1934" s="4">
        <f>SalesData[[#This Row],[Profit]]/SalesData[[#This Row],[Sales]]</f>
        <v>0.48000000000000004</v>
      </c>
      <c r="J1934">
        <f>YEAR(SalesData[[#This Row],[Order Date]])</f>
        <v>2016</v>
      </c>
      <c r="K1934" t="str">
        <f>TEXT(SalesData[[#This Row],[Order Date]],"mmm")</f>
        <v>Jul</v>
      </c>
      <c r="L1934">
        <f>MONTH(SalesData[[#This Row],[Order Date]])</f>
        <v>7</v>
      </c>
      <c r="M1934">
        <f>SalesData[[#This Row],[Sales]]/SalesData[[#This Row],[Quantity]]</f>
        <v>5.28</v>
      </c>
      <c r="N1934" t="str">
        <f>IF(SalesData[[#This Row],[Profit]]&gt;0,"Profit","Loss")</f>
        <v>Profit</v>
      </c>
    </row>
    <row r="1935" spans="1:14" x14ac:dyDescent="0.3">
      <c r="A1935" t="s">
        <v>2354</v>
      </c>
      <c r="B1935" s="3">
        <v>42561</v>
      </c>
      <c r="C1935" t="s">
        <v>17</v>
      </c>
      <c r="D1935" t="s">
        <v>21</v>
      </c>
      <c r="E1935" t="s">
        <v>2355</v>
      </c>
      <c r="F1935" s="1">
        <v>4.9279999999999999</v>
      </c>
      <c r="G1935">
        <v>2</v>
      </c>
      <c r="H1935" s="1">
        <v>1.7248000000000001</v>
      </c>
      <c r="I1935" s="4">
        <f>SalesData[[#This Row],[Profit]]/SalesData[[#This Row],[Sales]]</f>
        <v>0.35000000000000003</v>
      </c>
      <c r="J1935">
        <f>YEAR(SalesData[[#This Row],[Order Date]])</f>
        <v>2016</v>
      </c>
      <c r="K1935" t="str">
        <f>TEXT(SalesData[[#This Row],[Order Date]],"mmm")</f>
        <v>Jul</v>
      </c>
      <c r="L1935">
        <f>MONTH(SalesData[[#This Row],[Order Date]])</f>
        <v>7</v>
      </c>
      <c r="M1935">
        <f>SalesData[[#This Row],[Sales]]/SalesData[[#This Row],[Quantity]]</f>
        <v>2.464</v>
      </c>
      <c r="N1935" t="str">
        <f>IF(SalesData[[#This Row],[Profit]]&gt;0,"Profit","Loss")</f>
        <v>Profit</v>
      </c>
    </row>
    <row r="1936" spans="1:14" x14ac:dyDescent="0.3">
      <c r="A1936" t="s">
        <v>2356</v>
      </c>
      <c r="B1936" s="3">
        <v>42561</v>
      </c>
      <c r="C1936" t="s">
        <v>13</v>
      </c>
      <c r="D1936" t="s">
        <v>21</v>
      </c>
      <c r="E1936" t="s">
        <v>492</v>
      </c>
      <c r="F1936" s="1">
        <v>93.36</v>
      </c>
      <c r="G1936">
        <v>12</v>
      </c>
      <c r="H1936" s="1">
        <v>0.93359999999999999</v>
      </c>
      <c r="I1936" s="4">
        <f>SalesData[[#This Row],[Profit]]/SalesData[[#This Row],[Sales]]</f>
        <v>0.01</v>
      </c>
      <c r="J1936">
        <f>YEAR(SalesData[[#This Row],[Order Date]])</f>
        <v>2016</v>
      </c>
      <c r="K1936" t="str">
        <f>TEXT(SalesData[[#This Row],[Order Date]],"mmm")</f>
        <v>Jul</v>
      </c>
      <c r="L1936">
        <f>MONTH(SalesData[[#This Row],[Order Date]])</f>
        <v>7</v>
      </c>
      <c r="M1936">
        <f>SalesData[[#This Row],[Sales]]/SalesData[[#This Row],[Quantity]]</f>
        <v>7.78</v>
      </c>
      <c r="N1936" t="str">
        <f>IF(SalesData[[#This Row],[Profit]]&gt;0,"Profit","Loss")</f>
        <v>Profit</v>
      </c>
    </row>
    <row r="1937" spans="1:14" x14ac:dyDescent="0.3">
      <c r="A1937" t="s">
        <v>2357</v>
      </c>
      <c r="B1937" s="3">
        <v>42562</v>
      </c>
      <c r="C1937" t="s">
        <v>13</v>
      </c>
      <c r="D1937" t="s">
        <v>21</v>
      </c>
      <c r="E1937" t="s">
        <v>2358</v>
      </c>
      <c r="F1937" s="1">
        <v>27.68</v>
      </c>
      <c r="G1937">
        <v>2</v>
      </c>
      <c r="H1937" s="1">
        <v>9.6880000000000006</v>
      </c>
      <c r="I1937" s="4">
        <f>SalesData[[#This Row],[Profit]]/SalesData[[#This Row],[Sales]]</f>
        <v>0.35000000000000003</v>
      </c>
      <c r="J1937">
        <f>YEAR(SalesData[[#This Row],[Order Date]])</f>
        <v>2016</v>
      </c>
      <c r="K1937" t="str">
        <f>TEXT(SalesData[[#This Row],[Order Date]],"mmm")</f>
        <v>Jul</v>
      </c>
      <c r="L1937">
        <f>MONTH(SalesData[[#This Row],[Order Date]])</f>
        <v>7</v>
      </c>
      <c r="M1937">
        <f>SalesData[[#This Row],[Sales]]/SalesData[[#This Row],[Quantity]]</f>
        <v>13.84</v>
      </c>
      <c r="N1937" t="str">
        <f>IF(SalesData[[#This Row],[Profit]]&gt;0,"Profit","Loss")</f>
        <v>Profit</v>
      </c>
    </row>
    <row r="1938" spans="1:14" x14ac:dyDescent="0.3">
      <c r="A1938" t="s">
        <v>2359</v>
      </c>
      <c r="B1938" s="3">
        <v>42562</v>
      </c>
      <c r="C1938" t="s">
        <v>13</v>
      </c>
      <c r="D1938" t="s">
        <v>21</v>
      </c>
      <c r="E1938" t="s">
        <v>326</v>
      </c>
      <c r="F1938" s="1">
        <v>37.44</v>
      </c>
      <c r="G1938">
        <v>4</v>
      </c>
      <c r="H1938" s="1">
        <v>11.7</v>
      </c>
      <c r="I1938" s="4">
        <f>SalesData[[#This Row],[Profit]]/SalesData[[#This Row],[Sales]]</f>
        <v>0.3125</v>
      </c>
      <c r="J1938">
        <f>YEAR(SalesData[[#This Row],[Order Date]])</f>
        <v>2016</v>
      </c>
      <c r="K1938" t="str">
        <f>TEXT(SalesData[[#This Row],[Order Date]],"mmm")</f>
        <v>Jul</v>
      </c>
      <c r="L1938">
        <f>MONTH(SalesData[[#This Row],[Order Date]])</f>
        <v>7</v>
      </c>
      <c r="M1938">
        <f>SalesData[[#This Row],[Sales]]/SalesData[[#This Row],[Quantity]]</f>
        <v>9.36</v>
      </c>
      <c r="N1938" t="str">
        <f>IF(SalesData[[#This Row],[Profit]]&gt;0,"Profit","Loss")</f>
        <v>Profit</v>
      </c>
    </row>
    <row r="1939" spans="1:14" x14ac:dyDescent="0.3">
      <c r="A1939" t="s">
        <v>2359</v>
      </c>
      <c r="B1939" s="3">
        <v>42562</v>
      </c>
      <c r="C1939" t="s">
        <v>13</v>
      </c>
      <c r="D1939" t="s">
        <v>21</v>
      </c>
      <c r="E1939" t="s">
        <v>2313</v>
      </c>
      <c r="F1939" s="1">
        <v>26.975999999999999</v>
      </c>
      <c r="G1939">
        <v>4</v>
      </c>
      <c r="H1939" s="1">
        <v>8.7672000000000008</v>
      </c>
      <c r="I1939" s="4">
        <f>SalesData[[#This Row],[Profit]]/SalesData[[#This Row],[Sales]]</f>
        <v>0.32500000000000007</v>
      </c>
      <c r="J1939">
        <f>YEAR(SalesData[[#This Row],[Order Date]])</f>
        <v>2016</v>
      </c>
      <c r="K1939" t="str">
        <f>TEXT(SalesData[[#This Row],[Order Date]],"mmm")</f>
        <v>Jul</v>
      </c>
      <c r="L1939">
        <f>MONTH(SalesData[[#This Row],[Order Date]])</f>
        <v>7</v>
      </c>
      <c r="M1939">
        <f>SalesData[[#This Row],[Sales]]/SalesData[[#This Row],[Quantity]]</f>
        <v>6.7439999999999998</v>
      </c>
      <c r="N1939" t="str">
        <f>IF(SalesData[[#This Row],[Profit]]&gt;0,"Profit","Loss")</f>
        <v>Profit</v>
      </c>
    </row>
    <row r="1940" spans="1:14" x14ac:dyDescent="0.3">
      <c r="A1940" t="s">
        <v>2359</v>
      </c>
      <c r="B1940" s="3">
        <v>42562</v>
      </c>
      <c r="C1940" t="s">
        <v>13</v>
      </c>
      <c r="D1940" t="s">
        <v>21</v>
      </c>
      <c r="E1940" t="s">
        <v>2125</v>
      </c>
      <c r="F1940" s="1">
        <v>11.36</v>
      </c>
      <c r="G1940">
        <v>2</v>
      </c>
      <c r="H1940" s="1">
        <v>3.2944</v>
      </c>
      <c r="I1940" s="4">
        <f>SalesData[[#This Row],[Profit]]/SalesData[[#This Row],[Sales]]</f>
        <v>0.29000000000000004</v>
      </c>
      <c r="J1940">
        <f>YEAR(SalesData[[#This Row],[Order Date]])</f>
        <v>2016</v>
      </c>
      <c r="K1940" t="str">
        <f>TEXT(SalesData[[#This Row],[Order Date]],"mmm")</f>
        <v>Jul</v>
      </c>
      <c r="L1940">
        <f>MONTH(SalesData[[#This Row],[Order Date]])</f>
        <v>7</v>
      </c>
      <c r="M1940">
        <f>SalesData[[#This Row],[Sales]]/SalesData[[#This Row],[Quantity]]</f>
        <v>5.68</v>
      </c>
      <c r="N1940" t="str">
        <f>IF(SalesData[[#This Row],[Profit]]&gt;0,"Profit","Loss")</f>
        <v>Profit</v>
      </c>
    </row>
    <row r="1941" spans="1:14" x14ac:dyDescent="0.3">
      <c r="A1941" t="s">
        <v>2359</v>
      </c>
      <c r="B1941" s="3">
        <v>42562</v>
      </c>
      <c r="C1941" t="s">
        <v>13</v>
      </c>
      <c r="D1941" t="s">
        <v>21</v>
      </c>
      <c r="E1941" t="s">
        <v>1734</v>
      </c>
      <c r="F1941" s="1">
        <v>14.62</v>
      </c>
      <c r="G1941">
        <v>2</v>
      </c>
      <c r="H1941" s="1">
        <v>6.8714000000000004</v>
      </c>
      <c r="I1941" s="4">
        <f>SalesData[[#This Row],[Profit]]/SalesData[[#This Row],[Sales]]</f>
        <v>0.47000000000000003</v>
      </c>
      <c r="J1941">
        <f>YEAR(SalesData[[#This Row],[Order Date]])</f>
        <v>2016</v>
      </c>
      <c r="K1941" t="str">
        <f>TEXT(SalesData[[#This Row],[Order Date]],"mmm")</f>
        <v>Jul</v>
      </c>
      <c r="L1941">
        <f>MONTH(SalesData[[#This Row],[Order Date]])</f>
        <v>7</v>
      </c>
      <c r="M1941">
        <f>SalesData[[#This Row],[Sales]]/SalesData[[#This Row],[Quantity]]</f>
        <v>7.31</v>
      </c>
      <c r="N1941" t="str">
        <f>IF(SalesData[[#This Row],[Profit]]&gt;0,"Profit","Loss")</f>
        <v>Profit</v>
      </c>
    </row>
    <row r="1942" spans="1:14" x14ac:dyDescent="0.3">
      <c r="A1942" t="s">
        <v>2360</v>
      </c>
      <c r="B1942" s="3">
        <v>42562</v>
      </c>
      <c r="C1942" t="s">
        <v>13</v>
      </c>
      <c r="D1942" t="s">
        <v>14</v>
      </c>
      <c r="E1942" t="s">
        <v>2361</v>
      </c>
      <c r="F1942" s="1">
        <v>14.82</v>
      </c>
      <c r="G1942">
        <v>3</v>
      </c>
      <c r="H1942" s="1">
        <v>6.2244000000000002</v>
      </c>
      <c r="I1942" s="4">
        <f>SalesData[[#This Row],[Profit]]/SalesData[[#This Row],[Sales]]</f>
        <v>0.42</v>
      </c>
      <c r="J1942">
        <f>YEAR(SalesData[[#This Row],[Order Date]])</f>
        <v>2016</v>
      </c>
      <c r="K1942" t="str">
        <f>TEXT(SalesData[[#This Row],[Order Date]],"mmm")</f>
        <v>Jul</v>
      </c>
      <c r="L1942">
        <f>MONTH(SalesData[[#This Row],[Order Date]])</f>
        <v>7</v>
      </c>
      <c r="M1942">
        <f>SalesData[[#This Row],[Sales]]/SalesData[[#This Row],[Quantity]]</f>
        <v>4.9400000000000004</v>
      </c>
      <c r="N1942" t="str">
        <f>IF(SalesData[[#This Row],[Profit]]&gt;0,"Profit","Loss")</f>
        <v>Profit</v>
      </c>
    </row>
    <row r="1943" spans="1:14" x14ac:dyDescent="0.3">
      <c r="A1943" t="s">
        <v>2362</v>
      </c>
      <c r="B1943" s="3">
        <v>42562</v>
      </c>
      <c r="C1943" t="s">
        <v>17</v>
      </c>
      <c r="D1943" t="s">
        <v>10</v>
      </c>
      <c r="E1943" t="s">
        <v>453</v>
      </c>
      <c r="F1943" s="1">
        <v>119.976</v>
      </c>
      <c r="G1943">
        <v>3</v>
      </c>
      <c r="H1943" s="1">
        <v>22.4955</v>
      </c>
      <c r="I1943" s="4">
        <f>SalesData[[#This Row],[Profit]]/SalesData[[#This Row],[Sales]]</f>
        <v>0.1875</v>
      </c>
      <c r="J1943">
        <f>YEAR(SalesData[[#This Row],[Order Date]])</f>
        <v>2016</v>
      </c>
      <c r="K1943" t="str">
        <f>TEXT(SalesData[[#This Row],[Order Date]],"mmm")</f>
        <v>Jul</v>
      </c>
      <c r="L1943">
        <f>MONTH(SalesData[[#This Row],[Order Date]])</f>
        <v>7</v>
      </c>
      <c r="M1943">
        <f>SalesData[[#This Row],[Sales]]/SalesData[[#This Row],[Quantity]]</f>
        <v>39.991999999999997</v>
      </c>
      <c r="N1943" t="str">
        <f>IF(SalesData[[#This Row],[Profit]]&gt;0,"Profit","Loss")</f>
        <v>Profit</v>
      </c>
    </row>
    <row r="1944" spans="1:14" x14ac:dyDescent="0.3">
      <c r="A1944" t="s">
        <v>2363</v>
      </c>
      <c r="B1944" s="3">
        <v>42562</v>
      </c>
      <c r="C1944" t="s">
        <v>17</v>
      </c>
      <c r="D1944" t="s">
        <v>21</v>
      </c>
      <c r="E1944" t="s">
        <v>1512</v>
      </c>
      <c r="F1944" s="1">
        <v>14.96</v>
      </c>
      <c r="G1944">
        <v>4</v>
      </c>
      <c r="H1944" s="1">
        <v>0.29920000000000002</v>
      </c>
      <c r="I1944" s="4">
        <f>SalesData[[#This Row],[Profit]]/SalesData[[#This Row],[Sales]]</f>
        <v>0.02</v>
      </c>
      <c r="J1944">
        <f>YEAR(SalesData[[#This Row],[Order Date]])</f>
        <v>2016</v>
      </c>
      <c r="K1944" t="str">
        <f>TEXT(SalesData[[#This Row],[Order Date]],"mmm")</f>
        <v>Jul</v>
      </c>
      <c r="L1944">
        <f>MONTH(SalesData[[#This Row],[Order Date]])</f>
        <v>7</v>
      </c>
      <c r="M1944">
        <f>SalesData[[#This Row],[Sales]]/SalesData[[#This Row],[Quantity]]</f>
        <v>3.74</v>
      </c>
      <c r="N1944" t="str">
        <f>IF(SalesData[[#This Row],[Profit]]&gt;0,"Profit","Loss")</f>
        <v>Profit</v>
      </c>
    </row>
    <row r="1945" spans="1:14" x14ac:dyDescent="0.3">
      <c r="A1945" t="s">
        <v>2364</v>
      </c>
      <c r="B1945" s="3">
        <v>42562</v>
      </c>
      <c r="C1945" t="s">
        <v>13</v>
      </c>
      <c r="D1945" t="s">
        <v>21</v>
      </c>
      <c r="E1945" t="s">
        <v>2052</v>
      </c>
      <c r="F1945" s="1">
        <v>12.9</v>
      </c>
      <c r="G1945">
        <v>2</v>
      </c>
      <c r="H1945" s="1">
        <v>6.3209999999999997</v>
      </c>
      <c r="I1945" s="4">
        <f>SalesData[[#This Row],[Profit]]/SalesData[[#This Row],[Sales]]</f>
        <v>0.49</v>
      </c>
      <c r="J1945">
        <f>YEAR(SalesData[[#This Row],[Order Date]])</f>
        <v>2016</v>
      </c>
      <c r="K1945" t="str">
        <f>TEXT(SalesData[[#This Row],[Order Date]],"mmm")</f>
        <v>Jul</v>
      </c>
      <c r="L1945">
        <f>MONTH(SalesData[[#This Row],[Order Date]])</f>
        <v>7</v>
      </c>
      <c r="M1945">
        <f>SalesData[[#This Row],[Sales]]/SalesData[[#This Row],[Quantity]]</f>
        <v>6.45</v>
      </c>
      <c r="N1945" t="str">
        <f>IF(SalesData[[#This Row],[Profit]]&gt;0,"Profit","Loss")</f>
        <v>Profit</v>
      </c>
    </row>
    <row r="1946" spans="1:14" x14ac:dyDescent="0.3">
      <c r="A1946" t="s">
        <v>2365</v>
      </c>
      <c r="B1946" s="3">
        <v>42562</v>
      </c>
      <c r="C1946" t="s">
        <v>13</v>
      </c>
      <c r="D1946" t="s">
        <v>14</v>
      </c>
      <c r="E1946" t="s">
        <v>1112</v>
      </c>
      <c r="F1946" s="1">
        <v>1603.136</v>
      </c>
      <c r="G1946">
        <v>4</v>
      </c>
      <c r="H1946" s="1">
        <v>100.196</v>
      </c>
      <c r="I1946" s="4">
        <f>SalesData[[#This Row],[Profit]]/SalesData[[#This Row],[Sales]]</f>
        <v>6.25E-2</v>
      </c>
      <c r="J1946">
        <f>YEAR(SalesData[[#This Row],[Order Date]])</f>
        <v>2016</v>
      </c>
      <c r="K1946" t="str">
        <f>TEXT(SalesData[[#This Row],[Order Date]],"mmm")</f>
        <v>Jul</v>
      </c>
      <c r="L1946">
        <f>MONTH(SalesData[[#This Row],[Order Date]])</f>
        <v>7</v>
      </c>
      <c r="M1946">
        <f>SalesData[[#This Row],[Sales]]/SalesData[[#This Row],[Quantity]]</f>
        <v>400.78399999999999</v>
      </c>
      <c r="N1946" t="str">
        <f>IF(SalesData[[#This Row],[Profit]]&gt;0,"Profit","Loss")</f>
        <v>Profit</v>
      </c>
    </row>
    <row r="1947" spans="1:14" x14ac:dyDescent="0.3">
      <c r="A1947" t="s">
        <v>2366</v>
      </c>
      <c r="B1947" s="3">
        <v>42562</v>
      </c>
      <c r="C1947" t="s">
        <v>17</v>
      </c>
      <c r="D1947" t="s">
        <v>10</v>
      </c>
      <c r="E1947" t="s">
        <v>901</v>
      </c>
      <c r="F1947" s="1">
        <v>263.95999999999998</v>
      </c>
      <c r="G1947">
        <v>4</v>
      </c>
      <c r="H1947" s="1">
        <v>71.269199999999998</v>
      </c>
      <c r="I1947" s="4">
        <f>SalesData[[#This Row],[Profit]]/SalesData[[#This Row],[Sales]]</f>
        <v>0.27</v>
      </c>
      <c r="J1947">
        <f>YEAR(SalesData[[#This Row],[Order Date]])</f>
        <v>2016</v>
      </c>
      <c r="K1947" t="str">
        <f>TEXT(SalesData[[#This Row],[Order Date]],"mmm")</f>
        <v>Jul</v>
      </c>
      <c r="L1947">
        <f>MONTH(SalesData[[#This Row],[Order Date]])</f>
        <v>7</v>
      </c>
      <c r="M1947">
        <f>SalesData[[#This Row],[Sales]]/SalesData[[#This Row],[Quantity]]</f>
        <v>65.989999999999995</v>
      </c>
      <c r="N1947" t="str">
        <f>IF(SalesData[[#This Row],[Profit]]&gt;0,"Profit","Loss")</f>
        <v>Profit</v>
      </c>
    </row>
    <row r="1948" spans="1:14" x14ac:dyDescent="0.3">
      <c r="A1948" t="s">
        <v>2366</v>
      </c>
      <c r="B1948" s="3">
        <v>42562</v>
      </c>
      <c r="C1948" t="s">
        <v>17</v>
      </c>
      <c r="D1948" t="s">
        <v>10</v>
      </c>
      <c r="E1948" t="s">
        <v>298</v>
      </c>
      <c r="F1948" s="1">
        <v>359.97</v>
      </c>
      <c r="G1948">
        <v>3</v>
      </c>
      <c r="H1948" s="1">
        <v>100.7916</v>
      </c>
      <c r="I1948" s="4">
        <f>SalesData[[#This Row],[Profit]]/SalesData[[#This Row],[Sales]]</f>
        <v>0.27999999999999997</v>
      </c>
      <c r="J1948">
        <f>YEAR(SalesData[[#This Row],[Order Date]])</f>
        <v>2016</v>
      </c>
      <c r="K1948" t="str">
        <f>TEXT(SalesData[[#This Row],[Order Date]],"mmm")</f>
        <v>Jul</v>
      </c>
      <c r="L1948">
        <f>MONTH(SalesData[[#This Row],[Order Date]])</f>
        <v>7</v>
      </c>
      <c r="M1948">
        <f>SalesData[[#This Row],[Sales]]/SalesData[[#This Row],[Quantity]]</f>
        <v>119.99000000000001</v>
      </c>
      <c r="N1948" t="str">
        <f>IF(SalesData[[#This Row],[Profit]]&gt;0,"Profit","Loss")</f>
        <v>Profit</v>
      </c>
    </row>
    <row r="1949" spans="1:14" x14ac:dyDescent="0.3">
      <c r="A1949" t="s">
        <v>2366</v>
      </c>
      <c r="B1949" s="3">
        <v>42562</v>
      </c>
      <c r="C1949" t="s">
        <v>17</v>
      </c>
      <c r="D1949" t="s">
        <v>21</v>
      </c>
      <c r="E1949" t="s">
        <v>2367</v>
      </c>
      <c r="F1949" s="1">
        <v>12.96</v>
      </c>
      <c r="G1949">
        <v>2</v>
      </c>
      <c r="H1949" s="1">
        <v>6.2207999999999997</v>
      </c>
      <c r="I1949" s="4">
        <f>SalesData[[#This Row],[Profit]]/SalesData[[#This Row],[Sales]]</f>
        <v>0.47999999999999993</v>
      </c>
      <c r="J1949">
        <f>YEAR(SalesData[[#This Row],[Order Date]])</f>
        <v>2016</v>
      </c>
      <c r="K1949" t="str">
        <f>TEXT(SalesData[[#This Row],[Order Date]],"mmm")</f>
        <v>Jul</v>
      </c>
      <c r="L1949">
        <f>MONTH(SalesData[[#This Row],[Order Date]])</f>
        <v>7</v>
      </c>
      <c r="M1949">
        <f>SalesData[[#This Row],[Sales]]/SalesData[[#This Row],[Quantity]]</f>
        <v>6.48</v>
      </c>
      <c r="N1949" t="str">
        <f>IF(SalesData[[#This Row],[Profit]]&gt;0,"Profit","Loss")</f>
        <v>Profit</v>
      </c>
    </row>
    <row r="1950" spans="1:14" x14ac:dyDescent="0.3">
      <c r="A1950" t="s">
        <v>2366</v>
      </c>
      <c r="B1950" s="3">
        <v>42562</v>
      </c>
      <c r="C1950" t="s">
        <v>17</v>
      </c>
      <c r="D1950" t="s">
        <v>21</v>
      </c>
      <c r="E1950" t="s">
        <v>2195</v>
      </c>
      <c r="F1950" s="1">
        <v>116.82</v>
      </c>
      <c r="G1950">
        <v>3</v>
      </c>
      <c r="H1950" s="1">
        <v>5.8410000000000002</v>
      </c>
      <c r="I1950" s="4">
        <f>SalesData[[#This Row],[Profit]]/SalesData[[#This Row],[Sales]]</f>
        <v>0.05</v>
      </c>
      <c r="J1950">
        <f>YEAR(SalesData[[#This Row],[Order Date]])</f>
        <v>2016</v>
      </c>
      <c r="K1950" t="str">
        <f>TEXT(SalesData[[#This Row],[Order Date]],"mmm")</f>
        <v>Jul</v>
      </c>
      <c r="L1950">
        <f>MONTH(SalesData[[#This Row],[Order Date]])</f>
        <v>7</v>
      </c>
      <c r="M1950">
        <f>SalesData[[#This Row],[Sales]]/SalesData[[#This Row],[Quantity]]</f>
        <v>38.94</v>
      </c>
      <c r="N1950" t="str">
        <f>IF(SalesData[[#This Row],[Profit]]&gt;0,"Profit","Loss")</f>
        <v>Profit</v>
      </c>
    </row>
    <row r="1951" spans="1:14" x14ac:dyDescent="0.3">
      <c r="A1951" t="s">
        <v>2366</v>
      </c>
      <c r="B1951" s="3">
        <v>42562</v>
      </c>
      <c r="C1951" t="s">
        <v>17</v>
      </c>
      <c r="D1951" t="s">
        <v>21</v>
      </c>
      <c r="E1951" t="s">
        <v>1999</v>
      </c>
      <c r="F1951" s="1">
        <v>276.78399999999999</v>
      </c>
      <c r="G1951">
        <v>2</v>
      </c>
      <c r="H1951" s="1">
        <v>89.954800000000006</v>
      </c>
      <c r="I1951" s="4">
        <f>SalesData[[#This Row],[Profit]]/SalesData[[#This Row],[Sales]]</f>
        <v>0.32500000000000001</v>
      </c>
      <c r="J1951">
        <f>YEAR(SalesData[[#This Row],[Order Date]])</f>
        <v>2016</v>
      </c>
      <c r="K1951" t="str">
        <f>TEXT(SalesData[[#This Row],[Order Date]],"mmm")</f>
        <v>Jul</v>
      </c>
      <c r="L1951">
        <f>MONTH(SalesData[[#This Row],[Order Date]])</f>
        <v>7</v>
      </c>
      <c r="M1951">
        <f>SalesData[[#This Row],[Sales]]/SalesData[[#This Row],[Quantity]]</f>
        <v>138.392</v>
      </c>
      <c r="N1951" t="str">
        <f>IF(SalesData[[#This Row],[Profit]]&gt;0,"Profit","Loss")</f>
        <v>Profit</v>
      </c>
    </row>
    <row r="1952" spans="1:14" x14ac:dyDescent="0.3">
      <c r="A1952" t="s">
        <v>2368</v>
      </c>
      <c r="B1952" s="3">
        <v>42562</v>
      </c>
      <c r="C1952" t="s">
        <v>9</v>
      </c>
      <c r="D1952" t="s">
        <v>14</v>
      </c>
      <c r="E1952" t="s">
        <v>2369</v>
      </c>
      <c r="F1952" s="1">
        <v>44.46</v>
      </c>
      <c r="G1952">
        <v>5</v>
      </c>
      <c r="H1952" s="1">
        <v>-17.783999999999999</v>
      </c>
      <c r="I1952" s="4">
        <f>SalesData[[#This Row],[Profit]]/SalesData[[#This Row],[Sales]]</f>
        <v>-0.39999999999999997</v>
      </c>
      <c r="J1952">
        <f>YEAR(SalesData[[#This Row],[Order Date]])</f>
        <v>2016</v>
      </c>
      <c r="K1952" t="str">
        <f>TEXT(SalesData[[#This Row],[Order Date]],"mmm")</f>
        <v>Jul</v>
      </c>
      <c r="L1952">
        <f>MONTH(SalesData[[#This Row],[Order Date]])</f>
        <v>7</v>
      </c>
      <c r="M1952">
        <f>SalesData[[#This Row],[Sales]]/SalesData[[#This Row],[Quantity]]</f>
        <v>8.8919999999999995</v>
      </c>
      <c r="N1952" t="str">
        <f>IF(SalesData[[#This Row],[Profit]]&gt;0,"Profit","Loss")</f>
        <v>Loss</v>
      </c>
    </row>
    <row r="1953" spans="1:14" x14ac:dyDescent="0.3">
      <c r="A1953" t="s">
        <v>2368</v>
      </c>
      <c r="B1953" s="3">
        <v>42562</v>
      </c>
      <c r="C1953" t="s">
        <v>9</v>
      </c>
      <c r="D1953" t="s">
        <v>21</v>
      </c>
      <c r="E1953" t="s">
        <v>2370</v>
      </c>
      <c r="F1953" s="1">
        <v>314.08800000000002</v>
      </c>
      <c r="G1953">
        <v>3</v>
      </c>
      <c r="H1953" s="1">
        <v>19.630500000000001</v>
      </c>
      <c r="I1953" s="4">
        <f>SalesData[[#This Row],[Profit]]/SalesData[[#This Row],[Sales]]</f>
        <v>6.25E-2</v>
      </c>
      <c r="J1953">
        <f>YEAR(SalesData[[#This Row],[Order Date]])</f>
        <v>2016</v>
      </c>
      <c r="K1953" t="str">
        <f>TEXT(SalesData[[#This Row],[Order Date]],"mmm")</f>
        <v>Jul</v>
      </c>
      <c r="L1953">
        <f>MONTH(SalesData[[#This Row],[Order Date]])</f>
        <v>7</v>
      </c>
      <c r="M1953">
        <f>SalesData[[#This Row],[Sales]]/SalesData[[#This Row],[Quantity]]</f>
        <v>104.69600000000001</v>
      </c>
      <c r="N1953" t="str">
        <f>IF(SalesData[[#This Row],[Profit]]&gt;0,"Profit","Loss")</f>
        <v>Profit</v>
      </c>
    </row>
    <row r="1954" spans="1:14" x14ac:dyDescent="0.3">
      <c r="A1954" t="s">
        <v>2371</v>
      </c>
      <c r="B1954" s="3">
        <v>42562</v>
      </c>
      <c r="C1954" t="s">
        <v>13</v>
      </c>
      <c r="D1954" t="s">
        <v>10</v>
      </c>
      <c r="E1954" t="s">
        <v>417</v>
      </c>
      <c r="F1954" s="1">
        <v>479.97</v>
      </c>
      <c r="G1954">
        <v>3</v>
      </c>
      <c r="H1954" s="1">
        <v>163.18979999999999</v>
      </c>
      <c r="I1954" s="4">
        <f>SalesData[[#This Row],[Profit]]/SalesData[[#This Row],[Sales]]</f>
        <v>0.33999999999999997</v>
      </c>
      <c r="J1954">
        <f>YEAR(SalesData[[#This Row],[Order Date]])</f>
        <v>2016</v>
      </c>
      <c r="K1954" t="str">
        <f>TEXT(SalesData[[#This Row],[Order Date]],"mmm")</f>
        <v>Jul</v>
      </c>
      <c r="L1954">
        <f>MONTH(SalesData[[#This Row],[Order Date]])</f>
        <v>7</v>
      </c>
      <c r="M1954">
        <f>SalesData[[#This Row],[Sales]]/SalesData[[#This Row],[Quantity]]</f>
        <v>159.99</v>
      </c>
      <c r="N1954" t="str">
        <f>IF(SalesData[[#This Row],[Profit]]&gt;0,"Profit","Loss")</f>
        <v>Profit</v>
      </c>
    </row>
    <row r="1955" spans="1:14" x14ac:dyDescent="0.3">
      <c r="A1955" t="s">
        <v>2372</v>
      </c>
      <c r="B1955" s="3">
        <v>42562</v>
      </c>
      <c r="C1955" t="s">
        <v>13</v>
      </c>
      <c r="D1955" t="s">
        <v>21</v>
      </c>
      <c r="E1955" t="s">
        <v>2373</v>
      </c>
      <c r="F1955" s="1">
        <v>57.584000000000003</v>
      </c>
      <c r="G1955">
        <v>2</v>
      </c>
      <c r="H1955" s="1">
        <v>20.154399999999999</v>
      </c>
      <c r="I1955" s="4">
        <f>SalesData[[#This Row],[Profit]]/SalesData[[#This Row],[Sales]]</f>
        <v>0.35</v>
      </c>
      <c r="J1955">
        <f>YEAR(SalesData[[#This Row],[Order Date]])</f>
        <v>2016</v>
      </c>
      <c r="K1955" t="str">
        <f>TEXT(SalesData[[#This Row],[Order Date]],"mmm")</f>
        <v>Jul</v>
      </c>
      <c r="L1955">
        <f>MONTH(SalesData[[#This Row],[Order Date]])</f>
        <v>7</v>
      </c>
      <c r="M1955">
        <f>SalesData[[#This Row],[Sales]]/SalesData[[#This Row],[Quantity]]</f>
        <v>28.792000000000002</v>
      </c>
      <c r="N1955" t="str">
        <f>IF(SalesData[[#This Row],[Profit]]&gt;0,"Profit","Loss")</f>
        <v>Profit</v>
      </c>
    </row>
    <row r="1956" spans="1:14" x14ac:dyDescent="0.3">
      <c r="A1956" t="s">
        <v>2374</v>
      </c>
      <c r="B1956" s="3">
        <v>42583</v>
      </c>
      <c r="C1956" t="s">
        <v>9</v>
      </c>
      <c r="D1956" t="s">
        <v>14</v>
      </c>
      <c r="E1956" t="s">
        <v>961</v>
      </c>
      <c r="F1956" s="1">
        <v>1565.88</v>
      </c>
      <c r="G1956">
        <v>6</v>
      </c>
      <c r="H1956" s="1">
        <v>407.12880000000001</v>
      </c>
      <c r="I1956" s="4">
        <f>SalesData[[#This Row],[Profit]]/SalesData[[#This Row],[Sales]]</f>
        <v>0.26</v>
      </c>
      <c r="J1956">
        <f>YEAR(SalesData[[#This Row],[Order Date]])</f>
        <v>2016</v>
      </c>
      <c r="K1956" t="str">
        <f>TEXT(SalesData[[#This Row],[Order Date]],"mmm")</f>
        <v>Aug</v>
      </c>
      <c r="L1956">
        <f>MONTH(SalesData[[#This Row],[Order Date]])</f>
        <v>8</v>
      </c>
      <c r="M1956">
        <f>SalesData[[#This Row],[Sales]]/SalesData[[#This Row],[Quantity]]</f>
        <v>260.98</v>
      </c>
      <c r="N1956" t="str">
        <f>IF(SalesData[[#This Row],[Profit]]&gt;0,"Profit","Loss")</f>
        <v>Profit</v>
      </c>
    </row>
    <row r="1957" spans="1:14" x14ac:dyDescent="0.3">
      <c r="A1957" t="s">
        <v>2374</v>
      </c>
      <c r="B1957" s="3">
        <v>42583</v>
      </c>
      <c r="C1957" t="s">
        <v>9</v>
      </c>
      <c r="D1957" t="s">
        <v>21</v>
      </c>
      <c r="E1957" t="s">
        <v>2124</v>
      </c>
      <c r="F1957" s="1">
        <v>106.05</v>
      </c>
      <c r="G1957">
        <v>7</v>
      </c>
      <c r="H1957" s="1">
        <v>49.843499999999999</v>
      </c>
      <c r="I1957" s="4">
        <f>SalesData[[#This Row],[Profit]]/SalesData[[#This Row],[Sales]]</f>
        <v>0.47000000000000003</v>
      </c>
      <c r="J1957">
        <f>YEAR(SalesData[[#This Row],[Order Date]])</f>
        <v>2016</v>
      </c>
      <c r="K1957" t="str">
        <f>TEXT(SalesData[[#This Row],[Order Date]],"mmm")</f>
        <v>Aug</v>
      </c>
      <c r="L1957">
        <f>MONTH(SalesData[[#This Row],[Order Date]])</f>
        <v>8</v>
      </c>
      <c r="M1957">
        <f>SalesData[[#This Row],[Sales]]/SalesData[[#This Row],[Quantity]]</f>
        <v>15.15</v>
      </c>
      <c r="N1957" t="str">
        <f>IF(SalesData[[#This Row],[Profit]]&gt;0,"Profit","Loss")</f>
        <v>Profit</v>
      </c>
    </row>
    <row r="1958" spans="1:14" x14ac:dyDescent="0.3">
      <c r="A1958" t="s">
        <v>2375</v>
      </c>
      <c r="B1958" s="3">
        <v>42583</v>
      </c>
      <c r="C1958" t="s">
        <v>46</v>
      </c>
      <c r="D1958" t="s">
        <v>21</v>
      </c>
      <c r="E1958" t="s">
        <v>1052</v>
      </c>
      <c r="F1958" s="1">
        <v>30.827999999999999</v>
      </c>
      <c r="G1958">
        <v>7</v>
      </c>
      <c r="H1958" s="1">
        <v>-24.662400000000002</v>
      </c>
      <c r="I1958" s="4">
        <f>SalesData[[#This Row],[Profit]]/SalesData[[#This Row],[Sales]]</f>
        <v>-0.8</v>
      </c>
      <c r="J1958">
        <f>YEAR(SalesData[[#This Row],[Order Date]])</f>
        <v>2016</v>
      </c>
      <c r="K1958" t="str">
        <f>TEXT(SalesData[[#This Row],[Order Date]],"mmm")</f>
        <v>Aug</v>
      </c>
      <c r="L1958">
        <f>MONTH(SalesData[[#This Row],[Order Date]])</f>
        <v>8</v>
      </c>
      <c r="M1958">
        <f>SalesData[[#This Row],[Sales]]/SalesData[[#This Row],[Quantity]]</f>
        <v>4.4039999999999999</v>
      </c>
      <c r="N1958" t="str">
        <f>IF(SalesData[[#This Row],[Profit]]&gt;0,"Profit","Loss")</f>
        <v>Loss</v>
      </c>
    </row>
    <row r="1959" spans="1:14" x14ac:dyDescent="0.3">
      <c r="A1959" t="s">
        <v>2375</v>
      </c>
      <c r="B1959" s="3">
        <v>42583</v>
      </c>
      <c r="C1959" t="s">
        <v>46</v>
      </c>
      <c r="D1959" t="s">
        <v>21</v>
      </c>
      <c r="E1959" t="s">
        <v>317</v>
      </c>
      <c r="F1959" s="1">
        <v>47.616</v>
      </c>
      <c r="G1959">
        <v>3</v>
      </c>
      <c r="H1959" s="1">
        <v>5.952</v>
      </c>
      <c r="I1959" s="4">
        <f>SalesData[[#This Row],[Profit]]/SalesData[[#This Row],[Sales]]</f>
        <v>0.125</v>
      </c>
      <c r="J1959">
        <f>YEAR(SalesData[[#This Row],[Order Date]])</f>
        <v>2016</v>
      </c>
      <c r="K1959" t="str">
        <f>TEXT(SalesData[[#This Row],[Order Date]],"mmm")</f>
        <v>Aug</v>
      </c>
      <c r="L1959">
        <f>MONTH(SalesData[[#This Row],[Order Date]])</f>
        <v>8</v>
      </c>
      <c r="M1959">
        <f>SalesData[[#This Row],[Sales]]/SalesData[[#This Row],[Quantity]]</f>
        <v>15.872</v>
      </c>
      <c r="N1959" t="str">
        <f>IF(SalesData[[#This Row],[Profit]]&gt;0,"Profit","Loss")</f>
        <v>Profit</v>
      </c>
    </row>
    <row r="1960" spans="1:14" x14ac:dyDescent="0.3">
      <c r="A1960" t="s">
        <v>2375</v>
      </c>
      <c r="B1960" s="3">
        <v>42583</v>
      </c>
      <c r="C1960" t="s">
        <v>46</v>
      </c>
      <c r="D1960" t="s">
        <v>10</v>
      </c>
      <c r="E1960" t="s">
        <v>2317</v>
      </c>
      <c r="F1960" s="1">
        <v>108.78400000000001</v>
      </c>
      <c r="G1960">
        <v>2</v>
      </c>
      <c r="H1960" s="1">
        <v>10.878399999999999</v>
      </c>
      <c r="I1960" s="4">
        <f>SalesData[[#This Row],[Profit]]/SalesData[[#This Row],[Sales]]</f>
        <v>9.9999999999999992E-2</v>
      </c>
      <c r="J1960">
        <f>YEAR(SalesData[[#This Row],[Order Date]])</f>
        <v>2016</v>
      </c>
      <c r="K1960" t="str">
        <f>TEXT(SalesData[[#This Row],[Order Date]],"mmm")</f>
        <v>Aug</v>
      </c>
      <c r="L1960">
        <f>MONTH(SalesData[[#This Row],[Order Date]])</f>
        <v>8</v>
      </c>
      <c r="M1960">
        <f>SalesData[[#This Row],[Sales]]/SalesData[[#This Row],[Quantity]]</f>
        <v>54.392000000000003</v>
      </c>
      <c r="N1960" t="str">
        <f>IF(SalesData[[#This Row],[Profit]]&gt;0,"Profit","Loss")</f>
        <v>Profit</v>
      </c>
    </row>
    <row r="1961" spans="1:14" x14ac:dyDescent="0.3">
      <c r="A1961" t="s">
        <v>2376</v>
      </c>
      <c r="B1961" s="3">
        <v>42584</v>
      </c>
      <c r="C1961" t="s">
        <v>46</v>
      </c>
      <c r="D1961" t="s">
        <v>10</v>
      </c>
      <c r="E1961" t="s">
        <v>2377</v>
      </c>
      <c r="F1961" s="1">
        <v>1127.9760000000001</v>
      </c>
      <c r="G1961">
        <v>3</v>
      </c>
      <c r="H1961" s="1">
        <v>126.8973</v>
      </c>
      <c r="I1961" s="4">
        <f>SalesData[[#This Row],[Profit]]/SalesData[[#This Row],[Sales]]</f>
        <v>0.11249999999999999</v>
      </c>
      <c r="J1961">
        <f>YEAR(SalesData[[#This Row],[Order Date]])</f>
        <v>2016</v>
      </c>
      <c r="K1961" t="str">
        <f>TEXT(SalesData[[#This Row],[Order Date]],"mmm")</f>
        <v>Aug</v>
      </c>
      <c r="L1961">
        <f>MONTH(SalesData[[#This Row],[Order Date]])</f>
        <v>8</v>
      </c>
      <c r="M1961">
        <f>SalesData[[#This Row],[Sales]]/SalesData[[#This Row],[Quantity]]</f>
        <v>375.99200000000002</v>
      </c>
      <c r="N1961" t="str">
        <f>IF(SalesData[[#This Row],[Profit]]&gt;0,"Profit","Loss")</f>
        <v>Profit</v>
      </c>
    </row>
    <row r="1962" spans="1:14" x14ac:dyDescent="0.3">
      <c r="A1962" t="s">
        <v>2378</v>
      </c>
      <c r="B1962" s="3">
        <v>42584</v>
      </c>
      <c r="C1962" t="s">
        <v>9</v>
      </c>
      <c r="D1962" t="s">
        <v>14</v>
      </c>
      <c r="E1962" t="s">
        <v>25</v>
      </c>
      <c r="F1962" s="1">
        <v>241.5</v>
      </c>
      <c r="G1962">
        <v>4</v>
      </c>
      <c r="H1962" s="1">
        <v>0</v>
      </c>
      <c r="I1962" s="4">
        <f>SalesData[[#This Row],[Profit]]/SalesData[[#This Row],[Sales]]</f>
        <v>0</v>
      </c>
      <c r="J1962">
        <f>YEAR(SalesData[[#This Row],[Order Date]])</f>
        <v>2016</v>
      </c>
      <c r="K1962" t="str">
        <f>TEXT(SalesData[[#This Row],[Order Date]],"mmm")</f>
        <v>Aug</v>
      </c>
      <c r="L1962">
        <f>MONTH(SalesData[[#This Row],[Order Date]])</f>
        <v>8</v>
      </c>
      <c r="M1962">
        <f>SalesData[[#This Row],[Sales]]/SalesData[[#This Row],[Quantity]]</f>
        <v>60.375</v>
      </c>
      <c r="N1962" t="str">
        <f>IF(SalesData[[#This Row],[Profit]]&gt;0,"Profit","Loss")</f>
        <v>Loss</v>
      </c>
    </row>
    <row r="1963" spans="1:14" x14ac:dyDescent="0.3">
      <c r="A1963" t="s">
        <v>2379</v>
      </c>
      <c r="B1963" s="3">
        <v>42585</v>
      </c>
      <c r="C1963" t="s">
        <v>46</v>
      </c>
      <c r="D1963" t="s">
        <v>10</v>
      </c>
      <c r="E1963" t="s">
        <v>771</v>
      </c>
      <c r="F1963" s="1">
        <v>1363.96</v>
      </c>
      <c r="G1963">
        <v>5</v>
      </c>
      <c r="H1963" s="1">
        <v>85.247500000000002</v>
      </c>
      <c r="I1963" s="4">
        <f>SalesData[[#This Row],[Profit]]/SalesData[[#This Row],[Sales]]</f>
        <v>6.25E-2</v>
      </c>
      <c r="J1963">
        <f>YEAR(SalesData[[#This Row],[Order Date]])</f>
        <v>2016</v>
      </c>
      <c r="K1963" t="str">
        <f>TEXT(SalesData[[#This Row],[Order Date]],"mmm")</f>
        <v>Aug</v>
      </c>
      <c r="L1963">
        <f>MONTH(SalesData[[#This Row],[Order Date]])</f>
        <v>8</v>
      </c>
      <c r="M1963">
        <f>SalesData[[#This Row],[Sales]]/SalesData[[#This Row],[Quantity]]</f>
        <v>272.79200000000003</v>
      </c>
      <c r="N1963" t="str">
        <f>IF(SalesData[[#This Row],[Profit]]&gt;0,"Profit","Loss")</f>
        <v>Profit</v>
      </c>
    </row>
    <row r="1964" spans="1:14" x14ac:dyDescent="0.3">
      <c r="A1964" t="s">
        <v>2379</v>
      </c>
      <c r="B1964" s="3">
        <v>42585</v>
      </c>
      <c r="C1964" t="s">
        <v>46</v>
      </c>
      <c r="D1964" t="s">
        <v>14</v>
      </c>
      <c r="E1964" t="s">
        <v>931</v>
      </c>
      <c r="F1964" s="1">
        <v>102.36</v>
      </c>
      <c r="G1964">
        <v>3</v>
      </c>
      <c r="H1964" s="1">
        <v>-3.8384999999999998</v>
      </c>
      <c r="I1964" s="4">
        <f>SalesData[[#This Row],[Profit]]/SalesData[[#This Row],[Sales]]</f>
        <v>-3.7499999999999999E-2</v>
      </c>
      <c r="J1964">
        <f>YEAR(SalesData[[#This Row],[Order Date]])</f>
        <v>2016</v>
      </c>
      <c r="K1964" t="str">
        <f>TEXT(SalesData[[#This Row],[Order Date]],"mmm")</f>
        <v>Aug</v>
      </c>
      <c r="L1964">
        <f>MONTH(SalesData[[#This Row],[Order Date]])</f>
        <v>8</v>
      </c>
      <c r="M1964">
        <f>SalesData[[#This Row],[Sales]]/SalesData[[#This Row],[Quantity]]</f>
        <v>34.119999999999997</v>
      </c>
      <c r="N1964" t="str">
        <f>IF(SalesData[[#This Row],[Profit]]&gt;0,"Profit","Loss")</f>
        <v>Loss</v>
      </c>
    </row>
    <row r="1965" spans="1:14" x14ac:dyDescent="0.3">
      <c r="A1965" t="s">
        <v>2380</v>
      </c>
      <c r="B1965" s="3">
        <v>42585</v>
      </c>
      <c r="C1965" t="s">
        <v>13</v>
      </c>
      <c r="D1965" t="s">
        <v>21</v>
      </c>
      <c r="E1965" t="s">
        <v>308</v>
      </c>
      <c r="F1965" s="1">
        <v>9.702</v>
      </c>
      <c r="G1965">
        <v>3</v>
      </c>
      <c r="H1965" s="1">
        <v>-7.1147999999999998</v>
      </c>
      <c r="I1965" s="4">
        <f>SalesData[[#This Row],[Profit]]/SalesData[[#This Row],[Sales]]</f>
        <v>-0.73333333333333328</v>
      </c>
      <c r="J1965">
        <f>YEAR(SalesData[[#This Row],[Order Date]])</f>
        <v>2016</v>
      </c>
      <c r="K1965" t="str">
        <f>TEXT(SalesData[[#This Row],[Order Date]],"mmm")</f>
        <v>Aug</v>
      </c>
      <c r="L1965">
        <f>MONTH(SalesData[[#This Row],[Order Date]])</f>
        <v>8</v>
      </c>
      <c r="M1965">
        <f>SalesData[[#This Row],[Sales]]/SalesData[[#This Row],[Quantity]]</f>
        <v>3.234</v>
      </c>
      <c r="N1965" t="str">
        <f>IF(SalesData[[#This Row],[Profit]]&gt;0,"Profit","Loss")</f>
        <v>Loss</v>
      </c>
    </row>
    <row r="1966" spans="1:14" x14ac:dyDescent="0.3">
      <c r="A1966" t="s">
        <v>2381</v>
      </c>
      <c r="B1966" s="3">
        <v>42585</v>
      </c>
      <c r="C1966" t="s">
        <v>17</v>
      </c>
      <c r="D1966" t="s">
        <v>10</v>
      </c>
      <c r="E1966" t="s">
        <v>125</v>
      </c>
      <c r="F1966" s="1">
        <v>108.57599999999999</v>
      </c>
      <c r="G1966">
        <v>4</v>
      </c>
      <c r="H1966" s="1">
        <v>-25.334399999999999</v>
      </c>
      <c r="I1966" s="4">
        <f>SalesData[[#This Row],[Profit]]/SalesData[[#This Row],[Sales]]</f>
        <v>-0.23333333333333334</v>
      </c>
      <c r="J1966">
        <f>YEAR(SalesData[[#This Row],[Order Date]])</f>
        <v>2016</v>
      </c>
      <c r="K1966" t="str">
        <f>TEXT(SalesData[[#This Row],[Order Date]],"mmm")</f>
        <v>Aug</v>
      </c>
      <c r="L1966">
        <f>MONTH(SalesData[[#This Row],[Order Date]])</f>
        <v>8</v>
      </c>
      <c r="M1966">
        <f>SalesData[[#This Row],[Sales]]/SalesData[[#This Row],[Quantity]]</f>
        <v>27.143999999999998</v>
      </c>
      <c r="N1966" t="str">
        <f>IF(SalesData[[#This Row],[Profit]]&gt;0,"Profit","Loss")</f>
        <v>Loss</v>
      </c>
    </row>
    <row r="1967" spans="1:14" x14ac:dyDescent="0.3">
      <c r="A1967" t="s">
        <v>2381</v>
      </c>
      <c r="B1967" s="3">
        <v>42585</v>
      </c>
      <c r="C1967" t="s">
        <v>17</v>
      </c>
      <c r="D1967" t="s">
        <v>21</v>
      </c>
      <c r="E1967" t="s">
        <v>1512</v>
      </c>
      <c r="F1967" s="1">
        <v>5.984</v>
      </c>
      <c r="G1967">
        <v>2</v>
      </c>
      <c r="H1967" s="1">
        <v>-1.3464</v>
      </c>
      <c r="I1967" s="4">
        <f>SalesData[[#This Row],[Profit]]/SalesData[[#This Row],[Sales]]</f>
        <v>-0.22500000000000001</v>
      </c>
      <c r="J1967">
        <f>YEAR(SalesData[[#This Row],[Order Date]])</f>
        <v>2016</v>
      </c>
      <c r="K1967" t="str">
        <f>TEXT(SalesData[[#This Row],[Order Date]],"mmm")</f>
        <v>Aug</v>
      </c>
      <c r="L1967">
        <f>MONTH(SalesData[[#This Row],[Order Date]])</f>
        <v>8</v>
      </c>
      <c r="M1967">
        <f>SalesData[[#This Row],[Sales]]/SalesData[[#This Row],[Quantity]]</f>
        <v>2.992</v>
      </c>
      <c r="N1967" t="str">
        <f>IF(SalesData[[#This Row],[Profit]]&gt;0,"Profit","Loss")</f>
        <v>Loss</v>
      </c>
    </row>
    <row r="1968" spans="1:14" x14ac:dyDescent="0.3">
      <c r="A1968" t="s">
        <v>2382</v>
      </c>
      <c r="B1968" s="3">
        <v>42585</v>
      </c>
      <c r="C1968" t="s">
        <v>17</v>
      </c>
      <c r="D1968" t="s">
        <v>14</v>
      </c>
      <c r="E1968" t="s">
        <v>1194</v>
      </c>
      <c r="F1968" s="1">
        <v>113.6</v>
      </c>
      <c r="G1968">
        <v>8</v>
      </c>
      <c r="H1968" s="1">
        <v>44.304000000000002</v>
      </c>
      <c r="I1968" s="4">
        <f>SalesData[[#This Row],[Profit]]/SalesData[[#This Row],[Sales]]</f>
        <v>0.39</v>
      </c>
      <c r="J1968">
        <f>YEAR(SalesData[[#This Row],[Order Date]])</f>
        <v>2016</v>
      </c>
      <c r="K1968" t="str">
        <f>TEXT(SalesData[[#This Row],[Order Date]],"mmm")</f>
        <v>Aug</v>
      </c>
      <c r="L1968">
        <f>MONTH(SalesData[[#This Row],[Order Date]])</f>
        <v>8</v>
      </c>
      <c r="M1968">
        <f>SalesData[[#This Row],[Sales]]/SalesData[[#This Row],[Quantity]]</f>
        <v>14.2</v>
      </c>
      <c r="N1968" t="str">
        <f>IF(SalesData[[#This Row],[Profit]]&gt;0,"Profit","Loss")</f>
        <v>Profit</v>
      </c>
    </row>
    <row r="1969" spans="1:14" x14ac:dyDescent="0.3">
      <c r="A1969" t="s">
        <v>2382</v>
      </c>
      <c r="B1969" s="3">
        <v>42585</v>
      </c>
      <c r="C1969" t="s">
        <v>17</v>
      </c>
      <c r="D1969" t="s">
        <v>21</v>
      </c>
      <c r="E1969" t="s">
        <v>2383</v>
      </c>
      <c r="F1969" s="1">
        <v>12.96</v>
      </c>
      <c r="G1969">
        <v>2</v>
      </c>
      <c r="H1969" s="1">
        <v>6.3503999999999996</v>
      </c>
      <c r="I1969" s="4">
        <f>SalesData[[#This Row],[Profit]]/SalesData[[#This Row],[Sales]]</f>
        <v>0.48999999999999994</v>
      </c>
      <c r="J1969">
        <f>YEAR(SalesData[[#This Row],[Order Date]])</f>
        <v>2016</v>
      </c>
      <c r="K1969" t="str">
        <f>TEXT(SalesData[[#This Row],[Order Date]],"mmm")</f>
        <v>Aug</v>
      </c>
      <c r="L1969">
        <f>MONTH(SalesData[[#This Row],[Order Date]])</f>
        <v>8</v>
      </c>
      <c r="M1969">
        <f>SalesData[[#This Row],[Sales]]/SalesData[[#This Row],[Quantity]]</f>
        <v>6.48</v>
      </c>
      <c r="N1969" t="str">
        <f>IF(SalesData[[#This Row],[Profit]]&gt;0,"Profit","Loss")</f>
        <v>Profit</v>
      </c>
    </row>
    <row r="1970" spans="1:14" x14ac:dyDescent="0.3">
      <c r="A1970" t="s">
        <v>2382</v>
      </c>
      <c r="B1970" s="3">
        <v>42585</v>
      </c>
      <c r="C1970" t="s">
        <v>17</v>
      </c>
      <c r="D1970" t="s">
        <v>21</v>
      </c>
      <c r="E1970" t="s">
        <v>621</v>
      </c>
      <c r="F1970" s="1">
        <v>69.456000000000003</v>
      </c>
      <c r="G1970">
        <v>2</v>
      </c>
      <c r="H1970" s="1">
        <v>22.5732</v>
      </c>
      <c r="I1970" s="4">
        <f>SalesData[[#This Row],[Profit]]/SalesData[[#This Row],[Sales]]</f>
        <v>0.32500000000000001</v>
      </c>
      <c r="J1970">
        <f>YEAR(SalesData[[#This Row],[Order Date]])</f>
        <v>2016</v>
      </c>
      <c r="K1970" t="str">
        <f>TEXT(SalesData[[#This Row],[Order Date]],"mmm")</f>
        <v>Aug</v>
      </c>
      <c r="L1970">
        <f>MONTH(SalesData[[#This Row],[Order Date]])</f>
        <v>8</v>
      </c>
      <c r="M1970">
        <f>SalesData[[#This Row],[Sales]]/SalesData[[#This Row],[Quantity]]</f>
        <v>34.728000000000002</v>
      </c>
      <c r="N1970" t="str">
        <f>IF(SalesData[[#This Row],[Profit]]&gt;0,"Profit","Loss")</f>
        <v>Profit</v>
      </c>
    </row>
    <row r="1971" spans="1:14" x14ac:dyDescent="0.3">
      <c r="A1971" t="s">
        <v>2384</v>
      </c>
      <c r="B1971" s="3">
        <v>42585</v>
      </c>
      <c r="C1971" t="s">
        <v>9</v>
      </c>
      <c r="D1971" t="s">
        <v>21</v>
      </c>
      <c r="E1971" t="s">
        <v>1164</v>
      </c>
      <c r="F1971" s="1">
        <v>8.8559999999999999</v>
      </c>
      <c r="G1971">
        <v>9</v>
      </c>
      <c r="H1971" s="1">
        <v>-14.169600000000001</v>
      </c>
      <c r="I1971" s="4">
        <f>SalesData[[#This Row],[Profit]]/SalesData[[#This Row],[Sales]]</f>
        <v>-1.6</v>
      </c>
      <c r="J1971">
        <f>YEAR(SalesData[[#This Row],[Order Date]])</f>
        <v>2016</v>
      </c>
      <c r="K1971" t="str">
        <f>TEXT(SalesData[[#This Row],[Order Date]],"mmm")</f>
        <v>Aug</v>
      </c>
      <c r="L1971">
        <f>MONTH(SalesData[[#This Row],[Order Date]])</f>
        <v>8</v>
      </c>
      <c r="M1971">
        <f>SalesData[[#This Row],[Sales]]/SalesData[[#This Row],[Quantity]]</f>
        <v>0.98399999999999999</v>
      </c>
      <c r="N1971" t="str">
        <f>IF(SalesData[[#This Row],[Profit]]&gt;0,"Profit","Loss")</f>
        <v>Loss</v>
      </c>
    </row>
    <row r="1972" spans="1:14" x14ac:dyDescent="0.3">
      <c r="A1972" t="s">
        <v>2384</v>
      </c>
      <c r="B1972" s="3">
        <v>42585</v>
      </c>
      <c r="C1972" t="s">
        <v>9</v>
      </c>
      <c r="D1972" t="s">
        <v>10</v>
      </c>
      <c r="E1972" t="s">
        <v>2385</v>
      </c>
      <c r="F1972" s="1">
        <v>27.96</v>
      </c>
      <c r="G1972">
        <v>5</v>
      </c>
      <c r="H1972" s="1">
        <v>8.3879999999999999</v>
      </c>
      <c r="I1972" s="4">
        <f>SalesData[[#This Row],[Profit]]/SalesData[[#This Row],[Sales]]</f>
        <v>0.3</v>
      </c>
      <c r="J1972">
        <f>YEAR(SalesData[[#This Row],[Order Date]])</f>
        <v>2016</v>
      </c>
      <c r="K1972" t="str">
        <f>TEXT(SalesData[[#This Row],[Order Date]],"mmm")</f>
        <v>Aug</v>
      </c>
      <c r="L1972">
        <f>MONTH(SalesData[[#This Row],[Order Date]])</f>
        <v>8</v>
      </c>
      <c r="M1972">
        <f>SalesData[[#This Row],[Sales]]/SalesData[[#This Row],[Quantity]]</f>
        <v>5.5920000000000005</v>
      </c>
      <c r="N1972" t="str">
        <f>IF(SalesData[[#This Row],[Profit]]&gt;0,"Profit","Loss")</f>
        <v>Profit</v>
      </c>
    </row>
    <row r="1973" spans="1:14" x14ac:dyDescent="0.3">
      <c r="A1973" t="s">
        <v>2384</v>
      </c>
      <c r="B1973" s="3">
        <v>42585</v>
      </c>
      <c r="C1973" t="s">
        <v>9</v>
      </c>
      <c r="D1973" t="s">
        <v>21</v>
      </c>
      <c r="E1973" t="s">
        <v>2386</v>
      </c>
      <c r="F1973" s="1">
        <v>146.352</v>
      </c>
      <c r="G1973">
        <v>3</v>
      </c>
      <c r="H1973" s="1">
        <v>49.393799999999999</v>
      </c>
      <c r="I1973" s="4">
        <f>SalesData[[#This Row],[Profit]]/SalesData[[#This Row],[Sales]]</f>
        <v>0.33749999999999997</v>
      </c>
      <c r="J1973">
        <f>YEAR(SalesData[[#This Row],[Order Date]])</f>
        <v>2016</v>
      </c>
      <c r="K1973" t="str">
        <f>TEXT(SalesData[[#This Row],[Order Date]],"mmm")</f>
        <v>Aug</v>
      </c>
      <c r="L1973">
        <f>MONTH(SalesData[[#This Row],[Order Date]])</f>
        <v>8</v>
      </c>
      <c r="M1973">
        <f>SalesData[[#This Row],[Sales]]/SalesData[[#This Row],[Quantity]]</f>
        <v>48.783999999999999</v>
      </c>
      <c r="N1973" t="str">
        <f>IF(SalesData[[#This Row],[Profit]]&gt;0,"Profit","Loss")</f>
        <v>Profit</v>
      </c>
    </row>
    <row r="1974" spans="1:14" x14ac:dyDescent="0.3">
      <c r="A1974" t="s">
        <v>2387</v>
      </c>
      <c r="B1974" s="3">
        <v>42585</v>
      </c>
      <c r="C1974" t="s">
        <v>9</v>
      </c>
      <c r="D1974" t="s">
        <v>21</v>
      </c>
      <c r="E1974" t="s">
        <v>2388</v>
      </c>
      <c r="F1974" s="1">
        <v>207.14400000000001</v>
      </c>
      <c r="G1974">
        <v>3</v>
      </c>
      <c r="H1974" s="1">
        <v>48.333599999999997</v>
      </c>
      <c r="I1974" s="4">
        <f>SalesData[[#This Row],[Profit]]/SalesData[[#This Row],[Sales]]</f>
        <v>0.23333333333333331</v>
      </c>
      <c r="J1974">
        <f>YEAR(SalesData[[#This Row],[Order Date]])</f>
        <v>2016</v>
      </c>
      <c r="K1974" t="str">
        <f>TEXT(SalesData[[#This Row],[Order Date]],"mmm")</f>
        <v>Aug</v>
      </c>
      <c r="L1974">
        <f>MONTH(SalesData[[#This Row],[Order Date]])</f>
        <v>8</v>
      </c>
      <c r="M1974">
        <f>SalesData[[#This Row],[Sales]]/SalesData[[#This Row],[Quantity]]</f>
        <v>69.048000000000002</v>
      </c>
      <c r="N1974" t="str">
        <f>IF(SalesData[[#This Row],[Profit]]&gt;0,"Profit","Loss")</f>
        <v>Profit</v>
      </c>
    </row>
    <row r="1975" spans="1:14" x14ac:dyDescent="0.3">
      <c r="A1975" t="s">
        <v>2387</v>
      </c>
      <c r="B1975" s="3">
        <v>42585</v>
      </c>
      <c r="C1975" t="s">
        <v>9</v>
      </c>
      <c r="D1975" t="s">
        <v>21</v>
      </c>
      <c r="E1975" t="s">
        <v>764</v>
      </c>
      <c r="F1975" s="1">
        <v>13.9</v>
      </c>
      <c r="G1975">
        <v>5</v>
      </c>
      <c r="H1975" s="1">
        <v>3.7530000000000001</v>
      </c>
      <c r="I1975" s="4">
        <f>SalesData[[#This Row],[Profit]]/SalesData[[#This Row],[Sales]]</f>
        <v>0.27</v>
      </c>
      <c r="J1975">
        <f>YEAR(SalesData[[#This Row],[Order Date]])</f>
        <v>2016</v>
      </c>
      <c r="K1975" t="str">
        <f>TEXT(SalesData[[#This Row],[Order Date]],"mmm")</f>
        <v>Aug</v>
      </c>
      <c r="L1975">
        <f>MONTH(SalesData[[#This Row],[Order Date]])</f>
        <v>8</v>
      </c>
      <c r="M1975">
        <f>SalesData[[#This Row],[Sales]]/SalesData[[#This Row],[Quantity]]</f>
        <v>2.7800000000000002</v>
      </c>
      <c r="N1975" t="str">
        <f>IF(SalesData[[#This Row],[Profit]]&gt;0,"Profit","Loss")</f>
        <v>Profit</v>
      </c>
    </row>
    <row r="1976" spans="1:14" x14ac:dyDescent="0.3">
      <c r="A1976" t="s">
        <v>2389</v>
      </c>
      <c r="B1976" s="3">
        <v>42586</v>
      </c>
      <c r="C1976" t="s">
        <v>17</v>
      </c>
      <c r="D1976" t="s">
        <v>14</v>
      </c>
      <c r="E1976" t="s">
        <v>2390</v>
      </c>
      <c r="F1976" s="1">
        <v>388.70400000000001</v>
      </c>
      <c r="G1976">
        <v>6</v>
      </c>
      <c r="H1976" s="1">
        <v>-4.8587999999999996</v>
      </c>
      <c r="I1976" s="4">
        <f>SalesData[[#This Row],[Profit]]/SalesData[[#This Row],[Sales]]</f>
        <v>-1.2499999999999999E-2</v>
      </c>
      <c r="J1976">
        <f>YEAR(SalesData[[#This Row],[Order Date]])</f>
        <v>2016</v>
      </c>
      <c r="K1976" t="str">
        <f>TEXT(SalesData[[#This Row],[Order Date]],"mmm")</f>
        <v>Aug</v>
      </c>
      <c r="L1976">
        <f>MONTH(SalesData[[#This Row],[Order Date]])</f>
        <v>8</v>
      </c>
      <c r="M1976">
        <f>SalesData[[#This Row],[Sales]]/SalesData[[#This Row],[Quantity]]</f>
        <v>64.784000000000006</v>
      </c>
      <c r="N1976" t="str">
        <f>IF(SalesData[[#This Row],[Profit]]&gt;0,"Profit","Loss")</f>
        <v>Loss</v>
      </c>
    </row>
    <row r="1977" spans="1:14" x14ac:dyDescent="0.3">
      <c r="A1977" t="s">
        <v>2389</v>
      </c>
      <c r="B1977" s="3">
        <v>42586</v>
      </c>
      <c r="C1977" t="s">
        <v>17</v>
      </c>
      <c r="D1977" t="s">
        <v>21</v>
      </c>
      <c r="E1977" t="s">
        <v>1248</v>
      </c>
      <c r="F1977" s="1">
        <v>8.26</v>
      </c>
      <c r="G1977">
        <v>2</v>
      </c>
      <c r="H1977" s="1">
        <v>3.7995999999999999</v>
      </c>
      <c r="I1977" s="4">
        <f>SalesData[[#This Row],[Profit]]/SalesData[[#This Row],[Sales]]</f>
        <v>0.46</v>
      </c>
      <c r="J1977">
        <f>YEAR(SalesData[[#This Row],[Order Date]])</f>
        <v>2016</v>
      </c>
      <c r="K1977" t="str">
        <f>TEXT(SalesData[[#This Row],[Order Date]],"mmm")</f>
        <v>Aug</v>
      </c>
      <c r="L1977">
        <f>MONTH(SalesData[[#This Row],[Order Date]])</f>
        <v>8</v>
      </c>
      <c r="M1977">
        <f>SalesData[[#This Row],[Sales]]/SalesData[[#This Row],[Quantity]]</f>
        <v>4.13</v>
      </c>
      <c r="N1977" t="str">
        <f>IF(SalesData[[#This Row],[Profit]]&gt;0,"Profit","Loss")</f>
        <v>Profit</v>
      </c>
    </row>
    <row r="1978" spans="1:14" x14ac:dyDescent="0.3">
      <c r="A1978" t="s">
        <v>2389</v>
      </c>
      <c r="B1978" s="3">
        <v>42586</v>
      </c>
      <c r="C1978" t="s">
        <v>17</v>
      </c>
      <c r="D1978" t="s">
        <v>21</v>
      </c>
      <c r="E1978" t="s">
        <v>486</v>
      </c>
      <c r="F1978" s="1">
        <v>17.04</v>
      </c>
      <c r="G1978">
        <v>4</v>
      </c>
      <c r="H1978" s="1">
        <v>6.9863999999999997</v>
      </c>
      <c r="I1978" s="4">
        <f>SalesData[[#This Row],[Profit]]/SalesData[[#This Row],[Sales]]</f>
        <v>0.41000000000000003</v>
      </c>
      <c r="J1978">
        <f>YEAR(SalesData[[#This Row],[Order Date]])</f>
        <v>2016</v>
      </c>
      <c r="K1978" t="str">
        <f>TEXT(SalesData[[#This Row],[Order Date]],"mmm")</f>
        <v>Aug</v>
      </c>
      <c r="L1978">
        <f>MONTH(SalesData[[#This Row],[Order Date]])</f>
        <v>8</v>
      </c>
      <c r="M1978">
        <f>SalesData[[#This Row],[Sales]]/SalesData[[#This Row],[Quantity]]</f>
        <v>4.26</v>
      </c>
      <c r="N1978" t="str">
        <f>IF(SalesData[[#This Row],[Profit]]&gt;0,"Profit","Loss")</f>
        <v>Profit</v>
      </c>
    </row>
    <row r="1979" spans="1:14" x14ac:dyDescent="0.3">
      <c r="A1979" t="s">
        <v>2389</v>
      </c>
      <c r="B1979" s="3">
        <v>42586</v>
      </c>
      <c r="C1979" t="s">
        <v>17</v>
      </c>
      <c r="D1979" t="s">
        <v>21</v>
      </c>
      <c r="E1979" t="s">
        <v>1735</v>
      </c>
      <c r="F1979" s="1">
        <v>34.4</v>
      </c>
      <c r="G1979">
        <v>5</v>
      </c>
      <c r="H1979" s="1">
        <v>15.824</v>
      </c>
      <c r="I1979" s="4">
        <f>SalesData[[#This Row],[Profit]]/SalesData[[#This Row],[Sales]]</f>
        <v>0.46</v>
      </c>
      <c r="J1979">
        <f>YEAR(SalesData[[#This Row],[Order Date]])</f>
        <v>2016</v>
      </c>
      <c r="K1979" t="str">
        <f>TEXT(SalesData[[#This Row],[Order Date]],"mmm")</f>
        <v>Aug</v>
      </c>
      <c r="L1979">
        <f>MONTH(SalesData[[#This Row],[Order Date]])</f>
        <v>8</v>
      </c>
      <c r="M1979">
        <f>SalesData[[#This Row],[Sales]]/SalesData[[#This Row],[Quantity]]</f>
        <v>6.88</v>
      </c>
      <c r="N1979" t="str">
        <f>IF(SalesData[[#This Row],[Profit]]&gt;0,"Profit","Loss")</f>
        <v>Profit</v>
      </c>
    </row>
    <row r="1980" spans="1:14" x14ac:dyDescent="0.3">
      <c r="A1980" t="s">
        <v>2391</v>
      </c>
      <c r="B1980" s="3">
        <v>42586</v>
      </c>
      <c r="C1980" t="s">
        <v>13</v>
      </c>
      <c r="D1980" t="s">
        <v>21</v>
      </c>
      <c r="E1980" t="s">
        <v>2392</v>
      </c>
      <c r="F1980" s="1">
        <v>20.04</v>
      </c>
      <c r="G1980">
        <v>3</v>
      </c>
      <c r="H1980" s="1">
        <v>9.6191999999999993</v>
      </c>
      <c r="I1980" s="4">
        <f>SalesData[[#This Row],[Profit]]/SalesData[[#This Row],[Sales]]</f>
        <v>0.48</v>
      </c>
      <c r="J1980">
        <f>YEAR(SalesData[[#This Row],[Order Date]])</f>
        <v>2016</v>
      </c>
      <c r="K1980" t="str">
        <f>TEXT(SalesData[[#This Row],[Order Date]],"mmm")</f>
        <v>Aug</v>
      </c>
      <c r="L1980">
        <f>MONTH(SalesData[[#This Row],[Order Date]])</f>
        <v>8</v>
      </c>
      <c r="M1980">
        <f>SalesData[[#This Row],[Sales]]/SalesData[[#This Row],[Quantity]]</f>
        <v>6.68</v>
      </c>
      <c r="N1980" t="str">
        <f>IF(SalesData[[#This Row],[Profit]]&gt;0,"Profit","Loss")</f>
        <v>Profit</v>
      </c>
    </row>
    <row r="1981" spans="1:14" x14ac:dyDescent="0.3">
      <c r="A1981" t="s">
        <v>2391</v>
      </c>
      <c r="B1981" s="3">
        <v>42586</v>
      </c>
      <c r="C1981" t="s">
        <v>13</v>
      </c>
      <c r="D1981" t="s">
        <v>21</v>
      </c>
      <c r="E1981" t="s">
        <v>882</v>
      </c>
      <c r="F1981" s="1">
        <v>64.959999999999994</v>
      </c>
      <c r="G1981">
        <v>2</v>
      </c>
      <c r="H1981" s="1">
        <v>2.5983999999999998</v>
      </c>
      <c r="I1981" s="4">
        <f>SalesData[[#This Row],[Profit]]/SalesData[[#This Row],[Sales]]</f>
        <v>0.04</v>
      </c>
      <c r="J1981">
        <f>YEAR(SalesData[[#This Row],[Order Date]])</f>
        <v>2016</v>
      </c>
      <c r="K1981" t="str">
        <f>TEXT(SalesData[[#This Row],[Order Date]],"mmm")</f>
        <v>Aug</v>
      </c>
      <c r="L1981">
        <f>MONTH(SalesData[[#This Row],[Order Date]])</f>
        <v>8</v>
      </c>
      <c r="M1981">
        <f>SalesData[[#This Row],[Sales]]/SalesData[[#This Row],[Quantity]]</f>
        <v>32.479999999999997</v>
      </c>
      <c r="N1981" t="str">
        <f>IF(SalesData[[#This Row],[Profit]]&gt;0,"Profit","Loss")</f>
        <v>Profit</v>
      </c>
    </row>
    <row r="1982" spans="1:14" x14ac:dyDescent="0.3">
      <c r="A1982" t="s">
        <v>2391</v>
      </c>
      <c r="B1982" s="3">
        <v>42586</v>
      </c>
      <c r="C1982" t="s">
        <v>13</v>
      </c>
      <c r="D1982" t="s">
        <v>21</v>
      </c>
      <c r="E1982" t="s">
        <v>872</v>
      </c>
      <c r="F1982" s="1">
        <v>12.96</v>
      </c>
      <c r="G1982">
        <v>2</v>
      </c>
      <c r="H1982" s="1">
        <v>6.2207999999999997</v>
      </c>
      <c r="I1982" s="4">
        <f>SalesData[[#This Row],[Profit]]/SalesData[[#This Row],[Sales]]</f>
        <v>0.47999999999999993</v>
      </c>
      <c r="J1982">
        <f>YEAR(SalesData[[#This Row],[Order Date]])</f>
        <v>2016</v>
      </c>
      <c r="K1982" t="str">
        <f>TEXT(SalesData[[#This Row],[Order Date]],"mmm")</f>
        <v>Aug</v>
      </c>
      <c r="L1982">
        <f>MONTH(SalesData[[#This Row],[Order Date]])</f>
        <v>8</v>
      </c>
      <c r="M1982">
        <f>SalesData[[#This Row],[Sales]]/SalesData[[#This Row],[Quantity]]</f>
        <v>6.48</v>
      </c>
      <c r="N1982" t="str">
        <f>IF(SalesData[[#This Row],[Profit]]&gt;0,"Profit","Loss")</f>
        <v>Profit</v>
      </c>
    </row>
    <row r="1983" spans="1:14" x14ac:dyDescent="0.3">
      <c r="A1983" t="s">
        <v>2393</v>
      </c>
      <c r="B1983" s="3">
        <v>42586</v>
      </c>
      <c r="C1983" t="s">
        <v>9</v>
      </c>
      <c r="D1983" t="s">
        <v>10</v>
      </c>
      <c r="E1983" t="s">
        <v>2394</v>
      </c>
      <c r="F1983" s="1">
        <v>431.928</v>
      </c>
      <c r="G1983">
        <v>9</v>
      </c>
      <c r="H1983" s="1">
        <v>64.789199999999994</v>
      </c>
      <c r="I1983" s="4">
        <f>SalesData[[#This Row],[Profit]]/SalesData[[#This Row],[Sales]]</f>
        <v>0.15</v>
      </c>
      <c r="J1983">
        <f>YEAR(SalesData[[#This Row],[Order Date]])</f>
        <v>2016</v>
      </c>
      <c r="K1983" t="str">
        <f>TEXT(SalesData[[#This Row],[Order Date]],"mmm")</f>
        <v>Aug</v>
      </c>
      <c r="L1983">
        <f>MONTH(SalesData[[#This Row],[Order Date]])</f>
        <v>8</v>
      </c>
      <c r="M1983">
        <f>SalesData[[#This Row],[Sales]]/SalesData[[#This Row],[Quantity]]</f>
        <v>47.991999999999997</v>
      </c>
      <c r="N1983" t="str">
        <f>IF(SalesData[[#This Row],[Profit]]&gt;0,"Profit","Loss")</f>
        <v>Profit</v>
      </c>
    </row>
    <row r="1984" spans="1:14" x14ac:dyDescent="0.3">
      <c r="A1984" t="s">
        <v>2393</v>
      </c>
      <c r="B1984" s="3">
        <v>42586</v>
      </c>
      <c r="C1984" t="s">
        <v>9</v>
      </c>
      <c r="D1984" t="s">
        <v>14</v>
      </c>
      <c r="E1984" t="s">
        <v>1752</v>
      </c>
      <c r="F1984" s="1">
        <v>95.983999999999995</v>
      </c>
      <c r="G1984">
        <v>4</v>
      </c>
      <c r="H1984" s="1">
        <v>-4.1135999999999999</v>
      </c>
      <c r="I1984" s="4">
        <f>SalesData[[#This Row],[Profit]]/SalesData[[#This Row],[Sales]]</f>
        <v>-4.2857142857142858E-2</v>
      </c>
      <c r="J1984">
        <f>YEAR(SalesData[[#This Row],[Order Date]])</f>
        <v>2016</v>
      </c>
      <c r="K1984" t="str">
        <f>TEXT(SalesData[[#This Row],[Order Date]],"mmm")</f>
        <v>Aug</v>
      </c>
      <c r="L1984">
        <f>MONTH(SalesData[[#This Row],[Order Date]])</f>
        <v>8</v>
      </c>
      <c r="M1984">
        <f>SalesData[[#This Row],[Sales]]/SalesData[[#This Row],[Quantity]]</f>
        <v>23.995999999999999</v>
      </c>
      <c r="N1984" t="str">
        <f>IF(SalesData[[#This Row],[Profit]]&gt;0,"Profit","Loss")</f>
        <v>Loss</v>
      </c>
    </row>
    <row r="1985" spans="1:14" x14ac:dyDescent="0.3">
      <c r="A1985" t="s">
        <v>2393</v>
      </c>
      <c r="B1985" s="3">
        <v>42586</v>
      </c>
      <c r="C1985" t="s">
        <v>9</v>
      </c>
      <c r="D1985" t="s">
        <v>21</v>
      </c>
      <c r="E1985" t="s">
        <v>1901</v>
      </c>
      <c r="F1985" s="1">
        <v>1088.7919999999999</v>
      </c>
      <c r="G1985">
        <v>4</v>
      </c>
      <c r="H1985" s="1">
        <v>-1850.9464</v>
      </c>
      <c r="I1985" s="4">
        <f>SalesData[[#This Row],[Profit]]/SalesData[[#This Row],[Sales]]</f>
        <v>-1.7000000000000002</v>
      </c>
      <c r="J1985">
        <f>YEAR(SalesData[[#This Row],[Order Date]])</f>
        <v>2016</v>
      </c>
      <c r="K1985" t="str">
        <f>TEXT(SalesData[[#This Row],[Order Date]],"mmm")</f>
        <v>Aug</v>
      </c>
      <c r="L1985">
        <f>MONTH(SalesData[[#This Row],[Order Date]])</f>
        <v>8</v>
      </c>
      <c r="M1985">
        <f>SalesData[[#This Row],[Sales]]/SalesData[[#This Row],[Quantity]]</f>
        <v>272.19799999999998</v>
      </c>
      <c r="N1985" t="str">
        <f>IF(SalesData[[#This Row],[Profit]]&gt;0,"Profit","Loss")</f>
        <v>Loss</v>
      </c>
    </row>
    <row r="1986" spans="1:14" x14ac:dyDescent="0.3">
      <c r="A1986" t="s">
        <v>2395</v>
      </c>
      <c r="B1986" s="3">
        <v>42586</v>
      </c>
      <c r="C1986" t="s">
        <v>17</v>
      </c>
      <c r="D1986" t="s">
        <v>21</v>
      </c>
      <c r="E1986" t="s">
        <v>2396</v>
      </c>
      <c r="F1986" s="1">
        <v>8.8719999999999999</v>
      </c>
      <c r="G1986">
        <v>1</v>
      </c>
      <c r="H1986" s="1">
        <v>3.2161</v>
      </c>
      <c r="I1986" s="4">
        <f>SalesData[[#This Row],[Profit]]/SalesData[[#This Row],[Sales]]</f>
        <v>0.36249999999999999</v>
      </c>
      <c r="J1986">
        <f>YEAR(SalesData[[#This Row],[Order Date]])</f>
        <v>2016</v>
      </c>
      <c r="K1986" t="str">
        <f>TEXT(SalesData[[#This Row],[Order Date]],"mmm")</f>
        <v>Aug</v>
      </c>
      <c r="L1986">
        <f>MONTH(SalesData[[#This Row],[Order Date]])</f>
        <v>8</v>
      </c>
      <c r="M1986">
        <f>SalesData[[#This Row],[Sales]]/SalesData[[#This Row],[Quantity]]</f>
        <v>8.8719999999999999</v>
      </c>
      <c r="N1986" t="str">
        <f>IF(SalesData[[#This Row],[Profit]]&gt;0,"Profit","Loss")</f>
        <v>Profit</v>
      </c>
    </row>
    <row r="1987" spans="1:14" x14ac:dyDescent="0.3">
      <c r="A1987" t="s">
        <v>2395</v>
      </c>
      <c r="B1987" s="3">
        <v>42586</v>
      </c>
      <c r="C1987" t="s">
        <v>17</v>
      </c>
      <c r="D1987" t="s">
        <v>21</v>
      </c>
      <c r="E1987" t="s">
        <v>568</v>
      </c>
      <c r="F1987" s="1">
        <v>121.104</v>
      </c>
      <c r="G1987">
        <v>6</v>
      </c>
      <c r="H1987" s="1">
        <v>-100.92</v>
      </c>
      <c r="I1987" s="4">
        <f>SalesData[[#This Row],[Profit]]/SalesData[[#This Row],[Sales]]</f>
        <v>-0.83333333333333337</v>
      </c>
      <c r="J1987">
        <f>YEAR(SalesData[[#This Row],[Order Date]])</f>
        <v>2016</v>
      </c>
      <c r="K1987" t="str">
        <f>TEXT(SalesData[[#This Row],[Order Date]],"mmm")</f>
        <v>Aug</v>
      </c>
      <c r="L1987">
        <f>MONTH(SalesData[[#This Row],[Order Date]])</f>
        <v>8</v>
      </c>
      <c r="M1987">
        <f>SalesData[[#This Row],[Sales]]/SalesData[[#This Row],[Quantity]]</f>
        <v>20.184000000000001</v>
      </c>
      <c r="N1987" t="str">
        <f>IF(SalesData[[#This Row],[Profit]]&gt;0,"Profit","Loss")</f>
        <v>Loss</v>
      </c>
    </row>
    <row r="1988" spans="1:14" x14ac:dyDescent="0.3">
      <c r="A1988" t="s">
        <v>2397</v>
      </c>
      <c r="B1988" s="3">
        <v>42586</v>
      </c>
      <c r="C1988" t="s">
        <v>13</v>
      </c>
      <c r="D1988" t="s">
        <v>14</v>
      </c>
      <c r="E1988" t="s">
        <v>2361</v>
      </c>
      <c r="F1988" s="1">
        <v>24.7</v>
      </c>
      <c r="G1988">
        <v>5</v>
      </c>
      <c r="H1988" s="1">
        <v>10.374000000000001</v>
      </c>
      <c r="I1988" s="4">
        <f>SalesData[[#This Row],[Profit]]/SalesData[[#This Row],[Sales]]</f>
        <v>0.42000000000000004</v>
      </c>
      <c r="J1988">
        <f>YEAR(SalesData[[#This Row],[Order Date]])</f>
        <v>2016</v>
      </c>
      <c r="K1988" t="str">
        <f>TEXT(SalesData[[#This Row],[Order Date]],"mmm")</f>
        <v>Aug</v>
      </c>
      <c r="L1988">
        <f>MONTH(SalesData[[#This Row],[Order Date]])</f>
        <v>8</v>
      </c>
      <c r="M1988">
        <f>SalesData[[#This Row],[Sales]]/SalesData[[#This Row],[Quantity]]</f>
        <v>4.9399999999999995</v>
      </c>
      <c r="N1988" t="str">
        <f>IF(SalesData[[#This Row],[Profit]]&gt;0,"Profit","Loss")</f>
        <v>Profit</v>
      </c>
    </row>
    <row r="1989" spans="1:14" x14ac:dyDescent="0.3">
      <c r="A1989" t="s">
        <v>2398</v>
      </c>
      <c r="B1989" s="3">
        <v>42586</v>
      </c>
      <c r="C1989" t="s">
        <v>46</v>
      </c>
      <c r="D1989" t="s">
        <v>21</v>
      </c>
      <c r="E1989" t="s">
        <v>2399</v>
      </c>
      <c r="F1989" s="1">
        <v>17.920000000000002</v>
      </c>
      <c r="G1989">
        <v>4</v>
      </c>
      <c r="H1989" s="1">
        <v>8.6015999999999995</v>
      </c>
      <c r="I1989" s="4">
        <f>SalesData[[#This Row],[Profit]]/SalesData[[#This Row],[Sales]]</f>
        <v>0.47999999999999993</v>
      </c>
      <c r="J1989">
        <f>YEAR(SalesData[[#This Row],[Order Date]])</f>
        <v>2016</v>
      </c>
      <c r="K1989" t="str">
        <f>TEXT(SalesData[[#This Row],[Order Date]],"mmm")</f>
        <v>Aug</v>
      </c>
      <c r="L1989">
        <f>MONTH(SalesData[[#This Row],[Order Date]])</f>
        <v>8</v>
      </c>
      <c r="M1989">
        <f>SalesData[[#This Row],[Sales]]/SalesData[[#This Row],[Quantity]]</f>
        <v>4.4800000000000004</v>
      </c>
      <c r="N1989" t="str">
        <f>IF(SalesData[[#This Row],[Profit]]&gt;0,"Profit","Loss")</f>
        <v>Profit</v>
      </c>
    </row>
    <row r="1990" spans="1:14" x14ac:dyDescent="0.3">
      <c r="A1990" t="s">
        <v>2400</v>
      </c>
      <c r="B1990" s="3">
        <v>42586</v>
      </c>
      <c r="C1990" t="s">
        <v>46</v>
      </c>
      <c r="D1990" t="s">
        <v>14</v>
      </c>
      <c r="E1990" t="s">
        <v>2401</v>
      </c>
      <c r="F1990" s="1">
        <v>354.9</v>
      </c>
      <c r="G1990">
        <v>5</v>
      </c>
      <c r="H1990" s="1">
        <v>88.724999999999994</v>
      </c>
      <c r="I1990" s="4">
        <f>SalesData[[#This Row],[Profit]]/SalesData[[#This Row],[Sales]]</f>
        <v>0.25</v>
      </c>
      <c r="J1990">
        <f>YEAR(SalesData[[#This Row],[Order Date]])</f>
        <v>2016</v>
      </c>
      <c r="K1990" t="str">
        <f>TEXT(SalesData[[#This Row],[Order Date]],"mmm")</f>
        <v>Aug</v>
      </c>
      <c r="L1990">
        <f>MONTH(SalesData[[#This Row],[Order Date]])</f>
        <v>8</v>
      </c>
      <c r="M1990">
        <f>SalesData[[#This Row],[Sales]]/SalesData[[#This Row],[Quantity]]</f>
        <v>70.97999999999999</v>
      </c>
      <c r="N1990" t="str">
        <f>IF(SalesData[[#This Row],[Profit]]&gt;0,"Profit","Loss")</f>
        <v>Profit</v>
      </c>
    </row>
    <row r="1991" spans="1:14" x14ac:dyDescent="0.3">
      <c r="A1991" t="s">
        <v>2402</v>
      </c>
      <c r="B1991" s="3">
        <v>42586</v>
      </c>
      <c r="C1991" t="s">
        <v>46</v>
      </c>
      <c r="D1991" t="s">
        <v>21</v>
      </c>
      <c r="E1991" t="s">
        <v>480</v>
      </c>
      <c r="F1991" s="1">
        <v>30</v>
      </c>
      <c r="G1991">
        <v>6</v>
      </c>
      <c r="H1991" s="1">
        <v>14.4</v>
      </c>
      <c r="I1991" s="4">
        <f>SalesData[[#This Row],[Profit]]/SalesData[[#This Row],[Sales]]</f>
        <v>0.48000000000000004</v>
      </c>
      <c r="J1991">
        <f>YEAR(SalesData[[#This Row],[Order Date]])</f>
        <v>2016</v>
      </c>
      <c r="K1991" t="str">
        <f>TEXT(SalesData[[#This Row],[Order Date]],"mmm")</f>
        <v>Aug</v>
      </c>
      <c r="L1991">
        <f>MONTH(SalesData[[#This Row],[Order Date]])</f>
        <v>8</v>
      </c>
      <c r="M1991">
        <f>SalesData[[#This Row],[Sales]]/SalesData[[#This Row],[Quantity]]</f>
        <v>5</v>
      </c>
      <c r="N1991" t="str">
        <f>IF(SalesData[[#This Row],[Profit]]&gt;0,"Profit","Loss")</f>
        <v>Profit</v>
      </c>
    </row>
    <row r="1992" spans="1:14" x14ac:dyDescent="0.3">
      <c r="A1992" t="s">
        <v>2402</v>
      </c>
      <c r="B1992" s="3">
        <v>42586</v>
      </c>
      <c r="C1992" t="s">
        <v>46</v>
      </c>
      <c r="D1992" t="s">
        <v>21</v>
      </c>
      <c r="E1992" t="s">
        <v>2383</v>
      </c>
      <c r="F1992" s="1">
        <v>25.92</v>
      </c>
      <c r="G1992">
        <v>4</v>
      </c>
      <c r="H1992" s="1">
        <v>12.700799999999999</v>
      </c>
      <c r="I1992" s="4">
        <f>SalesData[[#This Row],[Profit]]/SalesData[[#This Row],[Sales]]</f>
        <v>0.48999999999999994</v>
      </c>
      <c r="J1992">
        <f>YEAR(SalesData[[#This Row],[Order Date]])</f>
        <v>2016</v>
      </c>
      <c r="K1992" t="str">
        <f>TEXT(SalesData[[#This Row],[Order Date]],"mmm")</f>
        <v>Aug</v>
      </c>
      <c r="L1992">
        <f>MONTH(SalesData[[#This Row],[Order Date]])</f>
        <v>8</v>
      </c>
      <c r="M1992">
        <f>SalesData[[#This Row],[Sales]]/SalesData[[#This Row],[Quantity]]</f>
        <v>6.48</v>
      </c>
      <c r="N1992" t="str">
        <f>IF(SalesData[[#This Row],[Profit]]&gt;0,"Profit","Loss")</f>
        <v>Profit</v>
      </c>
    </row>
    <row r="1993" spans="1:14" x14ac:dyDescent="0.3">
      <c r="A1993" t="s">
        <v>2402</v>
      </c>
      <c r="B1993" s="3">
        <v>42586</v>
      </c>
      <c r="C1993" t="s">
        <v>46</v>
      </c>
      <c r="D1993" t="s">
        <v>14</v>
      </c>
      <c r="E1993" t="s">
        <v>2403</v>
      </c>
      <c r="F1993" s="1">
        <v>159.91999999999999</v>
      </c>
      <c r="G1993">
        <v>4</v>
      </c>
      <c r="H1993" s="1">
        <v>31.984000000000002</v>
      </c>
      <c r="I1993" s="4">
        <f>SalesData[[#This Row],[Profit]]/SalesData[[#This Row],[Sales]]</f>
        <v>0.20000000000000004</v>
      </c>
      <c r="J1993">
        <f>YEAR(SalesData[[#This Row],[Order Date]])</f>
        <v>2016</v>
      </c>
      <c r="K1993" t="str">
        <f>TEXT(SalesData[[#This Row],[Order Date]],"mmm")</f>
        <v>Aug</v>
      </c>
      <c r="L1993">
        <f>MONTH(SalesData[[#This Row],[Order Date]])</f>
        <v>8</v>
      </c>
      <c r="M1993">
        <f>SalesData[[#This Row],[Sales]]/SalesData[[#This Row],[Quantity]]</f>
        <v>39.979999999999997</v>
      </c>
      <c r="N1993" t="str">
        <f>IF(SalesData[[#This Row],[Profit]]&gt;0,"Profit","Loss")</f>
        <v>Profit</v>
      </c>
    </row>
    <row r="1994" spans="1:14" x14ac:dyDescent="0.3">
      <c r="A1994" t="s">
        <v>2404</v>
      </c>
      <c r="B1994" s="3">
        <v>42587</v>
      </c>
      <c r="C1994" t="s">
        <v>17</v>
      </c>
      <c r="D1994" t="s">
        <v>14</v>
      </c>
      <c r="E1994" t="s">
        <v>2405</v>
      </c>
      <c r="F1994" s="1">
        <v>211.96</v>
      </c>
      <c r="G1994">
        <v>2</v>
      </c>
      <c r="H1994" s="1">
        <v>42.392000000000003</v>
      </c>
      <c r="I1994" s="4">
        <f>SalesData[[#This Row],[Profit]]/SalesData[[#This Row],[Sales]]</f>
        <v>0.2</v>
      </c>
      <c r="J1994">
        <f>YEAR(SalesData[[#This Row],[Order Date]])</f>
        <v>2016</v>
      </c>
      <c r="K1994" t="str">
        <f>TEXT(SalesData[[#This Row],[Order Date]],"mmm")</f>
        <v>Aug</v>
      </c>
      <c r="L1994">
        <f>MONTH(SalesData[[#This Row],[Order Date]])</f>
        <v>8</v>
      </c>
      <c r="M1994">
        <f>SalesData[[#This Row],[Sales]]/SalesData[[#This Row],[Quantity]]</f>
        <v>105.98</v>
      </c>
      <c r="N1994" t="str">
        <f>IF(SalesData[[#This Row],[Profit]]&gt;0,"Profit","Loss")</f>
        <v>Profit</v>
      </c>
    </row>
    <row r="1995" spans="1:14" x14ac:dyDescent="0.3">
      <c r="A1995" t="s">
        <v>2406</v>
      </c>
      <c r="B1995" s="3">
        <v>42587</v>
      </c>
      <c r="C1995" t="s">
        <v>17</v>
      </c>
      <c r="D1995" t="s">
        <v>21</v>
      </c>
      <c r="E1995" t="s">
        <v>157</v>
      </c>
      <c r="F1995" s="1">
        <v>1006.056</v>
      </c>
      <c r="G1995">
        <v>3</v>
      </c>
      <c r="H1995" s="1">
        <v>88.029899999999998</v>
      </c>
      <c r="I1995" s="4">
        <f>SalesData[[#This Row],[Profit]]/SalesData[[#This Row],[Sales]]</f>
        <v>8.7499999999999994E-2</v>
      </c>
      <c r="J1995">
        <f>YEAR(SalesData[[#This Row],[Order Date]])</f>
        <v>2016</v>
      </c>
      <c r="K1995" t="str">
        <f>TEXT(SalesData[[#This Row],[Order Date]],"mmm")</f>
        <v>Aug</v>
      </c>
      <c r="L1995">
        <f>MONTH(SalesData[[#This Row],[Order Date]])</f>
        <v>8</v>
      </c>
      <c r="M1995">
        <f>SalesData[[#This Row],[Sales]]/SalesData[[#This Row],[Quantity]]</f>
        <v>335.35200000000003</v>
      </c>
      <c r="N1995" t="str">
        <f>IF(SalesData[[#This Row],[Profit]]&gt;0,"Profit","Loss")</f>
        <v>Profit</v>
      </c>
    </row>
    <row r="1996" spans="1:14" x14ac:dyDescent="0.3">
      <c r="A1996" t="s">
        <v>2406</v>
      </c>
      <c r="B1996" s="3">
        <v>42587</v>
      </c>
      <c r="C1996" t="s">
        <v>17</v>
      </c>
      <c r="D1996" t="s">
        <v>21</v>
      </c>
      <c r="E1996" t="s">
        <v>137</v>
      </c>
      <c r="F1996" s="1">
        <v>10.688000000000001</v>
      </c>
      <c r="G1996">
        <v>2</v>
      </c>
      <c r="H1996" s="1">
        <v>3.7408000000000001</v>
      </c>
      <c r="I1996" s="4">
        <f>SalesData[[#This Row],[Profit]]/SalesData[[#This Row],[Sales]]</f>
        <v>0.35</v>
      </c>
      <c r="J1996">
        <f>YEAR(SalesData[[#This Row],[Order Date]])</f>
        <v>2016</v>
      </c>
      <c r="K1996" t="str">
        <f>TEXT(SalesData[[#This Row],[Order Date]],"mmm")</f>
        <v>Aug</v>
      </c>
      <c r="L1996">
        <f>MONTH(SalesData[[#This Row],[Order Date]])</f>
        <v>8</v>
      </c>
      <c r="M1996">
        <f>SalesData[[#This Row],[Sales]]/SalesData[[#This Row],[Quantity]]</f>
        <v>5.3440000000000003</v>
      </c>
      <c r="N1996" t="str">
        <f>IF(SalesData[[#This Row],[Profit]]&gt;0,"Profit","Loss")</f>
        <v>Profit</v>
      </c>
    </row>
    <row r="1997" spans="1:14" x14ac:dyDescent="0.3">
      <c r="A1997" t="s">
        <v>2406</v>
      </c>
      <c r="B1997" s="3">
        <v>42587</v>
      </c>
      <c r="C1997" t="s">
        <v>17</v>
      </c>
      <c r="D1997" t="s">
        <v>21</v>
      </c>
      <c r="E1997" t="s">
        <v>1754</v>
      </c>
      <c r="F1997" s="1">
        <v>10.368</v>
      </c>
      <c r="G1997">
        <v>2</v>
      </c>
      <c r="H1997" s="1">
        <v>3.6288</v>
      </c>
      <c r="I1997" s="4">
        <f>SalesData[[#This Row],[Profit]]/SalesData[[#This Row],[Sales]]</f>
        <v>0.35</v>
      </c>
      <c r="J1997">
        <f>YEAR(SalesData[[#This Row],[Order Date]])</f>
        <v>2016</v>
      </c>
      <c r="K1997" t="str">
        <f>TEXT(SalesData[[#This Row],[Order Date]],"mmm")</f>
        <v>Aug</v>
      </c>
      <c r="L1997">
        <f>MONTH(SalesData[[#This Row],[Order Date]])</f>
        <v>8</v>
      </c>
      <c r="M1997">
        <f>SalesData[[#This Row],[Sales]]/SalesData[[#This Row],[Quantity]]</f>
        <v>5.1840000000000002</v>
      </c>
      <c r="N1997" t="str">
        <f>IF(SalesData[[#This Row],[Profit]]&gt;0,"Profit","Loss")</f>
        <v>Profit</v>
      </c>
    </row>
    <row r="1998" spans="1:14" x14ac:dyDescent="0.3">
      <c r="A1998" t="s">
        <v>2406</v>
      </c>
      <c r="B1998" s="3">
        <v>42587</v>
      </c>
      <c r="C1998" t="s">
        <v>17</v>
      </c>
      <c r="D1998" t="s">
        <v>21</v>
      </c>
      <c r="E1998" t="s">
        <v>1379</v>
      </c>
      <c r="F1998" s="1">
        <v>25.12</v>
      </c>
      <c r="G1998">
        <v>2</v>
      </c>
      <c r="H1998" s="1">
        <v>1.57</v>
      </c>
      <c r="I1998" s="4">
        <f>SalesData[[#This Row],[Profit]]/SalesData[[#This Row],[Sales]]</f>
        <v>6.25E-2</v>
      </c>
      <c r="J1998">
        <f>YEAR(SalesData[[#This Row],[Order Date]])</f>
        <v>2016</v>
      </c>
      <c r="K1998" t="str">
        <f>TEXT(SalesData[[#This Row],[Order Date]],"mmm")</f>
        <v>Aug</v>
      </c>
      <c r="L1998">
        <f>MONTH(SalesData[[#This Row],[Order Date]])</f>
        <v>8</v>
      </c>
      <c r="M1998">
        <f>SalesData[[#This Row],[Sales]]/SalesData[[#This Row],[Quantity]]</f>
        <v>12.56</v>
      </c>
      <c r="N1998" t="str">
        <f>IF(SalesData[[#This Row],[Profit]]&gt;0,"Profit","Loss")</f>
        <v>Profit</v>
      </c>
    </row>
    <row r="1999" spans="1:14" x14ac:dyDescent="0.3">
      <c r="A1999" t="s">
        <v>2406</v>
      </c>
      <c r="B1999" s="3">
        <v>42587</v>
      </c>
      <c r="C1999" t="s">
        <v>17</v>
      </c>
      <c r="D1999" t="s">
        <v>10</v>
      </c>
      <c r="E1999" t="s">
        <v>904</v>
      </c>
      <c r="F1999" s="1">
        <v>58.112000000000002</v>
      </c>
      <c r="G1999">
        <v>2</v>
      </c>
      <c r="H1999" s="1">
        <v>7.2640000000000002</v>
      </c>
      <c r="I1999" s="4">
        <f>SalesData[[#This Row],[Profit]]/SalesData[[#This Row],[Sales]]</f>
        <v>0.125</v>
      </c>
      <c r="J1999">
        <f>YEAR(SalesData[[#This Row],[Order Date]])</f>
        <v>2016</v>
      </c>
      <c r="K1999" t="str">
        <f>TEXT(SalesData[[#This Row],[Order Date]],"mmm")</f>
        <v>Aug</v>
      </c>
      <c r="L1999">
        <f>MONTH(SalesData[[#This Row],[Order Date]])</f>
        <v>8</v>
      </c>
      <c r="M1999">
        <f>SalesData[[#This Row],[Sales]]/SalesData[[#This Row],[Quantity]]</f>
        <v>29.056000000000001</v>
      </c>
      <c r="N1999" t="str">
        <f>IF(SalesData[[#This Row],[Profit]]&gt;0,"Profit","Loss")</f>
        <v>Profit</v>
      </c>
    </row>
    <row r="2000" spans="1:14" x14ac:dyDescent="0.3">
      <c r="A2000" t="s">
        <v>2407</v>
      </c>
      <c r="B2000" s="3">
        <v>42587</v>
      </c>
      <c r="C2000" t="s">
        <v>13</v>
      </c>
      <c r="D2000" t="s">
        <v>21</v>
      </c>
      <c r="E2000" t="s">
        <v>1407</v>
      </c>
      <c r="F2000" s="1">
        <v>17.940000000000001</v>
      </c>
      <c r="G2000">
        <v>3</v>
      </c>
      <c r="H2000" s="1">
        <v>8.0730000000000004</v>
      </c>
      <c r="I2000" s="4">
        <f>SalesData[[#This Row],[Profit]]/SalesData[[#This Row],[Sales]]</f>
        <v>0.45</v>
      </c>
      <c r="J2000">
        <f>YEAR(SalesData[[#This Row],[Order Date]])</f>
        <v>2016</v>
      </c>
      <c r="K2000" t="str">
        <f>TEXT(SalesData[[#This Row],[Order Date]],"mmm")</f>
        <v>Aug</v>
      </c>
      <c r="L2000">
        <f>MONTH(SalesData[[#This Row],[Order Date]])</f>
        <v>8</v>
      </c>
      <c r="M2000">
        <f>SalesData[[#This Row],[Sales]]/SalesData[[#This Row],[Quantity]]</f>
        <v>5.98</v>
      </c>
      <c r="N2000" t="str">
        <f>IF(SalesData[[#This Row],[Profit]]&gt;0,"Profit","Loss")</f>
        <v>Profit</v>
      </c>
    </row>
    <row r="2001" spans="1:14" x14ac:dyDescent="0.3">
      <c r="A2001" t="s">
        <v>2408</v>
      </c>
      <c r="B2001" s="3">
        <v>42589</v>
      </c>
      <c r="C2001" t="s">
        <v>9</v>
      </c>
      <c r="D2001" t="s">
        <v>10</v>
      </c>
      <c r="E2001" t="s">
        <v>2409</v>
      </c>
      <c r="F2001" s="1">
        <v>863.64</v>
      </c>
      <c r="G2001">
        <v>9</v>
      </c>
      <c r="H2001" s="1">
        <v>107.955</v>
      </c>
      <c r="I2001" s="4">
        <f>SalesData[[#This Row],[Profit]]/SalesData[[#This Row],[Sales]]</f>
        <v>0.125</v>
      </c>
      <c r="J2001">
        <f>YEAR(SalesData[[#This Row],[Order Date]])</f>
        <v>2016</v>
      </c>
      <c r="K2001" t="str">
        <f>TEXT(SalesData[[#This Row],[Order Date]],"mmm")</f>
        <v>Aug</v>
      </c>
      <c r="L2001">
        <f>MONTH(SalesData[[#This Row],[Order Date]])</f>
        <v>8</v>
      </c>
      <c r="M2001">
        <f>SalesData[[#This Row],[Sales]]/SalesData[[#This Row],[Quantity]]</f>
        <v>95.96</v>
      </c>
      <c r="N2001" t="str">
        <f>IF(SalesData[[#This Row],[Profit]]&gt;0,"Profit","Loss")</f>
        <v>Profit</v>
      </c>
    </row>
    <row r="2002" spans="1:14" x14ac:dyDescent="0.3">
      <c r="A2002" t="s">
        <v>2408</v>
      </c>
      <c r="B2002" s="3">
        <v>42589</v>
      </c>
      <c r="C2002" t="s">
        <v>9</v>
      </c>
      <c r="D2002" t="s">
        <v>21</v>
      </c>
      <c r="E2002" t="s">
        <v>385</v>
      </c>
      <c r="F2002" s="1">
        <v>47.616</v>
      </c>
      <c r="G2002">
        <v>3</v>
      </c>
      <c r="H2002" s="1">
        <v>3.5712000000000002</v>
      </c>
      <c r="I2002" s="4">
        <f>SalesData[[#This Row],[Profit]]/SalesData[[#This Row],[Sales]]</f>
        <v>7.4999999999999997E-2</v>
      </c>
      <c r="J2002">
        <f>YEAR(SalesData[[#This Row],[Order Date]])</f>
        <v>2016</v>
      </c>
      <c r="K2002" t="str">
        <f>TEXT(SalesData[[#This Row],[Order Date]],"mmm")</f>
        <v>Aug</v>
      </c>
      <c r="L2002">
        <f>MONTH(SalesData[[#This Row],[Order Date]])</f>
        <v>8</v>
      </c>
      <c r="M2002">
        <f>SalesData[[#This Row],[Sales]]/SalesData[[#This Row],[Quantity]]</f>
        <v>15.872</v>
      </c>
      <c r="N2002" t="str">
        <f>IF(SalesData[[#This Row],[Profit]]&gt;0,"Profit","Loss")</f>
        <v>Profit</v>
      </c>
    </row>
    <row r="2003" spans="1:14" x14ac:dyDescent="0.3">
      <c r="A2003" t="s">
        <v>2410</v>
      </c>
      <c r="B2003" s="3">
        <v>42589</v>
      </c>
      <c r="C2003" t="s">
        <v>13</v>
      </c>
      <c r="D2003" t="s">
        <v>21</v>
      </c>
      <c r="E2003" t="s">
        <v>2240</v>
      </c>
      <c r="F2003" s="1">
        <v>19.968</v>
      </c>
      <c r="G2003">
        <v>2</v>
      </c>
      <c r="H2003" s="1">
        <v>-13.311999999999999</v>
      </c>
      <c r="I2003" s="4">
        <f>SalesData[[#This Row],[Profit]]/SalesData[[#This Row],[Sales]]</f>
        <v>-0.66666666666666663</v>
      </c>
      <c r="J2003">
        <f>YEAR(SalesData[[#This Row],[Order Date]])</f>
        <v>2016</v>
      </c>
      <c r="K2003" t="str">
        <f>TEXT(SalesData[[#This Row],[Order Date]],"mmm")</f>
        <v>Aug</v>
      </c>
      <c r="L2003">
        <f>MONTH(SalesData[[#This Row],[Order Date]])</f>
        <v>8</v>
      </c>
      <c r="M2003">
        <f>SalesData[[#This Row],[Sales]]/SalesData[[#This Row],[Quantity]]</f>
        <v>9.984</v>
      </c>
      <c r="N2003" t="str">
        <f>IF(SalesData[[#This Row],[Profit]]&gt;0,"Profit","Loss")</f>
        <v>Loss</v>
      </c>
    </row>
    <row r="2004" spans="1:14" x14ac:dyDescent="0.3">
      <c r="A2004" t="s">
        <v>2410</v>
      </c>
      <c r="B2004" s="3">
        <v>42589</v>
      </c>
      <c r="C2004" t="s">
        <v>13</v>
      </c>
      <c r="D2004" t="s">
        <v>21</v>
      </c>
      <c r="E2004" t="s">
        <v>761</v>
      </c>
      <c r="F2004" s="1">
        <v>33.488</v>
      </c>
      <c r="G2004">
        <v>7</v>
      </c>
      <c r="H2004" s="1">
        <v>-1.2558</v>
      </c>
      <c r="I2004" s="4">
        <f>SalesData[[#This Row],[Profit]]/SalesData[[#This Row],[Sales]]</f>
        <v>-3.7499999999999999E-2</v>
      </c>
      <c r="J2004">
        <f>YEAR(SalesData[[#This Row],[Order Date]])</f>
        <v>2016</v>
      </c>
      <c r="K2004" t="str">
        <f>TEXT(SalesData[[#This Row],[Order Date]],"mmm")</f>
        <v>Aug</v>
      </c>
      <c r="L2004">
        <f>MONTH(SalesData[[#This Row],[Order Date]])</f>
        <v>8</v>
      </c>
      <c r="M2004">
        <f>SalesData[[#This Row],[Sales]]/SalesData[[#This Row],[Quantity]]</f>
        <v>4.7839999999999998</v>
      </c>
      <c r="N2004" t="str">
        <f>IF(SalesData[[#This Row],[Profit]]&gt;0,"Profit","Loss")</f>
        <v>Loss</v>
      </c>
    </row>
    <row r="2005" spans="1:14" x14ac:dyDescent="0.3">
      <c r="A2005" t="s">
        <v>2410</v>
      </c>
      <c r="B2005" s="3">
        <v>42589</v>
      </c>
      <c r="C2005" t="s">
        <v>13</v>
      </c>
      <c r="D2005" t="s">
        <v>21</v>
      </c>
      <c r="E2005" t="s">
        <v>1640</v>
      </c>
      <c r="F2005" s="1">
        <v>8.7360000000000007</v>
      </c>
      <c r="G2005">
        <v>4</v>
      </c>
      <c r="H2005" s="1">
        <v>-6.1151999999999997</v>
      </c>
      <c r="I2005" s="4">
        <f>SalesData[[#This Row],[Profit]]/SalesData[[#This Row],[Sales]]</f>
        <v>-0.7</v>
      </c>
      <c r="J2005">
        <f>YEAR(SalesData[[#This Row],[Order Date]])</f>
        <v>2016</v>
      </c>
      <c r="K2005" t="str">
        <f>TEXT(SalesData[[#This Row],[Order Date]],"mmm")</f>
        <v>Aug</v>
      </c>
      <c r="L2005">
        <f>MONTH(SalesData[[#This Row],[Order Date]])</f>
        <v>8</v>
      </c>
      <c r="M2005">
        <f>SalesData[[#This Row],[Sales]]/SalesData[[#This Row],[Quantity]]</f>
        <v>2.1840000000000002</v>
      </c>
      <c r="N2005" t="str">
        <f>IF(SalesData[[#This Row],[Profit]]&gt;0,"Profit","Loss")</f>
        <v>Loss</v>
      </c>
    </row>
    <row r="2006" spans="1:14" x14ac:dyDescent="0.3">
      <c r="A2006" t="s">
        <v>2410</v>
      </c>
      <c r="B2006" s="3">
        <v>42589</v>
      </c>
      <c r="C2006" t="s">
        <v>13</v>
      </c>
      <c r="D2006" t="s">
        <v>14</v>
      </c>
      <c r="E2006" t="s">
        <v>683</v>
      </c>
      <c r="F2006" s="1">
        <v>662.88</v>
      </c>
      <c r="G2006">
        <v>3</v>
      </c>
      <c r="H2006" s="1">
        <v>74.573999999999998</v>
      </c>
      <c r="I2006" s="4">
        <f>SalesData[[#This Row],[Profit]]/SalesData[[#This Row],[Sales]]</f>
        <v>0.1125</v>
      </c>
      <c r="J2006">
        <f>YEAR(SalesData[[#This Row],[Order Date]])</f>
        <v>2016</v>
      </c>
      <c r="K2006" t="str">
        <f>TEXT(SalesData[[#This Row],[Order Date]],"mmm")</f>
        <v>Aug</v>
      </c>
      <c r="L2006">
        <f>MONTH(SalesData[[#This Row],[Order Date]])</f>
        <v>8</v>
      </c>
      <c r="M2006">
        <f>SalesData[[#This Row],[Sales]]/SalesData[[#This Row],[Quantity]]</f>
        <v>220.96</v>
      </c>
      <c r="N2006" t="str">
        <f>IF(SalesData[[#This Row],[Profit]]&gt;0,"Profit","Loss")</f>
        <v>Profit</v>
      </c>
    </row>
    <row r="2007" spans="1:14" x14ac:dyDescent="0.3">
      <c r="A2007" t="s">
        <v>2411</v>
      </c>
      <c r="B2007" s="3">
        <v>42589</v>
      </c>
      <c r="C2007" t="s">
        <v>13</v>
      </c>
      <c r="D2007" t="s">
        <v>10</v>
      </c>
      <c r="E2007" t="s">
        <v>2412</v>
      </c>
      <c r="F2007" s="1">
        <v>107.98399999999999</v>
      </c>
      <c r="G2007">
        <v>1</v>
      </c>
      <c r="H2007" s="1">
        <v>9.4486000000000008</v>
      </c>
      <c r="I2007" s="4">
        <f>SalesData[[#This Row],[Profit]]/SalesData[[#This Row],[Sales]]</f>
        <v>8.7500000000000008E-2</v>
      </c>
      <c r="J2007">
        <f>YEAR(SalesData[[#This Row],[Order Date]])</f>
        <v>2016</v>
      </c>
      <c r="K2007" t="str">
        <f>TEXT(SalesData[[#This Row],[Order Date]],"mmm")</f>
        <v>Aug</v>
      </c>
      <c r="L2007">
        <f>MONTH(SalesData[[#This Row],[Order Date]])</f>
        <v>8</v>
      </c>
      <c r="M2007">
        <f>SalesData[[#This Row],[Sales]]/SalesData[[#This Row],[Quantity]]</f>
        <v>107.98399999999999</v>
      </c>
      <c r="N2007" t="str">
        <f>IF(SalesData[[#This Row],[Profit]]&gt;0,"Profit","Loss")</f>
        <v>Profit</v>
      </c>
    </row>
    <row r="2008" spans="1:14" x14ac:dyDescent="0.3">
      <c r="A2008" t="s">
        <v>2411</v>
      </c>
      <c r="B2008" s="3">
        <v>42589</v>
      </c>
      <c r="C2008" t="s">
        <v>13</v>
      </c>
      <c r="D2008" t="s">
        <v>21</v>
      </c>
      <c r="E2008" t="s">
        <v>402</v>
      </c>
      <c r="F2008" s="1">
        <v>19.295999999999999</v>
      </c>
      <c r="G2008">
        <v>3</v>
      </c>
      <c r="H2008" s="1">
        <v>6.03</v>
      </c>
      <c r="I2008" s="4">
        <f>SalesData[[#This Row],[Profit]]/SalesData[[#This Row],[Sales]]</f>
        <v>0.3125</v>
      </c>
      <c r="J2008">
        <f>YEAR(SalesData[[#This Row],[Order Date]])</f>
        <v>2016</v>
      </c>
      <c r="K2008" t="str">
        <f>TEXT(SalesData[[#This Row],[Order Date]],"mmm")</f>
        <v>Aug</v>
      </c>
      <c r="L2008">
        <f>MONTH(SalesData[[#This Row],[Order Date]])</f>
        <v>8</v>
      </c>
      <c r="M2008">
        <f>SalesData[[#This Row],[Sales]]/SalesData[[#This Row],[Quantity]]</f>
        <v>6.4319999999999995</v>
      </c>
      <c r="N2008" t="str">
        <f>IF(SalesData[[#This Row],[Profit]]&gt;0,"Profit","Loss")</f>
        <v>Profit</v>
      </c>
    </row>
    <row r="2009" spans="1:14" x14ac:dyDescent="0.3">
      <c r="A2009" t="s">
        <v>2413</v>
      </c>
      <c r="B2009" s="3">
        <v>42589</v>
      </c>
      <c r="C2009" t="s">
        <v>46</v>
      </c>
      <c r="D2009" t="s">
        <v>10</v>
      </c>
      <c r="E2009" t="s">
        <v>2414</v>
      </c>
      <c r="F2009" s="1">
        <v>823.96</v>
      </c>
      <c r="G2009">
        <v>5</v>
      </c>
      <c r="H2009" s="1">
        <v>51.497500000000002</v>
      </c>
      <c r="I2009" s="4">
        <f>SalesData[[#This Row],[Profit]]/SalesData[[#This Row],[Sales]]</f>
        <v>6.25E-2</v>
      </c>
      <c r="J2009">
        <f>YEAR(SalesData[[#This Row],[Order Date]])</f>
        <v>2016</v>
      </c>
      <c r="K2009" t="str">
        <f>TEXT(SalesData[[#This Row],[Order Date]],"mmm")</f>
        <v>Aug</v>
      </c>
      <c r="L2009">
        <f>MONTH(SalesData[[#This Row],[Order Date]])</f>
        <v>8</v>
      </c>
      <c r="M2009">
        <f>SalesData[[#This Row],[Sales]]/SalesData[[#This Row],[Quantity]]</f>
        <v>164.792</v>
      </c>
      <c r="N2009" t="str">
        <f>IF(SalesData[[#This Row],[Profit]]&gt;0,"Profit","Loss")</f>
        <v>Profit</v>
      </c>
    </row>
    <row r="2010" spans="1:14" x14ac:dyDescent="0.3">
      <c r="A2010" t="s">
        <v>2413</v>
      </c>
      <c r="B2010" s="3">
        <v>42589</v>
      </c>
      <c r="C2010" t="s">
        <v>46</v>
      </c>
      <c r="D2010" t="s">
        <v>21</v>
      </c>
      <c r="E2010" t="s">
        <v>2415</v>
      </c>
      <c r="F2010" s="1">
        <v>15.984</v>
      </c>
      <c r="G2010">
        <v>2</v>
      </c>
      <c r="H2010" s="1">
        <v>4.9950000000000001</v>
      </c>
      <c r="I2010" s="4">
        <f>SalesData[[#This Row],[Profit]]/SalesData[[#This Row],[Sales]]</f>
        <v>0.3125</v>
      </c>
      <c r="J2010">
        <f>YEAR(SalesData[[#This Row],[Order Date]])</f>
        <v>2016</v>
      </c>
      <c r="K2010" t="str">
        <f>TEXT(SalesData[[#This Row],[Order Date]],"mmm")</f>
        <v>Aug</v>
      </c>
      <c r="L2010">
        <f>MONTH(SalesData[[#This Row],[Order Date]])</f>
        <v>8</v>
      </c>
      <c r="M2010">
        <f>SalesData[[#This Row],[Sales]]/SalesData[[#This Row],[Quantity]]</f>
        <v>7.992</v>
      </c>
      <c r="N2010" t="str">
        <f>IF(SalesData[[#This Row],[Profit]]&gt;0,"Profit","Loss")</f>
        <v>Profit</v>
      </c>
    </row>
    <row r="2011" spans="1:14" x14ac:dyDescent="0.3">
      <c r="A2011" t="s">
        <v>2416</v>
      </c>
      <c r="B2011" s="3">
        <v>42589</v>
      </c>
      <c r="C2011" t="s">
        <v>17</v>
      </c>
      <c r="D2011" t="s">
        <v>21</v>
      </c>
      <c r="E2011" t="s">
        <v>979</v>
      </c>
      <c r="F2011" s="1">
        <v>12.96</v>
      </c>
      <c r="G2011">
        <v>2</v>
      </c>
      <c r="H2011" s="1">
        <v>6.2207999999999997</v>
      </c>
      <c r="I2011" s="4">
        <f>SalesData[[#This Row],[Profit]]/SalesData[[#This Row],[Sales]]</f>
        <v>0.47999999999999993</v>
      </c>
      <c r="J2011">
        <f>YEAR(SalesData[[#This Row],[Order Date]])</f>
        <v>2016</v>
      </c>
      <c r="K2011" t="str">
        <f>TEXT(SalesData[[#This Row],[Order Date]],"mmm")</f>
        <v>Aug</v>
      </c>
      <c r="L2011">
        <f>MONTH(SalesData[[#This Row],[Order Date]])</f>
        <v>8</v>
      </c>
      <c r="M2011">
        <f>SalesData[[#This Row],[Sales]]/SalesData[[#This Row],[Quantity]]</f>
        <v>6.48</v>
      </c>
      <c r="N2011" t="str">
        <f>IF(SalesData[[#This Row],[Profit]]&gt;0,"Profit","Loss")</f>
        <v>Profit</v>
      </c>
    </row>
    <row r="2012" spans="1:14" x14ac:dyDescent="0.3">
      <c r="A2012" t="s">
        <v>2417</v>
      </c>
      <c r="B2012" s="3">
        <v>42590</v>
      </c>
      <c r="C2012" t="s">
        <v>9</v>
      </c>
      <c r="D2012" t="s">
        <v>21</v>
      </c>
      <c r="E2012" t="s">
        <v>369</v>
      </c>
      <c r="F2012" s="1">
        <v>11.167999999999999</v>
      </c>
      <c r="G2012">
        <v>4</v>
      </c>
      <c r="H2012" s="1">
        <v>3.6295999999999999</v>
      </c>
      <c r="I2012" s="4">
        <f>SalesData[[#This Row],[Profit]]/SalesData[[#This Row],[Sales]]</f>
        <v>0.32500000000000001</v>
      </c>
      <c r="J2012">
        <f>YEAR(SalesData[[#This Row],[Order Date]])</f>
        <v>2016</v>
      </c>
      <c r="K2012" t="str">
        <f>TEXT(SalesData[[#This Row],[Order Date]],"mmm")</f>
        <v>Aug</v>
      </c>
      <c r="L2012">
        <f>MONTH(SalesData[[#This Row],[Order Date]])</f>
        <v>8</v>
      </c>
      <c r="M2012">
        <f>SalesData[[#This Row],[Sales]]/SalesData[[#This Row],[Quantity]]</f>
        <v>2.7919999999999998</v>
      </c>
      <c r="N2012" t="str">
        <f>IF(SalesData[[#This Row],[Profit]]&gt;0,"Profit","Loss")</f>
        <v>Profit</v>
      </c>
    </row>
    <row r="2013" spans="1:14" x14ac:dyDescent="0.3">
      <c r="A2013" t="s">
        <v>2417</v>
      </c>
      <c r="B2013" s="3">
        <v>42590</v>
      </c>
      <c r="C2013" t="s">
        <v>9</v>
      </c>
      <c r="D2013" t="s">
        <v>21</v>
      </c>
      <c r="E2013" t="s">
        <v>2418</v>
      </c>
      <c r="F2013" s="1">
        <v>53.951999999999998</v>
      </c>
      <c r="G2013">
        <v>3</v>
      </c>
      <c r="H2013" s="1">
        <v>17.534400000000002</v>
      </c>
      <c r="I2013" s="4">
        <f>SalesData[[#This Row],[Profit]]/SalesData[[#This Row],[Sales]]</f>
        <v>0.32500000000000007</v>
      </c>
      <c r="J2013">
        <f>YEAR(SalesData[[#This Row],[Order Date]])</f>
        <v>2016</v>
      </c>
      <c r="K2013" t="str">
        <f>TEXT(SalesData[[#This Row],[Order Date]],"mmm")</f>
        <v>Aug</v>
      </c>
      <c r="L2013">
        <f>MONTH(SalesData[[#This Row],[Order Date]])</f>
        <v>8</v>
      </c>
      <c r="M2013">
        <f>SalesData[[#This Row],[Sales]]/SalesData[[#This Row],[Quantity]]</f>
        <v>17.983999999999998</v>
      </c>
      <c r="N2013" t="str">
        <f>IF(SalesData[[#This Row],[Profit]]&gt;0,"Profit","Loss")</f>
        <v>Profit</v>
      </c>
    </row>
    <row r="2014" spans="1:14" x14ac:dyDescent="0.3">
      <c r="A2014" t="s">
        <v>2419</v>
      </c>
      <c r="B2014" s="3">
        <v>42590</v>
      </c>
      <c r="C2014" t="s">
        <v>46</v>
      </c>
      <c r="D2014" t="s">
        <v>21</v>
      </c>
      <c r="E2014" t="s">
        <v>492</v>
      </c>
      <c r="F2014" s="1">
        <v>23.34</v>
      </c>
      <c r="G2014">
        <v>3</v>
      </c>
      <c r="H2014" s="1">
        <v>0.2334</v>
      </c>
      <c r="I2014" s="4">
        <f>SalesData[[#This Row],[Profit]]/SalesData[[#This Row],[Sales]]</f>
        <v>0.01</v>
      </c>
      <c r="J2014">
        <f>YEAR(SalesData[[#This Row],[Order Date]])</f>
        <v>2016</v>
      </c>
      <c r="K2014" t="str">
        <f>TEXT(SalesData[[#This Row],[Order Date]],"mmm")</f>
        <v>Aug</v>
      </c>
      <c r="L2014">
        <f>MONTH(SalesData[[#This Row],[Order Date]])</f>
        <v>8</v>
      </c>
      <c r="M2014">
        <f>SalesData[[#This Row],[Sales]]/SalesData[[#This Row],[Quantity]]</f>
        <v>7.78</v>
      </c>
      <c r="N2014" t="str">
        <f>IF(SalesData[[#This Row],[Profit]]&gt;0,"Profit","Loss")</f>
        <v>Profit</v>
      </c>
    </row>
    <row r="2015" spans="1:14" x14ac:dyDescent="0.3">
      <c r="A2015" t="s">
        <v>2420</v>
      </c>
      <c r="B2015" s="3">
        <v>42590</v>
      </c>
      <c r="C2015" t="s">
        <v>13</v>
      </c>
      <c r="D2015" t="s">
        <v>14</v>
      </c>
      <c r="E2015" t="s">
        <v>2421</v>
      </c>
      <c r="F2015" s="1">
        <v>513.024</v>
      </c>
      <c r="G2015">
        <v>2</v>
      </c>
      <c r="H2015" s="1">
        <v>12.8256</v>
      </c>
      <c r="I2015" s="4">
        <f>SalesData[[#This Row],[Profit]]/SalesData[[#This Row],[Sales]]</f>
        <v>2.4999999999999998E-2</v>
      </c>
      <c r="J2015">
        <f>YEAR(SalesData[[#This Row],[Order Date]])</f>
        <v>2016</v>
      </c>
      <c r="K2015" t="str">
        <f>TEXT(SalesData[[#This Row],[Order Date]],"mmm")</f>
        <v>Aug</v>
      </c>
      <c r="L2015">
        <f>MONTH(SalesData[[#This Row],[Order Date]])</f>
        <v>8</v>
      </c>
      <c r="M2015">
        <f>SalesData[[#This Row],[Sales]]/SalesData[[#This Row],[Quantity]]</f>
        <v>256.512</v>
      </c>
      <c r="N2015" t="str">
        <f>IF(SalesData[[#This Row],[Profit]]&gt;0,"Profit","Loss")</f>
        <v>Profit</v>
      </c>
    </row>
    <row r="2016" spans="1:14" x14ac:dyDescent="0.3">
      <c r="A2016" t="s">
        <v>2420</v>
      </c>
      <c r="B2016" s="3">
        <v>42590</v>
      </c>
      <c r="C2016" t="s">
        <v>13</v>
      </c>
      <c r="D2016" t="s">
        <v>21</v>
      </c>
      <c r="E2016" t="s">
        <v>1745</v>
      </c>
      <c r="F2016" s="1">
        <v>487.92</v>
      </c>
      <c r="G2016">
        <v>6</v>
      </c>
      <c r="H2016" s="1">
        <v>136.61760000000001</v>
      </c>
      <c r="I2016" s="4">
        <f>SalesData[[#This Row],[Profit]]/SalesData[[#This Row],[Sales]]</f>
        <v>0.28000000000000003</v>
      </c>
      <c r="J2016">
        <f>YEAR(SalesData[[#This Row],[Order Date]])</f>
        <v>2016</v>
      </c>
      <c r="K2016" t="str">
        <f>TEXT(SalesData[[#This Row],[Order Date]],"mmm")</f>
        <v>Aug</v>
      </c>
      <c r="L2016">
        <f>MONTH(SalesData[[#This Row],[Order Date]])</f>
        <v>8</v>
      </c>
      <c r="M2016">
        <f>SalesData[[#This Row],[Sales]]/SalesData[[#This Row],[Quantity]]</f>
        <v>81.320000000000007</v>
      </c>
      <c r="N2016" t="str">
        <f>IF(SalesData[[#This Row],[Profit]]&gt;0,"Profit","Loss")</f>
        <v>Profit</v>
      </c>
    </row>
    <row r="2017" spans="1:14" x14ac:dyDescent="0.3">
      <c r="A2017" t="s">
        <v>2420</v>
      </c>
      <c r="B2017" s="3">
        <v>42590</v>
      </c>
      <c r="C2017" t="s">
        <v>13</v>
      </c>
      <c r="D2017" t="s">
        <v>21</v>
      </c>
      <c r="E2017" t="s">
        <v>1425</v>
      </c>
      <c r="F2017" s="1">
        <v>15.24</v>
      </c>
      <c r="G2017">
        <v>5</v>
      </c>
      <c r="H2017" s="1">
        <v>5.3339999999999996</v>
      </c>
      <c r="I2017" s="4">
        <f>SalesData[[#This Row],[Profit]]/SalesData[[#This Row],[Sales]]</f>
        <v>0.35</v>
      </c>
      <c r="J2017">
        <f>YEAR(SalesData[[#This Row],[Order Date]])</f>
        <v>2016</v>
      </c>
      <c r="K2017" t="str">
        <f>TEXT(SalesData[[#This Row],[Order Date]],"mmm")</f>
        <v>Aug</v>
      </c>
      <c r="L2017">
        <f>MONTH(SalesData[[#This Row],[Order Date]])</f>
        <v>8</v>
      </c>
      <c r="M2017">
        <f>SalesData[[#This Row],[Sales]]/SalesData[[#This Row],[Quantity]]</f>
        <v>3.048</v>
      </c>
      <c r="N2017" t="str">
        <f>IF(SalesData[[#This Row],[Profit]]&gt;0,"Profit","Loss")</f>
        <v>Profit</v>
      </c>
    </row>
    <row r="2018" spans="1:14" x14ac:dyDescent="0.3">
      <c r="A2018" t="s">
        <v>2422</v>
      </c>
      <c r="B2018" s="3">
        <v>42590</v>
      </c>
      <c r="C2018" t="s">
        <v>9</v>
      </c>
      <c r="D2018" t="s">
        <v>21</v>
      </c>
      <c r="E2018" t="s">
        <v>2423</v>
      </c>
      <c r="F2018" s="1">
        <v>10.56</v>
      </c>
      <c r="G2018">
        <v>2</v>
      </c>
      <c r="H2018" s="1">
        <v>4.7519999999999998</v>
      </c>
      <c r="I2018" s="4">
        <f>SalesData[[#This Row],[Profit]]/SalesData[[#This Row],[Sales]]</f>
        <v>0.44999999999999996</v>
      </c>
      <c r="J2018">
        <f>YEAR(SalesData[[#This Row],[Order Date]])</f>
        <v>2016</v>
      </c>
      <c r="K2018" t="str">
        <f>TEXT(SalesData[[#This Row],[Order Date]],"mmm")</f>
        <v>Aug</v>
      </c>
      <c r="L2018">
        <f>MONTH(SalesData[[#This Row],[Order Date]])</f>
        <v>8</v>
      </c>
      <c r="M2018">
        <f>SalesData[[#This Row],[Sales]]/SalesData[[#This Row],[Quantity]]</f>
        <v>5.28</v>
      </c>
      <c r="N2018" t="str">
        <f>IF(SalesData[[#This Row],[Profit]]&gt;0,"Profit","Loss")</f>
        <v>Profit</v>
      </c>
    </row>
    <row r="2019" spans="1:14" x14ac:dyDescent="0.3">
      <c r="A2019" t="s">
        <v>2424</v>
      </c>
      <c r="B2019" s="3">
        <v>42591</v>
      </c>
      <c r="C2019" t="s">
        <v>9</v>
      </c>
      <c r="D2019" t="s">
        <v>21</v>
      </c>
      <c r="E2019" t="s">
        <v>1949</v>
      </c>
      <c r="F2019" s="1">
        <v>35.951999999999998</v>
      </c>
      <c r="G2019">
        <v>3</v>
      </c>
      <c r="H2019" s="1">
        <v>3.5952000000000002</v>
      </c>
      <c r="I2019" s="4">
        <f>SalesData[[#This Row],[Profit]]/SalesData[[#This Row],[Sales]]</f>
        <v>0.1</v>
      </c>
      <c r="J2019">
        <f>YEAR(SalesData[[#This Row],[Order Date]])</f>
        <v>2016</v>
      </c>
      <c r="K2019" t="str">
        <f>TEXT(SalesData[[#This Row],[Order Date]],"mmm")</f>
        <v>Aug</v>
      </c>
      <c r="L2019">
        <f>MONTH(SalesData[[#This Row],[Order Date]])</f>
        <v>8</v>
      </c>
      <c r="M2019">
        <f>SalesData[[#This Row],[Sales]]/SalesData[[#This Row],[Quantity]]</f>
        <v>11.984</v>
      </c>
      <c r="N2019" t="str">
        <f>IF(SalesData[[#This Row],[Profit]]&gt;0,"Profit","Loss")</f>
        <v>Profit</v>
      </c>
    </row>
    <row r="2020" spans="1:14" x14ac:dyDescent="0.3">
      <c r="A2020" t="s">
        <v>2424</v>
      </c>
      <c r="B2020" s="3">
        <v>42591</v>
      </c>
      <c r="C2020" t="s">
        <v>9</v>
      </c>
      <c r="D2020" t="s">
        <v>14</v>
      </c>
      <c r="E2020" t="s">
        <v>1601</v>
      </c>
      <c r="F2020" s="1">
        <v>2396.2656000000002</v>
      </c>
      <c r="G2020">
        <v>4</v>
      </c>
      <c r="H2020" s="1">
        <v>-317.15280000000001</v>
      </c>
      <c r="I2020" s="4">
        <f>SalesData[[#This Row],[Profit]]/SalesData[[#This Row],[Sales]]</f>
        <v>-0.13235294117647059</v>
      </c>
      <c r="J2020">
        <f>YEAR(SalesData[[#This Row],[Order Date]])</f>
        <v>2016</v>
      </c>
      <c r="K2020" t="str">
        <f>TEXT(SalesData[[#This Row],[Order Date]],"mmm")</f>
        <v>Aug</v>
      </c>
      <c r="L2020">
        <f>MONTH(SalesData[[#This Row],[Order Date]])</f>
        <v>8</v>
      </c>
      <c r="M2020">
        <f>SalesData[[#This Row],[Sales]]/SalesData[[#This Row],[Quantity]]</f>
        <v>599.06640000000004</v>
      </c>
      <c r="N2020" t="str">
        <f>IF(SalesData[[#This Row],[Profit]]&gt;0,"Profit","Loss")</f>
        <v>Loss</v>
      </c>
    </row>
    <row r="2021" spans="1:14" x14ac:dyDescent="0.3">
      <c r="A2021" t="s">
        <v>2424</v>
      </c>
      <c r="B2021" s="3">
        <v>42591</v>
      </c>
      <c r="C2021" t="s">
        <v>9</v>
      </c>
      <c r="D2021" t="s">
        <v>21</v>
      </c>
      <c r="E2021" t="s">
        <v>571</v>
      </c>
      <c r="F2021" s="1">
        <v>131.136</v>
      </c>
      <c r="G2021">
        <v>4</v>
      </c>
      <c r="H2021" s="1">
        <v>-32.783999999999999</v>
      </c>
      <c r="I2021" s="4">
        <f>SalesData[[#This Row],[Profit]]/SalesData[[#This Row],[Sales]]</f>
        <v>-0.25</v>
      </c>
      <c r="J2021">
        <f>YEAR(SalesData[[#This Row],[Order Date]])</f>
        <v>2016</v>
      </c>
      <c r="K2021" t="str">
        <f>TEXT(SalesData[[#This Row],[Order Date]],"mmm")</f>
        <v>Aug</v>
      </c>
      <c r="L2021">
        <f>MONTH(SalesData[[#This Row],[Order Date]])</f>
        <v>8</v>
      </c>
      <c r="M2021">
        <f>SalesData[[#This Row],[Sales]]/SalesData[[#This Row],[Quantity]]</f>
        <v>32.783999999999999</v>
      </c>
      <c r="N2021" t="str">
        <f>IF(SalesData[[#This Row],[Profit]]&gt;0,"Profit","Loss")</f>
        <v>Loss</v>
      </c>
    </row>
    <row r="2022" spans="1:14" x14ac:dyDescent="0.3">
      <c r="A2022" t="s">
        <v>2424</v>
      </c>
      <c r="B2022" s="3">
        <v>42591</v>
      </c>
      <c r="C2022" t="s">
        <v>9</v>
      </c>
      <c r="D2022" t="s">
        <v>10</v>
      </c>
      <c r="E2022" t="s">
        <v>2425</v>
      </c>
      <c r="F2022" s="1">
        <v>57.584000000000003</v>
      </c>
      <c r="G2022">
        <v>2</v>
      </c>
      <c r="H2022" s="1">
        <v>0.7198</v>
      </c>
      <c r="I2022" s="4">
        <f>SalesData[[#This Row],[Profit]]/SalesData[[#This Row],[Sales]]</f>
        <v>1.2499999999999999E-2</v>
      </c>
      <c r="J2022">
        <f>YEAR(SalesData[[#This Row],[Order Date]])</f>
        <v>2016</v>
      </c>
      <c r="K2022" t="str">
        <f>TEXT(SalesData[[#This Row],[Order Date]],"mmm")</f>
        <v>Aug</v>
      </c>
      <c r="L2022">
        <f>MONTH(SalesData[[#This Row],[Order Date]])</f>
        <v>8</v>
      </c>
      <c r="M2022">
        <f>SalesData[[#This Row],[Sales]]/SalesData[[#This Row],[Quantity]]</f>
        <v>28.792000000000002</v>
      </c>
      <c r="N2022" t="str">
        <f>IF(SalesData[[#This Row],[Profit]]&gt;0,"Profit","Loss")</f>
        <v>Profit</v>
      </c>
    </row>
    <row r="2023" spans="1:14" x14ac:dyDescent="0.3">
      <c r="A2023" t="s">
        <v>2426</v>
      </c>
      <c r="B2023" s="3">
        <v>42591</v>
      </c>
      <c r="C2023" t="s">
        <v>13</v>
      </c>
      <c r="D2023" t="s">
        <v>21</v>
      </c>
      <c r="E2023" t="s">
        <v>2427</v>
      </c>
      <c r="F2023" s="1">
        <v>33.024000000000001</v>
      </c>
      <c r="G2023">
        <v>2</v>
      </c>
      <c r="H2023" s="1">
        <v>11.558400000000001</v>
      </c>
      <c r="I2023" s="4">
        <f>SalesData[[#This Row],[Profit]]/SalesData[[#This Row],[Sales]]</f>
        <v>0.35000000000000003</v>
      </c>
      <c r="J2023">
        <f>YEAR(SalesData[[#This Row],[Order Date]])</f>
        <v>2016</v>
      </c>
      <c r="K2023" t="str">
        <f>TEXT(SalesData[[#This Row],[Order Date]],"mmm")</f>
        <v>Aug</v>
      </c>
      <c r="L2023">
        <f>MONTH(SalesData[[#This Row],[Order Date]])</f>
        <v>8</v>
      </c>
      <c r="M2023">
        <f>SalesData[[#This Row],[Sales]]/SalesData[[#This Row],[Quantity]]</f>
        <v>16.512</v>
      </c>
      <c r="N2023" t="str">
        <f>IF(SalesData[[#This Row],[Profit]]&gt;0,"Profit","Loss")</f>
        <v>Profit</v>
      </c>
    </row>
    <row r="2024" spans="1:14" x14ac:dyDescent="0.3">
      <c r="A2024" t="s">
        <v>2426</v>
      </c>
      <c r="B2024" s="3">
        <v>42591</v>
      </c>
      <c r="C2024" t="s">
        <v>13</v>
      </c>
      <c r="D2024" t="s">
        <v>21</v>
      </c>
      <c r="E2024" t="s">
        <v>2236</v>
      </c>
      <c r="F2024" s="1">
        <v>67.135999999999996</v>
      </c>
      <c r="G2024">
        <v>4</v>
      </c>
      <c r="H2024" s="1">
        <v>23.497599999999998</v>
      </c>
      <c r="I2024" s="4">
        <f>SalesData[[#This Row],[Profit]]/SalesData[[#This Row],[Sales]]</f>
        <v>0.35</v>
      </c>
      <c r="J2024">
        <f>YEAR(SalesData[[#This Row],[Order Date]])</f>
        <v>2016</v>
      </c>
      <c r="K2024" t="str">
        <f>TEXT(SalesData[[#This Row],[Order Date]],"mmm")</f>
        <v>Aug</v>
      </c>
      <c r="L2024">
        <f>MONTH(SalesData[[#This Row],[Order Date]])</f>
        <v>8</v>
      </c>
      <c r="M2024">
        <f>SalesData[[#This Row],[Sales]]/SalesData[[#This Row],[Quantity]]</f>
        <v>16.783999999999999</v>
      </c>
      <c r="N2024" t="str">
        <f>IF(SalesData[[#This Row],[Profit]]&gt;0,"Profit","Loss")</f>
        <v>Profit</v>
      </c>
    </row>
    <row r="2025" spans="1:14" x14ac:dyDescent="0.3">
      <c r="A2025" t="s">
        <v>2428</v>
      </c>
      <c r="B2025" s="3">
        <v>42591</v>
      </c>
      <c r="C2025" t="s">
        <v>17</v>
      </c>
      <c r="D2025" t="s">
        <v>14</v>
      </c>
      <c r="E2025" t="s">
        <v>1796</v>
      </c>
      <c r="F2025" s="1">
        <v>173.94</v>
      </c>
      <c r="G2025">
        <v>3</v>
      </c>
      <c r="H2025" s="1">
        <v>13.9152</v>
      </c>
      <c r="I2025" s="4">
        <f>SalesData[[#This Row],[Profit]]/SalesData[[#This Row],[Sales]]</f>
        <v>0.08</v>
      </c>
      <c r="J2025">
        <f>YEAR(SalesData[[#This Row],[Order Date]])</f>
        <v>2016</v>
      </c>
      <c r="K2025" t="str">
        <f>TEXT(SalesData[[#This Row],[Order Date]],"mmm")</f>
        <v>Aug</v>
      </c>
      <c r="L2025">
        <f>MONTH(SalesData[[#This Row],[Order Date]])</f>
        <v>8</v>
      </c>
      <c r="M2025">
        <f>SalesData[[#This Row],[Sales]]/SalesData[[#This Row],[Quantity]]</f>
        <v>57.98</v>
      </c>
      <c r="N2025" t="str">
        <f>IF(SalesData[[#This Row],[Profit]]&gt;0,"Profit","Loss")</f>
        <v>Profit</v>
      </c>
    </row>
    <row r="2026" spans="1:14" x14ac:dyDescent="0.3">
      <c r="A2026" t="s">
        <v>2428</v>
      </c>
      <c r="B2026" s="3">
        <v>42591</v>
      </c>
      <c r="C2026" t="s">
        <v>17</v>
      </c>
      <c r="D2026" t="s">
        <v>21</v>
      </c>
      <c r="E2026" t="s">
        <v>2429</v>
      </c>
      <c r="F2026" s="1">
        <v>14.76</v>
      </c>
      <c r="G2026">
        <v>4</v>
      </c>
      <c r="H2026" s="1">
        <v>6.9371999999999998</v>
      </c>
      <c r="I2026" s="4">
        <f>SalesData[[#This Row],[Profit]]/SalesData[[#This Row],[Sales]]</f>
        <v>0.47</v>
      </c>
      <c r="J2026">
        <f>YEAR(SalesData[[#This Row],[Order Date]])</f>
        <v>2016</v>
      </c>
      <c r="K2026" t="str">
        <f>TEXT(SalesData[[#This Row],[Order Date]],"mmm")</f>
        <v>Aug</v>
      </c>
      <c r="L2026">
        <f>MONTH(SalesData[[#This Row],[Order Date]])</f>
        <v>8</v>
      </c>
      <c r="M2026">
        <f>SalesData[[#This Row],[Sales]]/SalesData[[#This Row],[Quantity]]</f>
        <v>3.69</v>
      </c>
      <c r="N2026" t="str">
        <f>IF(SalesData[[#This Row],[Profit]]&gt;0,"Profit","Loss")</f>
        <v>Profit</v>
      </c>
    </row>
    <row r="2027" spans="1:14" x14ac:dyDescent="0.3">
      <c r="A2027" t="s">
        <v>2430</v>
      </c>
      <c r="B2027" s="3">
        <v>42591</v>
      </c>
      <c r="C2027" t="s">
        <v>9</v>
      </c>
      <c r="D2027" t="s">
        <v>14</v>
      </c>
      <c r="E2027" t="s">
        <v>371</v>
      </c>
      <c r="F2027" s="1">
        <v>14.135999999999999</v>
      </c>
      <c r="G2027">
        <v>2</v>
      </c>
      <c r="H2027" s="1">
        <v>-7.7747999999999999</v>
      </c>
      <c r="I2027" s="4">
        <f>SalesData[[#This Row],[Profit]]/SalesData[[#This Row],[Sales]]</f>
        <v>-0.55000000000000004</v>
      </c>
      <c r="J2027">
        <f>YEAR(SalesData[[#This Row],[Order Date]])</f>
        <v>2016</v>
      </c>
      <c r="K2027" t="str">
        <f>TEXT(SalesData[[#This Row],[Order Date]],"mmm")</f>
        <v>Aug</v>
      </c>
      <c r="L2027">
        <f>MONTH(SalesData[[#This Row],[Order Date]])</f>
        <v>8</v>
      </c>
      <c r="M2027">
        <f>SalesData[[#This Row],[Sales]]/SalesData[[#This Row],[Quantity]]</f>
        <v>7.0679999999999996</v>
      </c>
      <c r="N2027" t="str">
        <f>IF(SalesData[[#This Row],[Profit]]&gt;0,"Profit","Loss")</f>
        <v>Loss</v>
      </c>
    </row>
    <row r="2028" spans="1:14" x14ac:dyDescent="0.3">
      <c r="A2028" t="s">
        <v>2430</v>
      </c>
      <c r="B2028" s="3">
        <v>42591</v>
      </c>
      <c r="C2028" t="s">
        <v>9</v>
      </c>
      <c r="D2028" t="s">
        <v>14</v>
      </c>
      <c r="E2028" t="s">
        <v>1508</v>
      </c>
      <c r="F2028" s="1">
        <v>601.47</v>
      </c>
      <c r="G2028">
        <v>3</v>
      </c>
      <c r="H2028" s="1">
        <v>-300.73500000000001</v>
      </c>
      <c r="I2028" s="4">
        <f>SalesData[[#This Row],[Profit]]/SalesData[[#This Row],[Sales]]</f>
        <v>-0.5</v>
      </c>
      <c r="J2028">
        <f>YEAR(SalesData[[#This Row],[Order Date]])</f>
        <v>2016</v>
      </c>
      <c r="K2028" t="str">
        <f>TEXT(SalesData[[#This Row],[Order Date]],"mmm")</f>
        <v>Aug</v>
      </c>
      <c r="L2028">
        <f>MONTH(SalesData[[#This Row],[Order Date]])</f>
        <v>8</v>
      </c>
      <c r="M2028">
        <f>SalesData[[#This Row],[Sales]]/SalesData[[#This Row],[Quantity]]</f>
        <v>200.49</v>
      </c>
      <c r="N2028" t="str">
        <f>IF(SalesData[[#This Row],[Profit]]&gt;0,"Profit","Loss")</f>
        <v>Loss</v>
      </c>
    </row>
    <row r="2029" spans="1:14" x14ac:dyDescent="0.3">
      <c r="A2029" t="s">
        <v>2431</v>
      </c>
      <c r="B2029" s="3">
        <v>42591</v>
      </c>
      <c r="C2029" t="s">
        <v>17</v>
      </c>
      <c r="D2029" t="s">
        <v>21</v>
      </c>
      <c r="E2029" t="s">
        <v>2432</v>
      </c>
      <c r="F2029" s="1">
        <v>207.48</v>
      </c>
      <c r="G2029">
        <v>1</v>
      </c>
      <c r="H2029" s="1">
        <v>62.244</v>
      </c>
      <c r="I2029" s="4">
        <f>SalesData[[#This Row],[Profit]]/SalesData[[#This Row],[Sales]]</f>
        <v>0.3</v>
      </c>
      <c r="J2029">
        <f>YEAR(SalesData[[#This Row],[Order Date]])</f>
        <v>2016</v>
      </c>
      <c r="K2029" t="str">
        <f>TEXT(SalesData[[#This Row],[Order Date]],"mmm")</f>
        <v>Aug</v>
      </c>
      <c r="L2029">
        <f>MONTH(SalesData[[#This Row],[Order Date]])</f>
        <v>8</v>
      </c>
      <c r="M2029">
        <f>SalesData[[#This Row],[Sales]]/SalesData[[#This Row],[Quantity]]</f>
        <v>207.48</v>
      </c>
      <c r="N2029" t="str">
        <f>IF(SalesData[[#This Row],[Profit]]&gt;0,"Profit","Loss")</f>
        <v>Profit</v>
      </c>
    </row>
    <row r="2030" spans="1:14" x14ac:dyDescent="0.3">
      <c r="A2030" t="s">
        <v>2433</v>
      </c>
      <c r="B2030" s="3">
        <v>42591</v>
      </c>
      <c r="C2030" t="s">
        <v>9</v>
      </c>
      <c r="D2030" t="s">
        <v>21</v>
      </c>
      <c r="E2030" t="s">
        <v>747</v>
      </c>
      <c r="F2030" s="1">
        <v>70.367999999999995</v>
      </c>
      <c r="G2030">
        <v>2</v>
      </c>
      <c r="H2030" s="1">
        <v>6.1571999999999996</v>
      </c>
      <c r="I2030" s="4">
        <f>SalesData[[#This Row],[Profit]]/SalesData[[#This Row],[Sales]]</f>
        <v>8.7499999999999994E-2</v>
      </c>
      <c r="J2030">
        <f>YEAR(SalesData[[#This Row],[Order Date]])</f>
        <v>2016</v>
      </c>
      <c r="K2030" t="str">
        <f>TEXT(SalesData[[#This Row],[Order Date]],"mmm")</f>
        <v>Aug</v>
      </c>
      <c r="L2030">
        <f>MONTH(SalesData[[#This Row],[Order Date]])</f>
        <v>8</v>
      </c>
      <c r="M2030">
        <f>SalesData[[#This Row],[Sales]]/SalesData[[#This Row],[Quantity]]</f>
        <v>35.183999999999997</v>
      </c>
      <c r="N2030" t="str">
        <f>IF(SalesData[[#This Row],[Profit]]&gt;0,"Profit","Loss")</f>
        <v>Profit</v>
      </c>
    </row>
    <row r="2031" spans="1:14" x14ac:dyDescent="0.3">
      <c r="A2031" t="s">
        <v>2433</v>
      </c>
      <c r="B2031" s="3">
        <v>42591</v>
      </c>
      <c r="C2031" t="s">
        <v>9</v>
      </c>
      <c r="D2031" t="s">
        <v>10</v>
      </c>
      <c r="E2031" t="s">
        <v>2434</v>
      </c>
      <c r="F2031" s="1">
        <v>59.96</v>
      </c>
      <c r="G2031">
        <v>5</v>
      </c>
      <c r="H2031" s="1">
        <v>21.735499999999998</v>
      </c>
      <c r="I2031" s="4">
        <f>SalesData[[#This Row],[Profit]]/SalesData[[#This Row],[Sales]]</f>
        <v>0.36249999999999999</v>
      </c>
      <c r="J2031">
        <f>YEAR(SalesData[[#This Row],[Order Date]])</f>
        <v>2016</v>
      </c>
      <c r="K2031" t="str">
        <f>TEXT(SalesData[[#This Row],[Order Date]],"mmm")</f>
        <v>Aug</v>
      </c>
      <c r="L2031">
        <f>MONTH(SalesData[[#This Row],[Order Date]])</f>
        <v>8</v>
      </c>
      <c r="M2031">
        <f>SalesData[[#This Row],[Sales]]/SalesData[[#This Row],[Quantity]]</f>
        <v>11.992000000000001</v>
      </c>
      <c r="N2031" t="str">
        <f>IF(SalesData[[#This Row],[Profit]]&gt;0,"Profit","Loss")</f>
        <v>Profit</v>
      </c>
    </row>
    <row r="2032" spans="1:14" x14ac:dyDescent="0.3">
      <c r="A2032" t="s">
        <v>2435</v>
      </c>
      <c r="B2032" s="3">
        <v>42591</v>
      </c>
      <c r="C2032" t="s">
        <v>46</v>
      </c>
      <c r="D2032" t="s">
        <v>10</v>
      </c>
      <c r="E2032" t="s">
        <v>690</v>
      </c>
      <c r="F2032" s="1">
        <v>35.167999999999999</v>
      </c>
      <c r="G2032">
        <v>4</v>
      </c>
      <c r="H2032" s="1">
        <v>8.3523999999999994</v>
      </c>
      <c r="I2032" s="4">
        <f>SalesData[[#This Row],[Profit]]/SalesData[[#This Row],[Sales]]</f>
        <v>0.23749999999999999</v>
      </c>
      <c r="J2032">
        <f>YEAR(SalesData[[#This Row],[Order Date]])</f>
        <v>2016</v>
      </c>
      <c r="K2032" t="str">
        <f>TEXT(SalesData[[#This Row],[Order Date]],"mmm")</f>
        <v>Aug</v>
      </c>
      <c r="L2032">
        <f>MONTH(SalesData[[#This Row],[Order Date]])</f>
        <v>8</v>
      </c>
      <c r="M2032">
        <f>SalesData[[#This Row],[Sales]]/SalesData[[#This Row],[Quantity]]</f>
        <v>8.7919999999999998</v>
      </c>
      <c r="N2032" t="str">
        <f>IF(SalesData[[#This Row],[Profit]]&gt;0,"Profit","Loss")</f>
        <v>Profit</v>
      </c>
    </row>
    <row r="2033" spans="1:14" x14ac:dyDescent="0.3">
      <c r="A2033" t="s">
        <v>2435</v>
      </c>
      <c r="B2033" s="3">
        <v>42591</v>
      </c>
      <c r="C2033" t="s">
        <v>46</v>
      </c>
      <c r="D2033" t="s">
        <v>21</v>
      </c>
      <c r="E2033" t="s">
        <v>2436</v>
      </c>
      <c r="F2033" s="1">
        <v>64.703999999999994</v>
      </c>
      <c r="G2033">
        <v>3</v>
      </c>
      <c r="H2033" s="1">
        <v>23.455200000000001</v>
      </c>
      <c r="I2033" s="4">
        <f>SalesData[[#This Row],[Profit]]/SalesData[[#This Row],[Sales]]</f>
        <v>0.36250000000000004</v>
      </c>
      <c r="J2033">
        <f>YEAR(SalesData[[#This Row],[Order Date]])</f>
        <v>2016</v>
      </c>
      <c r="K2033" t="str">
        <f>TEXT(SalesData[[#This Row],[Order Date]],"mmm")</f>
        <v>Aug</v>
      </c>
      <c r="L2033">
        <f>MONTH(SalesData[[#This Row],[Order Date]])</f>
        <v>8</v>
      </c>
      <c r="M2033">
        <f>SalesData[[#This Row],[Sales]]/SalesData[[#This Row],[Quantity]]</f>
        <v>21.567999999999998</v>
      </c>
      <c r="N2033" t="str">
        <f>IF(SalesData[[#This Row],[Profit]]&gt;0,"Profit","Loss")</f>
        <v>Profit</v>
      </c>
    </row>
    <row r="2034" spans="1:14" x14ac:dyDescent="0.3">
      <c r="A2034" t="s">
        <v>2437</v>
      </c>
      <c r="B2034" s="3">
        <v>42591</v>
      </c>
      <c r="C2034" t="s">
        <v>13</v>
      </c>
      <c r="D2034" t="s">
        <v>14</v>
      </c>
      <c r="E2034" t="s">
        <v>2438</v>
      </c>
      <c r="F2034" s="1">
        <v>146.04</v>
      </c>
      <c r="G2034">
        <v>1</v>
      </c>
      <c r="H2034" s="1">
        <v>-12.778499999999999</v>
      </c>
      <c r="I2034" s="4">
        <f>SalesData[[#This Row],[Profit]]/SalesData[[#This Row],[Sales]]</f>
        <v>-8.7499999999999994E-2</v>
      </c>
      <c r="J2034">
        <f>YEAR(SalesData[[#This Row],[Order Date]])</f>
        <v>2016</v>
      </c>
      <c r="K2034" t="str">
        <f>TEXT(SalesData[[#This Row],[Order Date]],"mmm")</f>
        <v>Aug</v>
      </c>
      <c r="L2034">
        <f>MONTH(SalesData[[#This Row],[Order Date]])</f>
        <v>8</v>
      </c>
      <c r="M2034">
        <f>SalesData[[#This Row],[Sales]]/SalesData[[#This Row],[Quantity]]</f>
        <v>146.04</v>
      </c>
      <c r="N2034" t="str">
        <f>IF(SalesData[[#This Row],[Profit]]&gt;0,"Profit","Loss")</f>
        <v>Loss</v>
      </c>
    </row>
    <row r="2035" spans="1:14" x14ac:dyDescent="0.3">
      <c r="A2035" t="s">
        <v>2439</v>
      </c>
      <c r="B2035" s="3">
        <v>42591</v>
      </c>
      <c r="C2035" t="s">
        <v>13</v>
      </c>
      <c r="D2035" t="s">
        <v>14</v>
      </c>
      <c r="E2035" t="s">
        <v>590</v>
      </c>
      <c r="F2035" s="1">
        <v>43.13</v>
      </c>
      <c r="G2035">
        <v>1</v>
      </c>
      <c r="H2035" s="1">
        <v>14.664199999999999</v>
      </c>
      <c r="I2035" s="4">
        <f>SalesData[[#This Row],[Profit]]/SalesData[[#This Row],[Sales]]</f>
        <v>0.33999999999999997</v>
      </c>
      <c r="J2035">
        <f>YEAR(SalesData[[#This Row],[Order Date]])</f>
        <v>2016</v>
      </c>
      <c r="K2035" t="str">
        <f>TEXT(SalesData[[#This Row],[Order Date]],"mmm")</f>
        <v>Aug</v>
      </c>
      <c r="L2035">
        <f>MONTH(SalesData[[#This Row],[Order Date]])</f>
        <v>8</v>
      </c>
      <c r="M2035">
        <f>SalesData[[#This Row],[Sales]]/SalesData[[#This Row],[Quantity]]</f>
        <v>43.13</v>
      </c>
      <c r="N2035" t="str">
        <f>IF(SalesData[[#This Row],[Profit]]&gt;0,"Profit","Loss")</f>
        <v>Profit</v>
      </c>
    </row>
    <row r="2036" spans="1:14" x14ac:dyDescent="0.3">
      <c r="A2036" t="s">
        <v>2439</v>
      </c>
      <c r="B2036" s="3">
        <v>42591</v>
      </c>
      <c r="C2036" t="s">
        <v>13</v>
      </c>
      <c r="D2036" t="s">
        <v>21</v>
      </c>
      <c r="E2036" t="s">
        <v>2440</v>
      </c>
      <c r="F2036" s="1">
        <v>30.87</v>
      </c>
      <c r="G2036">
        <v>7</v>
      </c>
      <c r="H2036" s="1">
        <v>14.200200000000001</v>
      </c>
      <c r="I2036" s="4">
        <f>SalesData[[#This Row],[Profit]]/SalesData[[#This Row],[Sales]]</f>
        <v>0.46</v>
      </c>
      <c r="J2036">
        <f>YEAR(SalesData[[#This Row],[Order Date]])</f>
        <v>2016</v>
      </c>
      <c r="K2036" t="str">
        <f>TEXT(SalesData[[#This Row],[Order Date]],"mmm")</f>
        <v>Aug</v>
      </c>
      <c r="L2036">
        <f>MONTH(SalesData[[#This Row],[Order Date]])</f>
        <v>8</v>
      </c>
      <c r="M2036">
        <f>SalesData[[#This Row],[Sales]]/SalesData[[#This Row],[Quantity]]</f>
        <v>4.41</v>
      </c>
      <c r="N2036" t="str">
        <f>IF(SalesData[[#This Row],[Profit]]&gt;0,"Profit","Loss")</f>
        <v>Profit</v>
      </c>
    </row>
    <row r="2037" spans="1:14" x14ac:dyDescent="0.3">
      <c r="A2037" t="s">
        <v>2441</v>
      </c>
      <c r="B2037" s="3">
        <v>42591</v>
      </c>
      <c r="C2037" t="s">
        <v>13</v>
      </c>
      <c r="D2037" t="s">
        <v>21</v>
      </c>
      <c r="E2037" t="s">
        <v>2442</v>
      </c>
      <c r="F2037" s="1">
        <v>14.88</v>
      </c>
      <c r="G2037">
        <v>2</v>
      </c>
      <c r="H2037" s="1">
        <v>3.72</v>
      </c>
      <c r="I2037" s="4">
        <f>SalesData[[#This Row],[Profit]]/SalesData[[#This Row],[Sales]]</f>
        <v>0.25</v>
      </c>
      <c r="J2037">
        <f>YEAR(SalesData[[#This Row],[Order Date]])</f>
        <v>2016</v>
      </c>
      <c r="K2037" t="str">
        <f>TEXT(SalesData[[#This Row],[Order Date]],"mmm")</f>
        <v>Aug</v>
      </c>
      <c r="L2037">
        <f>MONTH(SalesData[[#This Row],[Order Date]])</f>
        <v>8</v>
      </c>
      <c r="M2037">
        <f>SalesData[[#This Row],[Sales]]/SalesData[[#This Row],[Quantity]]</f>
        <v>7.44</v>
      </c>
      <c r="N2037" t="str">
        <f>IF(SalesData[[#This Row],[Profit]]&gt;0,"Profit","Loss")</f>
        <v>Profit</v>
      </c>
    </row>
    <row r="2038" spans="1:14" x14ac:dyDescent="0.3">
      <c r="A2038" t="s">
        <v>2441</v>
      </c>
      <c r="B2038" s="3">
        <v>42591</v>
      </c>
      <c r="C2038" t="s">
        <v>13</v>
      </c>
      <c r="D2038" t="s">
        <v>21</v>
      </c>
      <c r="E2038" t="s">
        <v>2059</v>
      </c>
      <c r="F2038" s="1">
        <v>34.24</v>
      </c>
      <c r="G2038">
        <v>8</v>
      </c>
      <c r="H2038" s="1">
        <v>15.407999999999999</v>
      </c>
      <c r="I2038" s="4">
        <f>SalesData[[#This Row],[Profit]]/SalesData[[#This Row],[Sales]]</f>
        <v>0.44999999999999996</v>
      </c>
      <c r="J2038">
        <f>YEAR(SalesData[[#This Row],[Order Date]])</f>
        <v>2016</v>
      </c>
      <c r="K2038" t="str">
        <f>TEXT(SalesData[[#This Row],[Order Date]],"mmm")</f>
        <v>Aug</v>
      </c>
      <c r="L2038">
        <f>MONTH(SalesData[[#This Row],[Order Date]])</f>
        <v>8</v>
      </c>
      <c r="M2038">
        <f>SalesData[[#This Row],[Sales]]/SalesData[[#This Row],[Quantity]]</f>
        <v>4.28</v>
      </c>
      <c r="N2038" t="str">
        <f>IF(SalesData[[#This Row],[Profit]]&gt;0,"Profit","Loss")</f>
        <v>Profit</v>
      </c>
    </row>
    <row r="2039" spans="1:14" x14ac:dyDescent="0.3">
      <c r="A2039" t="s">
        <v>2441</v>
      </c>
      <c r="B2039" s="3">
        <v>42591</v>
      </c>
      <c r="C2039" t="s">
        <v>13</v>
      </c>
      <c r="D2039" t="s">
        <v>21</v>
      </c>
      <c r="E2039" t="s">
        <v>2370</v>
      </c>
      <c r="F2039" s="1">
        <v>261.74</v>
      </c>
      <c r="G2039">
        <v>2</v>
      </c>
      <c r="H2039" s="1">
        <v>65.435000000000002</v>
      </c>
      <c r="I2039" s="4">
        <f>SalesData[[#This Row],[Profit]]/SalesData[[#This Row],[Sales]]</f>
        <v>0.25</v>
      </c>
      <c r="J2039">
        <f>YEAR(SalesData[[#This Row],[Order Date]])</f>
        <v>2016</v>
      </c>
      <c r="K2039" t="str">
        <f>TEXT(SalesData[[#This Row],[Order Date]],"mmm")</f>
        <v>Aug</v>
      </c>
      <c r="L2039">
        <f>MONTH(SalesData[[#This Row],[Order Date]])</f>
        <v>8</v>
      </c>
      <c r="M2039">
        <f>SalesData[[#This Row],[Sales]]/SalesData[[#This Row],[Quantity]]</f>
        <v>130.87</v>
      </c>
      <c r="N2039" t="str">
        <f>IF(SalesData[[#This Row],[Profit]]&gt;0,"Profit","Loss")</f>
        <v>Profit</v>
      </c>
    </row>
    <row r="2040" spans="1:14" x14ac:dyDescent="0.3">
      <c r="A2040" t="s">
        <v>2443</v>
      </c>
      <c r="B2040" s="3">
        <v>42592</v>
      </c>
      <c r="C2040" t="s">
        <v>9</v>
      </c>
      <c r="D2040" t="s">
        <v>14</v>
      </c>
      <c r="E2040" t="s">
        <v>1180</v>
      </c>
      <c r="F2040" s="1">
        <v>51.712000000000003</v>
      </c>
      <c r="G2040">
        <v>8</v>
      </c>
      <c r="H2040" s="1">
        <v>-32.32</v>
      </c>
      <c r="I2040" s="4">
        <f>SalesData[[#This Row],[Profit]]/SalesData[[#This Row],[Sales]]</f>
        <v>-0.625</v>
      </c>
      <c r="J2040">
        <f>YEAR(SalesData[[#This Row],[Order Date]])</f>
        <v>2016</v>
      </c>
      <c r="K2040" t="str">
        <f>TEXT(SalesData[[#This Row],[Order Date]],"mmm")</f>
        <v>Aug</v>
      </c>
      <c r="L2040">
        <f>MONTH(SalesData[[#This Row],[Order Date]])</f>
        <v>8</v>
      </c>
      <c r="M2040">
        <f>SalesData[[#This Row],[Sales]]/SalesData[[#This Row],[Quantity]]</f>
        <v>6.4640000000000004</v>
      </c>
      <c r="N2040" t="str">
        <f>IF(SalesData[[#This Row],[Profit]]&gt;0,"Profit","Loss")</f>
        <v>Loss</v>
      </c>
    </row>
    <row r="2041" spans="1:14" x14ac:dyDescent="0.3">
      <c r="A2041" t="s">
        <v>2444</v>
      </c>
      <c r="B2041" s="3">
        <v>42592</v>
      </c>
      <c r="C2041" t="s">
        <v>13</v>
      </c>
      <c r="D2041" t="s">
        <v>21</v>
      </c>
      <c r="E2041" t="s">
        <v>2037</v>
      </c>
      <c r="F2041" s="1">
        <v>61.96</v>
      </c>
      <c r="G2041">
        <v>2</v>
      </c>
      <c r="H2041" s="1">
        <v>27.882000000000001</v>
      </c>
      <c r="I2041" s="4">
        <f>SalesData[[#This Row],[Profit]]/SalesData[[#This Row],[Sales]]</f>
        <v>0.45</v>
      </c>
      <c r="J2041">
        <f>YEAR(SalesData[[#This Row],[Order Date]])</f>
        <v>2016</v>
      </c>
      <c r="K2041" t="str">
        <f>TEXT(SalesData[[#This Row],[Order Date]],"mmm")</f>
        <v>Aug</v>
      </c>
      <c r="L2041">
        <f>MONTH(SalesData[[#This Row],[Order Date]])</f>
        <v>8</v>
      </c>
      <c r="M2041">
        <f>SalesData[[#This Row],[Sales]]/SalesData[[#This Row],[Quantity]]</f>
        <v>30.98</v>
      </c>
      <c r="N2041" t="str">
        <f>IF(SalesData[[#This Row],[Profit]]&gt;0,"Profit","Loss")</f>
        <v>Profit</v>
      </c>
    </row>
    <row r="2042" spans="1:14" x14ac:dyDescent="0.3">
      <c r="A2042" t="s">
        <v>2445</v>
      </c>
      <c r="B2042" s="3">
        <v>42592</v>
      </c>
      <c r="C2042" t="s">
        <v>9</v>
      </c>
      <c r="D2042" t="s">
        <v>21</v>
      </c>
      <c r="E2042" t="s">
        <v>1492</v>
      </c>
      <c r="F2042" s="1">
        <v>60.143999999999998</v>
      </c>
      <c r="G2042">
        <v>6</v>
      </c>
      <c r="H2042" s="1">
        <v>20.2986</v>
      </c>
      <c r="I2042" s="4">
        <f>SalesData[[#This Row],[Profit]]/SalesData[[#This Row],[Sales]]</f>
        <v>0.33750000000000002</v>
      </c>
      <c r="J2042">
        <f>YEAR(SalesData[[#This Row],[Order Date]])</f>
        <v>2016</v>
      </c>
      <c r="K2042" t="str">
        <f>TEXT(SalesData[[#This Row],[Order Date]],"mmm")</f>
        <v>Aug</v>
      </c>
      <c r="L2042">
        <f>MONTH(SalesData[[#This Row],[Order Date]])</f>
        <v>8</v>
      </c>
      <c r="M2042">
        <f>SalesData[[#This Row],[Sales]]/SalesData[[#This Row],[Quantity]]</f>
        <v>10.023999999999999</v>
      </c>
      <c r="N2042" t="str">
        <f>IF(SalesData[[#This Row],[Profit]]&gt;0,"Profit","Loss")</f>
        <v>Profit</v>
      </c>
    </row>
    <row r="2043" spans="1:14" x14ac:dyDescent="0.3">
      <c r="A2043" t="s">
        <v>2446</v>
      </c>
      <c r="B2043" s="3">
        <v>42592</v>
      </c>
      <c r="C2043" t="s">
        <v>46</v>
      </c>
      <c r="D2043" t="s">
        <v>21</v>
      </c>
      <c r="E2043" t="s">
        <v>2160</v>
      </c>
      <c r="F2043" s="1">
        <v>387.72</v>
      </c>
      <c r="G2043">
        <v>5</v>
      </c>
      <c r="H2043" s="1">
        <v>-67.850999999999999</v>
      </c>
      <c r="I2043" s="4">
        <f>SalesData[[#This Row],[Profit]]/SalesData[[#This Row],[Sales]]</f>
        <v>-0.17499999999999999</v>
      </c>
      <c r="J2043">
        <f>YEAR(SalesData[[#This Row],[Order Date]])</f>
        <v>2016</v>
      </c>
      <c r="K2043" t="str">
        <f>TEXT(SalesData[[#This Row],[Order Date]],"mmm")</f>
        <v>Aug</v>
      </c>
      <c r="L2043">
        <f>MONTH(SalesData[[#This Row],[Order Date]])</f>
        <v>8</v>
      </c>
      <c r="M2043">
        <f>SalesData[[#This Row],[Sales]]/SalesData[[#This Row],[Quantity]]</f>
        <v>77.544000000000011</v>
      </c>
      <c r="N2043" t="str">
        <f>IF(SalesData[[#This Row],[Profit]]&gt;0,"Profit","Loss")</f>
        <v>Loss</v>
      </c>
    </row>
    <row r="2044" spans="1:14" x14ac:dyDescent="0.3">
      <c r="A2044" t="s">
        <v>2447</v>
      </c>
      <c r="B2044" s="3">
        <v>42593</v>
      </c>
      <c r="C2044" t="s">
        <v>46</v>
      </c>
      <c r="D2044" t="s">
        <v>14</v>
      </c>
      <c r="E2044" t="s">
        <v>2448</v>
      </c>
      <c r="F2044" s="1">
        <v>261.95999999999998</v>
      </c>
      <c r="G2044">
        <v>2</v>
      </c>
      <c r="H2044" s="1">
        <v>41.913600000000002</v>
      </c>
      <c r="I2044" s="4">
        <f>SalesData[[#This Row],[Profit]]/SalesData[[#This Row],[Sales]]</f>
        <v>0.16000000000000003</v>
      </c>
      <c r="J2044">
        <f>YEAR(SalesData[[#This Row],[Order Date]])</f>
        <v>2016</v>
      </c>
      <c r="K2044" t="str">
        <f>TEXT(SalesData[[#This Row],[Order Date]],"mmm")</f>
        <v>Aug</v>
      </c>
      <c r="L2044">
        <f>MONTH(SalesData[[#This Row],[Order Date]])</f>
        <v>8</v>
      </c>
      <c r="M2044">
        <f>SalesData[[#This Row],[Sales]]/SalesData[[#This Row],[Quantity]]</f>
        <v>130.97999999999999</v>
      </c>
      <c r="N2044" t="str">
        <f>IF(SalesData[[#This Row],[Profit]]&gt;0,"Profit","Loss")</f>
        <v>Profit</v>
      </c>
    </row>
    <row r="2045" spans="1:14" x14ac:dyDescent="0.3">
      <c r="A2045" t="s">
        <v>2447</v>
      </c>
      <c r="B2045" s="3">
        <v>42593</v>
      </c>
      <c r="C2045" t="s">
        <v>46</v>
      </c>
      <c r="D2045" t="s">
        <v>14</v>
      </c>
      <c r="E2045" t="s">
        <v>700</v>
      </c>
      <c r="F2045" s="1">
        <v>731.94</v>
      </c>
      <c r="G2045">
        <v>3</v>
      </c>
      <c r="H2045" s="1">
        <v>219.58199999999999</v>
      </c>
      <c r="I2045" s="4">
        <f>SalesData[[#This Row],[Profit]]/SalesData[[#This Row],[Sales]]</f>
        <v>0.3</v>
      </c>
      <c r="J2045">
        <f>YEAR(SalesData[[#This Row],[Order Date]])</f>
        <v>2016</v>
      </c>
      <c r="K2045" t="str">
        <f>TEXT(SalesData[[#This Row],[Order Date]],"mmm")</f>
        <v>Aug</v>
      </c>
      <c r="L2045">
        <f>MONTH(SalesData[[#This Row],[Order Date]])</f>
        <v>8</v>
      </c>
      <c r="M2045">
        <f>SalesData[[#This Row],[Sales]]/SalesData[[#This Row],[Quantity]]</f>
        <v>243.98000000000002</v>
      </c>
      <c r="N2045" t="str">
        <f>IF(SalesData[[#This Row],[Profit]]&gt;0,"Profit","Loss")</f>
        <v>Profit</v>
      </c>
    </row>
    <row r="2046" spans="1:14" x14ac:dyDescent="0.3">
      <c r="A2046" t="s">
        <v>2449</v>
      </c>
      <c r="B2046" s="3">
        <v>42594</v>
      </c>
      <c r="C2046" t="s">
        <v>9</v>
      </c>
      <c r="D2046" t="s">
        <v>10</v>
      </c>
      <c r="E2046" t="s">
        <v>490</v>
      </c>
      <c r="F2046" s="1">
        <v>1097.5440000000001</v>
      </c>
      <c r="G2046">
        <v>7</v>
      </c>
      <c r="H2046" s="1">
        <v>123.47369999999999</v>
      </c>
      <c r="I2046" s="4">
        <f>SalesData[[#This Row],[Profit]]/SalesData[[#This Row],[Sales]]</f>
        <v>0.11249999999999999</v>
      </c>
      <c r="J2046">
        <f>YEAR(SalesData[[#This Row],[Order Date]])</f>
        <v>2016</v>
      </c>
      <c r="K2046" t="str">
        <f>TEXT(SalesData[[#This Row],[Order Date]],"mmm")</f>
        <v>Aug</v>
      </c>
      <c r="L2046">
        <f>MONTH(SalesData[[#This Row],[Order Date]])</f>
        <v>8</v>
      </c>
      <c r="M2046">
        <f>SalesData[[#This Row],[Sales]]/SalesData[[#This Row],[Quantity]]</f>
        <v>156.792</v>
      </c>
      <c r="N2046" t="str">
        <f>IF(SalesData[[#This Row],[Profit]]&gt;0,"Profit","Loss")</f>
        <v>Profit</v>
      </c>
    </row>
    <row r="2047" spans="1:14" x14ac:dyDescent="0.3">
      <c r="A2047" t="s">
        <v>2449</v>
      </c>
      <c r="B2047" s="3">
        <v>42594</v>
      </c>
      <c r="C2047" t="s">
        <v>9</v>
      </c>
      <c r="D2047" t="s">
        <v>14</v>
      </c>
      <c r="E2047" t="s">
        <v>2450</v>
      </c>
      <c r="F2047" s="1">
        <v>190.92</v>
      </c>
      <c r="G2047">
        <v>5</v>
      </c>
      <c r="H2047" s="1">
        <v>-147.96299999999999</v>
      </c>
      <c r="I2047" s="4">
        <f>SalesData[[#This Row],[Profit]]/SalesData[[#This Row],[Sales]]</f>
        <v>-0.77500000000000002</v>
      </c>
      <c r="J2047">
        <f>YEAR(SalesData[[#This Row],[Order Date]])</f>
        <v>2016</v>
      </c>
      <c r="K2047" t="str">
        <f>TEXT(SalesData[[#This Row],[Order Date]],"mmm")</f>
        <v>Aug</v>
      </c>
      <c r="L2047">
        <f>MONTH(SalesData[[#This Row],[Order Date]])</f>
        <v>8</v>
      </c>
      <c r="M2047">
        <f>SalesData[[#This Row],[Sales]]/SalesData[[#This Row],[Quantity]]</f>
        <v>38.183999999999997</v>
      </c>
      <c r="N2047" t="str">
        <f>IF(SalesData[[#This Row],[Profit]]&gt;0,"Profit","Loss")</f>
        <v>Loss</v>
      </c>
    </row>
    <row r="2048" spans="1:14" x14ac:dyDescent="0.3">
      <c r="A2048" t="s">
        <v>2451</v>
      </c>
      <c r="B2048" s="3">
        <v>42594</v>
      </c>
      <c r="C2048" t="s">
        <v>9</v>
      </c>
      <c r="D2048" t="s">
        <v>10</v>
      </c>
      <c r="E2048" t="s">
        <v>2452</v>
      </c>
      <c r="F2048" s="1">
        <v>114.95</v>
      </c>
      <c r="G2048">
        <v>5</v>
      </c>
      <c r="H2048" s="1">
        <v>2.2989999999999999</v>
      </c>
      <c r="I2048" s="4">
        <f>SalesData[[#This Row],[Profit]]/SalesData[[#This Row],[Sales]]</f>
        <v>0.02</v>
      </c>
      <c r="J2048">
        <f>YEAR(SalesData[[#This Row],[Order Date]])</f>
        <v>2016</v>
      </c>
      <c r="K2048" t="str">
        <f>TEXT(SalesData[[#This Row],[Order Date]],"mmm")</f>
        <v>Aug</v>
      </c>
      <c r="L2048">
        <f>MONTH(SalesData[[#This Row],[Order Date]])</f>
        <v>8</v>
      </c>
      <c r="M2048">
        <f>SalesData[[#This Row],[Sales]]/SalesData[[#This Row],[Quantity]]</f>
        <v>22.990000000000002</v>
      </c>
      <c r="N2048" t="str">
        <f>IF(SalesData[[#This Row],[Profit]]&gt;0,"Profit","Loss")</f>
        <v>Profit</v>
      </c>
    </row>
    <row r="2049" spans="1:14" x14ac:dyDescent="0.3">
      <c r="A2049" t="s">
        <v>2453</v>
      </c>
      <c r="B2049" s="3">
        <v>42594</v>
      </c>
      <c r="C2049" t="s">
        <v>17</v>
      </c>
      <c r="D2049" t="s">
        <v>21</v>
      </c>
      <c r="E2049" t="s">
        <v>951</v>
      </c>
      <c r="F2049" s="1">
        <v>12.957000000000001</v>
      </c>
      <c r="G2049">
        <v>7</v>
      </c>
      <c r="H2049" s="1">
        <v>-9.5017999999999994</v>
      </c>
      <c r="I2049" s="4">
        <f>SalesData[[#This Row],[Profit]]/SalesData[[#This Row],[Sales]]</f>
        <v>-0.73333333333333328</v>
      </c>
      <c r="J2049">
        <f>YEAR(SalesData[[#This Row],[Order Date]])</f>
        <v>2016</v>
      </c>
      <c r="K2049" t="str">
        <f>TEXT(SalesData[[#This Row],[Order Date]],"mmm")</f>
        <v>Aug</v>
      </c>
      <c r="L2049">
        <f>MONTH(SalesData[[#This Row],[Order Date]])</f>
        <v>8</v>
      </c>
      <c r="M2049">
        <f>SalesData[[#This Row],[Sales]]/SalesData[[#This Row],[Quantity]]</f>
        <v>1.8510000000000002</v>
      </c>
      <c r="N2049" t="str">
        <f>IF(SalesData[[#This Row],[Profit]]&gt;0,"Profit","Loss")</f>
        <v>Loss</v>
      </c>
    </row>
    <row r="2050" spans="1:14" x14ac:dyDescent="0.3">
      <c r="A2050" t="s">
        <v>2454</v>
      </c>
      <c r="B2050" s="3">
        <v>42594</v>
      </c>
      <c r="C2050" t="s">
        <v>13</v>
      </c>
      <c r="D2050" t="s">
        <v>21</v>
      </c>
      <c r="E2050" t="s">
        <v>2455</v>
      </c>
      <c r="F2050" s="1">
        <v>8.56</v>
      </c>
      <c r="G2050">
        <v>2</v>
      </c>
      <c r="H2050" s="1">
        <v>2.4824000000000002</v>
      </c>
      <c r="I2050" s="4">
        <f>SalesData[[#This Row],[Profit]]/SalesData[[#This Row],[Sales]]</f>
        <v>0.28999999999999998</v>
      </c>
      <c r="J2050">
        <f>YEAR(SalesData[[#This Row],[Order Date]])</f>
        <v>2016</v>
      </c>
      <c r="K2050" t="str">
        <f>TEXT(SalesData[[#This Row],[Order Date]],"mmm")</f>
        <v>Aug</v>
      </c>
      <c r="L2050">
        <f>MONTH(SalesData[[#This Row],[Order Date]])</f>
        <v>8</v>
      </c>
      <c r="M2050">
        <f>SalesData[[#This Row],[Sales]]/SalesData[[#This Row],[Quantity]]</f>
        <v>4.28</v>
      </c>
      <c r="N2050" t="str">
        <f>IF(SalesData[[#This Row],[Profit]]&gt;0,"Profit","Loss")</f>
        <v>Profit</v>
      </c>
    </row>
    <row r="2051" spans="1:14" x14ac:dyDescent="0.3">
      <c r="A2051" t="s">
        <v>2454</v>
      </c>
      <c r="B2051" s="3">
        <v>42594</v>
      </c>
      <c r="C2051" t="s">
        <v>13</v>
      </c>
      <c r="D2051" t="s">
        <v>21</v>
      </c>
      <c r="E2051" t="s">
        <v>1556</v>
      </c>
      <c r="F2051" s="1">
        <v>45.36</v>
      </c>
      <c r="G2051">
        <v>7</v>
      </c>
      <c r="H2051" s="1">
        <v>21.7728</v>
      </c>
      <c r="I2051" s="4">
        <f>SalesData[[#This Row],[Profit]]/SalesData[[#This Row],[Sales]]</f>
        <v>0.48</v>
      </c>
      <c r="J2051">
        <f>YEAR(SalesData[[#This Row],[Order Date]])</f>
        <v>2016</v>
      </c>
      <c r="K2051" t="str">
        <f>TEXT(SalesData[[#This Row],[Order Date]],"mmm")</f>
        <v>Aug</v>
      </c>
      <c r="L2051">
        <f>MONTH(SalesData[[#This Row],[Order Date]])</f>
        <v>8</v>
      </c>
      <c r="M2051">
        <f>SalesData[[#This Row],[Sales]]/SalesData[[#This Row],[Quantity]]</f>
        <v>6.4799999999999995</v>
      </c>
      <c r="N2051" t="str">
        <f>IF(SalesData[[#This Row],[Profit]]&gt;0,"Profit","Loss")</f>
        <v>Profit</v>
      </c>
    </row>
    <row r="2052" spans="1:14" x14ac:dyDescent="0.3">
      <c r="A2052" t="s">
        <v>2454</v>
      </c>
      <c r="B2052" s="3">
        <v>42594</v>
      </c>
      <c r="C2052" t="s">
        <v>13</v>
      </c>
      <c r="D2052" t="s">
        <v>14</v>
      </c>
      <c r="E2052" t="s">
        <v>2456</v>
      </c>
      <c r="F2052" s="1">
        <v>1421.664</v>
      </c>
      <c r="G2052">
        <v>6</v>
      </c>
      <c r="H2052" s="1">
        <v>-195.47880000000001</v>
      </c>
      <c r="I2052" s="4">
        <f>SalesData[[#This Row],[Profit]]/SalesData[[#This Row],[Sales]]</f>
        <v>-0.13750000000000001</v>
      </c>
      <c r="J2052">
        <f>YEAR(SalesData[[#This Row],[Order Date]])</f>
        <v>2016</v>
      </c>
      <c r="K2052" t="str">
        <f>TEXT(SalesData[[#This Row],[Order Date]],"mmm")</f>
        <v>Aug</v>
      </c>
      <c r="L2052">
        <f>MONTH(SalesData[[#This Row],[Order Date]])</f>
        <v>8</v>
      </c>
      <c r="M2052">
        <f>SalesData[[#This Row],[Sales]]/SalesData[[#This Row],[Quantity]]</f>
        <v>236.94399999999999</v>
      </c>
      <c r="N2052" t="str">
        <f>IF(SalesData[[#This Row],[Profit]]&gt;0,"Profit","Loss")</f>
        <v>Loss</v>
      </c>
    </row>
    <row r="2053" spans="1:14" x14ac:dyDescent="0.3">
      <c r="A2053" t="s">
        <v>2457</v>
      </c>
      <c r="B2053" s="3">
        <v>42594</v>
      </c>
      <c r="C2053" t="s">
        <v>13</v>
      </c>
      <c r="D2053" t="s">
        <v>21</v>
      </c>
      <c r="E2053" t="s">
        <v>2458</v>
      </c>
      <c r="F2053" s="1">
        <v>34.049999999999997</v>
      </c>
      <c r="G2053">
        <v>3</v>
      </c>
      <c r="H2053" s="1">
        <v>9.5340000000000007</v>
      </c>
      <c r="I2053" s="4">
        <f>SalesData[[#This Row],[Profit]]/SalesData[[#This Row],[Sales]]</f>
        <v>0.28000000000000003</v>
      </c>
      <c r="J2053">
        <f>YEAR(SalesData[[#This Row],[Order Date]])</f>
        <v>2016</v>
      </c>
      <c r="K2053" t="str">
        <f>TEXT(SalesData[[#This Row],[Order Date]],"mmm")</f>
        <v>Aug</v>
      </c>
      <c r="L2053">
        <f>MONTH(SalesData[[#This Row],[Order Date]])</f>
        <v>8</v>
      </c>
      <c r="M2053">
        <f>SalesData[[#This Row],[Sales]]/SalesData[[#This Row],[Quantity]]</f>
        <v>11.35</v>
      </c>
      <c r="N2053" t="str">
        <f>IF(SalesData[[#This Row],[Profit]]&gt;0,"Profit","Loss")</f>
        <v>Profit</v>
      </c>
    </row>
    <row r="2054" spans="1:14" x14ac:dyDescent="0.3">
      <c r="A2054" t="s">
        <v>2457</v>
      </c>
      <c r="B2054" s="3">
        <v>42594</v>
      </c>
      <c r="C2054" t="s">
        <v>13</v>
      </c>
      <c r="D2054" t="s">
        <v>21</v>
      </c>
      <c r="E2054" t="s">
        <v>933</v>
      </c>
      <c r="F2054" s="1">
        <v>352.38</v>
      </c>
      <c r="G2054">
        <v>2</v>
      </c>
      <c r="H2054" s="1">
        <v>81.047399999999996</v>
      </c>
      <c r="I2054" s="4">
        <f>SalesData[[#This Row],[Profit]]/SalesData[[#This Row],[Sales]]</f>
        <v>0.22999999999999998</v>
      </c>
      <c r="J2054">
        <f>YEAR(SalesData[[#This Row],[Order Date]])</f>
        <v>2016</v>
      </c>
      <c r="K2054" t="str">
        <f>TEXT(SalesData[[#This Row],[Order Date]],"mmm")</f>
        <v>Aug</v>
      </c>
      <c r="L2054">
        <f>MONTH(SalesData[[#This Row],[Order Date]])</f>
        <v>8</v>
      </c>
      <c r="M2054">
        <f>SalesData[[#This Row],[Sales]]/SalesData[[#This Row],[Quantity]]</f>
        <v>176.19</v>
      </c>
      <c r="N2054" t="str">
        <f>IF(SalesData[[#This Row],[Profit]]&gt;0,"Profit","Loss")</f>
        <v>Profit</v>
      </c>
    </row>
    <row r="2055" spans="1:14" x14ac:dyDescent="0.3">
      <c r="A2055" t="s">
        <v>2459</v>
      </c>
      <c r="B2055" s="3">
        <v>42594</v>
      </c>
      <c r="C2055" t="s">
        <v>46</v>
      </c>
      <c r="D2055" t="s">
        <v>10</v>
      </c>
      <c r="E2055" t="s">
        <v>1084</v>
      </c>
      <c r="F2055" s="1">
        <v>249.584</v>
      </c>
      <c r="G2055">
        <v>2</v>
      </c>
      <c r="H2055" s="1">
        <v>31.198</v>
      </c>
      <c r="I2055" s="4">
        <f>SalesData[[#This Row],[Profit]]/SalesData[[#This Row],[Sales]]</f>
        <v>0.125</v>
      </c>
      <c r="J2055">
        <f>YEAR(SalesData[[#This Row],[Order Date]])</f>
        <v>2016</v>
      </c>
      <c r="K2055" t="str">
        <f>TEXT(SalesData[[#This Row],[Order Date]],"mmm")</f>
        <v>Aug</v>
      </c>
      <c r="L2055">
        <f>MONTH(SalesData[[#This Row],[Order Date]])</f>
        <v>8</v>
      </c>
      <c r="M2055">
        <f>SalesData[[#This Row],[Sales]]/SalesData[[#This Row],[Quantity]]</f>
        <v>124.792</v>
      </c>
      <c r="N2055" t="str">
        <f>IF(SalesData[[#This Row],[Profit]]&gt;0,"Profit","Loss")</f>
        <v>Profit</v>
      </c>
    </row>
    <row r="2056" spans="1:14" x14ac:dyDescent="0.3">
      <c r="A2056" t="s">
        <v>2459</v>
      </c>
      <c r="B2056" s="3">
        <v>42594</v>
      </c>
      <c r="C2056" t="s">
        <v>46</v>
      </c>
      <c r="D2056" t="s">
        <v>10</v>
      </c>
      <c r="E2056" t="s">
        <v>354</v>
      </c>
      <c r="F2056" s="1">
        <v>68.111999999999995</v>
      </c>
      <c r="G2056">
        <v>3</v>
      </c>
      <c r="H2056" s="1">
        <v>17.8794</v>
      </c>
      <c r="I2056" s="4">
        <f>SalesData[[#This Row],[Profit]]/SalesData[[#This Row],[Sales]]</f>
        <v>0.26250000000000001</v>
      </c>
      <c r="J2056">
        <f>YEAR(SalesData[[#This Row],[Order Date]])</f>
        <v>2016</v>
      </c>
      <c r="K2056" t="str">
        <f>TEXT(SalesData[[#This Row],[Order Date]],"mmm")</f>
        <v>Aug</v>
      </c>
      <c r="L2056">
        <f>MONTH(SalesData[[#This Row],[Order Date]])</f>
        <v>8</v>
      </c>
      <c r="M2056">
        <f>SalesData[[#This Row],[Sales]]/SalesData[[#This Row],[Quantity]]</f>
        <v>22.703999999999997</v>
      </c>
      <c r="N2056" t="str">
        <f>IF(SalesData[[#This Row],[Profit]]&gt;0,"Profit","Loss")</f>
        <v>Profit</v>
      </c>
    </row>
    <row r="2057" spans="1:14" x14ac:dyDescent="0.3">
      <c r="A2057" t="s">
        <v>2459</v>
      </c>
      <c r="B2057" s="3">
        <v>42594</v>
      </c>
      <c r="C2057" t="s">
        <v>46</v>
      </c>
      <c r="D2057" t="s">
        <v>10</v>
      </c>
      <c r="E2057" t="s">
        <v>2460</v>
      </c>
      <c r="F2057" s="1">
        <v>16.559999999999999</v>
      </c>
      <c r="G2057">
        <v>3</v>
      </c>
      <c r="H2057" s="1">
        <v>-2.484</v>
      </c>
      <c r="I2057" s="4">
        <f>SalesData[[#This Row],[Profit]]/SalesData[[#This Row],[Sales]]</f>
        <v>-0.15000000000000002</v>
      </c>
      <c r="J2057">
        <f>YEAR(SalesData[[#This Row],[Order Date]])</f>
        <v>2016</v>
      </c>
      <c r="K2057" t="str">
        <f>TEXT(SalesData[[#This Row],[Order Date]],"mmm")</f>
        <v>Aug</v>
      </c>
      <c r="L2057">
        <f>MONTH(SalesData[[#This Row],[Order Date]])</f>
        <v>8</v>
      </c>
      <c r="M2057">
        <f>SalesData[[#This Row],[Sales]]/SalesData[[#This Row],[Quantity]]</f>
        <v>5.52</v>
      </c>
      <c r="N2057" t="str">
        <f>IF(SalesData[[#This Row],[Profit]]&gt;0,"Profit","Loss")</f>
        <v>Loss</v>
      </c>
    </row>
    <row r="2058" spans="1:14" x14ac:dyDescent="0.3">
      <c r="A2058" t="s">
        <v>2461</v>
      </c>
      <c r="B2058" s="3">
        <v>42594</v>
      </c>
      <c r="C2058" t="s">
        <v>17</v>
      </c>
      <c r="D2058" t="s">
        <v>21</v>
      </c>
      <c r="E2058" t="s">
        <v>2440</v>
      </c>
      <c r="F2058" s="1">
        <v>10.584</v>
      </c>
      <c r="G2058">
        <v>3</v>
      </c>
      <c r="H2058" s="1">
        <v>3.4398</v>
      </c>
      <c r="I2058" s="4">
        <f>SalesData[[#This Row],[Profit]]/SalesData[[#This Row],[Sales]]</f>
        <v>0.32500000000000001</v>
      </c>
      <c r="J2058">
        <f>YEAR(SalesData[[#This Row],[Order Date]])</f>
        <v>2016</v>
      </c>
      <c r="K2058" t="str">
        <f>TEXT(SalesData[[#This Row],[Order Date]],"mmm")</f>
        <v>Aug</v>
      </c>
      <c r="L2058">
        <f>MONTH(SalesData[[#This Row],[Order Date]])</f>
        <v>8</v>
      </c>
      <c r="M2058">
        <f>SalesData[[#This Row],[Sales]]/SalesData[[#This Row],[Quantity]]</f>
        <v>3.528</v>
      </c>
      <c r="N2058" t="str">
        <f>IF(SalesData[[#This Row],[Profit]]&gt;0,"Profit","Loss")</f>
        <v>Profit</v>
      </c>
    </row>
    <row r="2059" spans="1:14" x14ac:dyDescent="0.3">
      <c r="A2059" t="s">
        <v>2462</v>
      </c>
      <c r="B2059" s="3">
        <v>42594</v>
      </c>
      <c r="C2059" t="s">
        <v>9</v>
      </c>
      <c r="D2059" t="s">
        <v>14</v>
      </c>
      <c r="E2059" t="s">
        <v>1796</v>
      </c>
      <c r="F2059" s="1">
        <v>405.86</v>
      </c>
      <c r="G2059">
        <v>7</v>
      </c>
      <c r="H2059" s="1">
        <v>32.468800000000002</v>
      </c>
      <c r="I2059" s="4">
        <f>SalesData[[#This Row],[Profit]]/SalesData[[#This Row],[Sales]]</f>
        <v>0.08</v>
      </c>
      <c r="J2059">
        <f>YEAR(SalesData[[#This Row],[Order Date]])</f>
        <v>2016</v>
      </c>
      <c r="K2059" t="str">
        <f>TEXT(SalesData[[#This Row],[Order Date]],"mmm")</f>
        <v>Aug</v>
      </c>
      <c r="L2059">
        <f>MONTH(SalesData[[#This Row],[Order Date]])</f>
        <v>8</v>
      </c>
      <c r="M2059">
        <f>SalesData[[#This Row],[Sales]]/SalesData[[#This Row],[Quantity]]</f>
        <v>57.980000000000004</v>
      </c>
      <c r="N2059" t="str">
        <f>IF(SalesData[[#This Row],[Profit]]&gt;0,"Profit","Loss")</f>
        <v>Profit</v>
      </c>
    </row>
    <row r="2060" spans="1:14" x14ac:dyDescent="0.3">
      <c r="A2060" t="s">
        <v>2462</v>
      </c>
      <c r="B2060" s="3">
        <v>42594</v>
      </c>
      <c r="C2060" t="s">
        <v>9</v>
      </c>
      <c r="D2060" t="s">
        <v>14</v>
      </c>
      <c r="E2060" t="s">
        <v>441</v>
      </c>
      <c r="F2060" s="1">
        <v>680.01</v>
      </c>
      <c r="G2060">
        <v>3</v>
      </c>
      <c r="H2060" s="1">
        <v>176.80260000000001</v>
      </c>
      <c r="I2060" s="4">
        <f>SalesData[[#This Row],[Profit]]/SalesData[[#This Row],[Sales]]</f>
        <v>0.26</v>
      </c>
      <c r="J2060">
        <f>YEAR(SalesData[[#This Row],[Order Date]])</f>
        <v>2016</v>
      </c>
      <c r="K2060" t="str">
        <f>TEXT(SalesData[[#This Row],[Order Date]],"mmm")</f>
        <v>Aug</v>
      </c>
      <c r="L2060">
        <f>MONTH(SalesData[[#This Row],[Order Date]])</f>
        <v>8</v>
      </c>
      <c r="M2060">
        <f>SalesData[[#This Row],[Sales]]/SalesData[[#This Row],[Quantity]]</f>
        <v>226.67</v>
      </c>
      <c r="N2060" t="str">
        <f>IF(SalesData[[#This Row],[Profit]]&gt;0,"Profit","Loss")</f>
        <v>Profit</v>
      </c>
    </row>
    <row r="2061" spans="1:14" x14ac:dyDescent="0.3">
      <c r="A2061" t="s">
        <v>2463</v>
      </c>
      <c r="B2061" s="3">
        <v>42614</v>
      </c>
      <c r="C2061" t="s">
        <v>13</v>
      </c>
      <c r="D2061" t="s">
        <v>10</v>
      </c>
      <c r="E2061" t="s">
        <v>2464</v>
      </c>
      <c r="F2061" s="1">
        <v>349.95</v>
      </c>
      <c r="G2061">
        <v>5</v>
      </c>
      <c r="H2061" s="1">
        <v>118.983</v>
      </c>
      <c r="I2061" s="4">
        <f>SalesData[[#This Row],[Profit]]/SalesData[[#This Row],[Sales]]</f>
        <v>0.34</v>
      </c>
      <c r="J2061">
        <f>YEAR(SalesData[[#This Row],[Order Date]])</f>
        <v>2016</v>
      </c>
      <c r="K2061" t="str">
        <f>TEXT(SalesData[[#This Row],[Order Date]],"mmm")</f>
        <v>Sep</v>
      </c>
      <c r="L2061">
        <f>MONTH(SalesData[[#This Row],[Order Date]])</f>
        <v>9</v>
      </c>
      <c r="M2061">
        <f>SalesData[[#This Row],[Sales]]/SalesData[[#This Row],[Quantity]]</f>
        <v>69.989999999999995</v>
      </c>
      <c r="N2061" t="str">
        <f>IF(SalesData[[#This Row],[Profit]]&gt;0,"Profit","Loss")</f>
        <v>Profit</v>
      </c>
    </row>
    <row r="2062" spans="1:14" x14ac:dyDescent="0.3">
      <c r="A2062" t="s">
        <v>2463</v>
      </c>
      <c r="B2062" s="3">
        <v>42614</v>
      </c>
      <c r="C2062" t="s">
        <v>13</v>
      </c>
      <c r="D2062" t="s">
        <v>10</v>
      </c>
      <c r="E2062" t="s">
        <v>466</v>
      </c>
      <c r="F2062" s="1">
        <v>377.928</v>
      </c>
      <c r="G2062">
        <v>9</v>
      </c>
      <c r="H2062" s="1">
        <v>141.72300000000001</v>
      </c>
      <c r="I2062" s="4">
        <f>SalesData[[#This Row],[Profit]]/SalesData[[#This Row],[Sales]]</f>
        <v>0.37500000000000006</v>
      </c>
      <c r="J2062">
        <f>YEAR(SalesData[[#This Row],[Order Date]])</f>
        <v>2016</v>
      </c>
      <c r="K2062" t="str">
        <f>TEXT(SalesData[[#This Row],[Order Date]],"mmm")</f>
        <v>Sep</v>
      </c>
      <c r="L2062">
        <f>MONTH(SalesData[[#This Row],[Order Date]])</f>
        <v>9</v>
      </c>
      <c r="M2062">
        <f>SalesData[[#This Row],[Sales]]/SalesData[[#This Row],[Quantity]]</f>
        <v>41.991999999999997</v>
      </c>
      <c r="N2062" t="str">
        <f>IF(SalesData[[#This Row],[Profit]]&gt;0,"Profit","Loss")</f>
        <v>Profit</v>
      </c>
    </row>
    <row r="2063" spans="1:14" x14ac:dyDescent="0.3">
      <c r="A2063" t="s">
        <v>2465</v>
      </c>
      <c r="B2063" s="3">
        <v>42614</v>
      </c>
      <c r="C2063" t="s">
        <v>17</v>
      </c>
      <c r="D2063" t="s">
        <v>14</v>
      </c>
      <c r="E2063" t="s">
        <v>1310</v>
      </c>
      <c r="F2063" s="1">
        <v>15.167999999999999</v>
      </c>
      <c r="G2063">
        <v>2</v>
      </c>
      <c r="H2063" s="1">
        <v>3.7919999999999998</v>
      </c>
      <c r="I2063" s="4">
        <f>SalesData[[#This Row],[Profit]]/SalesData[[#This Row],[Sales]]</f>
        <v>0.25</v>
      </c>
      <c r="J2063">
        <f>YEAR(SalesData[[#This Row],[Order Date]])</f>
        <v>2016</v>
      </c>
      <c r="K2063" t="str">
        <f>TEXT(SalesData[[#This Row],[Order Date]],"mmm")</f>
        <v>Sep</v>
      </c>
      <c r="L2063">
        <f>MONTH(SalesData[[#This Row],[Order Date]])</f>
        <v>9</v>
      </c>
      <c r="M2063">
        <f>SalesData[[#This Row],[Sales]]/SalesData[[#This Row],[Quantity]]</f>
        <v>7.5839999999999996</v>
      </c>
      <c r="N2063" t="str">
        <f>IF(SalesData[[#This Row],[Profit]]&gt;0,"Profit","Loss")</f>
        <v>Profit</v>
      </c>
    </row>
    <row r="2064" spans="1:14" x14ac:dyDescent="0.3">
      <c r="A2064" t="s">
        <v>2466</v>
      </c>
      <c r="B2064" s="3">
        <v>42615</v>
      </c>
      <c r="C2064" t="s">
        <v>13</v>
      </c>
      <c r="D2064" t="s">
        <v>10</v>
      </c>
      <c r="E2064" t="s">
        <v>197</v>
      </c>
      <c r="F2064" s="1">
        <v>89.97</v>
      </c>
      <c r="G2064">
        <v>3</v>
      </c>
      <c r="H2064" s="1">
        <v>39.586799999999997</v>
      </c>
      <c r="I2064" s="4">
        <f>SalesData[[#This Row],[Profit]]/SalesData[[#This Row],[Sales]]</f>
        <v>0.43999999999999995</v>
      </c>
      <c r="J2064">
        <f>YEAR(SalesData[[#This Row],[Order Date]])</f>
        <v>2016</v>
      </c>
      <c r="K2064" t="str">
        <f>TEXT(SalesData[[#This Row],[Order Date]],"mmm")</f>
        <v>Sep</v>
      </c>
      <c r="L2064">
        <f>MONTH(SalesData[[#This Row],[Order Date]])</f>
        <v>9</v>
      </c>
      <c r="M2064">
        <f>SalesData[[#This Row],[Sales]]/SalesData[[#This Row],[Quantity]]</f>
        <v>29.99</v>
      </c>
      <c r="N2064" t="str">
        <f>IF(SalesData[[#This Row],[Profit]]&gt;0,"Profit","Loss")</f>
        <v>Profit</v>
      </c>
    </row>
    <row r="2065" spans="1:14" x14ac:dyDescent="0.3">
      <c r="A2065" t="s">
        <v>2466</v>
      </c>
      <c r="B2065" s="3">
        <v>42615</v>
      </c>
      <c r="C2065" t="s">
        <v>13</v>
      </c>
      <c r="D2065" t="s">
        <v>10</v>
      </c>
      <c r="E2065" t="s">
        <v>1804</v>
      </c>
      <c r="F2065" s="1">
        <v>31.86</v>
      </c>
      <c r="G2065">
        <v>2</v>
      </c>
      <c r="H2065" s="1">
        <v>11.151</v>
      </c>
      <c r="I2065" s="4">
        <f>SalesData[[#This Row],[Profit]]/SalesData[[#This Row],[Sales]]</f>
        <v>0.35</v>
      </c>
      <c r="J2065">
        <f>YEAR(SalesData[[#This Row],[Order Date]])</f>
        <v>2016</v>
      </c>
      <c r="K2065" t="str">
        <f>TEXT(SalesData[[#This Row],[Order Date]],"mmm")</f>
        <v>Sep</v>
      </c>
      <c r="L2065">
        <f>MONTH(SalesData[[#This Row],[Order Date]])</f>
        <v>9</v>
      </c>
      <c r="M2065">
        <f>SalesData[[#This Row],[Sales]]/SalesData[[#This Row],[Quantity]]</f>
        <v>15.93</v>
      </c>
      <c r="N2065" t="str">
        <f>IF(SalesData[[#This Row],[Profit]]&gt;0,"Profit","Loss")</f>
        <v>Profit</v>
      </c>
    </row>
    <row r="2066" spans="1:14" x14ac:dyDescent="0.3">
      <c r="A2066" t="s">
        <v>2467</v>
      </c>
      <c r="B2066" s="3">
        <v>42616</v>
      </c>
      <c r="C2066" t="s">
        <v>17</v>
      </c>
      <c r="D2066" t="s">
        <v>10</v>
      </c>
      <c r="E2066" t="s">
        <v>1465</v>
      </c>
      <c r="F2066" s="1">
        <v>199.75</v>
      </c>
      <c r="G2066">
        <v>5</v>
      </c>
      <c r="H2066" s="1">
        <v>87.89</v>
      </c>
      <c r="I2066" s="4">
        <f>SalesData[[#This Row],[Profit]]/SalesData[[#This Row],[Sales]]</f>
        <v>0.44</v>
      </c>
      <c r="J2066">
        <f>YEAR(SalesData[[#This Row],[Order Date]])</f>
        <v>2016</v>
      </c>
      <c r="K2066" t="str">
        <f>TEXT(SalesData[[#This Row],[Order Date]],"mmm")</f>
        <v>Sep</v>
      </c>
      <c r="L2066">
        <f>MONTH(SalesData[[#This Row],[Order Date]])</f>
        <v>9</v>
      </c>
      <c r="M2066">
        <f>SalesData[[#This Row],[Sales]]/SalesData[[#This Row],[Quantity]]</f>
        <v>39.950000000000003</v>
      </c>
      <c r="N2066" t="str">
        <f>IF(SalesData[[#This Row],[Profit]]&gt;0,"Profit","Loss")</f>
        <v>Profit</v>
      </c>
    </row>
    <row r="2067" spans="1:14" x14ac:dyDescent="0.3">
      <c r="A2067" t="s">
        <v>2468</v>
      </c>
      <c r="B2067" s="3">
        <v>42616</v>
      </c>
      <c r="C2067" t="s">
        <v>17</v>
      </c>
      <c r="D2067" t="s">
        <v>21</v>
      </c>
      <c r="E2067" t="s">
        <v>2083</v>
      </c>
      <c r="F2067" s="1">
        <v>11.21</v>
      </c>
      <c r="G2067">
        <v>1</v>
      </c>
      <c r="H2067" s="1">
        <v>3.363</v>
      </c>
      <c r="I2067" s="4">
        <f>SalesData[[#This Row],[Profit]]/SalesData[[#This Row],[Sales]]</f>
        <v>0.3</v>
      </c>
      <c r="J2067">
        <f>YEAR(SalesData[[#This Row],[Order Date]])</f>
        <v>2016</v>
      </c>
      <c r="K2067" t="str">
        <f>TEXT(SalesData[[#This Row],[Order Date]],"mmm")</f>
        <v>Sep</v>
      </c>
      <c r="L2067">
        <f>MONTH(SalesData[[#This Row],[Order Date]])</f>
        <v>9</v>
      </c>
      <c r="M2067">
        <f>SalesData[[#This Row],[Sales]]/SalesData[[#This Row],[Quantity]]</f>
        <v>11.21</v>
      </c>
      <c r="N2067" t="str">
        <f>IF(SalesData[[#This Row],[Profit]]&gt;0,"Profit","Loss")</f>
        <v>Profit</v>
      </c>
    </row>
    <row r="2068" spans="1:14" x14ac:dyDescent="0.3">
      <c r="A2068" t="s">
        <v>2468</v>
      </c>
      <c r="B2068" s="3">
        <v>42616</v>
      </c>
      <c r="C2068" t="s">
        <v>17</v>
      </c>
      <c r="D2068" t="s">
        <v>14</v>
      </c>
      <c r="E2068" t="s">
        <v>659</v>
      </c>
      <c r="F2068" s="1">
        <v>354.9</v>
      </c>
      <c r="G2068">
        <v>5</v>
      </c>
      <c r="H2068" s="1">
        <v>88.724999999999994</v>
      </c>
      <c r="I2068" s="4">
        <f>SalesData[[#This Row],[Profit]]/SalesData[[#This Row],[Sales]]</f>
        <v>0.25</v>
      </c>
      <c r="J2068">
        <f>YEAR(SalesData[[#This Row],[Order Date]])</f>
        <v>2016</v>
      </c>
      <c r="K2068" t="str">
        <f>TEXT(SalesData[[#This Row],[Order Date]],"mmm")</f>
        <v>Sep</v>
      </c>
      <c r="L2068">
        <f>MONTH(SalesData[[#This Row],[Order Date]])</f>
        <v>9</v>
      </c>
      <c r="M2068">
        <f>SalesData[[#This Row],[Sales]]/SalesData[[#This Row],[Quantity]]</f>
        <v>70.97999999999999</v>
      </c>
      <c r="N2068" t="str">
        <f>IF(SalesData[[#This Row],[Profit]]&gt;0,"Profit","Loss")</f>
        <v>Profit</v>
      </c>
    </row>
    <row r="2069" spans="1:14" x14ac:dyDescent="0.3">
      <c r="A2069" t="s">
        <v>2468</v>
      </c>
      <c r="B2069" s="3">
        <v>42616</v>
      </c>
      <c r="C2069" t="s">
        <v>17</v>
      </c>
      <c r="D2069" t="s">
        <v>21</v>
      </c>
      <c r="E2069" t="s">
        <v>2469</v>
      </c>
      <c r="F2069" s="1">
        <v>17.940000000000001</v>
      </c>
      <c r="G2069">
        <v>3</v>
      </c>
      <c r="H2069" s="1">
        <v>8.7905999999999995</v>
      </c>
      <c r="I2069" s="4">
        <f>SalesData[[#This Row],[Profit]]/SalesData[[#This Row],[Sales]]</f>
        <v>0.48999999999999994</v>
      </c>
      <c r="J2069">
        <f>YEAR(SalesData[[#This Row],[Order Date]])</f>
        <v>2016</v>
      </c>
      <c r="K2069" t="str">
        <f>TEXT(SalesData[[#This Row],[Order Date]],"mmm")</f>
        <v>Sep</v>
      </c>
      <c r="L2069">
        <f>MONTH(SalesData[[#This Row],[Order Date]])</f>
        <v>9</v>
      </c>
      <c r="M2069">
        <f>SalesData[[#This Row],[Sales]]/SalesData[[#This Row],[Quantity]]</f>
        <v>5.98</v>
      </c>
      <c r="N2069" t="str">
        <f>IF(SalesData[[#This Row],[Profit]]&gt;0,"Profit","Loss")</f>
        <v>Profit</v>
      </c>
    </row>
    <row r="2070" spans="1:14" x14ac:dyDescent="0.3">
      <c r="A2070" t="s">
        <v>2468</v>
      </c>
      <c r="B2070" s="3">
        <v>42616</v>
      </c>
      <c r="C2070" t="s">
        <v>17</v>
      </c>
      <c r="D2070" t="s">
        <v>21</v>
      </c>
      <c r="E2070" t="s">
        <v>1702</v>
      </c>
      <c r="F2070" s="1">
        <v>51.8</v>
      </c>
      <c r="G2070">
        <v>4</v>
      </c>
      <c r="H2070" s="1">
        <v>23.31</v>
      </c>
      <c r="I2070" s="4">
        <f>SalesData[[#This Row],[Profit]]/SalesData[[#This Row],[Sales]]</f>
        <v>0.45</v>
      </c>
      <c r="J2070">
        <f>YEAR(SalesData[[#This Row],[Order Date]])</f>
        <v>2016</v>
      </c>
      <c r="K2070" t="str">
        <f>TEXT(SalesData[[#This Row],[Order Date]],"mmm")</f>
        <v>Sep</v>
      </c>
      <c r="L2070">
        <f>MONTH(SalesData[[#This Row],[Order Date]])</f>
        <v>9</v>
      </c>
      <c r="M2070">
        <f>SalesData[[#This Row],[Sales]]/SalesData[[#This Row],[Quantity]]</f>
        <v>12.95</v>
      </c>
      <c r="N2070" t="str">
        <f>IF(SalesData[[#This Row],[Profit]]&gt;0,"Profit","Loss")</f>
        <v>Profit</v>
      </c>
    </row>
    <row r="2071" spans="1:14" x14ac:dyDescent="0.3">
      <c r="A2071" t="s">
        <v>2470</v>
      </c>
      <c r="B2071" s="3">
        <v>42617</v>
      </c>
      <c r="C2071" t="s">
        <v>13</v>
      </c>
      <c r="D2071" t="s">
        <v>21</v>
      </c>
      <c r="E2071" t="s">
        <v>282</v>
      </c>
      <c r="F2071" s="1">
        <v>35.351999999999997</v>
      </c>
      <c r="G2071">
        <v>9</v>
      </c>
      <c r="H2071" s="1">
        <v>12.815099999999999</v>
      </c>
      <c r="I2071" s="4">
        <f>SalesData[[#This Row],[Profit]]/SalesData[[#This Row],[Sales]]</f>
        <v>0.36249999999999999</v>
      </c>
      <c r="J2071">
        <f>YEAR(SalesData[[#This Row],[Order Date]])</f>
        <v>2016</v>
      </c>
      <c r="K2071" t="str">
        <f>TEXT(SalesData[[#This Row],[Order Date]],"mmm")</f>
        <v>Sep</v>
      </c>
      <c r="L2071">
        <f>MONTH(SalesData[[#This Row],[Order Date]])</f>
        <v>9</v>
      </c>
      <c r="M2071">
        <f>SalesData[[#This Row],[Sales]]/SalesData[[#This Row],[Quantity]]</f>
        <v>3.9279999999999995</v>
      </c>
      <c r="N2071" t="str">
        <f>IF(SalesData[[#This Row],[Profit]]&gt;0,"Profit","Loss")</f>
        <v>Profit</v>
      </c>
    </row>
    <row r="2072" spans="1:14" x14ac:dyDescent="0.3">
      <c r="A2072" t="s">
        <v>2471</v>
      </c>
      <c r="B2072" s="3">
        <v>42617</v>
      </c>
      <c r="C2072" t="s">
        <v>9</v>
      </c>
      <c r="D2072" t="s">
        <v>10</v>
      </c>
      <c r="E2072" t="s">
        <v>2267</v>
      </c>
      <c r="F2072" s="1">
        <v>517.9</v>
      </c>
      <c r="G2072">
        <v>2</v>
      </c>
      <c r="H2072" s="1">
        <v>134.654</v>
      </c>
      <c r="I2072" s="4">
        <f>SalesData[[#This Row],[Profit]]/SalesData[[#This Row],[Sales]]</f>
        <v>0.26</v>
      </c>
      <c r="J2072">
        <f>YEAR(SalesData[[#This Row],[Order Date]])</f>
        <v>2016</v>
      </c>
      <c r="K2072" t="str">
        <f>TEXT(SalesData[[#This Row],[Order Date]],"mmm")</f>
        <v>Sep</v>
      </c>
      <c r="L2072">
        <f>MONTH(SalesData[[#This Row],[Order Date]])</f>
        <v>9</v>
      </c>
      <c r="M2072">
        <f>SalesData[[#This Row],[Sales]]/SalesData[[#This Row],[Quantity]]</f>
        <v>258.95</v>
      </c>
      <c r="N2072" t="str">
        <f>IF(SalesData[[#This Row],[Profit]]&gt;0,"Profit","Loss")</f>
        <v>Profit</v>
      </c>
    </row>
    <row r="2073" spans="1:14" x14ac:dyDescent="0.3">
      <c r="A2073" t="s">
        <v>2471</v>
      </c>
      <c r="B2073" s="3">
        <v>42617</v>
      </c>
      <c r="C2073" t="s">
        <v>9</v>
      </c>
      <c r="D2073" t="s">
        <v>21</v>
      </c>
      <c r="E2073" t="s">
        <v>2472</v>
      </c>
      <c r="F2073" s="1">
        <v>5.28</v>
      </c>
      <c r="G2073">
        <v>2</v>
      </c>
      <c r="H2073" s="1">
        <v>2.4287999999999998</v>
      </c>
      <c r="I2073" s="4">
        <f>SalesData[[#This Row],[Profit]]/SalesData[[#This Row],[Sales]]</f>
        <v>0.45999999999999996</v>
      </c>
      <c r="J2073">
        <f>YEAR(SalesData[[#This Row],[Order Date]])</f>
        <v>2016</v>
      </c>
      <c r="K2073" t="str">
        <f>TEXT(SalesData[[#This Row],[Order Date]],"mmm")</f>
        <v>Sep</v>
      </c>
      <c r="L2073">
        <f>MONTH(SalesData[[#This Row],[Order Date]])</f>
        <v>9</v>
      </c>
      <c r="M2073">
        <f>SalesData[[#This Row],[Sales]]/SalesData[[#This Row],[Quantity]]</f>
        <v>2.64</v>
      </c>
      <c r="N2073" t="str">
        <f>IF(SalesData[[#This Row],[Profit]]&gt;0,"Profit","Loss")</f>
        <v>Profit</v>
      </c>
    </row>
    <row r="2074" spans="1:14" x14ac:dyDescent="0.3">
      <c r="A2074" t="s">
        <v>2473</v>
      </c>
      <c r="B2074" s="3">
        <v>42617</v>
      </c>
      <c r="C2074" t="s">
        <v>13</v>
      </c>
      <c r="D2074" t="s">
        <v>14</v>
      </c>
      <c r="E2074" t="s">
        <v>2448</v>
      </c>
      <c r="F2074" s="1">
        <v>556.66499999999996</v>
      </c>
      <c r="G2074">
        <v>5</v>
      </c>
      <c r="H2074" s="1">
        <v>6.5490000000000004</v>
      </c>
      <c r="I2074" s="4">
        <f>SalesData[[#This Row],[Profit]]/SalesData[[#This Row],[Sales]]</f>
        <v>1.1764705882352943E-2</v>
      </c>
      <c r="J2074">
        <f>YEAR(SalesData[[#This Row],[Order Date]])</f>
        <v>2016</v>
      </c>
      <c r="K2074" t="str">
        <f>TEXT(SalesData[[#This Row],[Order Date]],"mmm")</f>
        <v>Sep</v>
      </c>
      <c r="L2074">
        <f>MONTH(SalesData[[#This Row],[Order Date]])</f>
        <v>9</v>
      </c>
      <c r="M2074">
        <f>SalesData[[#This Row],[Sales]]/SalesData[[#This Row],[Quantity]]</f>
        <v>111.333</v>
      </c>
      <c r="N2074" t="str">
        <f>IF(SalesData[[#This Row],[Profit]]&gt;0,"Profit","Loss")</f>
        <v>Profit</v>
      </c>
    </row>
    <row r="2075" spans="1:14" x14ac:dyDescent="0.3">
      <c r="A2075" t="s">
        <v>2474</v>
      </c>
      <c r="B2075" s="3">
        <v>42618</v>
      </c>
      <c r="C2075" t="s">
        <v>13</v>
      </c>
      <c r="D2075" t="s">
        <v>10</v>
      </c>
      <c r="E2075" t="s">
        <v>2475</v>
      </c>
      <c r="F2075" s="1">
        <v>93.98</v>
      </c>
      <c r="G2075">
        <v>2</v>
      </c>
      <c r="H2075" s="1">
        <v>13.1572</v>
      </c>
      <c r="I2075" s="4">
        <f>SalesData[[#This Row],[Profit]]/SalesData[[#This Row],[Sales]]</f>
        <v>0.13999999999999999</v>
      </c>
      <c r="J2075">
        <f>YEAR(SalesData[[#This Row],[Order Date]])</f>
        <v>2016</v>
      </c>
      <c r="K2075" t="str">
        <f>TEXT(SalesData[[#This Row],[Order Date]],"mmm")</f>
        <v>Sep</v>
      </c>
      <c r="L2075">
        <f>MONTH(SalesData[[#This Row],[Order Date]])</f>
        <v>9</v>
      </c>
      <c r="M2075">
        <f>SalesData[[#This Row],[Sales]]/SalesData[[#This Row],[Quantity]]</f>
        <v>46.99</v>
      </c>
      <c r="N2075" t="str">
        <f>IF(SalesData[[#This Row],[Profit]]&gt;0,"Profit","Loss")</f>
        <v>Profit</v>
      </c>
    </row>
    <row r="2076" spans="1:14" x14ac:dyDescent="0.3">
      <c r="A2076" t="s">
        <v>2476</v>
      </c>
      <c r="B2076" s="3">
        <v>42618</v>
      </c>
      <c r="C2076" t="s">
        <v>17</v>
      </c>
      <c r="D2076" t="s">
        <v>21</v>
      </c>
      <c r="E2076" t="s">
        <v>127</v>
      </c>
      <c r="F2076" s="1">
        <v>9.3439999999999994</v>
      </c>
      <c r="G2076">
        <v>1</v>
      </c>
      <c r="H2076" s="1">
        <v>3.504</v>
      </c>
      <c r="I2076" s="4">
        <f>SalesData[[#This Row],[Profit]]/SalesData[[#This Row],[Sales]]</f>
        <v>0.375</v>
      </c>
      <c r="J2076">
        <f>YEAR(SalesData[[#This Row],[Order Date]])</f>
        <v>2016</v>
      </c>
      <c r="K2076" t="str">
        <f>TEXT(SalesData[[#This Row],[Order Date]],"mmm")</f>
        <v>Sep</v>
      </c>
      <c r="L2076">
        <f>MONTH(SalesData[[#This Row],[Order Date]])</f>
        <v>9</v>
      </c>
      <c r="M2076">
        <f>SalesData[[#This Row],[Sales]]/SalesData[[#This Row],[Quantity]]</f>
        <v>9.3439999999999994</v>
      </c>
      <c r="N2076" t="str">
        <f>IF(SalesData[[#This Row],[Profit]]&gt;0,"Profit","Loss")</f>
        <v>Profit</v>
      </c>
    </row>
    <row r="2077" spans="1:14" x14ac:dyDescent="0.3">
      <c r="A2077" t="s">
        <v>2476</v>
      </c>
      <c r="B2077" s="3">
        <v>42618</v>
      </c>
      <c r="C2077" t="s">
        <v>17</v>
      </c>
      <c r="D2077" t="s">
        <v>21</v>
      </c>
      <c r="E2077" t="s">
        <v>317</v>
      </c>
      <c r="F2077" s="1">
        <v>79.36</v>
      </c>
      <c r="G2077">
        <v>5</v>
      </c>
      <c r="H2077" s="1">
        <v>9.92</v>
      </c>
      <c r="I2077" s="4">
        <f>SalesData[[#This Row],[Profit]]/SalesData[[#This Row],[Sales]]</f>
        <v>0.125</v>
      </c>
      <c r="J2077">
        <f>YEAR(SalesData[[#This Row],[Order Date]])</f>
        <v>2016</v>
      </c>
      <c r="K2077" t="str">
        <f>TEXT(SalesData[[#This Row],[Order Date]],"mmm")</f>
        <v>Sep</v>
      </c>
      <c r="L2077">
        <f>MONTH(SalesData[[#This Row],[Order Date]])</f>
        <v>9</v>
      </c>
      <c r="M2077">
        <f>SalesData[[#This Row],[Sales]]/SalesData[[#This Row],[Quantity]]</f>
        <v>15.872</v>
      </c>
      <c r="N2077" t="str">
        <f>IF(SalesData[[#This Row],[Profit]]&gt;0,"Profit","Loss")</f>
        <v>Profit</v>
      </c>
    </row>
    <row r="2078" spans="1:14" x14ac:dyDescent="0.3">
      <c r="A2078" t="s">
        <v>2477</v>
      </c>
      <c r="B2078" s="3">
        <v>42618</v>
      </c>
      <c r="C2078" t="s">
        <v>17</v>
      </c>
      <c r="D2078" t="s">
        <v>21</v>
      </c>
      <c r="E2078" t="s">
        <v>2478</v>
      </c>
      <c r="F2078" s="1">
        <v>8</v>
      </c>
      <c r="G2078">
        <v>5</v>
      </c>
      <c r="H2078" s="1">
        <v>3.44</v>
      </c>
      <c r="I2078" s="4">
        <f>SalesData[[#This Row],[Profit]]/SalesData[[#This Row],[Sales]]</f>
        <v>0.43</v>
      </c>
      <c r="J2078">
        <f>YEAR(SalesData[[#This Row],[Order Date]])</f>
        <v>2016</v>
      </c>
      <c r="K2078" t="str">
        <f>TEXT(SalesData[[#This Row],[Order Date]],"mmm")</f>
        <v>Sep</v>
      </c>
      <c r="L2078">
        <f>MONTH(SalesData[[#This Row],[Order Date]])</f>
        <v>9</v>
      </c>
      <c r="M2078">
        <f>SalesData[[#This Row],[Sales]]/SalesData[[#This Row],[Quantity]]</f>
        <v>1.6</v>
      </c>
      <c r="N2078" t="str">
        <f>IF(SalesData[[#This Row],[Profit]]&gt;0,"Profit","Loss")</f>
        <v>Profit</v>
      </c>
    </row>
    <row r="2079" spans="1:14" x14ac:dyDescent="0.3">
      <c r="A2079" t="s">
        <v>2479</v>
      </c>
      <c r="B2079" s="3">
        <v>42618</v>
      </c>
      <c r="C2079" t="s">
        <v>13</v>
      </c>
      <c r="D2079" t="s">
        <v>21</v>
      </c>
      <c r="E2079" t="s">
        <v>2480</v>
      </c>
      <c r="F2079" s="1">
        <v>32.04</v>
      </c>
      <c r="G2079">
        <v>4</v>
      </c>
      <c r="H2079" s="1">
        <v>14.417999999999999</v>
      </c>
      <c r="I2079" s="4">
        <f>SalesData[[#This Row],[Profit]]/SalesData[[#This Row],[Sales]]</f>
        <v>0.45</v>
      </c>
      <c r="J2079">
        <f>YEAR(SalesData[[#This Row],[Order Date]])</f>
        <v>2016</v>
      </c>
      <c r="K2079" t="str">
        <f>TEXT(SalesData[[#This Row],[Order Date]],"mmm")</f>
        <v>Sep</v>
      </c>
      <c r="L2079">
        <f>MONTH(SalesData[[#This Row],[Order Date]])</f>
        <v>9</v>
      </c>
      <c r="M2079">
        <f>SalesData[[#This Row],[Sales]]/SalesData[[#This Row],[Quantity]]</f>
        <v>8.01</v>
      </c>
      <c r="N2079" t="str">
        <f>IF(SalesData[[#This Row],[Profit]]&gt;0,"Profit","Loss")</f>
        <v>Profit</v>
      </c>
    </row>
    <row r="2080" spans="1:14" x14ac:dyDescent="0.3">
      <c r="A2080" t="s">
        <v>2481</v>
      </c>
      <c r="B2080" s="3">
        <v>42618</v>
      </c>
      <c r="C2080" t="s">
        <v>9</v>
      </c>
      <c r="D2080" t="s">
        <v>10</v>
      </c>
      <c r="E2080" t="s">
        <v>186</v>
      </c>
      <c r="F2080" s="1">
        <v>19.135999999999999</v>
      </c>
      <c r="G2080">
        <v>2</v>
      </c>
      <c r="H2080" s="1">
        <v>1.9136</v>
      </c>
      <c r="I2080" s="4">
        <f>SalesData[[#This Row],[Profit]]/SalesData[[#This Row],[Sales]]</f>
        <v>0.1</v>
      </c>
      <c r="J2080">
        <f>YEAR(SalesData[[#This Row],[Order Date]])</f>
        <v>2016</v>
      </c>
      <c r="K2080" t="str">
        <f>TEXT(SalesData[[#This Row],[Order Date]],"mmm")</f>
        <v>Sep</v>
      </c>
      <c r="L2080">
        <f>MONTH(SalesData[[#This Row],[Order Date]])</f>
        <v>9</v>
      </c>
      <c r="M2080">
        <f>SalesData[[#This Row],[Sales]]/SalesData[[#This Row],[Quantity]]</f>
        <v>9.5679999999999996</v>
      </c>
      <c r="N2080" t="str">
        <f>IF(SalesData[[#This Row],[Profit]]&gt;0,"Profit","Loss")</f>
        <v>Profit</v>
      </c>
    </row>
    <row r="2081" spans="1:14" x14ac:dyDescent="0.3">
      <c r="A2081" t="s">
        <v>2482</v>
      </c>
      <c r="B2081" s="3">
        <v>42618</v>
      </c>
      <c r="C2081" t="s">
        <v>46</v>
      </c>
      <c r="D2081" t="s">
        <v>21</v>
      </c>
      <c r="E2081" t="s">
        <v>1840</v>
      </c>
      <c r="F2081" s="1">
        <v>27.86</v>
      </c>
      <c r="G2081">
        <v>7</v>
      </c>
      <c r="H2081" s="1">
        <v>9.1937999999999995</v>
      </c>
      <c r="I2081" s="4">
        <f>SalesData[[#This Row],[Profit]]/SalesData[[#This Row],[Sales]]</f>
        <v>0.33</v>
      </c>
      <c r="J2081">
        <f>YEAR(SalesData[[#This Row],[Order Date]])</f>
        <v>2016</v>
      </c>
      <c r="K2081" t="str">
        <f>TEXT(SalesData[[#This Row],[Order Date]],"mmm")</f>
        <v>Sep</v>
      </c>
      <c r="L2081">
        <f>MONTH(SalesData[[#This Row],[Order Date]])</f>
        <v>9</v>
      </c>
      <c r="M2081">
        <f>SalesData[[#This Row],[Sales]]/SalesData[[#This Row],[Quantity]]</f>
        <v>3.98</v>
      </c>
      <c r="N2081" t="str">
        <f>IF(SalesData[[#This Row],[Profit]]&gt;0,"Profit","Loss")</f>
        <v>Profit</v>
      </c>
    </row>
    <row r="2082" spans="1:14" x14ac:dyDescent="0.3">
      <c r="A2082" t="s">
        <v>2483</v>
      </c>
      <c r="B2082" s="3">
        <v>42618</v>
      </c>
      <c r="C2082" t="s">
        <v>9</v>
      </c>
      <c r="D2082" t="s">
        <v>21</v>
      </c>
      <c r="E2082" t="s">
        <v>150</v>
      </c>
      <c r="F2082" s="1">
        <v>856.65599999999995</v>
      </c>
      <c r="G2082">
        <v>6</v>
      </c>
      <c r="H2082" s="1">
        <v>107.08199999999999</v>
      </c>
      <c r="I2082" s="4">
        <f>SalesData[[#This Row],[Profit]]/SalesData[[#This Row],[Sales]]</f>
        <v>0.125</v>
      </c>
      <c r="J2082">
        <f>YEAR(SalesData[[#This Row],[Order Date]])</f>
        <v>2016</v>
      </c>
      <c r="K2082" t="str">
        <f>TEXT(SalesData[[#This Row],[Order Date]],"mmm")</f>
        <v>Sep</v>
      </c>
      <c r="L2082">
        <f>MONTH(SalesData[[#This Row],[Order Date]])</f>
        <v>9</v>
      </c>
      <c r="M2082">
        <f>SalesData[[#This Row],[Sales]]/SalesData[[#This Row],[Quantity]]</f>
        <v>142.77599999999998</v>
      </c>
      <c r="N2082" t="str">
        <f>IF(SalesData[[#This Row],[Profit]]&gt;0,"Profit","Loss")</f>
        <v>Profit</v>
      </c>
    </row>
    <row r="2083" spans="1:14" x14ac:dyDescent="0.3">
      <c r="A2083" t="s">
        <v>2483</v>
      </c>
      <c r="B2083" s="3">
        <v>42618</v>
      </c>
      <c r="C2083" t="s">
        <v>9</v>
      </c>
      <c r="D2083" t="s">
        <v>21</v>
      </c>
      <c r="E2083" t="s">
        <v>350</v>
      </c>
      <c r="F2083" s="1">
        <v>13.183999999999999</v>
      </c>
      <c r="G2083">
        <v>4</v>
      </c>
      <c r="H2083" s="1">
        <v>-20.435199999999998</v>
      </c>
      <c r="I2083" s="4">
        <f>SalesData[[#This Row],[Profit]]/SalesData[[#This Row],[Sales]]</f>
        <v>-1.55</v>
      </c>
      <c r="J2083">
        <f>YEAR(SalesData[[#This Row],[Order Date]])</f>
        <v>2016</v>
      </c>
      <c r="K2083" t="str">
        <f>TEXT(SalesData[[#This Row],[Order Date]],"mmm")</f>
        <v>Sep</v>
      </c>
      <c r="L2083">
        <f>MONTH(SalesData[[#This Row],[Order Date]])</f>
        <v>9</v>
      </c>
      <c r="M2083">
        <f>SalesData[[#This Row],[Sales]]/SalesData[[#This Row],[Quantity]]</f>
        <v>3.2959999999999998</v>
      </c>
      <c r="N2083" t="str">
        <f>IF(SalesData[[#This Row],[Profit]]&gt;0,"Profit","Loss")</f>
        <v>Loss</v>
      </c>
    </row>
    <row r="2084" spans="1:14" x14ac:dyDescent="0.3">
      <c r="A2084" t="s">
        <v>2483</v>
      </c>
      <c r="B2084" s="3">
        <v>42618</v>
      </c>
      <c r="C2084" t="s">
        <v>9</v>
      </c>
      <c r="D2084" t="s">
        <v>21</v>
      </c>
      <c r="E2084" t="s">
        <v>2484</v>
      </c>
      <c r="F2084" s="1">
        <v>48.783999999999999</v>
      </c>
      <c r="G2084">
        <v>4</v>
      </c>
      <c r="H2084" s="1">
        <v>-131.71680000000001</v>
      </c>
      <c r="I2084" s="4">
        <f>SalesData[[#This Row],[Profit]]/SalesData[[#This Row],[Sales]]</f>
        <v>-2.7</v>
      </c>
      <c r="J2084">
        <f>YEAR(SalesData[[#This Row],[Order Date]])</f>
        <v>2016</v>
      </c>
      <c r="K2084" t="str">
        <f>TEXT(SalesData[[#This Row],[Order Date]],"mmm")</f>
        <v>Sep</v>
      </c>
      <c r="L2084">
        <f>MONTH(SalesData[[#This Row],[Order Date]])</f>
        <v>9</v>
      </c>
      <c r="M2084">
        <f>SalesData[[#This Row],[Sales]]/SalesData[[#This Row],[Quantity]]</f>
        <v>12.196</v>
      </c>
      <c r="N2084" t="str">
        <f>IF(SalesData[[#This Row],[Profit]]&gt;0,"Profit","Loss")</f>
        <v>Loss</v>
      </c>
    </row>
    <row r="2085" spans="1:14" x14ac:dyDescent="0.3">
      <c r="A2085" t="s">
        <v>2483</v>
      </c>
      <c r="B2085" s="3">
        <v>42618</v>
      </c>
      <c r="C2085" t="s">
        <v>9</v>
      </c>
      <c r="D2085" t="s">
        <v>21</v>
      </c>
      <c r="E2085" t="s">
        <v>2485</v>
      </c>
      <c r="F2085" s="1">
        <v>76.64</v>
      </c>
      <c r="G2085">
        <v>2</v>
      </c>
      <c r="H2085" s="1">
        <v>26.824000000000002</v>
      </c>
      <c r="I2085" s="4">
        <f>SalesData[[#This Row],[Profit]]/SalesData[[#This Row],[Sales]]</f>
        <v>0.35000000000000003</v>
      </c>
      <c r="J2085">
        <f>YEAR(SalesData[[#This Row],[Order Date]])</f>
        <v>2016</v>
      </c>
      <c r="K2085" t="str">
        <f>TEXT(SalesData[[#This Row],[Order Date]],"mmm")</f>
        <v>Sep</v>
      </c>
      <c r="L2085">
        <f>MONTH(SalesData[[#This Row],[Order Date]])</f>
        <v>9</v>
      </c>
      <c r="M2085">
        <f>SalesData[[#This Row],[Sales]]/SalesData[[#This Row],[Quantity]]</f>
        <v>38.32</v>
      </c>
      <c r="N2085" t="str">
        <f>IF(SalesData[[#This Row],[Profit]]&gt;0,"Profit","Loss")</f>
        <v>Profit</v>
      </c>
    </row>
    <row r="2086" spans="1:14" x14ac:dyDescent="0.3">
      <c r="A2086" t="s">
        <v>2483</v>
      </c>
      <c r="B2086" s="3">
        <v>42618</v>
      </c>
      <c r="C2086" t="s">
        <v>9</v>
      </c>
      <c r="D2086" t="s">
        <v>21</v>
      </c>
      <c r="E2086" t="s">
        <v>1994</v>
      </c>
      <c r="F2086" s="1">
        <v>18.527999999999999</v>
      </c>
      <c r="G2086">
        <v>6</v>
      </c>
      <c r="H2086" s="1">
        <v>-27.792000000000002</v>
      </c>
      <c r="I2086" s="4">
        <f>SalesData[[#This Row],[Profit]]/SalesData[[#This Row],[Sales]]</f>
        <v>-1.5000000000000002</v>
      </c>
      <c r="J2086">
        <f>YEAR(SalesData[[#This Row],[Order Date]])</f>
        <v>2016</v>
      </c>
      <c r="K2086" t="str">
        <f>TEXT(SalesData[[#This Row],[Order Date]],"mmm")</f>
        <v>Sep</v>
      </c>
      <c r="L2086">
        <f>MONTH(SalesData[[#This Row],[Order Date]])</f>
        <v>9</v>
      </c>
      <c r="M2086">
        <f>SalesData[[#This Row],[Sales]]/SalesData[[#This Row],[Quantity]]</f>
        <v>3.0879999999999996</v>
      </c>
      <c r="N2086" t="str">
        <f>IF(SalesData[[#This Row],[Profit]]&gt;0,"Profit","Loss")</f>
        <v>Loss</v>
      </c>
    </row>
    <row r="2087" spans="1:14" x14ac:dyDescent="0.3">
      <c r="A2087" t="s">
        <v>2486</v>
      </c>
      <c r="B2087" s="3">
        <v>42619</v>
      </c>
      <c r="C2087" t="s">
        <v>13</v>
      </c>
      <c r="D2087" t="s">
        <v>10</v>
      </c>
      <c r="E2087" t="s">
        <v>2115</v>
      </c>
      <c r="F2087" s="1">
        <v>177.48</v>
      </c>
      <c r="G2087">
        <v>3</v>
      </c>
      <c r="H2087" s="1">
        <v>19.9665</v>
      </c>
      <c r="I2087" s="4">
        <f>SalesData[[#This Row],[Profit]]/SalesData[[#This Row],[Sales]]</f>
        <v>0.1125</v>
      </c>
      <c r="J2087">
        <f>YEAR(SalesData[[#This Row],[Order Date]])</f>
        <v>2016</v>
      </c>
      <c r="K2087" t="str">
        <f>TEXT(SalesData[[#This Row],[Order Date]],"mmm")</f>
        <v>Sep</v>
      </c>
      <c r="L2087">
        <f>MONTH(SalesData[[#This Row],[Order Date]])</f>
        <v>9</v>
      </c>
      <c r="M2087">
        <f>SalesData[[#This Row],[Sales]]/SalesData[[#This Row],[Quantity]]</f>
        <v>59.16</v>
      </c>
      <c r="N2087" t="str">
        <f>IF(SalesData[[#This Row],[Profit]]&gt;0,"Profit","Loss")</f>
        <v>Profit</v>
      </c>
    </row>
    <row r="2088" spans="1:14" x14ac:dyDescent="0.3">
      <c r="A2088" t="s">
        <v>2487</v>
      </c>
      <c r="B2088" s="3">
        <v>42619</v>
      </c>
      <c r="C2088" t="s">
        <v>46</v>
      </c>
      <c r="D2088" t="s">
        <v>10</v>
      </c>
      <c r="E2088" t="s">
        <v>2488</v>
      </c>
      <c r="F2088" s="1">
        <v>695.7</v>
      </c>
      <c r="G2088">
        <v>2</v>
      </c>
      <c r="H2088" s="1">
        <v>-27.827999999999999</v>
      </c>
      <c r="I2088" s="4">
        <f>SalesData[[#This Row],[Profit]]/SalesData[[#This Row],[Sales]]</f>
        <v>-3.9999999999999994E-2</v>
      </c>
      <c r="J2088">
        <f>YEAR(SalesData[[#This Row],[Order Date]])</f>
        <v>2016</v>
      </c>
      <c r="K2088" t="str">
        <f>TEXT(SalesData[[#This Row],[Order Date]],"mmm")</f>
        <v>Sep</v>
      </c>
      <c r="L2088">
        <f>MONTH(SalesData[[#This Row],[Order Date]])</f>
        <v>9</v>
      </c>
      <c r="M2088">
        <f>SalesData[[#This Row],[Sales]]/SalesData[[#This Row],[Quantity]]</f>
        <v>347.85</v>
      </c>
      <c r="N2088" t="str">
        <f>IF(SalesData[[#This Row],[Profit]]&gt;0,"Profit","Loss")</f>
        <v>Loss</v>
      </c>
    </row>
    <row r="2089" spans="1:14" x14ac:dyDescent="0.3">
      <c r="A2089" t="s">
        <v>2489</v>
      </c>
      <c r="B2089" s="3">
        <v>42619</v>
      </c>
      <c r="C2089" t="s">
        <v>13</v>
      </c>
      <c r="D2089" t="s">
        <v>14</v>
      </c>
      <c r="E2089" t="s">
        <v>265</v>
      </c>
      <c r="F2089" s="1">
        <v>122.352</v>
      </c>
      <c r="G2089">
        <v>3</v>
      </c>
      <c r="H2089" s="1">
        <v>13.7646</v>
      </c>
      <c r="I2089" s="4">
        <f>SalesData[[#This Row],[Profit]]/SalesData[[#This Row],[Sales]]</f>
        <v>0.11249999999999999</v>
      </c>
      <c r="J2089">
        <f>YEAR(SalesData[[#This Row],[Order Date]])</f>
        <v>2016</v>
      </c>
      <c r="K2089" t="str">
        <f>TEXT(SalesData[[#This Row],[Order Date]],"mmm")</f>
        <v>Sep</v>
      </c>
      <c r="L2089">
        <f>MONTH(SalesData[[#This Row],[Order Date]])</f>
        <v>9</v>
      </c>
      <c r="M2089">
        <f>SalesData[[#This Row],[Sales]]/SalesData[[#This Row],[Quantity]]</f>
        <v>40.783999999999999</v>
      </c>
      <c r="N2089" t="str">
        <f>IF(SalesData[[#This Row],[Profit]]&gt;0,"Profit","Loss")</f>
        <v>Profit</v>
      </c>
    </row>
    <row r="2090" spans="1:14" x14ac:dyDescent="0.3">
      <c r="A2090" t="s">
        <v>2490</v>
      </c>
      <c r="B2090" s="3">
        <v>42619</v>
      </c>
      <c r="C2090" t="s">
        <v>9</v>
      </c>
      <c r="D2090" t="s">
        <v>14</v>
      </c>
      <c r="E2090" t="s">
        <v>2491</v>
      </c>
      <c r="F2090" s="1">
        <v>692.94</v>
      </c>
      <c r="G2090">
        <v>3</v>
      </c>
      <c r="H2090" s="1">
        <v>173.23500000000001</v>
      </c>
      <c r="I2090" s="4">
        <f>SalesData[[#This Row],[Profit]]/SalesData[[#This Row],[Sales]]</f>
        <v>0.25</v>
      </c>
      <c r="J2090">
        <f>YEAR(SalesData[[#This Row],[Order Date]])</f>
        <v>2016</v>
      </c>
      <c r="K2090" t="str">
        <f>TEXT(SalesData[[#This Row],[Order Date]],"mmm")</f>
        <v>Sep</v>
      </c>
      <c r="L2090">
        <f>MONTH(SalesData[[#This Row],[Order Date]])</f>
        <v>9</v>
      </c>
      <c r="M2090">
        <f>SalesData[[#This Row],[Sales]]/SalesData[[#This Row],[Quantity]]</f>
        <v>230.98000000000002</v>
      </c>
      <c r="N2090" t="str">
        <f>IF(SalesData[[#This Row],[Profit]]&gt;0,"Profit","Loss")</f>
        <v>Profit</v>
      </c>
    </row>
    <row r="2091" spans="1:14" x14ac:dyDescent="0.3">
      <c r="A2091" t="s">
        <v>2492</v>
      </c>
      <c r="B2091" s="3">
        <v>42620</v>
      </c>
      <c r="C2091" t="s">
        <v>17</v>
      </c>
      <c r="D2091" t="s">
        <v>14</v>
      </c>
      <c r="E2091" t="s">
        <v>441</v>
      </c>
      <c r="F2091" s="1">
        <v>408.00599999999997</v>
      </c>
      <c r="G2091">
        <v>2</v>
      </c>
      <c r="H2091" s="1">
        <v>72.534400000000005</v>
      </c>
      <c r="I2091" s="4">
        <f>SalesData[[#This Row],[Profit]]/SalesData[[#This Row],[Sales]]</f>
        <v>0.17777777777777781</v>
      </c>
      <c r="J2091">
        <f>YEAR(SalesData[[#This Row],[Order Date]])</f>
        <v>2016</v>
      </c>
      <c r="K2091" t="str">
        <f>TEXT(SalesData[[#This Row],[Order Date]],"mmm")</f>
        <v>Sep</v>
      </c>
      <c r="L2091">
        <f>MONTH(SalesData[[#This Row],[Order Date]])</f>
        <v>9</v>
      </c>
      <c r="M2091">
        <f>SalesData[[#This Row],[Sales]]/SalesData[[#This Row],[Quantity]]</f>
        <v>204.00299999999999</v>
      </c>
      <c r="N2091" t="str">
        <f>IF(SalesData[[#This Row],[Profit]]&gt;0,"Profit","Loss")</f>
        <v>Profit</v>
      </c>
    </row>
    <row r="2092" spans="1:14" x14ac:dyDescent="0.3">
      <c r="A2092" t="s">
        <v>2492</v>
      </c>
      <c r="B2092" s="3">
        <v>42620</v>
      </c>
      <c r="C2092" t="s">
        <v>17</v>
      </c>
      <c r="D2092" t="s">
        <v>14</v>
      </c>
      <c r="E2092" t="s">
        <v>906</v>
      </c>
      <c r="F2092" s="1">
        <v>165.28</v>
      </c>
      <c r="G2092">
        <v>4</v>
      </c>
      <c r="H2092" s="1">
        <v>14.8752</v>
      </c>
      <c r="I2092" s="4">
        <f>SalesData[[#This Row],[Profit]]/SalesData[[#This Row],[Sales]]</f>
        <v>0.09</v>
      </c>
      <c r="J2092">
        <f>YEAR(SalesData[[#This Row],[Order Date]])</f>
        <v>2016</v>
      </c>
      <c r="K2092" t="str">
        <f>TEXT(SalesData[[#This Row],[Order Date]],"mmm")</f>
        <v>Sep</v>
      </c>
      <c r="L2092">
        <f>MONTH(SalesData[[#This Row],[Order Date]])</f>
        <v>9</v>
      </c>
      <c r="M2092">
        <f>SalesData[[#This Row],[Sales]]/SalesData[[#This Row],[Quantity]]</f>
        <v>41.32</v>
      </c>
      <c r="N2092" t="str">
        <f>IF(SalesData[[#This Row],[Profit]]&gt;0,"Profit","Loss")</f>
        <v>Profit</v>
      </c>
    </row>
    <row r="2093" spans="1:14" x14ac:dyDescent="0.3">
      <c r="A2093" t="s">
        <v>2493</v>
      </c>
      <c r="B2093" s="3">
        <v>42621</v>
      </c>
      <c r="C2093" t="s">
        <v>46</v>
      </c>
      <c r="D2093" t="s">
        <v>21</v>
      </c>
      <c r="E2093" t="s">
        <v>864</v>
      </c>
      <c r="F2093" s="1">
        <v>30.815999999999999</v>
      </c>
      <c r="G2093">
        <v>9</v>
      </c>
      <c r="H2093" s="1">
        <v>9.6300000000000008</v>
      </c>
      <c r="I2093" s="4">
        <f>SalesData[[#This Row],[Profit]]/SalesData[[#This Row],[Sales]]</f>
        <v>0.31250000000000006</v>
      </c>
      <c r="J2093">
        <f>YEAR(SalesData[[#This Row],[Order Date]])</f>
        <v>2016</v>
      </c>
      <c r="K2093" t="str">
        <f>TEXT(SalesData[[#This Row],[Order Date]],"mmm")</f>
        <v>Sep</v>
      </c>
      <c r="L2093">
        <f>MONTH(SalesData[[#This Row],[Order Date]])</f>
        <v>9</v>
      </c>
      <c r="M2093">
        <f>SalesData[[#This Row],[Sales]]/SalesData[[#This Row],[Quantity]]</f>
        <v>3.4239999999999999</v>
      </c>
      <c r="N2093" t="str">
        <f>IF(SalesData[[#This Row],[Profit]]&gt;0,"Profit","Loss")</f>
        <v>Profit</v>
      </c>
    </row>
    <row r="2094" spans="1:14" x14ac:dyDescent="0.3">
      <c r="A2094" t="s">
        <v>2493</v>
      </c>
      <c r="B2094" s="3">
        <v>42621</v>
      </c>
      <c r="C2094" t="s">
        <v>46</v>
      </c>
      <c r="D2094" t="s">
        <v>10</v>
      </c>
      <c r="E2094" t="s">
        <v>2494</v>
      </c>
      <c r="F2094" s="1">
        <v>44.783999999999999</v>
      </c>
      <c r="G2094">
        <v>2</v>
      </c>
      <c r="H2094" s="1">
        <v>4.4783999999999997</v>
      </c>
      <c r="I2094" s="4">
        <f>SalesData[[#This Row],[Profit]]/SalesData[[#This Row],[Sales]]</f>
        <v>9.9999999999999992E-2</v>
      </c>
      <c r="J2094">
        <f>YEAR(SalesData[[#This Row],[Order Date]])</f>
        <v>2016</v>
      </c>
      <c r="K2094" t="str">
        <f>TEXT(SalesData[[#This Row],[Order Date]],"mmm")</f>
        <v>Sep</v>
      </c>
      <c r="L2094">
        <f>MONTH(SalesData[[#This Row],[Order Date]])</f>
        <v>9</v>
      </c>
      <c r="M2094">
        <f>SalesData[[#This Row],[Sales]]/SalesData[[#This Row],[Quantity]]</f>
        <v>22.391999999999999</v>
      </c>
      <c r="N2094" t="str">
        <f>IF(SalesData[[#This Row],[Profit]]&gt;0,"Profit","Loss")</f>
        <v>Profit</v>
      </c>
    </row>
    <row r="2095" spans="1:14" x14ac:dyDescent="0.3">
      <c r="A2095" t="s">
        <v>2493</v>
      </c>
      <c r="B2095" s="3">
        <v>42621</v>
      </c>
      <c r="C2095" t="s">
        <v>46</v>
      </c>
      <c r="D2095" t="s">
        <v>21</v>
      </c>
      <c r="E2095" t="s">
        <v>96</v>
      </c>
      <c r="F2095" s="1">
        <v>569.53599999999994</v>
      </c>
      <c r="G2095">
        <v>4</v>
      </c>
      <c r="H2095" s="1">
        <v>64.072800000000001</v>
      </c>
      <c r="I2095" s="4">
        <f>SalesData[[#This Row],[Profit]]/SalesData[[#This Row],[Sales]]</f>
        <v>0.11250000000000002</v>
      </c>
      <c r="J2095">
        <f>YEAR(SalesData[[#This Row],[Order Date]])</f>
        <v>2016</v>
      </c>
      <c r="K2095" t="str">
        <f>TEXT(SalesData[[#This Row],[Order Date]],"mmm")</f>
        <v>Sep</v>
      </c>
      <c r="L2095">
        <f>MONTH(SalesData[[#This Row],[Order Date]])</f>
        <v>9</v>
      </c>
      <c r="M2095">
        <f>SalesData[[#This Row],[Sales]]/SalesData[[#This Row],[Quantity]]</f>
        <v>142.38399999999999</v>
      </c>
      <c r="N2095" t="str">
        <f>IF(SalesData[[#This Row],[Profit]]&gt;0,"Profit","Loss")</f>
        <v>Profit</v>
      </c>
    </row>
    <row r="2096" spans="1:14" x14ac:dyDescent="0.3">
      <c r="A2096" t="s">
        <v>2495</v>
      </c>
      <c r="B2096" s="3">
        <v>42621</v>
      </c>
      <c r="C2096" t="s">
        <v>46</v>
      </c>
      <c r="D2096" t="s">
        <v>21</v>
      </c>
      <c r="E2096" t="s">
        <v>838</v>
      </c>
      <c r="F2096" s="1">
        <v>4.3380000000000001</v>
      </c>
      <c r="G2096">
        <v>3</v>
      </c>
      <c r="H2096" s="1">
        <v>-3.0366</v>
      </c>
      <c r="I2096" s="4">
        <f>SalesData[[#This Row],[Profit]]/SalesData[[#This Row],[Sales]]</f>
        <v>-0.7</v>
      </c>
      <c r="J2096">
        <f>YEAR(SalesData[[#This Row],[Order Date]])</f>
        <v>2016</v>
      </c>
      <c r="K2096" t="str">
        <f>TEXT(SalesData[[#This Row],[Order Date]],"mmm")</f>
        <v>Sep</v>
      </c>
      <c r="L2096">
        <f>MONTH(SalesData[[#This Row],[Order Date]])</f>
        <v>9</v>
      </c>
      <c r="M2096">
        <f>SalesData[[#This Row],[Sales]]/SalesData[[#This Row],[Quantity]]</f>
        <v>1.446</v>
      </c>
      <c r="N2096" t="str">
        <f>IF(SalesData[[#This Row],[Profit]]&gt;0,"Profit","Loss")</f>
        <v>Loss</v>
      </c>
    </row>
    <row r="2097" spans="1:14" x14ac:dyDescent="0.3">
      <c r="A2097" t="s">
        <v>2495</v>
      </c>
      <c r="B2097" s="3">
        <v>42621</v>
      </c>
      <c r="C2097" t="s">
        <v>46</v>
      </c>
      <c r="D2097" t="s">
        <v>21</v>
      </c>
      <c r="E2097" t="s">
        <v>2496</v>
      </c>
      <c r="F2097" s="1">
        <v>11.88</v>
      </c>
      <c r="G2097">
        <v>5</v>
      </c>
      <c r="H2097" s="1">
        <v>-7.92</v>
      </c>
      <c r="I2097" s="4">
        <f>SalesData[[#This Row],[Profit]]/SalesData[[#This Row],[Sales]]</f>
        <v>-0.66666666666666663</v>
      </c>
      <c r="J2097">
        <f>YEAR(SalesData[[#This Row],[Order Date]])</f>
        <v>2016</v>
      </c>
      <c r="K2097" t="str">
        <f>TEXT(SalesData[[#This Row],[Order Date]],"mmm")</f>
        <v>Sep</v>
      </c>
      <c r="L2097">
        <f>MONTH(SalesData[[#This Row],[Order Date]])</f>
        <v>9</v>
      </c>
      <c r="M2097">
        <f>SalesData[[#This Row],[Sales]]/SalesData[[#This Row],[Quantity]]</f>
        <v>2.3760000000000003</v>
      </c>
      <c r="N2097" t="str">
        <f>IF(SalesData[[#This Row],[Profit]]&gt;0,"Profit","Loss")</f>
        <v>Loss</v>
      </c>
    </row>
    <row r="2098" spans="1:14" x14ac:dyDescent="0.3">
      <c r="A2098" t="s">
        <v>2497</v>
      </c>
      <c r="B2098" s="3">
        <v>42622</v>
      </c>
      <c r="C2098" t="s">
        <v>17</v>
      </c>
      <c r="D2098" t="s">
        <v>21</v>
      </c>
      <c r="E2098" t="s">
        <v>375</v>
      </c>
      <c r="F2098" s="1">
        <v>14.624000000000001</v>
      </c>
      <c r="G2098">
        <v>2</v>
      </c>
      <c r="H2098" s="1">
        <v>5.484</v>
      </c>
      <c r="I2098" s="4">
        <f>SalesData[[#This Row],[Profit]]/SalesData[[#This Row],[Sales]]</f>
        <v>0.375</v>
      </c>
      <c r="J2098">
        <f>YEAR(SalesData[[#This Row],[Order Date]])</f>
        <v>2016</v>
      </c>
      <c r="K2098" t="str">
        <f>TEXT(SalesData[[#This Row],[Order Date]],"mmm")</f>
        <v>Sep</v>
      </c>
      <c r="L2098">
        <f>MONTH(SalesData[[#This Row],[Order Date]])</f>
        <v>9</v>
      </c>
      <c r="M2098">
        <f>SalesData[[#This Row],[Sales]]/SalesData[[#This Row],[Quantity]]</f>
        <v>7.3120000000000003</v>
      </c>
      <c r="N2098" t="str">
        <f>IF(SalesData[[#This Row],[Profit]]&gt;0,"Profit","Loss")</f>
        <v>Profit</v>
      </c>
    </row>
    <row r="2099" spans="1:14" x14ac:dyDescent="0.3">
      <c r="A2099" t="s">
        <v>2498</v>
      </c>
      <c r="B2099" s="3">
        <v>42622</v>
      </c>
      <c r="C2099" t="s">
        <v>13</v>
      </c>
      <c r="D2099" t="s">
        <v>21</v>
      </c>
      <c r="E2099" t="s">
        <v>881</v>
      </c>
      <c r="F2099" s="1">
        <v>55.36</v>
      </c>
      <c r="G2099">
        <v>4</v>
      </c>
      <c r="H2099" s="1">
        <v>18.684000000000001</v>
      </c>
      <c r="I2099" s="4">
        <f>SalesData[[#This Row],[Profit]]/SalesData[[#This Row],[Sales]]</f>
        <v>0.33750000000000002</v>
      </c>
      <c r="J2099">
        <f>YEAR(SalesData[[#This Row],[Order Date]])</f>
        <v>2016</v>
      </c>
      <c r="K2099" t="str">
        <f>TEXT(SalesData[[#This Row],[Order Date]],"mmm")</f>
        <v>Sep</v>
      </c>
      <c r="L2099">
        <f>MONTH(SalesData[[#This Row],[Order Date]])</f>
        <v>9</v>
      </c>
      <c r="M2099">
        <f>SalesData[[#This Row],[Sales]]/SalesData[[#This Row],[Quantity]]</f>
        <v>13.84</v>
      </c>
      <c r="N2099" t="str">
        <f>IF(SalesData[[#This Row],[Profit]]&gt;0,"Profit","Loss")</f>
        <v>Profit</v>
      </c>
    </row>
    <row r="2100" spans="1:14" x14ac:dyDescent="0.3">
      <c r="A2100" t="s">
        <v>2499</v>
      </c>
      <c r="B2100" s="3">
        <v>42622</v>
      </c>
      <c r="C2100" t="s">
        <v>9</v>
      </c>
      <c r="D2100" t="s">
        <v>14</v>
      </c>
      <c r="E2100" t="s">
        <v>2500</v>
      </c>
      <c r="F2100" s="1">
        <v>15.007999999999999</v>
      </c>
      <c r="G2100">
        <v>4</v>
      </c>
      <c r="H2100" s="1">
        <v>-12.006399999999999</v>
      </c>
      <c r="I2100" s="4">
        <f>SalesData[[#This Row],[Profit]]/SalesData[[#This Row],[Sales]]</f>
        <v>-0.8</v>
      </c>
      <c r="J2100">
        <f>YEAR(SalesData[[#This Row],[Order Date]])</f>
        <v>2016</v>
      </c>
      <c r="K2100" t="str">
        <f>TEXT(SalesData[[#This Row],[Order Date]],"mmm")</f>
        <v>Sep</v>
      </c>
      <c r="L2100">
        <f>MONTH(SalesData[[#This Row],[Order Date]])</f>
        <v>9</v>
      </c>
      <c r="M2100">
        <f>SalesData[[#This Row],[Sales]]/SalesData[[#This Row],[Quantity]]</f>
        <v>3.7519999999999998</v>
      </c>
      <c r="N2100" t="str">
        <f>IF(SalesData[[#This Row],[Profit]]&gt;0,"Profit","Loss")</f>
        <v>Loss</v>
      </c>
    </row>
    <row r="2101" spans="1:14" x14ac:dyDescent="0.3">
      <c r="A2101" t="s">
        <v>2501</v>
      </c>
      <c r="B2101" s="3">
        <v>42623</v>
      </c>
      <c r="C2101" t="s">
        <v>17</v>
      </c>
      <c r="D2101" t="s">
        <v>10</v>
      </c>
      <c r="E2101" t="s">
        <v>2502</v>
      </c>
      <c r="F2101" s="1">
        <v>23.975999999999999</v>
      </c>
      <c r="G2101">
        <v>4</v>
      </c>
      <c r="H2101" s="1">
        <v>-15.5844</v>
      </c>
      <c r="I2101" s="4">
        <f>SalesData[[#This Row],[Profit]]/SalesData[[#This Row],[Sales]]</f>
        <v>-0.65</v>
      </c>
      <c r="J2101">
        <f>YEAR(SalesData[[#This Row],[Order Date]])</f>
        <v>2016</v>
      </c>
      <c r="K2101" t="str">
        <f>TEXT(SalesData[[#This Row],[Order Date]],"mmm")</f>
        <v>Sep</v>
      </c>
      <c r="L2101">
        <f>MONTH(SalesData[[#This Row],[Order Date]])</f>
        <v>9</v>
      </c>
      <c r="M2101">
        <f>SalesData[[#This Row],[Sales]]/SalesData[[#This Row],[Quantity]]</f>
        <v>5.9939999999999998</v>
      </c>
      <c r="N2101" t="str">
        <f>IF(SalesData[[#This Row],[Profit]]&gt;0,"Profit","Loss")</f>
        <v>Loss</v>
      </c>
    </row>
    <row r="2102" spans="1:14" x14ac:dyDescent="0.3">
      <c r="A2102" t="s">
        <v>2503</v>
      </c>
      <c r="B2102" s="3">
        <v>42623</v>
      </c>
      <c r="C2102" t="s">
        <v>17</v>
      </c>
      <c r="D2102" t="s">
        <v>21</v>
      </c>
      <c r="E2102" t="s">
        <v>138</v>
      </c>
      <c r="F2102" s="1">
        <v>19.135999999999999</v>
      </c>
      <c r="G2102">
        <v>4</v>
      </c>
      <c r="H2102" s="1">
        <v>5.98</v>
      </c>
      <c r="I2102" s="4">
        <f>SalesData[[#This Row],[Profit]]/SalesData[[#This Row],[Sales]]</f>
        <v>0.31250000000000006</v>
      </c>
      <c r="J2102">
        <f>YEAR(SalesData[[#This Row],[Order Date]])</f>
        <v>2016</v>
      </c>
      <c r="K2102" t="str">
        <f>TEXT(SalesData[[#This Row],[Order Date]],"mmm")</f>
        <v>Sep</v>
      </c>
      <c r="L2102">
        <f>MONTH(SalesData[[#This Row],[Order Date]])</f>
        <v>9</v>
      </c>
      <c r="M2102">
        <f>SalesData[[#This Row],[Sales]]/SalesData[[#This Row],[Quantity]]</f>
        <v>4.7839999999999998</v>
      </c>
      <c r="N2102" t="str">
        <f>IF(SalesData[[#This Row],[Profit]]&gt;0,"Profit","Loss")</f>
        <v>Profit</v>
      </c>
    </row>
    <row r="2103" spans="1:14" x14ac:dyDescent="0.3">
      <c r="A2103" t="s">
        <v>2503</v>
      </c>
      <c r="B2103" s="3">
        <v>42623</v>
      </c>
      <c r="C2103" t="s">
        <v>17</v>
      </c>
      <c r="D2103" t="s">
        <v>14</v>
      </c>
      <c r="E2103" t="s">
        <v>2504</v>
      </c>
      <c r="F2103" s="1">
        <v>332.83199999999999</v>
      </c>
      <c r="G2103">
        <v>4</v>
      </c>
      <c r="H2103" s="1">
        <v>-24.962399999999999</v>
      </c>
      <c r="I2103" s="4">
        <f>SalesData[[#This Row],[Profit]]/SalesData[[#This Row],[Sales]]</f>
        <v>-7.4999999999999997E-2</v>
      </c>
      <c r="J2103">
        <f>YEAR(SalesData[[#This Row],[Order Date]])</f>
        <v>2016</v>
      </c>
      <c r="K2103" t="str">
        <f>TEXT(SalesData[[#This Row],[Order Date]],"mmm")</f>
        <v>Sep</v>
      </c>
      <c r="L2103">
        <f>MONTH(SalesData[[#This Row],[Order Date]])</f>
        <v>9</v>
      </c>
      <c r="M2103">
        <f>SalesData[[#This Row],[Sales]]/SalesData[[#This Row],[Quantity]]</f>
        <v>83.207999999999998</v>
      </c>
      <c r="N2103" t="str">
        <f>IF(SalesData[[#This Row],[Profit]]&gt;0,"Profit","Loss")</f>
        <v>Loss</v>
      </c>
    </row>
    <row r="2104" spans="1:14" x14ac:dyDescent="0.3">
      <c r="A2104" t="s">
        <v>2505</v>
      </c>
      <c r="B2104" s="3">
        <v>42623</v>
      </c>
      <c r="C2104" t="s">
        <v>13</v>
      </c>
      <c r="D2104" t="s">
        <v>21</v>
      </c>
      <c r="E2104" t="s">
        <v>1399</v>
      </c>
      <c r="F2104" s="1">
        <v>1.4079999999999999</v>
      </c>
      <c r="G2104">
        <v>1</v>
      </c>
      <c r="H2104" s="1">
        <v>0.15840000000000001</v>
      </c>
      <c r="I2104" s="4">
        <f>SalesData[[#This Row],[Profit]]/SalesData[[#This Row],[Sales]]</f>
        <v>0.11250000000000002</v>
      </c>
      <c r="J2104">
        <f>YEAR(SalesData[[#This Row],[Order Date]])</f>
        <v>2016</v>
      </c>
      <c r="K2104" t="str">
        <f>TEXT(SalesData[[#This Row],[Order Date]],"mmm")</f>
        <v>Sep</v>
      </c>
      <c r="L2104">
        <f>MONTH(SalesData[[#This Row],[Order Date]])</f>
        <v>9</v>
      </c>
      <c r="M2104">
        <f>SalesData[[#This Row],[Sales]]/SalesData[[#This Row],[Quantity]]</f>
        <v>1.4079999999999999</v>
      </c>
      <c r="N2104" t="str">
        <f>IF(SalesData[[#This Row],[Profit]]&gt;0,"Profit","Loss")</f>
        <v>Profit</v>
      </c>
    </row>
    <row r="2105" spans="1:14" x14ac:dyDescent="0.3">
      <c r="A2105" t="s">
        <v>2505</v>
      </c>
      <c r="B2105" s="3">
        <v>42623</v>
      </c>
      <c r="C2105" t="s">
        <v>13</v>
      </c>
      <c r="D2105" t="s">
        <v>14</v>
      </c>
      <c r="E2105" t="s">
        <v>2405</v>
      </c>
      <c r="F2105" s="1">
        <v>169.56800000000001</v>
      </c>
      <c r="G2105">
        <v>2</v>
      </c>
      <c r="H2105" s="1">
        <v>0</v>
      </c>
      <c r="I2105" s="4">
        <f>SalesData[[#This Row],[Profit]]/SalesData[[#This Row],[Sales]]</f>
        <v>0</v>
      </c>
      <c r="J2105">
        <f>YEAR(SalesData[[#This Row],[Order Date]])</f>
        <v>2016</v>
      </c>
      <c r="K2105" t="str">
        <f>TEXT(SalesData[[#This Row],[Order Date]],"mmm")</f>
        <v>Sep</v>
      </c>
      <c r="L2105">
        <f>MONTH(SalesData[[#This Row],[Order Date]])</f>
        <v>9</v>
      </c>
      <c r="M2105">
        <f>SalesData[[#This Row],[Sales]]/SalesData[[#This Row],[Quantity]]</f>
        <v>84.784000000000006</v>
      </c>
      <c r="N2105" t="str">
        <f>IF(SalesData[[#This Row],[Profit]]&gt;0,"Profit","Loss")</f>
        <v>Loss</v>
      </c>
    </row>
    <row r="2106" spans="1:14" x14ac:dyDescent="0.3">
      <c r="A2106" t="s">
        <v>2506</v>
      </c>
      <c r="B2106" s="3">
        <v>42624</v>
      </c>
      <c r="C2106" t="s">
        <v>13</v>
      </c>
      <c r="D2106" t="s">
        <v>10</v>
      </c>
      <c r="E2106" t="s">
        <v>386</v>
      </c>
      <c r="F2106" s="1">
        <v>479.97</v>
      </c>
      <c r="G2106">
        <v>3</v>
      </c>
      <c r="H2106" s="1">
        <v>177.5889</v>
      </c>
      <c r="I2106" s="4">
        <f>SalesData[[#This Row],[Profit]]/SalesData[[#This Row],[Sales]]</f>
        <v>0.37</v>
      </c>
      <c r="J2106">
        <f>YEAR(SalesData[[#This Row],[Order Date]])</f>
        <v>2016</v>
      </c>
      <c r="K2106" t="str">
        <f>TEXT(SalesData[[#This Row],[Order Date]],"mmm")</f>
        <v>Sep</v>
      </c>
      <c r="L2106">
        <f>MONTH(SalesData[[#This Row],[Order Date]])</f>
        <v>9</v>
      </c>
      <c r="M2106">
        <f>SalesData[[#This Row],[Sales]]/SalesData[[#This Row],[Quantity]]</f>
        <v>159.99</v>
      </c>
      <c r="N2106" t="str">
        <f>IF(SalesData[[#This Row],[Profit]]&gt;0,"Profit","Loss")</f>
        <v>Profit</v>
      </c>
    </row>
    <row r="2107" spans="1:14" x14ac:dyDescent="0.3">
      <c r="A2107" t="s">
        <v>2507</v>
      </c>
      <c r="B2107" s="3">
        <v>42625</v>
      </c>
      <c r="C2107" t="s">
        <v>9</v>
      </c>
      <c r="D2107" t="s">
        <v>21</v>
      </c>
      <c r="E2107" t="s">
        <v>2508</v>
      </c>
      <c r="F2107" s="1">
        <v>19.46</v>
      </c>
      <c r="G2107">
        <v>7</v>
      </c>
      <c r="H2107" s="1">
        <v>5.0595999999999997</v>
      </c>
      <c r="I2107" s="4">
        <f>SalesData[[#This Row],[Profit]]/SalesData[[#This Row],[Sales]]</f>
        <v>0.25999999999999995</v>
      </c>
      <c r="J2107">
        <f>YEAR(SalesData[[#This Row],[Order Date]])</f>
        <v>2016</v>
      </c>
      <c r="K2107" t="str">
        <f>TEXT(SalesData[[#This Row],[Order Date]],"mmm")</f>
        <v>Sep</v>
      </c>
      <c r="L2107">
        <f>MONTH(SalesData[[#This Row],[Order Date]])</f>
        <v>9</v>
      </c>
      <c r="M2107">
        <f>SalesData[[#This Row],[Sales]]/SalesData[[#This Row],[Quantity]]</f>
        <v>2.7800000000000002</v>
      </c>
      <c r="N2107" t="str">
        <f>IF(SalesData[[#This Row],[Profit]]&gt;0,"Profit","Loss")</f>
        <v>Profit</v>
      </c>
    </row>
    <row r="2108" spans="1:14" x14ac:dyDescent="0.3">
      <c r="A2108" t="s">
        <v>2507</v>
      </c>
      <c r="B2108" s="3">
        <v>42625</v>
      </c>
      <c r="C2108" t="s">
        <v>9</v>
      </c>
      <c r="D2108" t="s">
        <v>21</v>
      </c>
      <c r="E2108" t="s">
        <v>1489</v>
      </c>
      <c r="F2108" s="1">
        <v>60.34</v>
      </c>
      <c r="G2108">
        <v>7</v>
      </c>
      <c r="H2108" s="1">
        <v>15.6884</v>
      </c>
      <c r="I2108" s="4">
        <f>SalesData[[#This Row],[Profit]]/SalesData[[#This Row],[Sales]]</f>
        <v>0.25999999999999995</v>
      </c>
      <c r="J2108">
        <f>YEAR(SalesData[[#This Row],[Order Date]])</f>
        <v>2016</v>
      </c>
      <c r="K2108" t="str">
        <f>TEXT(SalesData[[#This Row],[Order Date]],"mmm")</f>
        <v>Sep</v>
      </c>
      <c r="L2108">
        <f>MONTH(SalesData[[#This Row],[Order Date]])</f>
        <v>9</v>
      </c>
      <c r="M2108">
        <f>SalesData[[#This Row],[Sales]]/SalesData[[#This Row],[Quantity]]</f>
        <v>8.620000000000001</v>
      </c>
      <c r="N2108" t="str">
        <f>IF(SalesData[[#This Row],[Profit]]&gt;0,"Profit","Loss")</f>
        <v>Profit</v>
      </c>
    </row>
    <row r="2109" spans="1:14" x14ac:dyDescent="0.3">
      <c r="A2109" t="s">
        <v>2509</v>
      </c>
      <c r="B2109" s="3">
        <v>42625</v>
      </c>
      <c r="C2109" t="s">
        <v>17</v>
      </c>
      <c r="D2109" t="s">
        <v>21</v>
      </c>
      <c r="E2109" t="s">
        <v>2510</v>
      </c>
      <c r="F2109" s="1">
        <v>3.69</v>
      </c>
      <c r="G2109">
        <v>1</v>
      </c>
      <c r="H2109" s="1">
        <v>1.7343</v>
      </c>
      <c r="I2109" s="4">
        <f>SalesData[[#This Row],[Profit]]/SalesData[[#This Row],[Sales]]</f>
        <v>0.47</v>
      </c>
      <c r="J2109">
        <f>YEAR(SalesData[[#This Row],[Order Date]])</f>
        <v>2016</v>
      </c>
      <c r="K2109" t="str">
        <f>TEXT(SalesData[[#This Row],[Order Date]],"mmm")</f>
        <v>Sep</v>
      </c>
      <c r="L2109">
        <f>MONTH(SalesData[[#This Row],[Order Date]])</f>
        <v>9</v>
      </c>
      <c r="M2109">
        <f>SalesData[[#This Row],[Sales]]/SalesData[[#This Row],[Quantity]]</f>
        <v>3.69</v>
      </c>
      <c r="N2109" t="str">
        <f>IF(SalesData[[#This Row],[Profit]]&gt;0,"Profit","Loss")</f>
        <v>Profit</v>
      </c>
    </row>
    <row r="2110" spans="1:14" x14ac:dyDescent="0.3">
      <c r="A2110" t="s">
        <v>2509</v>
      </c>
      <c r="B2110" s="3">
        <v>42625</v>
      </c>
      <c r="C2110" t="s">
        <v>17</v>
      </c>
      <c r="D2110" t="s">
        <v>21</v>
      </c>
      <c r="E2110" t="s">
        <v>1890</v>
      </c>
      <c r="F2110" s="1">
        <v>122.12</v>
      </c>
      <c r="G2110">
        <v>4</v>
      </c>
      <c r="H2110" s="1">
        <v>56.175199999999997</v>
      </c>
      <c r="I2110" s="4">
        <f>SalesData[[#This Row],[Profit]]/SalesData[[#This Row],[Sales]]</f>
        <v>0.45999999999999996</v>
      </c>
      <c r="J2110">
        <f>YEAR(SalesData[[#This Row],[Order Date]])</f>
        <v>2016</v>
      </c>
      <c r="K2110" t="str">
        <f>TEXT(SalesData[[#This Row],[Order Date]],"mmm")</f>
        <v>Sep</v>
      </c>
      <c r="L2110">
        <f>MONTH(SalesData[[#This Row],[Order Date]])</f>
        <v>9</v>
      </c>
      <c r="M2110">
        <f>SalesData[[#This Row],[Sales]]/SalesData[[#This Row],[Quantity]]</f>
        <v>30.53</v>
      </c>
      <c r="N2110" t="str">
        <f>IF(SalesData[[#This Row],[Profit]]&gt;0,"Profit","Loss")</f>
        <v>Profit</v>
      </c>
    </row>
    <row r="2111" spans="1:14" x14ac:dyDescent="0.3">
      <c r="A2111" t="s">
        <v>2511</v>
      </c>
      <c r="B2111" s="3">
        <v>42625</v>
      </c>
      <c r="C2111" t="s">
        <v>9</v>
      </c>
      <c r="D2111" t="s">
        <v>21</v>
      </c>
      <c r="E2111" t="s">
        <v>1150</v>
      </c>
      <c r="F2111" s="1">
        <v>9.3919999999999995</v>
      </c>
      <c r="G2111">
        <v>2</v>
      </c>
      <c r="H2111" s="1">
        <v>3.2871999999999999</v>
      </c>
      <c r="I2111" s="4">
        <f>SalesData[[#This Row],[Profit]]/SalesData[[#This Row],[Sales]]</f>
        <v>0.35000000000000003</v>
      </c>
      <c r="J2111">
        <f>YEAR(SalesData[[#This Row],[Order Date]])</f>
        <v>2016</v>
      </c>
      <c r="K2111" t="str">
        <f>TEXT(SalesData[[#This Row],[Order Date]],"mmm")</f>
        <v>Sep</v>
      </c>
      <c r="L2111">
        <f>MONTH(SalesData[[#This Row],[Order Date]])</f>
        <v>9</v>
      </c>
      <c r="M2111">
        <f>SalesData[[#This Row],[Sales]]/SalesData[[#This Row],[Quantity]]</f>
        <v>4.6959999999999997</v>
      </c>
      <c r="N2111" t="str">
        <f>IF(SalesData[[#This Row],[Profit]]&gt;0,"Profit","Loss")</f>
        <v>Profit</v>
      </c>
    </row>
    <row r="2112" spans="1:14" x14ac:dyDescent="0.3">
      <c r="A2112" t="s">
        <v>2511</v>
      </c>
      <c r="B2112" s="3">
        <v>42625</v>
      </c>
      <c r="C2112" t="s">
        <v>9</v>
      </c>
      <c r="D2112" t="s">
        <v>21</v>
      </c>
      <c r="E2112" t="s">
        <v>107</v>
      </c>
      <c r="F2112" s="1">
        <v>9.3279999999999994</v>
      </c>
      <c r="G2112">
        <v>1</v>
      </c>
      <c r="H2112" s="1">
        <v>0.81620000000000004</v>
      </c>
      <c r="I2112" s="4">
        <f>SalesData[[#This Row],[Profit]]/SalesData[[#This Row],[Sales]]</f>
        <v>8.7500000000000008E-2</v>
      </c>
      <c r="J2112">
        <f>YEAR(SalesData[[#This Row],[Order Date]])</f>
        <v>2016</v>
      </c>
      <c r="K2112" t="str">
        <f>TEXT(SalesData[[#This Row],[Order Date]],"mmm")</f>
        <v>Sep</v>
      </c>
      <c r="L2112">
        <f>MONTH(SalesData[[#This Row],[Order Date]])</f>
        <v>9</v>
      </c>
      <c r="M2112">
        <f>SalesData[[#This Row],[Sales]]/SalesData[[#This Row],[Quantity]]</f>
        <v>9.3279999999999994</v>
      </c>
      <c r="N2112" t="str">
        <f>IF(SalesData[[#This Row],[Profit]]&gt;0,"Profit","Loss")</f>
        <v>Profit</v>
      </c>
    </row>
    <row r="2113" spans="1:14" x14ac:dyDescent="0.3">
      <c r="A2113" t="s">
        <v>2512</v>
      </c>
      <c r="B2113" s="3">
        <v>42625</v>
      </c>
      <c r="C2113" t="s">
        <v>46</v>
      </c>
      <c r="D2113" t="s">
        <v>14</v>
      </c>
      <c r="E2113" t="s">
        <v>2032</v>
      </c>
      <c r="F2113" s="1">
        <v>79.974000000000004</v>
      </c>
      <c r="G2113">
        <v>3</v>
      </c>
      <c r="H2113" s="1">
        <v>-29.323799999999999</v>
      </c>
      <c r="I2113" s="4">
        <f>SalesData[[#This Row],[Profit]]/SalesData[[#This Row],[Sales]]</f>
        <v>-0.36666666666666664</v>
      </c>
      <c r="J2113">
        <f>YEAR(SalesData[[#This Row],[Order Date]])</f>
        <v>2016</v>
      </c>
      <c r="K2113" t="str">
        <f>TEXT(SalesData[[#This Row],[Order Date]],"mmm")</f>
        <v>Sep</v>
      </c>
      <c r="L2113">
        <f>MONTH(SalesData[[#This Row],[Order Date]])</f>
        <v>9</v>
      </c>
      <c r="M2113">
        <f>SalesData[[#This Row],[Sales]]/SalesData[[#This Row],[Quantity]]</f>
        <v>26.658000000000001</v>
      </c>
      <c r="N2113" t="str">
        <f>IF(SalesData[[#This Row],[Profit]]&gt;0,"Profit","Loss")</f>
        <v>Loss</v>
      </c>
    </row>
    <row r="2114" spans="1:14" x14ac:dyDescent="0.3">
      <c r="A2114" t="s">
        <v>2512</v>
      </c>
      <c r="B2114" s="3">
        <v>42625</v>
      </c>
      <c r="C2114" t="s">
        <v>46</v>
      </c>
      <c r="D2114" t="s">
        <v>21</v>
      </c>
      <c r="E2114" t="s">
        <v>282</v>
      </c>
      <c r="F2114" s="1">
        <v>2.9460000000000002</v>
      </c>
      <c r="G2114">
        <v>2</v>
      </c>
      <c r="H2114" s="1">
        <v>-2.0621999999999998</v>
      </c>
      <c r="I2114" s="4">
        <f>SalesData[[#This Row],[Profit]]/SalesData[[#This Row],[Sales]]</f>
        <v>-0.69999999999999984</v>
      </c>
      <c r="J2114">
        <f>YEAR(SalesData[[#This Row],[Order Date]])</f>
        <v>2016</v>
      </c>
      <c r="K2114" t="str">
        <f>TEXT(SalesData[[#This Row],[Order Date]],"mmm")</f>
        <v>Sep</v>
      </c>
      <c r="L2114">
        <f>MONTH(SalesData[[#This Row],[Order Date]])</f>
        <v>9</v>
      </c>
      <c r="M2114">
        <f>SalesData[[#This Row],[Sales]]/SalesData[[#This Row],[Quantity]]</f>
        <v>1.4730000000000001</v>
      </c>
      <c r="N2114" t="str">
        <f>IF(SalesData[[#This Row],[Profit]]&gt;0,"Profit","Loss")</f>
        <v>Loss</v>
      </c>
    </row>
    <row r="2115" spans="1:14" x14ac:dyDescent="0.3">
      <c r="A2115" t="s">
        <v>2513</v>
      </c>
      <c r="B2115" s="3">
        <v>42625</v>
      </c>
      <c r="C2115" t="s">
        <v>9</v>
      </c>
      <c r="D2115" t="s">
        <v>10</v>
      </c>
      <c r="E2115" t="s">
        <v>828</v>
      </c>
      <c r="F2115" s="1">
        <v>10.9</v>
      </c>
      <c r="G2115">
        <v>1</v>
      </c>
      <c r="H2115" s="1">
        <v>3.052</v>
      </c>
      <c r="I2115" s="4">
        <f>SalesData[[#This Row],[Profit]]/SalesData[[#This Row],[Sales]]</f>
        <v>0.27999999999999997</v>
      </c>
      <c r="J2115">
        <f>YEAR(SalesData[[#This Row],[Order Date]])</f>
        <v>2016</v>
      </c>
      <c r="K2115" t="str">
        <f>TEXT(SalesData[[#This Row],[Order Date]],"mmm")</f>
        <v>Sep</v>
      </c>
      <c r="L2115">
        <f>MONTH(SalesData[[#This Row],[Order Date]])</f>
        <v>9</v>
      </c>
      <c r="M2115">
        <f>SalesData[[#This Row],[Sales]]/SalesData[[#This Row],[Quantity]]</f>
        <v>10.9</v>
      </c>
      <c r="N2115" t="str">
        <f>IF(SalesData[[#This Row],[Profit]]&gt;0,"Profit","Loss")</f>
        <v>Profit</v>
      </c>
    </row>
    <row r="2116" spans="1:14" x14ac:dyDescent="0.3">
      <c r="A2116" t="s">
        <v>2513</v>
      </c>
      <c r="B2116" s="3">
        <v>42625</v>
      </c>
      <c r="C2116" t="s">
        <v>9</v>
      </c>
      <c r="D2116" t="s">
        <v>10</v>
      </c>
      <c r="E2116" t="s">
        <v>1246</v>
      </c>
      <c r="F2116" s="1">
        <v>59.98</v>
      </c>
      <c r="G2116">
        <v>2</v>
      </c>
      <c r="H2116" s="1">
        <v>25.191600000000001</v>
      </c>
      <c r="I2116" s="4">
        <f>SalesData[[#This Row],[Profit]]/SalesData[[#This Row],[Sales]]</f>
        <v>0.42000000000000004</v>
      </c>
      <c r="J2116">
        <f>YEAR(SalesData[[#This Row],[Order Date]])</f>
        <v>2016</v>
      </c>
      <c r="K2116" t="str">
        <f>TEXT(SalesData[[#This Row],[Order Date]],"mmm")</f>
        <v>Sep</v>
      </c>
      <c r="L2116">
        <f>MONTH(SalesData[[#This Row],[Order Date]])</f>
        <v>9</v>
      </c>
      <c r="M2116">
        <f>SalesData[[#This Row],[Sales]]/SalesData[[#This Row],[Quantity]]</f>
        <v>29.99</v>
      </c>
      <c r="N2116" t="str">
        <f>IF(SalesData[[#This Row],[Profit]]&gt;0,"Profit","Loss")</f>
        <v>Profit</v>
      </c>
    </row>
    <row r="2117" spans="1:14" x14ac:dyDescent="0.3">
      <c r="A2117" t="s">
        <v>2513</v>
      </c>
      <c r="B2117" s="3">
        <v>42625</v>
      </c>
      <c r="C2117" t="s">
        <v>9</v>
      </c>
      <c r="D2117" t="s">
        <v>21</v>
      </c>
      <c r="E2117" t="s">
        <v>1228</v>
      </c>
      <c r="F2117" s="1">
        <v>61.929000000000002</v>
      </c>
      <c r="G2117">
        <v>1</v>
      </c>
      <c r="H2117" s="1">
        <v>23.395399999999999</v>
      </c>
      <c r="I2117" s="4">
        <f>SalesData[[#This Row],[Profit]]/SalesData[[#This Row],[Sales]]</f>
        <v>0.37777777777777777</v>
      </c>
      <c r="J2117">
        <f>YEAR(SalesData[[#This Row],[Order Date]])</f>
        <v>2016</v>
      </c>
      <c r="K2117" t="str">
        <f>TEXT(SalesData[[#This Row],[Order Date]],"mmm")</f>
        <v>Sep</v>
      </c>
      <c r="L2117">
        <f>MONTH(SalesData[[#This Row],[Order Date]])</f>
        <v>9</v>
      </c>
      <c r="M2117">
        <f>SalesData[[#This Row],[Sales]]/SalesData[[#This Row],[Quantity]]</f>
        <v>61.929000000000002</v>
      </c>
      <c r="N2117" t="str">
        <f>IF(SalesData[[#This Row],[Profit]]&gt;0,"Profit","Loss")</f>
        <v>Profit</v>
      </c>
    </row>
    <row r="2118" spans="1:14" x14ac:dyDescent="0.3">
      <c r="A2118" t="s">
        <v>2514</v>
      </c>
      <c r="B2118" s="3">
        <v>42625</v>
      </c>
      <c r="C2118" t="s">
        <v>46</v>
      </c>
      <c r="D2118" t="s">
        <v>10</v>
      </c>
      <c r="E2118" t="s">
        <v>2515</v>
      </c>
      <c r="F2118" s="1">
        <v>40.68</v>
      </c>
      <c r="G2118">
        <v>3</v>
      </c>
      <c r="H2118" s="1">
        <v>-9.1530000000000005</v>
      </c>
      <c r="I2118" s="4">
        <f>SalesData[[#This Row],[Profit]]/SalesData[[#This Row],[Sales]]</f>
        <v>-0.22500000000000001</v>
      </c>
      <c r="J2118">
        <f>YEAR(SalesData[[#This Row],[Order Date]])</f>
        <v>2016</v>
      </c>
      <c r="K2118" t="str">
        <f>TEXT(SalesData[[#This Row],[Order Date]],"mmm")</f>
        <v>Sep</v>
      </c>
      <c r="L2118">
        <f>MONTH(SalesData[[#This Row],[Order Date]])</f>
        <v>9</v>
      </c>
      <c r="M2118">
        <f>SalesData[[#This Row],[Sales]]/SalesData[[#This Row],[Quantity]]</f>
        <v>13.56</v>
      </c>
      <c r="N2118" t="str">
        <f>IF(SalesData[[#This Row],[Profit]]&gt;0,"Profit","Loss")</f>
        <v>Loss</v>
      </c>
    </row>
    <row r="2119" spans="1:14" x14ac:dyDescent="0.3">
      <c r="A2119" t="s">
        <v>2516</v>
      </c>
      <c r="B2119" s="3">
        <v>42625</v>
      </c>
      <c r="C2119" t="s">
        <v>9</v>
      </c>
      <c r="D2119" t="s">
        <v>21</v>
      </c>
      <c r="E2119" t="s">
        <v>518</v>
      </c>
      <c r="F2119" s="1">
        <v>20.568000000000001</v>
      </c>
      <c r="G2119">
        <v>3</v>
      </c>
      <c r="H2119" s="1">
        <v>1.5426</v>
      </c>
      <c r="I2119" s="4">
        <f>SalesData[[#This Row],[Profit]]/SalesData[[#This Row],[Sales]]</f>
        <v>7.4999999999999997E-2</v>
      </c>
      <c r="J2119">
        <f>YEAR(SalesData[[#This Row],[Order Date]])</f>
        <v>2016</v>
      </c>
      <c r="K2119" t="str">
        <f>TEXT(SalesData[[#This Row],[Order Date]],"mmm")</f>
        <v>Sep</v>
      </c>
      <c r="L2119">
        <f>MONTH(SalesData[[#This Row],[Order Date]])</f>
        <v>9</v>
      </c>
      <c r="M2119">
        <f>SalesData[[#This Row],[Sales]]/SalesData[[#This Row],[Quantity]]</f>
        <v>6.8560000000000008</v>
      </c>
      <c r="N2119" t="str">
        <f>IF(SalesData[[#This Row],[Profit]]&gt;0,"Profit","Loss")</f>
        <v>Profit</v>
      </c>
    </row>
    <row r="2120" spans="1:14" x14ac:dyDescent="0.3">
      <c r="A2120" t="s">
        <v>2516</v>
      </c>
      <c r="B2120" s="3">
        <v>42625</v>
      </c>
      <c r="C2120" t="s">
        <v>9</v>
      </c>
      <c r="D2120" t="s">
        <v>21</v>
      </c>
      <c r="E2120" t="s">
        <v>142</v>
      </c>
      <c r="F2120" s="1">
        <v>4.3559999999999999</v>
      </c>
      <c r="G2120">
        <v>2</v>
      </c>
      <c r="H2120" s="1">
        <v>-11.761200000000001</v>
      </c>
      <c r="I2120" s="4">
        <f>SalesData[[#This Row],[Profit]]/SalesData[[#This Row],[Sales]]</f>
        <v>-2.7</v>
      </c>
      <c r="J2120">
        <f>YEAR(SalesData[[#This Row],[Order Date]])</f>
        <v>2016</v>
      </c>
      <c r="K2120" t="str">
        <f>TEXT(SalesData[[#This Row],[Order Date]],"mmm")</f>
        <v>Sep</v>
      </c>
      <c r="L2120">
        <f>MONTH(SalesData[[#This Row],[Order Date]])</f>
        <v>9</v>
      </c>
      <c r="M2120">
        <f>SalesData[[#This Row],[Sales]]/SalesData[[#This Row],[Quantity]]</f>
        <v>2.1779999999999999</v>
      </c>
      <c r="N2120" t="str">
        <f>IF(SalesData[[#This Row],[Profit]]&gt;0,"Profit","Loss")</f>
        <v>Loss</v>
      </c>
    </row>
    <row r="2121" spans="1:14" x14ac:dyDescent="0.3">
      <c r="A2121" t="s">
        <v>2516</v>
      </c>
      <c r="B2121" s="3">
        <v>42625</v>
      </c>
      <c r="C2121" t="s">
        <v>9</v>
      </c>
      <c r="D2121" t="s">
        <v>10</v>
      </c>
      <c r="E2121" t="s">
        <v>214</v>
      </c>
      <c r="F2121" s="1">
        <v>19.04</v>
      </c>
      <c r="G2121">
        <v>4</v>
      </c>
      <c r="H2121" s="1">
        <v>-1.4279999999999999</v>
      </c>
      <c r="I2121" s="4">
        <f>SalesData[[#This Row],[Profit]]/SalesData[[#This Row],[Sales]]</f>
        <v>-7.4999999999999997E-2</v>
      </c>
      <c r="J2121">
        <f>YEAR(SalesData[[#This Row],[Order Date]])</f>
        <v>2016</v>
      </c>
      <c r="K2121" t="str">
        <f>TEXT(SalesData[[#This Row],[Order Date]],"mmm")</f>
        <v>Sep</v>
      </c>
      <c r="L2121">
        <f>MONTH(SalesData[[#This Row],[Order Date]])</f>
        <v>9</v>
      </c>
      <c r="M2121">
        <f>SalesData[[#This Row],[Sales]]/SalesData[[#This Row],[Quantity]]</f>
        <v>4.76</v>
      </c>
      <c r="N2121" t="str">
        <f>IF(SalesData[[#This Row],[Profit]]&gt;0,"Profit","Loss")</f>
        <v>Loss</v>
      </c>
    </row>
    <row r="2122" spans="1:14" x14ac:dyDescent="0.3">
      <c r="A2122" t="s">
        <v>2517</v>
      </c>
      <c r="B2122" s="3">
        <v>42625</v>
      </c>
      <c r="C2122" t="s">
        <v>13</v>
      </c>
      <c r="D2122" t="s">
        <v>21</v>
      </c>
      <c r="E2122" t="s">
        <v>1629</v>
      </c>
      <c r="F2122" s="1">
        <v>273.92</v>
      </c>
      <c r="G2122">
        <v>8</v>
      </c>
      <c r="H2122" s="1">
        <v>99.296000000000006</v>
      </c>
      <c r="I2122" s="4">
        <f>SalesData[[#This Row],[Profit]]/SalesData[[#This Row],[Sales]]</f>
        <v>0.36249999999999999</v>
      </c>
      <c r="J2122">
        <f>YEAR(SalesData[[#This Row],[Order Date]])</f>
        <v>2016</v>
      </c>
      <c r="K2122" t="str">
        <f>TEXT(SalesData[[#This Row],[Order Date]],"mmm")</f>
        <v>Sep</v>
      </c>
      <c r="L2122">
        <f>MONTH(SalesData[[#This Row],[Order Date]])</f>
        <v>9</v>
      </c>
      <c r="M2122">
        <f>SalesData[[#This Row],[Sales]]/SalesData[[#This Row],[Quantity]]</f>
        <v>34.24</v>
      </c>
      <c r="N2122" t="str">
        <f>IF(SalesData[[#This Row],[Profit]]&gt;0,"Profit","Loss")</f>
        <v>Profit</v>
      </c>
    </row>
    <row r="2123" spans="1:14" x14ac:dyDescent="0.3">
      <c r="A2123" t="s">
        <v>2518</v>
      </c>
      <c r="B2123" s="3">
        <v>42625</v>
      </c>
      <c r="C2123" t="s">
        <v>46</v>
      </c>
      <c r="D2123" t="s">
        <v>14</v>
      </c>
      <c r="E2123" t="s">
        <v>1101</v>
      </c>
      <c r="F2123" s="1">
        <v>1056.8599999999999</v>
      </c>
      <c r="G2123">
        <v>7</v>
      </c>
      <c r="H2123" s="1">
        <v>158.529</v>
      </c>
      <c r="I2123" s="4">
        <f>SalesData[[#This Row],[Profit]]/SalesData[[#This Row],[Sales]]</f>
        <v>0.15000000000000002</v>
      </c>
      <c r="J2123">
        <f>YEAR(SalesData[[#This Row],[Order Date]])</f>
        <v>2016</v>
      </c>
      <c r="K2123" t="str">
        <f>TEXT(SalesData[[#This Row],[Order Date]],"mmm")</f>
        <v>Sep</v>
      </c>
      <c r="L2123">
        <f>MONTH(SalesData[[#This Row],[Order Date]])</f>
        <v>9</v>
      </c>
      <c r="M2123">
        <f>SalesData[[#This Row],[Sales]]/SalesData[[#This Row],[Quantity]]</f>
        <v>150.97999999999999</v>
      </c>
      <c r="N2123" t="str">
        <f>IF(SalesData[[#This Row],[Profit]]&gt;0,"Profit","Loss")</f>
        <v>Profit</v>
      </c>
    </row>
    <row r="2124" spans="1:14" x14ac:dyDescent="0.3">
      <c r="A2124" t="s">
        <v>2519</v>
      </c>
      <c r="B2124" s="3">
        <v>42644</v>
      </c>
      <c r="C2124" t="s">
        <v>13</v>
      </c>
      <c r="D2124" t="s">
        <v>14</v>
      </c>
      <c r="E2124" t="s">
        <v>1149</v>
      </c>
      <c r="F2124" s="1">
        <v>79.92</v>
      </c>
      <c r="G2124">
        <v>4</v>
      </c>
      <c r="H2124" s="1">
        <v>34.365600000000001</v>
      </c>
      <c r="I2124" s="4">
        <f>SalesData[[#This Row],[Profit]]/SalesData[[#This Row],[Sales]]</f>
        <v>0.43</v>
      </c>
      <c r="J2124">
        <f>YEAR(SalesData[[#This Row],[Order Date]])</f>
        <v>2016</v>
      </c>
      <c r="K2124" t="str">
        <f>TEXT(SalesData[[#This Row],[Order Date]],"mmm")</f>
        <v>Oct</v>
      </c>
      <c r="L2124">
        <f>MONTH(SalesData[[#This Row],[Order Date]])</f>
        <v>10</v>
      </c>
      <c r="M2124">
        <f>SalesData[[#This Row],[Sales]]/SalesData[[#This Row],[Quantity]]</f>
        <v>19.98</v>
      </c>
      <c r="N2124" t="str">
        <f>IF(SalesData[[#This Row],[Profit]]&gt;0,"Profit","Loss")</f>
        <v>Profit</v>
      </c>
    </row>
    <row r="2125" spans="1:14" x14ac:dyDescent="0.3">
      <c r="A2125" t="s">
        <v>2519</v>
      </c>
      <c r="B2125" s="3">
        <v>42644</v>
      </c>
      <c r="C2125" t="s">
        <v>13</v>
      </c>
      <c r="D2125" t="s">
        <v>10</v>
      </c>
      <c r="E2125" t="s">
        <v>2520</v>
      </c>
      <c r="F2125" s="1">
        <v>69.98</v>
      </c>
      <c r="G2125">
        <v>2</v>
      </c>
      <c r="H2125" s="1">
        <v>13.296200000000001</v>
      </c>
      <c r="I2125" s="4">
        <f>SalesData[[#This Row],[Profit]]/SalesData[[#This Row],[Sales]]</f>
        <v>0.19</v>
      </c>
      <c r="J2125">
        <f>YEAR(SalesData[[#This Row],[Order Date]])</f>
        <v>2016</v>
      </c>
      <c r="K2125" t="str">
        <f>TEXT(SalesData[[#This Row],[Order Date]],"mmm")</f>
        <v>Oct</v>
      </c>
      <c r="L2125">
        <f>MONTH(SalesData[[#This Row],[Order Date]])</f>
        <v>10</v>
      </c>
      <c r="M2125">
        <f>SalesData[[#This Row],[Sales]]/SalesData[[#This Row],[Quantity]]</f>
        <v>34.99</v>
      </c>
      <c r="N2125" t="str">
        <f>IF(SalesData[[#This Row],[Profit]]&gt;0,"Profit","Loss")</f>
        <v>Profit</v>
      </c>
    </row>
    <row r="2126" spans="1:14" x14ac:dyDescent="0.3">
      <c r="A2126" t="s">
        <v>2521</v>
      </c>
      <c r="B2126" s="3">
        <v>42644</v>
      </c>
      <c r="C2126" t="s">
        <v>13</v>
      </c>
      <c r="D2126" t="s">
        <v>14</v>
      </c>
      <c r="E2126" t="s">
        <v>875</v>
      </c>
      <c r="F2126" s="1">
        <v>24.85</v>
      </c>
      <c r="G2126">
        <v>5</v>
      </c>
      <c r="H2126" s="1">
        <v>7.7035</v>
      </c>
      <c r="I2126" s="4">
        <f>SalesData[[#This Row],[Profit]]/SalesData[[#This Row],[Sales]]</f>
        <v>0.31</v>
      </c>
      <c r="J2126">
        <f>YEAR(SalesData[[#This Row],[Order Date]])</f>
        <v>2016</v>
      </c>
      <c r="K2126" t="str">
        <f>TEXT(SalesData[[#This Row],[Order Date]],"mmm")</f>
        <v>Oct</v>
      </c>
      <c r="L2126">
        <f>MONTH(SalesData[[#This Row],[Order Date]])</f>
        <v>10</v>
      </c>
      <c r="M2126">
        <f>SalesData[[#This Row],[Sales]]/SalesData[[#This Row],[Quantity]]</f>
        <v>4.9700000000000006</v>
      </c>
      <c r="N2126" t="str">
        <f>IF(SalesData[[#This Row],[Profit]]&gt;0,"Profit","Loss")</f>
        <v>Profit</v>
      </c>
    </row>
    <row r="2127" spans="1:14" x14ac:dyDescent="0.3">
      <c r="A2127" t="s">
        <v>2522</v>
      </c>
      <c r="B2127" s="3">
        <v>42646</v>
      </c>
      <c r="C2127" t="s">
        <v>17</v>
      </c>
      <c r="D2127" t="s">
        <v>14</v>
      </c>
      <c r="E2127" t="s">
        <v>198</v>
      </c>
      <c r="F2127" s="1">
        <v>176.78399999999999</v>
      </c>
      <c r="G2127">
        <v>1</v>
      </c>
      <c r="H2127" s="1">
        <v>-22.097999999999999</v>
      </c>
      <c r="I2127" s="4">
        <f>SalesData[[#This Row],[Profit]]/SalesData[[#This Row],[Sales]]</f>
        <v>-0.125</v>
      </c>
      <c r="J2127">
        <f>YEAR(SalesData[[#This Row],[Order Date]])</f>
        <v>2016</v>
      </c>
      <c r="K2127" t="str">
        <f>TEXT(SalesData[[#This Row],[Order Date]],"mmm")</f>
        <v>Oct</v>
      </c>
      <c r="L2127">
        <f>MONTH(SalesData[[#This Row],[Order Date]])</f>
        <v>10</v>
      </c>
      <c r="M2127">
        <f>SalesData[[#This Row],[Sales]]/SalesData[[#This Row],[Quantity]]</f>
        <v>176.78399999999999</v>
      </c>
      <c r="N2127" t="str">
        <f>IF(SalesData[[#This Row],[Profit]]&gt;0,"Profit","Loss")</f>
        <v>Loss</v>
      </c>
    </row>
    <row r="2128" spans="1:14" x14ac:dyDescent="0.3">
      <c r="A2128" t="s">
        <v>2523</v>
      </c>
      <c r="B2128" s="3">
        <v>42646</v>
      </c>
      <c r="C2128" t="s">
        <v>17</v>
      </c>
      <c r="D2128" t="s">
        <v>10</v>
      </c>
      <c r="E2128" t="s">
        <v>453</v>
      </c>
      <c r="F2128" s="1">
        <v>39.991999999999997</v>
      </c>
      <c r="G2128">
        <v>1</v>
      </c>
      <c r="H2128" s="1">
        <v>7.4984999999999999</v>
      </c>
      <c r="I2128" s="4">
        <f>SalesData[[#This Row],[Profit]]/SalesData[[#This Row],[Sales]]</f>
        <v>0.1875</v>
      </c>
      <c r="J2128">
        <f>YEAR(SalesData[[#This Row],[Order Date]])</f>
        <v>2016</v>
      </c>
      <c r="K2128" t="str">
        <f>TEXT(SalesData[[#This Row],[Order Date]],"mmm")</f>
        <v>Oct</v>
      </c>
      <c r="L2128">
        <f>MONTH(SalesData[[#This Row],[Order Date]])</f>
        <v>10</v>
      </c>
      <c r="M2128">
        <f>SalesData[[#This Row],[Sales]]/SalesData[[#This Row],[Quantity]]</f>
        <v>39.991999999999997</v>
      </c>
      <c r="N2128" t="str">
        <f>IF(SalesData[[#This Row],[Profit]]&gt;0,"Profit","Loss")</f>
        <v>Profit</v>
      </c>
    </row>
    <row r="2129" spans="1:14" x14ac:dyDescent="0.3">
      <c r="A2129" t="s">
        <v>2524</v>
      </c>
      <c r="B2129" s="3">
        <v>42646</v>
      </c>
      <c r="C2129" t="s">
        <v>13</v>
      </c>
      <c r="D2129" t="s">
        <v>21</v>
      </c>
      <c r="E2129" t="s">
        <v>2525</v>
      </c>
      <c r="F2129" s="1">
        <v>14.9</v>
      </c>
      <c r="G2129">
        <v>5</v>
      </c>
      <c r="H2129" s="1">
        <v>7.1520000000000001</v>
      </c>
      <c r="I2129" s="4">
        <f>SalesData[[#This Row],[Profit]]/SalesData[[#This Row],[Sales]]</f>
        <v>0.48</v>
      </c>
      <c r="J2129">
        <f>YEAR(SalesData[[#This Row],[Order Date]])</f>
        <v>2016</v>
      </c>
      <c r="K2129" t="str">
        <f>TEXT(SalesData[[#This Row],[Order Date]],"mmm")</f>
        <v>Oct</v>
      </c>
      <c r="L2129">
        <f>MONTH(SalesData[[#This Row],[Order Date]])</f>
        <v>10</v>
      </c>
      <c r="M2129">
        <f>SalesData[[#This Row],[Sales]]/SalesData[[#This Row],[Quantity]]</f>
        <v>2.98</v>
      </c>
      <c r="N2129" t="str">
        <f>IF(SalesData[[#This Row],[Profit]]&gt;0,"Profit","Loss")</f>
        <v>Profit</v>
      </c>
    </row>
    <row r="2130" spans="1:14" x14ac:dyDescent="0.3">
      <c r="A2130" t="s">
        <v>2524</v>
      </c>
      <c r="B2130" s="3">
        <v>42646</v>
      </c>
      <c r="C2130" t="s">
        <v>13</v>
      </c>
      <c r="D2130" t="s">
        <v>10</v>
      </c>
      <c r="E2130" t="s">
        <v>1896</v>
      </c>
      <c r="F2130" s="1">
        <v>4158.9120000000003</v>
      </c>
      <c r="G2130">
        <v>8</v>
      </c>
      <c r="H2130" s="1">
        <v>363.90480000000002</v>
      </c>
      <c r="I2130" s="4">
        <f>SalesData[[#This Row],[Profit]]/SalesData[[#This Row],[Sales]]</f>
        <v>8.7499999999999994E-2</v>
      </c>
      <c r="J2130">
        <f>YEAR(SalesData[[#This Row],[Order Date]])</f>
        <v>2016</v>
      </c>
      <c r="K2130" t="str">
        <f>TEXT(SalesData[[#This Row],[Order Date]],"mmm")</f>
        <v>Oct</v>
      </c>
      <c r="L2130">
        <f>MONTH(SalesData[[#This Row],[Order Date]])</f>
        <v>10</v>
      </c>
      <c r="M2130">
        <f>SalesData[[#This Row],[Sales]]/SalesData[[#This Row],[Quantity]]</f>
        <v>519.86400000000003</v>
      </c>
      <c r="N2130" t="str">
        <f>IF(SalesData[[#This Row],[Profit]]&gt;0,"Profit","Loss")</f>
        <v>Profit</v>
      </c>
    </row>
    <row r="2131" spans="1:14" x14ac:dyDescent="0.3">
      <c r="A2131" t="s">
        <v>2526</v>
      </c>
      <c r="B2131" s="3">
        <v>42646</v>
      </c>
      <c r="C2131" t="s">
        <v>13</v>
      </c>
      <c r="D2131" t="s">
        <v>10</v>
      </c>
      <c r="E2131" t="s">
        <v>179</v>
      </c>
      <c r="F2131" s="1">
        <v>26.85</v>
      </c>
      <c r="G2131">
        <v>3</v>
      </c>
      <c r="H2131" s="1">
        <v>5.1014999999999997</v>
      </c>
      <c r="I2131" s="4">
        <f>SalesData[[#This Row],[Profit]]/SalesData[[#This Row],[Sales]]</f>
        <v>0.18999999999999997</v>
      </c>
      <c r="J2131">
        <f>YEAR(SalesData[[#This Row],[Order Date]])</f>
        <v>2016</v>
      </c>
      <c r="K2131" t="str">
        <f>TEXT(SalesData[[#This Row],[Order Date]],"mmm")</f>
        <v>Oct</v>
      </c>
      <c r="L2131">
        <f>MONTH(SalesData[[#This Row],[Order Date]])</f>
        <v>10</v>
      </c>
      <c r="M2131">
        <f>SalesData[[#This Row],[Sales]]/SalesData[[#This Row],[Quantity]]</f>
        <v>8.9500000000000011</v>
      </c>
      <c r="N2131" t="str">
        <f>IF(SalesData[[#This Row],[Profit]]&gt;0,"Profit","Loss")</f>
        <v>Profit</v>
      </c>
    </row>
    <row r="2132" spans="1:14" x14ac:dyDescent="0.3">
      <c r="A2132" t="s">
        <v>2526</v>
      </c>
      <c r="B2132" s="3">
        <v>42646</v>
      </c>
      <c r="C2132" t="s">
        <v>13</v>
      </c>
      <c r="D2132" t="s">
        <v>10</v>
      </c>
      <c r="E2132" t="s">
        <v>2527</v>
      </c>
      <c r="F2132" s="1">
        <v>3357.6</v>
      </c>
      <c r="G2132">
        <v>3</v>
      </c>
      <c r="H2132" s="1">
        <v>377.73</v>
      </c>
      <c r="I2132" s="4">
        <f>SalesData[[#This Row],[Profit]]/SalesData[[#This Row],[Sales]]</f>
        <v>0.1125</v>
      </c>
      <c r="J2132">
        <f>YEAR(SalesData[[#This Row],[Order Date]])</f>
        <v>2016</v>
      </c>
      <c r="K2132" t="str">
        <f>TEXT(SalesData[[#This Row],[Order Date]],"mmm")</f>
        <v>Oct</v>
      </c>
      <c r="L2132">
        <f>MONTH(SalesData[[#This Row],[Order Date]])</f>
        <v>10</v>
      </c>
      <c r="M2132">
        <f>SalesData[[#This Row],[Sales]]/SalesData[[#This Row],[Quantity]]</f>
        <v>1119.2</v>
      </c>
      <c r="N2132" t="str">
        <f>IF(SalesData[[#This Row],[Profit]]&gt;0,"Profit","Loss")</f>
        <v>Profit</v>
      </c>
    </row>
    <row r="2133" spans="1:14" x14ac:dyDescent="0.3">
      <c r="A2133" t="s">
        <v>2528</v>
      </c>
      <c r="B2133" s="3">
        <v>42646</v>
      </c>
      <c r="C2133" t="s">
        <v>13</v>
      </c>
      <c r="D2133" t="s">
        <v>21</v>
      </c>
      <c r="E2133" t="s">
        <v>2370</v>
      </c>
      <c r="F2133" s="1">
        <v>104.696</v>
      </c>
      <c r="G2133">
        <v>1</v>
      </c>
      <c r="H2133" s="1">
        <v>6.5434999999999999</v>
      </c>
      <c r="I2133" s="4">
        <f>SalesData[[#This Row],[Profit]]/SalesData[[#This Row],[Sales]]</f>
        <v>6.25E-2</v>
      </c>
      <c r="J2133">
        <f>YEAR(SalesData[[#This Row],[Order Date]])</f>
        <v>2016</v>
      </c>
      <c r="K2133" t="str">
        <f>TEXT(SalesData[[#This Row],[Order Date]],"mmm")</f>
        <v>Oct</v>
      </c>
      <c r="L2133">
        <f>MONTH(SalesData[[#This Row],[Order Date]])</f>
        <v>10</v>
      </c>
      <c r="M2133">
        <f>SalesData[[#This Row],[Sales]]/SalesData[[#This Row],[Quantity]]</f>
        <v>104.696</v>
      </c>
      <c r="N2133" t="str">
        <f>IF(SalesData[[#This Row],[Profit]]&gt;0,"Profit","Loss")</f>
        <v>Profit</v>
      </c>
    </row>
    <row r="2134" spans="1:14" x14ac:dyDescent="0.3">
      <c r="A2134" t="s">
        <v>2529</v>
      </c>
      <c r="B2134" s="3">
        <v>42647</v>
      </c>
      <c r="C2134" t="s">
        <v>17</v>
      </c>
      <c r="D2134" t="s">
        <v>21</v>
      </c>
      <c r="E2134" t="s">
        <v>72</v>
      </c>
      <c r="F2134" s="1">
        <v>8.9039999999999999</v>
      </c>
      <c r="G2134">
        <v>2</v>
      </c>
      <c r="H2134" s="1">
        <v>-6.5296000000000003</v>
      </c>
      <c r="I2134" s="4">
        <f>SalesData[[#This Row],[Profit]]/SalesData[[#This Row],[Sales]]</f>
        <v>-0.73333333333333339</v>
      </c>
      <c r="J2134">
        <f>YEAR(SalesData[[#This Row],[Order Date]])</f>
        <v>2016</v>
      </c>
      <c r="K2134" t="str">
        <f>TEXT(SalesData[[#This Row],[Order Date]],"mmm")</f>
        <v>Oct</v>
      </c>
      <c r="L2134">
        <f>MONTH(SalesData[[#This Row],[Order Date]])</f>
        <v>10</v>
      </c>
      <c r="M2134">
        <f>SalesData[[#This Row],[Sales]]/SalesData[[#This Row],[Quantity]]</f>
        <v>4.452</v>
      </c>
      <c r="N2134" t="str">
        <f>IF(SalesData[[#This Row],[Profit]]&gt;0,"Profit","Loss")</f>
        <v>Loss</v>
      </c>
    </row>
    <row r="2135" spans="1:14" x14ac:dyDescent="0.3">
      <c r="A2135" t="s">
        <v>2530</v>
      </c>
      <c r="B2135" s="3">
        <v>42647</v>
      </c>
      <c r="C2135" t="s">
        <v>13</v>
      </c>
      <c r="D2135" t="s">
        <v>21</v>
      </c>
      <c r="E2135" t="s">
        <v>2531</v>
      </c>
      <c r="F2135" s="1">
        <v>12.96</v>
      </c>
      <c r="G2135">
        <v>2</v>
      </c>
      <c r="H2135" s="1">
        <v>6.2207999999999997</v>
      </c>
      <c r="I2135" s="4">
        <f>SalesData[[#This Row],[Profit]]/SalesData[[#This Row],[Sales]]</f>
        <v>0.47999999999999993</v>
      </c>
      <c r="J2135">
        <f>YEAR(SalesData[[#This Row],[Order Date]])</f>
        <v>2016</v>
      </c>
      <c r="K2135" t="str">
        <f>TEXT(SalesData[[#This Row],[Order Date]],"mmm")</f>
        <v>Oct</v>
      </c>
      <c r="L2135">
        <f>MONTH(SalesData[[#This Row],[Order Date]])</f>
        <v>10</v>
      </c>
      <c r="M2135">
        <f>SalesData[[#This Row],[Sales]]/SalesData[[#This Row],[Quantity]]</f>
        <v>6.48</v>
      </c>
      <c r="N2135" t="str">
        <f>IF(SalesData[[#This Row],[Profit]]&gt;0,"Profit","Loss")</f>
        <v>Profit</v>
      </c>
    </row>
    <row r="2136" spans="1:14" x14ac:dyDescent="0.3">
      <c r="A2136" t="s">
        <v>2530</v>
      </c>
      <c r="B2136" s="3">
        <v>42647</v>
      </c>
      <c r="C2136" t="s">
        <v>13</v>
      </c>
      <c r="D2136" t="s">
        <v>21</v>
      </c>
      <c r="E2136" t="s">
        <v>2532</v>
      </c>
      <c r="F2136" s="1">
        <v>23.2</v>
      </c>
      <c r="G2136">
        <v>5</v>
      </c>
      <c r="H2136" s="1">
        <v>8.1199999999999992</v>
      </c>
      <c r="I2136" s="4">
        <f>SalesData[[#This Row],[Profit]]/SalesData[[#This Row],[Sales]]</f>
        <v>0.35</v>
      </c>
      <c r="J2136">
        <f>YEAR(SalesData[[#This Row],[Order Date]])</f>
        <v>2016</v>
      </c>
      <c r="K2136" t="str">
        <f>TEXT(SalesData[[#This Row],[Order Date]],"mmm")</f>
        <v>Oct</v>
      </c>
      <c r="L2136">
        <f>MONTH(SalesData[[#This Row],[Order Date]])</f>
        <v>10</v>
      </c>
      <c r="M2136">
        <f>SalesData[[#This Row],[Sales]]/SalesData[[#This Row],[Quantity]]</f>
        <v>4.6399999999999997</v>
      </c>
      <c r="N2136" t="str">
        <f>IF(SalesData[[#This Row],[Profit]]&gt;0,"Profit","Loss")</f>
        <v>Profit</v>
      </c>
    </row>
    <row r="2137" spans="1:14" x14ac:dyDescent="0.3">
      <c r="A2137" t="s">
        <v>2533</v>
      </c>
      <c r="B2137" s="3">
        <v>42647</v>
      </c>
      <c r="C2137" t="s">
        <v>13</v>
      </c>
      <c r="D2137" t="s">
        <v>21</v>
      </c>
      <c r="E2137" t="s">
        <v>1740</v>
      </c>
      <c r="F2137" s="1">
        <v>113.76</v>
      </c>
      <c r="G2137">
        <v>3</v>
      </c>
      <c r="H2137" s="1">
        <v>44.366399999999999</v>
      </c>
      <c r="I2137" s="4">
        <f>SalesData[[#This Row],[Profit]]/SalesData[[#This Row],[Sales]]</f>
        <v>0.38999999999999996</v>
      </c>
      <c r="J2137">
        <f>YEAR(SalesData[[#This Row],[Order Date]])</f>
        <v>2016</v>
      </c>
      <c r="K2137" t="str">
        <f>TEXT(SalesData[[#This Row],[Order Date]],"mmm")</f>
        <v>Oct</v>
      </c>
      <c r="L2137">
        <f>MONTH(SalesData[[#This Row],[Order Date]])</f>
        <v>10</v>
      </c>
      <c r="M2137">
        <f>SalesData[[#This Row],[Sales]]/SalesData[[#This Row],[Quantity]]</f>
        <v>37.92</v>
      </c>
      <c r="N2137" t="str">
        <f>IF(SalesData[[#This Row],[Profit]]&gt;0,"Profit","Loss")</f>
        <v>Profit</v>
      </c>
    </row>
    <row r="2138" spans="1:14" x14ac:dyDescent="0.3">
      <c r="A2138" t="s">
        <v>2533</v>
      </c>
      <c r="B2138" s="3">
        <v>42647</v>
      </c>
      <c r="C2138" t="s">
        <v>13</v>
      </c>
      <c r="D2138" t="s">
        <v>21</v>
      </c>
      <c r="E2138" t="s">
        <v>542</v>
      </c>
      <c r="F2138" s="1">
        <v>579.51</v>
      </c>
      <c r="G2138">
        <v>3</v>
      </c>
      <c r="H2138" s="1">
        <v>81.131399999999999</v>
      </c>
      <c r="I2138" s="4">
        <f>SalesData[[#This Row],[Profit]]/SalesData[[#This Row],[Sales]]</f>
        <v>0.14000000000000001</v>
      </c>
      <c r="J2138">
        <f>YEAR(SalesData[[#This Row],[Order Date]])</f>
        <v>2016</v>
      </c>
      <c r="K2138" t="str">
        <f>TEXT(SalesData[[#This Row],[Order Date]],"mmm")</f>
        <v>Oct</v>
      </c>
      <c r="L2138">
        <f>MONTH(SalesData[[#This Row],[Order Date]])</f>
        <v>10</v>
      </c>
      <c r="M2138">
        <f>SalesData[[#This Row],[Sales]]/SalesData[[#This Row],[Quantity]]</f>
        <v>193.17</v>
      </c>
      <c r="N2138" t="str">
        <f>IF(SalesData[[#This Row],[Profit]]&gt;0,"Profit","Loss")</f>
        <v>Profit</v>
      </c>
    </row>
    <row r="2139" spans="1:14" x14ac:dyDescent="0.3">
      <c r="A2139" t="s">
        <v>2533</v>
      </c>
      <c r="B2139" s="3">
        <v>42647</v>
      </c>
      <c r="C2139" t="s">
        <v>13</v>
      </c>
      <c r="D2139" t="s">
        <v>21</v>
      </c>
      <c r="E2139" t="s">
        <v>35</v>
      </c>
      <c r="F2139" s="1">
        <v>150.66</v>
      </c>
      <c r="G2139">
        <v>9</v>
      </c>
      <c r="H2139" s="1">
        <v>6.0263999999999998</v>
      </c>
      <c r="I2139" s="4">
        <f>SalesData[[#This Row],[Profit]]/SalesData[[#This Row],[Sales]]</f>
        <v>0.04</v>
      </c>
      <c r="J2139">
        <f>YEAR(SalesData[[#This Row],[Order Date]])</f>
        <v>2016</v>
      </c>
      <c r="K2139" t="str">
        <f>TEXT(SalesData[[#This Row],[Order Date]],"mmm")</f>
        <v>Oct</v>
      </c>
      <c r="L2139">
        <f>MONTH(SalesData[[#This Row],[Order Date]])</f>
        <v>10</v>
      </c>
      <c r="M2139">
        <f>SalesData[[#This Row],[Sales]]/SalesData[[#This Row],[Quantity]]</f>
        <v>16.739999999999998</v>
      </c>
      <c r="N2139" t="str">
        <f>IF(SalesData[[#This Row],[Profit]]&gt;0,"Profit","Loss")</f>
        <v>Profit</v>
      </c>
    </row>
    <row r="2140" spans="1:14" x14ac:dyDescent="0.3">
      <c r="A2140" t="s">
        <v>2533</v>
      </c>
      <c r="B2140" s="3">
        <v>42647</v>
      </c>
      <c r="C2140" t="s">
        <v>13</v>
      </c>
      <c r="D2140" t="s">
        <v>21</v>
      </c>
      <c r="E2140" t="s">
        <v>2534</v>
      </c>
      <c r="F2140" s="1">
        <v>48.031999999999996</v>
      </c>
      <c r="G2140">
        <v>4</v>
      </c>
      <c r="H2140" s="1">
        <v>15.6104</v>
      </c>
      <c r="I2140" s="4">
        <f>SalesData[[#This Row],[Profit]]/SalesData[[#This Row],[Sales]]</f>
        <v>0.32500000000000001</v>
      </c>
      <c r="J2140">
        <f>YEAR(SalesData[[#This Row],[Order Date]])</f>
        <v>2016</v>
      </c>
      <c r="K2140" t="str">
        <f>TEXT(SalesData[[#This Row],[Order Date]],"mmm")</f>
        <v>Oct</v>
      </c>
      <c r="L2140">
        <f>MONTH(SalesData[[#This Row],[Order Date]])</f>
        <v>10</v>
      </c>
      <c r="M2140">
        <f>SalesData[[#This Row],[Sales]]/SalesData[[#This Row],[Quantity]]</f>
        <v>12.007999999999999</v>
      </c>
      <c r="N2140" t="str">
        <f>IF(SalesData[[#This Row],[Profit]]&gt;0,"Profit","Loss")</f>
        <v>Profit</v>
      </c>
    </row>
    <row r="2141" spans="1:14" x14ac:dyDescent="0.3">
      <c r="A2141" t="s">
        <v>2535</v>
      </c>
      <c r="B2141" s="3">
        <v>42647</v>
      </c>
      <c r="C2141" t="s">
        <v>9</v>
      </c>
      <c r="D2141" t="s">
        <v>21</v>
      </c>
      <c r="E2141" t="s">
        <v>947</v>
      </c>
      <c r="F2141" s="1">
        <v>13.568</v>
      </c>
      <c r="G2141">
        <v>4</v>
      </c>
      <c r="H2141" s="1">
        <v>3.2223999999999999</v>
      </c>
      <c r="I2141" s="4">
        <f>SalesData[[#This Row],[Profit]]/SalesData[[#This Row],[Sales]]</f>
        <v>0.23749999999999999</v>
      </c>
      <c r="J2141">
        <f>YEAR(SalesData[[#This Row],[Order Date]])</f>
        <v>2016</v>
      </c>
      <c r="K2141" t="str">
        <f>TEXT(SalesData[[#This Row],[Order Date]],"mmm")</f>
        <v>Oct</v>
      </c>
      <c r="L2141">
        <f>MONTH(SalesData[[#This Row],[Order Date]])</f>
        <v>10</v>
      </c>
      <c r="M2141">
        <f>SalesData[[#This Row],[Sales]]/SalesData[[#This Row],[Quantity]]</f>
        <v>3.3919999999999999</v>
      </c>
      <c r="N2141" t="str">
        <f>IF(SalesData[[#This Row],[Profit]]&gt;0,"Profit","Loss")</f>
        <v>Profit</v>
      </c>
    </row>
    <row r="2142" spans="1:14" x14ac:dyDescent="0.3">
      <c r="A2142" t="s">
        <v>2536</v>
      </c>
      <c r="B2142" s="3">
        <v>42648</v>
      </c>
      <c r="C2142" t="s">
        <v>13</v>
      </c>
      <c r="D2142" t="s">
        <v>21</v>
      </c>
      <c r="E2142" t="s">
        <v>2184</v>
      </c>
      <c r="F2142" s="1">
        <v>11.96</v>
      </c>
      <c r="G2142">
        <v>2</v>
      </c>
      <c r="H2142" s="1">
        <v>5.8604000000000003</v>
      </c>
      <c r="I2142" s="4">
        <f>SalesData[[#This Row],[Profit]]/SalesData[[#This Row],[Sales]]</f>
        <v>0.49</v>
      </c>
      <c r="J2142">
        <f>YEAR(SalesData[[#This Row],[Order Date]])</f>
        <v>2016</v>
      </c>
      <c r="K2142" t="str">
        <f>TEXT(SalesData[[#This Row],[Order Date]],"mmm")</f>
        <v>Oct</v>
      </c>
      <c r="L2142">
        <f>MONTH(SalesData[[#This Row],[Order Date]])</f>
        <v>10</v>
      </c>
      <c r="M2142">
        <f>SalesData[[#This Row],[Sales]]/SalesData[[#This Row],[Quantity]]</f>
        <v>5.98</v>
      </c>
      <c r="N2142" t="str">
        <f>IF(SalesData[[#This Row],[Profit]]&gt;0,"Profit","Loss")</f>
        <v>Profit</v>
      </c>
    </row>
    <row r="2143" spans="1:14" x14ac:dyDescent="0.3">
      <c r="A2143" t="s">
        <v>2537</v>
      </c>
      <c r="B2143" s="3">
        <v>42648</v>
      </c>
      <c r="C2143" t="s">
        <v>17</v>
      </c>
      <c r="D2143" t="s">
        <v>10</v>
      </c>
      <c r="E2143" t="s">
        <v>78</v>
      </c>
      <c r="F2143" s="1">
        <v>743.98800000000006</v>
      </c>
      <c r="G2143">
        <v>2</v>
      </c>
      <c r="H2143" s="1">
        <v>-123.998</v>
      </c>
      <c r="I2143" s="4">
        <f>SalesData[[#This Row],[Profit]]/SalesData[[#This Row],[Sales]]</f>
        <v>-0.16666666666666666</v>
      </c>
      <c r="J2143">
        <f>YEAR(SalesData[[#This Row],[Order Date]])</f>
        <v>2016</v>
      </c>
      <c r="K2143" t="str">
        <f>TEXT(SalesData[[#This Row],[Order Date]],"mmm")</f>
        <v>Oct</v>
      </c>
      <c r="L2143">
        <f>MONTH(SalesData[[#This Row],[Order Date]])</f>
        <v>10</v>
      </c>
      <c r="M2143">
        <f>SalesData[[#This Row],[Sales]]/SalesData[[#This Row],[Quantity]]</f>
        <v>371.99400000000003</v>
      </c>
      <c r="N2143" t="str">
        <f>IF(SalesData[[#This Row],[Profit]]&gt;0,"Profit","Loss")</f>
        <v>Loss</v>
      </c>
    </row>
    <row r="2144" spans="1:14" x14ac:dyDescent="0.3">
      <c r="A2144" t="s">
        <v>2538</v>
      </c>
      <c r="B2144" s="3">
        <v>42648</v>
      </c>
      <c r="C2144" t="s">
        <v>9</v>
      </c>
      <c r="D2144" t="s">
        <v>21</v>
      </c>
      <c r="E2144" t="s">
        <v>2539</v>
      </c>
      <c r="F2144" s="1">
        <v>7.0720000000000001</v>
      </c>
      <c r="G2144">
        <v>2</v>
      </c>
      <c r="H2144" s="1">
        <v>2.3868</v>
      </c>
      <c r="I2144" s="4">
        <f>SalesData[[#This Row],[Profit]]/SalesData[[#This Row],[Sales]]</f>
        <v>0.33750000000000002</v>
      </c>
      <c r="J2144">
        <f>YEAR(SalesData[[#This Row],[Order Date]])</f>
        <v>2016</v>
      </c>
      <c r="K2144" t="str">
        <f>TEXT(SalesData[[#This Row],[Order Date]],"mmm")</f>
        <v>Oct</v>
      </c>
      <c r="L2144">
        <f>MONTH(SalesData[[#This Row],[Order Date]])</f>
        <v>10</v>
      </c>
      <c r="M2144">
        <f>SalesData[[#This Row],[Sales]]/SalesData[[#This Row],[Quantity]]</f>
        <v>3.536</v>
      </c>
      <c r="N2144" t="str">
        <f>IF(SalesData[[#This Row],[Profit]]&gt;0,"Profit","Loss")</f>
        <v>Profit</v>
      </c>
    </row>
    <row r="2145" spans="1:14" x14ac:dyDescent="0.3">
      <c r="A2145" t="s">
        <v>2540</v>
      </c>
      <c r="B2145" s="3">
        <v>42649</v>
      </c>
      <c r="C2145" t="s">
        <v>13</v>
      </c>
      <c r="D2145" t="s">
        <v>21</v>
      </c>
      <c r="E2145" t="s">
        <v>1876</v>
      </c>
      <c r="F2145" s="1">
        <v>20.7</v>
      </c>
      <c r="G2145">
        <v>2</v>
      </c>
      <c r="H2145" s="1">
        <v>9.9359999999999999</v>
      </c>
      <c r="I2145" s="4">
        <f>SalesData[[#This Row],[Profit]]/SalesData[[#This Row],[Sales]]</f>
        <v>0.48000000000000004</v>
      </c>
      <c r="J2145">
        <f>YEAR(SalesData[[#This Row],[Order Date]])</f>
        <v>2016</v>
      </c>
      <c r="K2145" t="str">
        <f>TEXT(SalesData[[#This Row],[Order Date]],"mmm")</f>
        <v>Oct</v>
      </c>
      <c r="L2145">
        <f>MONTH(SalesData[[#This Row],[Order Date]])</f>
        <v>10</v>
      </c>
      <c r="M2145">
        <f>SalesData[[#This Row],[Sales]]/SalesData[[#This Row],[Quantity]]</f>
        <v>10.35</v>
      </c>
      <c r="N2145" t="str">
        <f>IF(SalesData[[#This Row],[Profit]]&gt;0,"Profit","Loss")</f>
        <v>Profit</v>
      </c>
    </row>
    <row r="2146" spans="1:14" x14ac:dyDescent="0.3">
      <c r="A2146" t="s">
        <v>2540</v>
      </c>
      <c r="B2146" s="3">
        <v>42649</v>
      </c>
      <c r="C2146" t="s">
        <v>13</v>
      </c>
      <c r="D2146" t="s">
        <v>14</v>
      </c>
      <c r="E2146" t="s">
        <v>2541</v>
      </c>
      <c r="F2146" s="1">
        <v>1335.68</v>
      </c>
      <c r="G2146">
        <v>4</v>
      </c>
      <c r="H2146" s="1">
        <v>-217.048</v>
      </c>
      <c r="I2146" s="4">
        <f>SalesData[[#This Row],[Profit]]/SalesData[[#This Row],[Sales]]</f>
        <v>-0.16250000000000001</v>
      </c>
      <c r="J2146">
        <f>YEAR(SalesData[[#This Row],[Order Date]])</f>
        <v>2016</v>
      </c>
      <c r="K2146" t="str">
        <f>TEXT(SalesData[[#This Row],[Order Date]],"mmm")</f>
        <v>Oct</v>
      </c>
      <c r="L2146">
        <f>MONTH(SalesData[[#This Row],[Order Date]])</f>
        <v>10</v>
      </c>
      <c r="M2146">
        <f>SalesData[[#This Row],[Sales]]/SalesData[[#This Row],[Quantity]]</f>
        <v>333.92</v>
      </c>
      <c r="N2146" t="str">
        <f>IF(SalesData[[#This Row],[Profit]]&gt;0,"Profit","Loss")</f>
        <v>Loss</v>
      </c>
    </row>
    <row r="2147" spans="1:14" x14ac:dyDescent="0.3">
      <c r="A2147" t="s">
        <v>2540</v>
      </c>
      <c r="B2147" s="3">
        <v>42649</v>
      </c>
      <c r="C2147" t="s">
        <v>13</v>
      </c>
      <c r="D2147" t="s">
        <v>21</v>
      </c>
      <c r="E2147" t="s">
        <v>580</v>
      </c>
      <c r="F2147" s="1">
        <v>32.4</v>
      </c>
      <c r="G2147">
        <v>5</v>
      </c>
      <c r="H2147" s="1">
        <v>15.552</v>
      </c>
      <c r="I2147" s="4">
        <f>SalesData[[#This Row],[Profit]]/SalesData[[#This Row],[Sales]]</f>
        <v>0.48</v>
      </c>
      <c r="J2147">
        <f>YEAR(SalesData[[#This Row],[Order Date]])</f>
        <v>2016</v>
      </c>
      <c r="K2147" t="str">
        <f>TEXT(SalesData[[#This Row],[Order Date]],"mmm")</f>
        <v>Oct</v>
      </c>
      <c r="L2147">
        <f>MONTH(SalesData[[#This Row],[Order Date]])</f>
        <v>10</v>
      </c>
      <c r="M2147">
        <f>SalesData[[#This Row],[Sales]]/SalesData[[#This Row],[Quantity]]</f>
        <v>6.4799999999999995</v>
      </c>
      <c r="N2147" t="str">
        <f>IF(SalesData[[#This Row],[Profit]]&gt;0,"Profit","Loss")</f>
        <v>Profit</v>
      </c>
    </row>
    <row r="2148" spans="1:14" x14ac:dyDescent="0.3">
      <c r="A2148" t="s">
        <v>2542</v>
      </c>
      <c r="B2148" s="3">
        <v>42649</v>
      </c>
      <c r="C2148" t="s">
        <v>17</v>
      </c>
      <c r="D2148" t="s">
        <v>21</v>
      </c>
      <c r="E2148" t="s">
        <v>2543</v>
      </c>
      <c r="F2148" s="1">
        <v>23.616</v>
      </c>
      <c r="G2148">
        <v>8</v>
      </c>
      <c r="H2148" s="1">
        <v>7.9703999999999997</v>
      </c>
      <c r="I2148" s="4">
        <f>SalesData[[#This Row],[Profit]]/SalesData[[#This Row],[Sales]]</f>
        <v>0.33749999999999997</v>
      </c>
      <c r="J2148">
        <f>YEAR(SalesData[[#This Row],[Order Date]])</f>
        <v>2016</v>
      </c>
      <c r="K2148" t="str">
        <f>TEXT(SalesData[[#This Row],[Order Date]],"mmm")</f>
        <v>Oct</v>
      </c>
      <c r="L2148">
        <f>MONTH(SalesData[[#This Row],[Order Date]])</f>
        <v>10</v>
      </c>
      <c r="M2148">
        <f>SalesData[[#This Row],[Sales]]/SalesData[[#This Row],[Quantity]]</f>
        <v>2.952</v>
      </c>
      <c r="N2148" t="str">
        <f>IF(SalesData[[#This Row],[Profit]]&gt;0,"Profit","Loss")</f>
        <v>Profit</v>
      </c>
    </row>
    <row r="2149" spans="1:14" x14ac:dyDescent="0.3">
      <c r="A2149" t="s">
        <v>2544</v>
      </c>
      <c r="B2149" s="3">
        <v>42650</v>
      </c>
      <c r="C2149" t="s">
        <v>13</v>
      </c>
      <c r="D2149" t="s">
        <v>21</v>
      </c>
      <c r="E2149" t="s">
        <v>1225</v>
      </c>
      <c r="F2149" s="1">
        <v>16.768000000000001</v>
      </c>
      <c r="G2149">
        <v>2</v>
      </c>
      <c r="H2149" s="1">
        <v>1.4672000000000001</v>
      </c>
      <c r="I2149" s="4">
        <f>SalesData[[#This Row],[Profit]]/SalesData[[#This Row],[Sales]]</f>
        <v>8.7499999999999994E-2</v>
      </c>
      <c r="J2149">
        <f>YEAR(SalesData[[#This Row],[Order Date]])</f>
        <v>2016</v>
      </c>
      <c r="K2149" t="str">
        <f>TEXT(SalesData[[#This Row],[Order Date]],"mmm")</f>
        <v>Oct</v>
      </c>
      <c r="L2149">
        <f>MONTH(SalesData[[#This Row],[Order Date]])</f>
        <v>10</v>
      </c>
      <c r="M2149">
        <f>SalesData[[#This Row],[Sales]]/SalesData[[#This Row],[Quantity]]</f>
        <v>8.3840000000000003</v>
      </c>
      <c r="N2149" t="str">
        <f>IF(SalesData[[#This Row],[Profit]]&gt;0,"Profit","Loss")</f>
        <v>Profit</v>
      </c>
    </row>
    <row r="2150" spans="1:14" x14ac:dyDescent="0.3">
      <c r="A2150" t="s">
        <v>2545</v>
      </c>
      <c r="B2150" s="3">
        <v>42650</v>
      </c>
      <c r="C2150" t="s">
        <v>9</v>
      </c>
      <c r="D2150" t="s">
        <v>21</v>
      </c>
      <c r="E2150" t="s">
        <v>1326</v>
      </c>
      <c r="F2150" s="1">
        <v>338.04</v>
      </c>
      <c r="G2150">
        <v>3</v>
      </c>
      <c r="H2150" s="1">
        <v>-33.804000000000002</v>
      </c>
      <c r="I2150" s="4">
        <f>SalesData[[#This Row],[Profit]]/SalesData[[#This Row],[Sales]]</f>
        <v>-0.1</v>
      </c>
      <c r="J2150">
        <f>YEAR(SalesData[[#This Row],[Order Date]])</f>
        <v>2016</v>
      </c>
      <c r="K2150" t="str">
        <f>TEXT(SalesData[[#This Row],[Order Date]],"mmm")</f>
        <v>Oct</v>
      </c>
      <c r="L2150">
        <f>MONTH(SalesData[[#This Row],[Order Date]])</f>
        <v>10</v>
      </c>
      <c r="M2150">
        <f>SalesData[[#This Row],[Sales]]/SalesData[[#This Row],[Quantity]]</f>
        <v>112.68</v>
      </c>
      <c r="N2150" t="str">
        <f>IF(SalesData[[#This Row],[Profit]]&gt;0,"Profit","Loss")</f>
        <v>Loss</v>
      </c>
    </row>
    <row r="2151" spans="1:14" x14ac:dyDescent="0.3">
      <c r="A2151" t="s">
        <v>2545</v>
      </c>
      <c r="B2151" s="3">
        <v>42650</v>
      </c>
      <c r="C2151" t="s">
        <v>9</v>
      </c>
      <c r="D2151" t="s">
        <v>21</v>
      </c>
      <c r="E2151" t="s">
        <v>44</v>
      </c>
      <c r="F2151" s="1">
        <v>154.24</v>
      </c>
      <c r="G2151">
        <v>4</v>
      </c>
      <c r="H2151" s="1">
        <v>17.352</v>
      </c>
      <c r="I2151" s="4">
        <f>SalesData[[#This Row],[Profit]]/SalesData[[#This Row],[Sales]]</f>
        <v>0.11249999999999999</v>
      </c>
      <c r="J2151">
        <f>YEAR(SalesData[[#This Row],[Order Date]])</f>
        <v>2016</v>
      </c>
      <c r="K2151" t="str">
        <f>TEXT(SalesData[[#This Row],[Order Date]],"mmm")</f>
        <v>Oct</v>
      </c>
      <c r="L2151">
        <f>MONTH(SalesData[[#This Row],[Order Date]])</f>
        <v>10</v>
      </c>
      <c r="M2151">
        <f>SalesData[[#This Row],[Sales]]/SalesData[[#This Row],[Quantity]]</f>
        <v>38.56</v>
      </c>
      <c r="N2151" t="str">
        <f>IF(SalesData[[#This Row],[Profit]]&gt;0,"Profit","Loss")</f>
        <v>Profit</v>
      </c>
    </row>
    <row r="2152" spans="1:14" x14ac:dyDescent="0.3">
      <c r="A2152" t="s">
        <v>2546</v>
      </c>
      <c r="B2152" s="3">
        <v>42650</v>
      </c>
      <c r="C2152" t="s">
        <v>13</v>
      </c>
      <c r="D2152" t="s">
        <v>21</v>
      </c>
      <c r="E2152" t="s">
        <v>104</v>
      </c>
      <c r="F2152" s="1">
        <v>44.856000000000002</v>
      </c>
      <c r="G2152">
        <v>6</v>
      </c>
      <c r="H2152" s="1">
        <v>-35.884799999999998</v>
      </c>
      <c r="I2152" s="4">
        <f>SalesData[[#This Row],[Profit]]/SalesData[[#This Row],[Sales]]</f>
        <v>-0.79999999999999993</v>
      </c>
      <c r="J2152">
        <f>YEAR(SalesData[[#This Row],[Order Date]])</f>
        <v>2016</v>
      </c>
      <c r="K2152" t="str">
        <f>TEXT(SalesData[[#This Row],[Order Date]],"mmm")</f>
        <v>Oct</v>
      </c>
      <c r="L2152">
        <f>MONTH(SalesData[[#This Row],[Order Date]])</f>
        <v>10</v>
      </c>
      <c r="M2152">
        <f>SalesData[[#This Row],[Sales]]/SalesData[[#This Row],[Quantity]]</f>
        <v>7.476</v>
      </c>
      <c r="N2152" t="str">
        <f>IF(SalesData[[#This Row],[Profit]]&gt;0,"Profit","Loss")</f>
        <v>Loss</v>
      </c>
    </row>
    <row r="2153" spans="1:14" x14ac:dyDescent="0.3">
      <c r="A2153" t="s">
        <v>2547</v>
      </c>
      <c r="B2153" s="3">
        <v>42650</v>
      </c>
      <c r="C2153" t="s">
        <v>17</v>
      </c>
      <c r="D2153" t="s">
        <v>10</v>
      </c>
      <c r="E2153" t="s">
        <v>2548</v>
      </c>
      <c r="F2153" s="1">
        <v>341.99099999999999</v>
      </c>
      <c r="G2153">
        <v>3</v>
      </c>
      <c r="H2153" s="1">
        <v>-319.19159999999999</v>
      </c>
      <c r="I2153" s="4">
        <f>SalesData[[#This Row],[Profit]]/SalesData[[#This Row],[Sales]]</f>
        <v>-0.93333333333333335</v>
      </c>
      <c r="J2153">
        <f>YEAR(SalesData[[#This Row],[Order Date]])</f>
        <v>2016</v>
      </c>
      <c r="K2153" t="str">
        <f>TEXT(SalesData[[#This Row],[Order Date]],"mmm")</f>
        <v>Oct</v>
      </c>
      <c r="L2153">
        <f>MONTH(SalesData[[#This Row],[Order Date]])</f>
        <v>10</v>
      </c>
      <c r="M2153">
        <f>SalesData[[#This Row],[Sales]]/SalesData[[#This Row],[Quantity]]</f>
        <v>113.997</v>
      </c>
      <c r="N2153" t="str">
        <f>IF(SalesData[[#This Row],[Profit]]&gt;0,"Profit","Loss")</f>
        <v>Loss</v>
      </c>
    </row>
    <row r="2154" spans="1:14" x14ac:dyDescent="0.3">
      <c r="A2154" t="s">
        <v>2549</v>
      </c>
      <c r="B2154" s="3">
        <v>42652</v>
      </c>
      <c r="C2154" t="s">
        <v>17</v>
      </c>
      <c r="D2154" t="s">
        <v>21</v>
      </c>
      <c r="E2154" t="s">
        <v>2550</v>
      </c>
      <c r="F2154" s="1">
        <v>59.48</v>
      </c>
      <c r="G2154">
        <v>2</v>
      </c>
      <c r="H2154" s="1">
        <v>8.9220000000000006</v>
      </c>
      <c r="I2154" s="4">
        <f>SalesData[[#This Row],[Profit]]/SalesData[[#This Row],[Sales]]</f>
        <v>0.15000000000000002</v>
      </c>
      <c r="J2154">
        <f>YEAR(SalesData[[#This Row],[Order Date]])</f>
        <v>2016</v>
      </c>
      <c r="K2154" t="str">
        <f>TEXT(SalesData[[#This Row],[Order Date]],"mmm")</f>
        <v>Oct</v>
      </c>
      <c r="L2154">
        <f>MONTH(SalesData[[#This Row],[Order Date]])</f>
        <v>10</v>
      </c>
      <c r="M2154">
        <f>SalesData[[#This Row],[Sales]]/SalesData[[#This Row],[Quantity]]</f>
        <v>29.74</v>
      </c>
      <c r="N2154" t="str">
        <f>IF(SalesData[[#This Row],[Profit]]&gt;0,"Profit","Loss")</f>
        <v>Profit</v>
      </c>
    </row>
    <row r="2155" spans="1:14" x14ac:dyDescent="0.3">
      <c r="A2155" t="s">
        <v>2549</v>
      </c>
      <c r="B2155" s="3">
        <v>42652</v>
      </c>
      <c r="C2155" t="s">
        <v>17</v>
      </c>
      <c r="D2155" t="s">
        <v>21</v>
      </c>
      <c r="E2155" t="s">
        <v>2551</v>
      </c>
      <c r="F2155" s="1">
        <v>6.69</v>
      </c>
      <c r="G2155">
        <v>1</v>
      </c>
      <c r="H2155" s="1">
        <v>3.0773999999999999</v>
      </c>
      <c r="I2155" s="4">
        <f>SalesData[[#This Row],[Profit]]/SalesData[[#This Row],[Sales]]</f>
        <v>0.45999999999999996</v>
      </c>
      <c r="J2155">
        <f>YEAR(SalesData[[#This Row],[Order Date]])</f>
        <v>2016</v>
      </c>
      <c r="K2155" t="str">
        <f>TEXT(SalesData[[#This Row],[Order Date]],"mmm")</f>
        <v>Oct</v>
      </c>
      <c r="L2155">
        <f>MONTH(SalesData[[#This Row],[Order Date]])</f>
        <v>10</v>
      </c>
      <c r="M2155">
        <f>SalesData[[#This Row],[Sales]]/SalesData[[#This Row],[Quantity]]</f>
        <v>6.69</v>
      </c>
      <c r="N2155" t="str">
        <f>IF(SalesData[[#This Row],[Profit]]&gt;0,"Profit","Loss")</f>
        <v>Profit</v>
      </c>
    </row>
    <row r="2156" spans="1:14" x14ac:dyDescent="0.3">
      <c r="A2156" t="s">
        <v>2552</v>
      </c>
      <c r="B2156" s="3">
        <v>42652</v>
      </c>
      <c r="C2156" t="s">
        <v>46</v>
      </c>
      <c r="D2156" t="s">
        <v>21</v>
      </c>
      <c r="E2156" t="s">
        <v>2200</v>
      </c>
      <c r="F2156" s="1">
        <v>67.56</v>
      </c>
      <c r="G2156">
        <v>3</v>
      </c>
      <c r="H2156" s="1">
        <v>8.4450000000000003</v>
      </c>
      <c r="I2156" s="4">
        <f>SalesData[[#This Row],[Profit]]/SalesData[[#This Row],[Sales]]</f>
        <v>0.125</v>
      </c>
      <c r="J2156">
        <f>YEAR(SalesData[[#This Row],[Order Date]])</f>
        <v>2016</v>
      </c>
      <c r="K2156" t="str">
        <f>TEXT(SalesData[[#This Row],[Order Date]],"mmm")</f>
        <v>Oct</v>
      </c>
      <c r="L2156">
        <f>MONTH(SalesData[[#This Row],[Order Date]])</f>
        <v>10</v>
      </c>
      <c r="M2156">
        <f>SalesData[[#This Row],[Sales]]/SalesData[[#This Row],[Quantity]]</f>
        <v>22.52</v>
      </c>
      <c r="N2156" t="str">
        <f>IF(SalesData[[#This Row],[Profit]]&gt;0,"Profit","Loss")</f>
        <v>Profit</v>
      </c>
    </row>
    <row r="2157" spans="1:14" x14ac:dyDescent="0.3">
      <c r="A2157" t="s">
        <v>2553</v>
      </c>
      <c r="B2157" s="3">
        <v>42652</v>
      </c>
      <c r="C2157" t="s">
        <v>9</v>
      </c>
      <c r="D2157" t="s">
        <v>14</v>
      </c>
      <c r="E2157" t="s">
        <v>243</v>
      </c>
      <c r="F2157" s="1">
        <v>300.93</v>
      </c>
      <c r="G2157">
        <v>5</v>
      </c>
      <c r="H2157" s="1">
        <v>-34.392000000000003</v>
      </c>
      <c r="I2157" s="4">
        <f>SalesData[[#This Row],[Profit]]/SalesData[[#This Row],[Sales]]</f>
        <v>-0.1142857142857143</v>
      </c>
      <c r="J2157">
        <f>YEAR(SalesData[[#This Row],[Order Date]])</f>
        <v>2016</v>
      </c>
      <c r="K2157" t="str">
        <f>TEXT(SalesData[[#This Row],[Order Date]],"mmm")</f>
        <v>Oct</v>
      </c>
      <c r="L2157">
        <f>MONTH(SalesData[[#This Row],[Order Date]])</f>
        <v>10</v>
      </c>
      <c r="M2157">
        <f>SalesData[[#This Row],[Sales]]/SalesData[[#This Row],[Quantity]]</f>
        <v>60.186</v>
      </c>
      <c r="N2157" t="str">
        <f>IF(SalesData[[#This Row],[Profit]]&gt;0,"Profit","Loss")</f>
        <v>Loss</v>
      </c>
    </row>
    <row r="2158" spans="1:14" x14ac:dyDescent="0.3">
      <c r="A2158" t="s">
        <v>2553</v>
      </c>
      <c r="B2158" s="3">
        <v>42652</v>
      </c>
      <c r="C2158" t="s">
        <v>9</v>
      </c>
      <c r="D2158" t="s">
        <v>10</v>
      </c>
      <c r="E2158" t="s">
        <v>917</v>
      </c>
      <c r="F2158" s="1">
        <v>719.96</v>
      </c>
      <c r="G2158">
        <v>5</v>
      </c>
      <c r="H2158" s="1">
        <v>53.997</v>
      </c>
      <c r="I2158" s="4">
        <f>SalesData[[#This Row],[Profit]]/SalesData[[#This Row],[Sales]]</f>
        <v>7.4999999999999997E-2</v>
      </c>
      <c r="J2158">
        <f>YEAR(SalesData[[#This Row],[Order Date]])</f>
        <v>2016</v>
      </c>
      <c r="K2158" t="str">
        <f>TEXT(SalesData[[#This Row],[Order Date]],"mmm")</f>
        <v>Oct</v>
      </c>
      <c r="L2158">
        <f>MONTH(SalesData[[#This Row],[Order Date]])</f>
        <v>10</v>
      </c>
      <c r="M2158">
        <f>SalesData[[#This Row],[Sales]]/SalesData[[#This Row],[Quantity]]</f>
        <v>143.99200000000002</v>
      </c>
      <c r="N2158" t="str">
        <f>IF(SalesData[[#This Row],[Profit]]&gt;0,"Profit","Loss")</f>
        <v>Profit</v>
      </c>
    </row>
    <row r="2159" spans="1:14" x14ac:dyDescent="0.3">
      <c r="A2159" t="s">
        <v>2554</v>
      </c>
      <c r="B2159" s="3">
        <v>42652</v>
      </c>
      <c r="C2159" t="s">
        <v>46</v>
      </c>
      <c r="D2159" t="s">
        <v>10</v>
      </c>
      <c r="E2159" t="s">
        <v>954</v>
      </c>
      <c r="F2159" s="1">
        <v>519.67999999999995</v>
      </c>
      <c r="G2159">
        <v>7</v>
      </c>
      <c r="H2159" s="1">
        <v>58.463999999999999</v>
      </c>
      <c r="I2159" s="4">
        <f>SalesData[[#This Row],[Profit]]/SalesData[[#This Row],[Sales]]</f>
        <v>0.1125</v>
      </c>
      <c r="J2159">
        <f>YEAR(SalesData[[#This Row],[Order Date]])</f>
        <v>2016</v>
      </c>
      <c r="K2159" t="str">
        <f>TEXT(SalesData[[#This Row],[Order Date]],"mmm")</f>
        <v>Oct</v>
      </c>
      <c r="L2159">
        <f>MONTH(SalesData[[#This Row],[Order Date]])</f>
        <v>10</v>
      </c>
      <c r="M2159">
        <f>SalesData[[#This Row],[Sales]]/SalesData[[#This Row],[Quantity]]</f>
        <v>74.239999999999995</v>
      </c>
      <c r="N2159" t="str">
        <f>IF(SalesData[[#This Row],[Profit]]&gt;0,"Profit","Loss")</f>
        <v>Profit</v>
      </c>
    </row>
    <row r="2160" spans="1:14" x14ac:dyDescent="0.3">
      <c r="A2160" t="s">
        <v>2555</v>
      </c>
      <c r="B2160" s="3">
        <v>42652</v>
      </c>
      <c r="C2160" t="s">
        <v>13</v>
      </c>
      <c r="D2160" t="s">
        <v>21</v>
      </c>
      <c r="E2160" t="s">
        <v>2543</v>
      </c>
      <c r="F2160" s="1">
        <v>7.38</v>
      </c>
      <c r="G2160">
        <v>2</v>
      </c>
      <c r="H2160" s="1">
        <v>3.4685999999999999</v>
      </c>
      <c r="I2160" s="4">
        <f>SalesData[[#This Row],[Profit]]/SalesData[[#This Row],[Sales]]</f>
        <v>0.47</v>
      </c>
      <c r="J2160">
        <f>YEAR(SalesData[[#This Row],[Order Date]])</f>
        <v>2016</v>
      </c>
      <c r="K2160" t="str">
        <f>TEXT(SalesData[[#This Row],[Order Date]],"mmm")</f>
        <v>Oct</v>
      </c>
      <c r="L2160">
        <f>MONTH(SalesData[[#This Row],[Order Date]])</f>
        <v>10</v>
      </c>
      <c r="M2160">
        <f>SalesData[[#This Row],[Sales]]/SalesData[[#This Row],[Quantity]]</f>
        <v>3.69</v>
      </c>
      <c r="N2160" t="str">
        <f>IF(SalesData[[#This Row],[Profit]]&gt;0,"Profit","Loss")</f>
        <v>Profit</v>
      </c>
    </row>
    <row r="2161" spans="1:14" x14ac:dyDescent="0.3">
      <c r="A2161" t="s">
        <v>2555</v>
      </c>
      <c r="B2161" s="3">
        <v>42652</v>
      </c>
      <c r="C2161" t="s">
        <v>13</v>
      </c>
      <c r="D2161" t="s">
        <v>21</v>
      </c>
      <c r="E2161" t="s">
        <v>415</v>
      </c>
      <c r="F2161" s="1">
        <v>14.256</v>
      </c>
      <c r="G2161">
        <v>3</v>
      </c>
      <c r="H2161" s="1">
        <v>4.4550000000000001</v>
      </c>
      <c r="I2161" s="4">
        <f>SalesData[[#This Row],[Profit]]/SalesData[[#This Row],[Sales]]</f>
        <v>0.3125</v>
      </c>
      <c r="J2161">
        <f>YEAR(SalesData[[#This Row],[Order Date]])</f>
        <v>2016</v>
      </c>
      <c r="K2161" t="str">
        <f>TEXT(SalesData[[#This Row],[Order Date]],"mmm")</f>
        <v>Oct</v>
      </c>
      <c r="L2161">
        <f>MONTH(SalesData[[#This Row],[Order Date]])</f>
        <v>10</v>
      </c>
      <c r="M2161">
        <f>SalesData[[#This Row],[Sales]]/SalesData[[#This Row],[Quantity]]</f>
        <v>4.7519999999999998</v>
      </c>
      <c r="N2161" t="str">
        <f>IF(SalesData[[#This Row],[Profit]]&gt;0,"Profit","Loss")</f>
        <v>Profit</v>
      </c>
    </row>
    <row r="2162" spans="1:14" x14ac:dyDescent="0.3">
      <c r="A2162" t="s">
        <v>2555</v>
      </c>
      <c r="B2162" s="3">
        <v>42652</v>
      </c>
      <c r="C2162" t="s">
        <v>13</v>
      </c>
      <c r="D2162" t="s">
        <v>21</v>
      </c>
      <c r="E2162" t="s">
        <v>578</v>
      </c>
      <c r="F2162" s="1">
        <v>81.98</v>
      </c>
      <c r="G2162">
        <v>2</v>
      </c>
      <c r="H2162" s="1">
        <v>40.170200000000001</v>
      </c>
      <c r="I2162" s="4">
        <f>SalesData[[#This Row],[Profit]]/SalesData[[#This Row],[Sales]]</f>
        <v>0.49</v>
      </c>
      <c r="J2162">
        <f>YEAR(SalesData[[#This Row],[Order Date]])</f>
        <v>2016</v>
      </c>
      <c r="K2162" t="str">
        <f>TEXT(SalesData[[#This Row],[Order Date]],"mmm")</f>
        <v>Oct</v>
      </c>
      <c r="L2162">
        <f>MONTH(SalesData[[#This Row],[Order Date]])</f>
        <v>10</v>
      </c>
      <c r="M2162">
        <f>SalesData[[#This Row],[Sales]]/SalesData[[#This Row],[Quantity]]</f>
        <v>40.99</v>
      </c>
      <c r="N2162" t="str">
        <f>IF(SalesData[[#This Row],[Profit]]&gt;0,"Profit","Loss")</f>
        <v>Profit</v>
      </c>
    </row>
    <row r="2163" spans="1:14" x14ac:dyDescent="0.3">
      <c r="A2163" t="s">
        <v>2555</v>
      </c>
      <c r="B2163" s="3">
        <v>42652</v>
      </c>
      <c r="C2163" t="s">
        <v>13</v>
      </c>
      <c r="D2163" t="s">
        <v>21</v>
      </c>
      <c r="E2163" t="s">
        <v>2556</v>
      </c>
      <c r="F2163" s="1">
        <v>39.624000000000002</v>
      </c>
      <c r="G2163">
        <v>3</v>
      </c>
      <c r="H2163" s="1">
        <v>13.868399999999999</v>
      </c>
      <c r="I2163" s="4">
        <f>SalesData[[#This Row],[Profit]]/SalesData[[#This Row],[Sales]]</f>
        <v>0.35</v>
      </c>
      <c r="J2163">
        <f>YEAR(SalesData[[#This Row],[Order Date]])</f>
        <v>2016</v>
      </c>
      <c r="K2163" t="str">
        <f>TEXT(SalesData[[#This Row],[Order Date]],"mmm")</f>
        <v>Oct</v>
      </c>
      <c r="L2163">
        <f>MONTH(SalesData[[#This Row],[Order Date]])</f>
        <v>10</v>
      </c>
      <c r="M2163">
        <f>SalesData[[#This Row],[Sales]]/SalesData[[#This Row],[Quantity]]</f>
        <v>13.208</v>
      </c>
      <c r="N2163" t="str">
        <f>IF(SalesData[[#This Row],[Profit]]&gt;0,"Profit","Loss")</f>
        <v>Profit</v>
      </c>
    </row>
    <row r="2164" spans="1:14" x14ac:dyDescent="0.3">
      <c r="A2164" t="s">
        <v>2557</v>
      </c>
      <c r="B2164" s="3">
        <v>42652</v>
      </c>
      <c r="C2164" t="s">
        <v>13</v>
      </c>
      <c r="D2164" t="s">
        <v>21</v>
      </c>
      <c r="E2164" t="s">
        <v>1999</v>
      </c>
      <c r="F2164" s="1">
        <v>276.78399999999999</v>
      </c>
      <c r="G2164">
        <v>2</v>
      </c>
      <c r="H2164" s="1">
        <v>89.954800000000006</v>
      </c>
      <c r="I2164" s="4">
        <f>SalesData[[#This Row],[Profit]]/SalesData[[#This Row],[Sales]]</f>
        <v>0.32500000000000001</v>
      </c>
      <c r="J2164">
        <f>YEAR(SalesData[[#This Row],[Order Date]])</f>
        <v>2016</v>
      </c>
      <c r="K2164" t="str">
        <f>TEXT(SalesData[[#This Row],[Order Date]],"mmm")</f>
        <v>Oct</v>
      </c>
      <c r="L2164">
        <f>MONTH(SalesData[[#This Row],[Order Date]])</f>
        <v>10</v>
      </c>
      <c r="M2164">
        <f>SalesData[[#This Row],[Sales]]/SalesData[[#This Row],[Quantity]]</f>
        <v>138.392</v>
      </c>
      <c r="N2164" t="str">
        <f>IF(SalesData[[#This Row],[Profit]]&gt;0,"Profit","Loss")</f>
        <v>Profit</v>
      </c>
    </row>
    <row r="2165" spans="1:14" x14ac:dyDescent="0.3">
      <c r="A2165" t="s">
        <v>2558</v>
      </c>
      <c r="B2165" s="3">
        <v>42653</v>
      </c>
      <c r="C2165" t="s">
        <v>46</v>
      </c>
      <c r="D2165" t="s">
        <v>21</v>
      </c>
      <c r="E2165" t="s">
        <v>501</v>
      </c>
      <c r="F2165" s="1">
        <v>20.608000000000001</v>
      </c>
      <c r="G2165">
        <v>2</v>
      </c>
      <c r="H2165" s="1">
        <v>-4.3792</v>
      </c>
      <c r="I2165" s="4">
        <f>SalesData[[#This Row],[Profit]]/SalesData[[#This Row],[Sales]]</f>
        <v>-0.21249999999999999</v>
      </c>
      <c r="J2165">
        <f>YEAR(SalesData[[#This Row],[Order Date]])</f>
        <v>2016</v>
      </c>
      <c r="K2165" t="str">
        <f>TEXT(SalesData[[#This Row],[Order Date]],"mmm")</f>
        <v>Oct</v>
      </c>
      <c r="L2165">
        <f>MONTH(SalesData[[#This Row],[Order Date]])</f>
        <v>10</v>
      </c>
      <c r="M2165">
        <f>SalesData[[#This Row],[Sales]]/SalesData[[#This Row],[Quantity]]</f>
        <v>10.304</v>
      </c>
      <c r="N2165" t="str">
        <f>IF(SalesData[[#This Row],[Profit]]&gt;0,"Profit","Loss")</f>
        <v>Loss</v>
      </c>
    </row>
    <row r="2166" spans="1:14" x14ac:dyDescent="0.3">
      <c r="A2166" t="s">
        <v>2558</v>
      </c>
      <c r="B2166" s="3">
        <v>42653</v>
      </c>
      <c r="C2166" t="s">
        <v>46</v>
      </c>
      <c r="D2166" t="s">
        <v>21</v>
      </c>
      <c r="E2166" t="s">
        <v>525</v>
      </c>
      <c r="F2166" s="1">
        <v>4.0949999999999998</v>
      </c>
      <c r="G2166">
        <v>3</v>
      </c>
      <c r="H2166" s="1">
        <v>-2.73</v>
      </c>
      <c r="I2166" s="4">
        <f>SalesData[[#This Row],[Profit]]/SalesData[[#This Row],[Sales]]</f>
        <v>-0.66666666666666674</v>
      </c>
      <c r="J2166">
        <f>YEAR(SalesData[[#This Row],[Order Date]])</f>
        <v>2016</v>
      </c>
      <c r="K2166" t="str">
        <f>TEXT(SalesData[[#This Row],[Order Date]],"mmm")</f>
        <v>Oct</v>
      </c>
      <c r="L2166">
        <f>MONTH(SalesData[[#This Row],[Order Date]])</f>
        <v>10</v>
      </c>
      <c r="M2166">
        <f>SalesData[[#This Row],[Sales]]/SalesData[[#This Row],[Quantity]]</f>
        <v>1.365</v>
      </c>
      <c r="N2166" t="str">
        <f>IF(SalesData[[#This Row],[Profit]]&gt;0,"Profit","Loss")</f>
        <v>Loss</v>
      </c>
    </row>
    <row r="2167" spans="1:14" x14ac:dyDescent="0.3">
      <c r="A2167" t="s">
        <v>2559</v>
      </c>
      <c r="B2167" s="3">
        <v>42653</v>
      </c>
      <c r="C2167" t="s">
        <v>13</v>
      </c>
      <c r="D2167" t="s">
        <v>14</v>
      </c>
      <c r="E2167" t="s">
        <v>2560</v>
      </c>
      <c r="F2167" s="1">
        <v>90.882000000000005</v>
      </c>
      <c r="G2167">
        <v>3</v>
      </c>
      <c r="H2167" s="1">
        <v>-190.85220000000001</v>
      </c>
      <c r="I2167" s="4">
        <f>SalesData[[#This Row],[Profit]]/SalesData[[#This Row],[Sales]]</f>
        <v>-2.1</v>
      </c>
      <c r="J2167">
        <f>YEAR(SalesData[[#This Row],[Order Date]])</f>
        <v>2016</v>
      </c>
      <c r="K2167" t="str">
        <f>TEXT(SalesData[[#This Row],[Order Date]],"mmm")</f>
        <v>Oct</v>
      </c>
      <c r="L2167">
        <f>MONTH(SalesData[[#This Row],[Order Date]])</f>
        <v>10</v>
      </c>
      <c r="M2167">
        <f>SalesData[[#This Row],[Sales]]/SalesData[[#This Row],[Quantity]]</f>
        <v>30.294</v>
      </c>
      <c r="N2167" t="str">
        <f>IF(SalesData[[#This Row],[Profit]]&gt;0,"Profit","Loss")</f>
        <v>Loss</v>
      </c>
    </row>
    <row r="2168" spans="1:14" x14ac:dyDescent="0.3">
      <c r="A2168" t="s">
        <v>2559</v>
      </c>
      <c r="B2168" s="3">
        <v>42653</v>
      </c>
      <c r="C2168" t="s">
        <v>13</v>
      </c>
      <c r="D2168" t="s">
        <v>10</v>
      </c>
      <c r="E2168" t="s">
        <v>799</v>
      </c>
      <c r="F2168" s="1">
        <v>15.992000000000001</v>
      </c>
      <c r="G2168">
        <v>1</v>
      </c>
      <c r="H2168" s="1">
        <v>-2.9984999999999999</v>
      </c>
      <c r="I2168" s="4">
        <f>SalesData[[#This Row],[Profit]]/SalesData[[#This Row],[Sales]]</f>
        <v>-0.18749999999999997</v>
      </c>
      <c r="J2168">
        <f>YEAR(SalesData[[#This Row],[Order Date]])</f>
        <v>2016</v>
      </c>
      <c r="K2168" t="str">
        <f>TEXT(SalesData[[#This Row],[Order Date]],"mmm")</f>
        <v>Oct</v>
      </c>
      <c r="L2168">
        <f>MONTH(SalesData[[#This Row],[Order Date]])</f>
        <v>10</v>
      </c>
      <c r="M2168">
        <f>SalesData[[#This Row],[Sales]]/SalesData[[#This Row],[Quantity]]</f>
        <v>15.992000000000001</v>
      </c>
      <c r="N2168" t="str">
        <f>IF(SalesData[[#This Row],[Profit]]&gt;0,"Profit","Loss")</f>
        <v>Loss</v>
      </c>
    </row>
    <row r="2169" spans="1:14" x14ac:dyDescent="0.3">
      <c r="A2169" t="s">
        <v>2559</v>
      </c>
      <c r="B2169" s="3">
        <v>42653</v>
      </c>
      <c r="C2169" t="s">
        <v>13</v>
      </c>
      <c r="D2169" t="s">
        <v>14</v>
      </c>
      <c r="E2169" t="s">
        <v>2561</v>
      </c>
      <c r="F2169" s="1">
        <v>120.78400000000001</v>
      </c>
      <c r="G2169">
        <v>1</v>
      </c>
      <c r="H2169" s="1">
        <v>13.588200000000001</v>
      </c>
      <c r="I2169" s="4">
        <f>SalesData[[#This Row],[Profit]]/SalesData[[#This Row],[Sales]]</f>
        <v>0.1125</v>
      </c>
      <c r="J2169">
        <f>YEAR(SalesData[[#This Row],[Order Date]])</f>
        <v>2016</v>
      </c>
      <c r="K2169" t="str">
        <f>TEXT(SalesData[[#This Row],[Order Date]],"mmm")</f>
        <v>Oct</v>
      </c>
      <c r="L2169">
        <f>MONTH(SalesData[[#This Row],[Order Date]])</f>
        <v>10</v>
      </c>
      <c r="M2169">
        <f>SalesData[[#This Row],[Sales]]/SalesData[[#This Row],[Quantity]]</f>
        <v>120.78400000000001</v>
      </c>
      <c r="N2169" t="str">
        <f>IF(SalesData[[#This Row],[Profit]]&gt;0,"Profit","Loss")</f>
        <v>Profit</v>
      </c>
    </row>
    <row r="2170" spans="1:14" x14ac:dyDescent="0.3">
      <c r="A2170" t="s">
        <v>2562</v>
      </c>
      <c r="B2170" s="3">
        <v>42653</v>
      </c>
      <c r="C2170" t="s">
        <v>9</v>
      </c>
      <c r="D2170" t="s">
        <v>14</v>
      </c>
      <c r="E2170" t="s">
        <v>2563</v>
      </c>
      <c r="F2170" s="1">
        <v>14</v>
      </c>
      <c r="G2170">
        <v>4</v>
      </c>
      <c r="H2170" s="1">
        <v>-6.3</v>
      </c>
      <c r="I2170" s="4">
        <f>SalesData[[#This Row],[Profit]]/SalesData[[#This Row],[Sales]]</f>
        <v>-0.45</v>
      </c>
      <c r="J2170">
        <f>YEAR(SalesData[[#This Row],[Order Date]])</f>
        <v>2016</v>
      </c>
      <c r="K2170" t="str">
        <f>TEXT(SalesData[[#This Row],[Order Date]],"mmm")</f>
        <v>Oct</v>
      </c>
      <c r="L2170">
        <f>MONTH(SalesData[[#This Row],[Order Date]])</f>
        <v>10</v>
      </c>
      <c r="M2170">
        <f>SalesData[[#This Row],[Sales]]/SalesData[[#This Row],[Quantity]]</f>
        <v>3.5</v>
      </c>
      <c r="N2170" t="str">
        <f>IF(SalesData[[#This Row],[Profit]]&gt;0,"Profit","Loss")</f>
        <v>Loss</v>
      </c>
    </row>
    <row r="2171" spans="1:14" x14ac:dyDescent="0.3">
      <c r="A2171" t="s">
        <v>2562</v>
      </c>
      <c r="B2171" s="3">
        <v>42653</v>
      </c>
      <c r="C2171" t="s">
        <v>9</v>
      </c>
      <c r="D2171" t="s">
        <v>21</v>
      </c>
      <c r="E2171" t="s">
        <v>666</v>
      </c>
      <c r="F2171" s="1">
        <v>16.391999999999999</v>
      </c>
      <c r="G2171">
        <v>2</v>
      </c>
      <c r="H2171" s="1">
        <v>-26.2272</v>
      </c>
      <c r="I2171" s="4">
        <f>SalesData[[#This Row],[Profit]]/SalesData[[#This Row],[Sales]]</f>
        <v>-1.6</v>
      </c>
      <c r="J2171">
        <f>YEAR(SalesData[[#This Row],[Order Date]])</f>
        <v>2016</v>
      </c>
      <c r="K2171" t="str">
        <f>TEXT(SalesData[[#This Row],[Order Date]],"mmm")</f>
        <v>Oct</v>
      </c>
      <c r="L2171">
        <f>MONTH(SalesData[[#This Row],[Order Date]])</f>
        <v>10</v>
      </c>
      <c r="M2171">
        <f>SalesData[[#This Row],[Sales]]/SalesData[[#This Row],[Quantity]]</f>
        <v>8.1959999999999997</v>
      </c>
      <c r="N2171" t="str">
        <f>IF(SalesData[[#This Row],[Profit]]&gt;0,"Profit","Loss")</f>
        <v>Loss</v>
      </c>
    </row>
    <row r="2172" spans="1:14" x14ac:dyDescent="0.3">
      <c r="A2172" t="s">
        <v>2564</v>
      </c>
      <c r="B2172" s="3">
        <v>42654</v>
      </c>
      <c r="C2172" t="s">
        <v>13</v>
      </c>
      <c r="D2172" t="s">
        <v>21</v>
      </c>
      <c r="E2172" t="s">
        <v>546</v>
      </c>
      <c r="F2172" s="1">
        <v>155.82</v>
      </c>
      <c r="G2172">
        <v>7</v>
      </c>
      <c r="H2172" s="1">
        <v>42.071399999999997</v>
      </c>
      <c r="I2172" s="4">
        <f>SalesData[[#This Row],[Profit]]/SalesData[[#This Row],[Sales]]</f>
        <v>0.27</v>
      </c>
      <c r="J2172">
        <f>YEAR(SalesData[[#This Row],[Order Date]])</f>
        <v>2016</v>
      </c>
      <c r="K2172" t="str">
        <f>TEXT(SalesData[[#This Row],[Order Date]],"mmm")</f>
        <v>Oct</v>
      </c>
      <c r="L2172">
        <f>MONTH(SalesData[[#This Row],[Order Date]])</f>
        <v>10</v>
      </c>
      <c r="M2172">
        <f>SalesData[[#This Row],[Sales]]/SalesData[[#This Row],[Quantity]]</f>
        <v>22.259999999999998</v>
      </c>
      <c r="N2172" t="str">
        <f>IF(SalesData[[#This Row],[Profit]]&gt;0,"Profit","Loss")</f>
        <v>Profit</v>
      </c>
    </row>
    <row r="2173" spans="1:14" x14ac:dyDescent="0.3">
      <c r="A2173" t="s">
        <v>2564</v>
      </c>
      <c r="B2173" s="3">
        <v>42654</v>
      </c>
      <c r="C2173" t="s">
        <v>13</v>
      </c>
      <c r="D2173" t="s">
        <v>21</v>
      </c>
      <c r="E2173" t="s">
        <v>1887</v>
      </c>
      <c r="F2173" s="1">
        <v>70.007999999999996</v>
      </c>
      <c r="G2173">
        <v>3</v>
      </c>
      <c r="H2173" s="1">
        <v>24.502800000000001</v>
      </c>
      <c r="I2173" s="4">
        <f>SalesData[[#This Row],[Profit]]/SalesData[[#This Row],[Sales]]</f>
        <v>0.35000000000000003</v>
      </c>
      <c r="J2173">
        <f>YEAR(SalesData[[#This Row],[Order Date]])</f>
        <v>2016</v>
      </c>
      <c r="K2173" t="str">
        <f>TEXT(SalesData[[#This Row],[Order Date]],"mmm")</f>
        <v>Oct</v>
      </c>
      <c r="L2173">
        <f>MONTH(SalesData[[#This Row],[Order Date]])</f>
        <v>10</v>
      </c>
      <c r="M2173">
        <f>SalesData[[#This Row],[Sales]]/SalesData[[#This Row],[Quantity]]</f>
        <v>23.335999999999999</v>
      </c>
      <c r="N2173" t="str">
        <f>IF(SalesData[[#This Row],[Profit]]&gt;0,"Profit","Loss")</f>
        <v>Profit</v>
      </c>
    </row>
    <row r="2174" spans="1:14" x14ac:dyDescent="0.3">
      <c r="A2174" t="s">
        <v>2565</v>
      </c>
      <c r="B2174" s="3">
        <v>42654</v>
      </c>
      <c r="C2174" t="s">
        <v>13</v>
      </c>
      <c r="D2174" t="s">
        <v>21</v>
      </c>
      <c r="E2174" t="s">
        <v>631</v>
      </c>
      <c r="F2174" s="1">
        <v>13.215999999999999</v>
      </c>
      <c r="G2174">
        <v>4</v>
      </c>
      <c r="H2174" s="1">
        <v>4.4603999999999999</v>
      </c>
      <c r="I2174" s="4">
        <f>SalesData[[#This Row],[Profit]]/SalesData[[#This Row],[Sales]]</f>
        <v>0.33750000000000002</v>
      </c>
      <c r="J2174">
        <f>YEAR(SalesData[[#This Row],[Order Date]])</f>
        <v>2016</v>
      </c>
      <c r="K2174" t="str">
        <f>TEXT(SalesData[[#This Row],[Order Date]],"mmm")</f>
        <v>Oct</v>
      </c>
      <c r="L2174">
        <f>MONTH(SalesData[[#This Row],[Order Date]])</f>
        <v>10</v>
      </c>
      <c r="M2174">
        <f>SalesData[[#This Row],[Sales]]/SalesData[[#This Row],[Quantity]]</f>
        <v>3.3039999999999998</v>
      </c>
      <c r="N2174" t="str">
        <f>IF(SalesData[[#This Row],[Profit]]&gt;0,"Profit","Loss")</f>
        <v>Profit</v>
      </c>
    </row>
    <row r="2175" spans="1:14" x14ac:dyDescent="0.3">
      <c r="A2175" t="s">
        <v>2565</v>
      </c>
      <c r="B2175" s="3">
        <v>42654</v>
      </c>
      <c r="C2175" t="s">
        <v>13</v>
      </c>
      <c r="D2175" t="s">
        <v>21</v>
      </c>
      <c r="E2175" t="s">
        <v>2566</v>
      </c>
      <c r="F2175" s="1">
        <v>32.4</v>
      </c>
      <c r="G2175">
        <v>5</v>
      </c>
      <c r="H2175" s="1">
        <v>15.552</v>
      </c>
      <c r="I2175" s="4">
        <f>SalesData[[#This Row],[Profit]]/SalesData[[#This Row],[Sales]]</f>
        <v>0.48</v>
      </c>
      <c r="J2175">
        <f>YEAR(SalesData[[#This Row],[Order Date]])</f>
        <v>2016</v>
      </c>
      <c r="K2175" t="str">
        <f>TEXT(SalesData[[#This Row],[Order Date]],"mmm")</f>
        <v>Oct</v>
      </c>
      <c r="L2175">
        <f>MONTH(SalesData[[#This Row],[Order Date]])</f>
        <v>10</v>
      </c>
      <c r="M2175">
        <f>SalesData[[#This Row],[Sales]]/SalesData[[#This Row],[Quantity]]</f>
        <v>6.4799999999999995</v>
      </c>
      <c r="N2175" t="str">
        <f>IF(SalesData[[#This Row],[Profit]]&gt;0,"Profit","Loss")</f>
        <v>Profit</v>
      </c>
    </row>
    <row r="2176" spans="1:14" x14ac:dyDescent="0.3">
      <c r="A2176" t="s">
        <v>2567</v>
      </c>
      <c r="B2176" s="3">
        <v>42654</v>
      </c>
      <c r="C2176" t="s">
        <v>46</v>
      </c>
      <c r="D2176" t="s">
        <v>21</v>
      </c>
      <c r="E2176" t="s">
        <v>1909</v>
      </c>
      <c r="F2176" s="1">
        <v>41.86</v>
      </c>
      <c r="G2176">
        <v>7</v>
      </c>
      <c r="H2176" s="1">
        <v>10.465</v>
      </c>
      <c r="I2176" s="4">
        <f>SalesData[[#This Row],[Profit]]/SalesData[[#This Row],[Sales]]</f>
        <v>0.25</v>
      </c>
      <c r="J2176">
        <f>YEAR(SalesData[[#This Row],[Order Date]])</f>
        <v>2016</v>
      </c>
      <c r="K2176" t="str">
        <f>TEXT(SalesData[[#This Row],[Order Date]],"mmm")</f>
        <v>Oct</v>
      </c>
      <c r="L2176">
        <f>MONTH(SalesData[[#This Row],[Order Date]])</f>
        <v>10</v>
      </c>
      <c r="M2176">
        <f>SalesData[[#This Row],[Sales]]/SalesData[[#This Row],[Quantity]]</f>
        <v>5.9799999999999995</v>
      </c>
      <c r="N2176" t="str">
        <f>IF(SalesData[[#This Row],[Profit]]&gt;0,"Profit","Loss")</f>
        <v>Profit</v>
      </c>
    </row>
    <row r="2177" spans="1:14" x14ac:dyDescent="0.3">
      <c r="A2177" t="s">
        <v>2568</v>
      </c>
      <c r="B2177" s="3">
        <v>42654</v>
      </c>
      <c r="C2177" t="s">
        <v>17</v>
      </c>
      <c r="D2177" t="s">
        <v>21</v>
      </c>
      <c r="E2177" t="s">
        <v>749</v>
      </c>
      <c r="F2177" s="1">
        <v>14.72</v>
      </c>
      <c r="G2177">
        <v>5</v>
      </c>
      <c r="H2177" s="1">
        <v>-3.3119999999999998</v>
      </c>
      <c r="I2177" s="4">
        <f>SalesData[[#This Row],[Profit]]/SalesData[[#This Row],[Sales]]</f>
        <v>-0.22499999999999998</v>
      </c>
      <c r="J2177">
        <f>YEAR(SalesData[[#This Row],[Order Date]])</f>
        <v>2016</v>
      </c>
      <c r="K2177" t="str">
        <f>TEXT(SalesData[[#This Row],[Order Date]],"mmm")</f>
        <v>Oct</v>
      </c>
      <c r="L2177">
        <f>MONTH(SalesData[[#This Row],[Order Date]])</f>
        <v>10</v>
      </c>
      <c r="M2177">
        <f>SalesData[[#This Row],[Sales]]/SalesData[[#This Row],[Quantity]]</f>
        <v>2.944</v>
      </c>
      <c r="N2177" t="str">
        <f>IF(SalesData[[#This Row],[Profit]]&gt;0,"Profit","Loss")</f>
        <v>Loss</v>
      </c>
    </row>
    <row r="2178" spans="1:14" x14ac:dyDescent="0.3">
      <c r="A2178" t="s">
        <v>2568</v>
      </c>
      <c r="B2178" s="3">
        <v>42654</v>
      </c>
      <c r="C2178" t="s">
        <v>17</v>
      </c>
      <c r="D2178" t="s">
        <v>21</v>
      </c>
      <c r="E2178" t="s">
        <v>288</v>
      </c>
      <c r="F2178" s="1">
        <v>38.975999999999999</v>
      </c>
      <c r="G2178">
        <v>3</v>
      </c>
      <c r="H2178" s="1">
        <v>-2.4359999999999999</v>
      </c>
      <c r="I2178" s="4">
        <f>SalesData[[#This Row],[Profit]]/SalesData[[#This Row],[Sales]]</f>
        <v>-6.25E-2</v>
      </c>
      <c r="J2178">
        <f>YEAR(SalesData[[#This Row],[Order Date]])</f>
        <v>2016</v>
      </c>
      <c r="K2178" t="str">
        <f>TEXT(SalesData[[#This Row],[Order Date]],"mmm")</f>
        <v>Oct</v>
      </c>
      <c r="L2178">
        <f>MONTH(SalesData[[#This Row],[Order Date]])</f>
        <v>10</v>
      </c>
      <c r="M2178">
        <f>SalesData[[#This Row],[Sales]]/SalesData[[#This Row],[Quantity]]</f>
        <v>12.991999999999999</v>
      </c>
      <c r="N2178" t="str">
        <f>IF(SalesData[[#This Row],[Profit]]&gt;0,"Profit","Loss")</f>
        <v>Loss</v>
      </c>
    </row>
    <row r="2179" spans="1:14" x14ac:dyDescent="0.3">
      <c r="A2179" t="s">
        <v>2569</v>
      </c>
      <c r="B2179" s="3">
        <v>42654</v>
      </c>
      <c r="C2179" t="s">
        <v>17</v>
      </c>
      <c r="D2179" t="s">
        <v>21</v>
      </c>
      <c r="E2179" t="s">
        <v>1653</v>
      </c>
      <c r="F2179" s="1">
        <v>9.2159999999999993</v>
      </c>
      <c r="G2179">
        <v>4</v>
      </c>
      <c r="H2179" s="1">
        <v>3.3408000000000002</v>
      </c>
      <c r="I2179" s="4">
        <f>SalesData[[#This Row],[Profit]]/SalesData[[#This Row],[Sales]]</f>
        <v>0.36250000000000004</v>
      </c>
      <c r="J2179">
        <f>YEAR(SalesData[[#This Row],[Order Date]])</f>
        <v>2016</v>
      </c>
      <c r="K2179" t="str">
        <f>TEXT(SalesData[[#This Row],[Order Date]],"mmm")</f>
        <v>Oct</v>
      </c>
      <c r="L2179">
        <f>MONTH(SalesData[[#This Row],[Order Date]])</f>
        <v>10</v>
      </c>
      <c r="M2179">
        <f>SalesData[[#This Row],[Sales]]/SalesData[[#This Row],[Quantity]]</f>
        <v>2.3039999999999998</v>
      </c>
      <c r="N2179" t="str">
        <f>IF(SalesData[[#This Row],[Profit]]&gt;0,"Profit","Loss")</f>
        <v>Profit</v>
      </c>
    </row>
    <row r="2180" spans="1:14" x14ac:dyDescent="0.3">
      <c r="A2180" t="s">
        <v>2569</v>
      </c>
      <c r="B2180" s="3">
        <v>42654</v>
      </c>
      <c r="C2180" t="s">
        <v>17</v>
      </c>
      <c r="D2180" t="s">
        <v>10</v>
      </c>
      <c r="E2180" t="s">
        <v>745</v>
      </c>
      <c r="F2180" s="1">
        <v>41.957999999999998</v>
      </c>
      <c r="G2180">
        <v>7</v>
      </c>
      <c r="H2180" s="1">
        <v>-9.7902000000000005</v>
      </c>
      <c r="I2180" s="4">
        <f>SalesData[[#This Row],[Profit]]/SalesData[[#This Row],[Sales]]</f>
        <v>-0.23333333333333336</v>
      </c>
      <c r="J2180">
        <f>YEAR(SalesData[[#This Row],[Order Date]])</f>
        <v>2016</v>
      </c>
      <c r="K2180" t="str">
        <f>TEXT(SalesData[[#This Row],[Order Date]],"mmm")</f>
        <v>Oct</v>
      </c>
      <c r="L2180">
        <f>MONTH(SalesData[[#This Row],[Order Date]])</f>
        <v>10</v>
      </c>
      <c r="M2180">
        <f>SalesData[[#This Row],[Sales]]/SalesData[[#This Row],[Quantity]]</f>
        <v>5.9939999999999998</v>
      </c>
      <c r="N2180" t="str">
        <f>IF(SalesData[[#This Row],[Profit]]&gt;0,"Profit","Loss")</f>
        <v>Loss</v>
      </c>
    </row>
    <row r="2181" spans="1:14" x14ac:dyDescent="0.3">
      <c r="A2181" t="s">
        <v>2569</v>
      </c>
      <c r="B2181" s="3">
        <v>42654</v>
      </c>
      <c r="C2181" t="s">
        <v>17</v>
      </c>
      <c r="D2181" t="s">
        <v>21</v>
      </c>
      <c r="E2181" t="s">
        <v>970</v>
      </c>
      <c r="F2181" s="1">
        <v>89.567999999999998</v>
      </c>
      <c r="G2181">
        <v>2</v>
      </c>
      <c r="H2181" s="1">
        <v>32.468400000000003</v>
      </c>
      <c r="I2181" s="4">
        <f>SalesData[[#This Row],[Profit]]/SalesData[[#This Row],[Sales]]</f>
        <v>0.36250000000000004</v>
      </c>
      <c r="J2181">
        <f>YEAR(SalesData[[#This Row],[Order Date]])</f>
        <v>2016</v>
      </c>
      <c r="K2181" t="str">
        <f>TEXT(SalesData[[#This Row],[Order Date]],"mmm")</f>
        <v>Oct</v>
      </c>
      <c r="L2181">
        <f>MONTH(SalesData[[#This Row],[Order Date]])</f>
        <v>10</v>
      </c>
      <c r="M2181">
        <f>SalesData[[#This Row],[Sales]]/SalesData[[#This Row],[Quantity]]</f>
        <v>44.783999999999999</v>
      </c>
      <c r="N2181" t="str">
        <f>IF(SalesData[[#This Row],[Profit]]&gt;0,"Profit","Loss")</f>
        <v>Profit</v>
      </c>
    </row>
    <row r="2182" spans="1:14" x14ac:dyDescent="0.3">
      <c r="A2182" t="s">
        <v>2569</v>
      </c>
      <c r="B2182" s="3">
        <v>42654</v>
      </c>
      <c r="C2182" t="s">
        <v>17</v>
      </c>
      <c r="D2182" t="s">
        <v>21</v>
      </c>
      <c r="E2182" t="s">
        <v>969</v>
      </c>
      <c r="F2182" s="1">
        <v>22.248000000000001</v>
      </c>
      <c r="G2182">
        <v>3</v>
      </c>
      <c r="H2182" s="1">
        <v>7.5087000000000002</v>
      </c>
      <c r="I2182" s="4">
        <f>SalesData[[#This Row],[Profit]]/SalesData[[#This Row],[Sales]]</f>
        <v>0.33749999999999997</v>
      </c>
      <c r="J2182">
        <f>YEAR(SalesData[[#This Row],[Order Date]])</f>
        <v>2016</v>
      </c>
      <c r="K2182" t="str">
        <f>TEXT(SalesData[[#This Row],[Order Date]],"mmm")</f>
        <v>Oct</v>
      </c>
      <c r="L2182">
        <f>MONTH(SalesData[[#This Row],[Order Date]])</f>
        <v>10</v>
      </c>
      <c r="M2182">
        <f>SalesData[[#This Row],[Sales]]/SalesData[[#This Row],[Quantity]]</f>
        <v>7.4160000000000004</v>
      </c>
      <c r="N2182" t="str">
        <f>IF(SalesData[[#This Row],[Profit]]&gt;0,"Profit","Loss")</f>
        <v>Profit</v>
      </c>
    </row>
    <row r="2183" spans="1:14" x14ac:dyDescent="0.3">
      <c r="A2183" t="s">
        <v>2569</v>
      </c>
      <c r="B2183" s="3">
        <v>42654</v>
      </c>
      <c r="C2183" t="s">
        <v>17</v>
      </c>
      <c r="D2183" t="s">
        <v>21</v>
      </c>
      <c r="E2183" t="s">
        <v>1908</v>
      </c>
      <c r="F2183" s="1">
        <v>334.88</v>
      </c>
      <c r="G2183">
        <v>4</v>
      </c>
      <c r="H2183" s="1">
        <v>29.302</v>
      </c>
      <c r="I2183" s="4">
        <f>SalesData[[#This Row],[Profit]]/SalesData[[#This Row],[Sales]]</f>
        <v>8.7499999999999994E-2</v>
      </c>
      <c r="J2183">
        <f>YEAR(SalesData[[#This Row],[Order Date]])</f>
        <v>2016</v>
      </c>
      <c r="K2183" t="str">
        <f>TEXT(SalesData[[#This Row],[Order Date]],"mmm")</f>
        <v>Oct</v>
      </c>
      <c r="L2183">
        <f>MONTH(SalesData[[#This Row],[Order Date]])</f>
        <v>10</v>
      </c>
      <c r="M2183">
        <f>SalesData[[#This Row],[Sales]]/SalesData[[#This Row],[Quantity]]</f>
        <v>83.72</v>
      </c>
      <c r="N2183" t="str">
        <f>IF(SalesData[[#This Row],[Profit]]&gt;0,"Profit","Loss")</f>
        <v>Profit</v>
      </c>
    </row>
    <row r="2184" spans="1:14" x14ac:dyDescent="0.3">
      <c r="A2184" t="s">
        <v>2569</v>
      </c>
      <c r="B2184" s="3">
        <v>42654</v>
      </c>
      <c r="C2184" t="s">
        <v>17</v>
      </c>
      <c r="D2184" t="s">
        <v>14</v>
      </c>
      <c r="E2184" t="s">
        <v>275</v>
      </c>
      <c r="F2184" s="1">
        <v>148.28800000000001</v>
      </c>
      <c r="G2184">
        <v>7</v>
      </c>
      <c r="H2184" s="1">
        <v>29.657599999999999</v>
      </c>
      <c r="I2184" s="4">
        <f>SalesData[[#This Row],[Profit]]/SalesData[[#This Row],[Sales]]</f>
        <v>0.19999999999999998</v>
      </c>
      <c r="J2184">
        <f>YEAR(SalesData[[#This Row],[Order Date]])</f>
        <v>2016</v>
      </c>
      <c r="K2184" t="str">
        <f>TEXT(SalesData[[#This Row],[Order Date]],"mmm")</f>
        <v>Oct</v>
      </c>
      <c r="L2184">
        <f>MONTH(SalesData[[#This Row],[Order Date]])</f>
        <v>10</v>
      </c>
      <c r="M2184">
        <f>SalesData[[#This Row],[Sales]]/SalesData[[#This Row],[Quantity]]</f>
        <v>21.184000000000001</v>
      </c>
      <c r="N2184" t="str">
        <f>IF(SalesData[[#This Row],[Profit]]&gt;0,"Profit","Loss")</f>
        <v>Profit</v>
      </c>
    </row>
    <row r="2185" spans="1:14" x14ac:dyDescent="0.3">
      <c r="A2185" t="s">
        <v>2569</v>
      </c>
      <c r="B2185" s="3">
        <v>42654</v>
      </c>
      <c r="C2185" t="s">
        <v>17</v>
      </c>
      <c r="D2185" t="s">
        <v>21</v>
      </c>
      <c r="E2185" t="s">
        <v>2570</v>
      </c>
      <c r="F2185" s="1">
        <v>4.6239999999999997</v>
      </c>
      <c r="G2185">
        <v>1</v>
      </c>
      <c r="H2185" s="1">
        <v>1.6761999999999999</v>
      </c>
      <c r="I2185" s="4">
        <f>SalesData[[#This Row],[Profit]]/SalesData[[#This Row],[Sales]]</f>
        <v>0.36249999999999999</v>
      </c>
      <c r="J2185">
        <f>YEAR(SalesData[[#This Row],[Order Date]])</f>
        <v>2016</v>
      </c>
      <c r="K2185" t="str">
        <f>TEXT(SalesData[[#This Row],[Order Date]],"mmm")</f>
        <v>Oct</v>
      </c>
      <c r="L2185">
        <f>MONTH(SalesData[[#This Row],[Order Date]])</f>
        <v>10</v>
      </c>
      <c r="M2185">
        <f>SalesData[[#This Row],[Sales]]/SalesData[[#This Row],[Quantity]]</f>
        <v>4.6239999999999997</v>
      </c>
      <c r="N2185" t="str">
        <f>IF(SalesData[[#This Row],[Profit]]&gt;0,"Profit","Loss")</f>
        <v>Profit</v>
      </c>
    </row>
    <row r="2186" spans="1:14" x14ac:dyDescent="0.3">
      <c r="A2186" t="s">
        <v>2569</v>
      </c>
      <c r="B2186" s="3">
        <v>42654</v>
      </c>
      <c r="C2186" t="s">
        <v>17</v>
      </c>
      <c r="D2186" t="s">
        <v>10</v>
      </c>
      <c r="E2186" t="s">
        <v>1789</v>
      </c>
      <c r="F2186" s="1">
        <v>178.92</v>
      </c>
      <c r="G2186">
        <v>7</v>
      </c>
      <c r="H2186" s="1">
        <v>-29.0745</v>
      </c>
      <c r="I2186" s="4">
        <f>SalesData[[#This Row],[Profit]]/SalesData[[#This Row],[Sales]]</f>
        <v>-0.16250000000000001</v>
      </c>
      <c r="J2186">
        <f>YEAR(SalesData[[#This Row],[Order Date]])</f>
        <v>2016</v>
      </c>
      <c r="K2186" t="str">
        <f>TEXT(SalesData[[#This Row],[Order Date]],"mmm")</f>
        <v>Oct</v>
      </c>
      <c r="L2186">
        <f>MONTH(SalesData[[#This Row],[Order Date]])</f>
        <v>10</v>
      </c>
      <c r="M2186">
        <f>SalesData[[#This Row],[Sales]]/SalesData[[#This Row],[Quantity]]</f>
        <v>25.56</v>
      </c>
      <c r="N2186" t="str">
        <f>IF(SalesData[[#This Row],[Profit]]&gt;0,"Profit","Loss")</f>
        <v>Loss</v>
      </c>
    </row>
    <row r="2187" spans="1:14" x14ac:dyDescent="0.3">
      <c r="A2187" t="s">
        <v>2569</v>
      </c>
      <c r="B2187" s="3">
        <v>42654</v>
      </c>
      <c r="C2187" t="s">
        <v>17</v>
      </c>
      <c r="D2187" t="s">
        <v>21</v>
      </c>
      <c r="E2187" t="s">
        <v>2240</v>
      </c>
      <c r="F2187" s="1">
        <v>69.888000000000005</v>
      </c>
      <c r="G2187">
        <v>7</v>
      </c>
      <c r="H2187" s="1">
        <v>-46.591999999999999</v>
      </c>
      <c r="I2187" s="4">
        <f>SalesData[[#This Row],[Profit]]/SalesData[[#This Row],[Sales]]</f>
        <v>-0.66666666666666663</v>
      </c>
      <c r="J2187">
        <f>YEAR(SalesData[[#This Row],[Order Date]])</f>
        <v>2016</v>
      </c>
      <c r="K2187" t="str">
        <f>TEXT(SalesData[[#This Row],[Order Date]],"mmm")</f>
        <v>Oct</v>
      </c>
      <c r="L2187">
        <f>MONTH(SalesData[[#This Row],[Order Date]])</f>
        <v>10</v>
      </c>
      <c r="M2187">
        <f>SalesData[[#This Row],[Sales]]/SalesData[[#This Row],[Quantity]]</f>
        <v>9.984</v>
      </c>
      <c r="N2187" t="str">
        <f>IF(SalesData[[#This Row],[Profit]]&gt;0,"Profit","Loss")</f>
        <v>Loss</v>
      </c>
    </row>
    <row r="2188" spans="1:14" x14ac:dyDescent="0.3">
      <c r="A2188" t="s">
        <v>2571</v>
      </c>
      <c r="B2188" s="3">
        <v>42654</v>
      </c>
      <c r="C2188" t="s">
        <v>9</v>
      </c>
      <c r="D2188" t="s">
        <v>10</v>
      </c>
      <c r="E2188" t="s">
        <v>1195</v>
      </c>
      <c r="F2188" s="1">
        <v>279.94400000000002</v>
      </c>
      <c r="G2188">
        <v>7</v>
      </c>
      <c r="H2188" s="1">
        <v>48.990200000000002</v>
      </c>
      <c r="I2188" s="4">
        <f>SalesData[[#This Row],[Profit]]/SalesData[[#This Row],[Sales]]</f>
        <v>0.17499999999999999</v>
      </c>
      <c r="J2188">
        <f>YEAR(SalesData[[#This Row],[Order Date]])</f>
        <v>2016</v>
      </c>
      <c r="K2188" t="str">
        <f>TEXT(SalesData[[#This Row],[Order Date]],"mmm")</f>
        <v>Oct</v>
      </c>
      <c r="L2188">
        <f>MONTH(SalesData[[#This Row],[Order Date]])</f>
        <v>10</v>
      </c>
      <c r="M2188">
        <f>SalesData[[#This Row],[Sales]]/SalesData[[#This Row],[Quantity]]</f>
        <v>39.992000000000004</v>
      </c>
      <c r="N2188" t="str">
        <f>IF(SalesData[[#This Row],[Profit]]&gt;0,"Profit","Loss")</f>
        <v>Profit</v>
      </c>
    </row>
    <row r="2189" spans="1:14" x14ac:dyDescent="0.3">
      <c r="A2189" t="s">
        <v>2572</v>
      </c>
      <c r="B2189" s="3">
        <v>42654</v>
      </c>
      <c r="C2189" t="s">
        <v>9</v>
      </c>
      <c r="D2189" t="s">
        <v>14</v>
      </c>
      <c r="E2189" t="s">
        <v>2086</v>
      </c>
      <c r="F2189" s="1">
        <v>37.299999999999997</v>
      </c>
      <c r="G2189">
        <v>2</v>
      </c>
      <c r="H2189" s="1">
        <v>17.158000000000001</v>
      </c>
      <c r="I2189" s="4">
        <f>SalesData[[#This Row],[Profit]]/SalesData[[#This Row],[Sales]]</f>
        <v>0.46000000000000008</v>
      </c>
      <c r="J2189">
        <f>YEAR(SalesData[[#This Row],[Order Date]])</f>
        <v>2016</v>
      </c>
      <c r="K2189" t="str">
        <f>TEXT(SalesData[[#This Row],[Order Date]],"mmm")</f>
        <v>Oct</v>
      </c>
      <c r="L2189">
        <f>MONTH(SalesData[[#This Row],[Order Date]])</f>
        <v>10</v>
      </c>
      <c r="M2189">
        <f>SalesData[[#This Row],[Sales]]/SalesData[[#This Row],[Quantity]]</f>
        <v>18.649999999999999</v>
      </c>
      <c r="N2189" t="str">
        <f>IF(SalesData[[#This Row],[Profit]]&gt;0,"Profit","Loss")</f>
        <v>Profit</v>
      </c>
    </row>
    <row r="2190" spans="1:14" x14ac:dyDescent="0.3">
      <c r="A2190" t="s">
        <v>2572</v>
      </c>
      <c r="B2190" s="3">
        <v>42654</v>
      </c>
      <c r="C2190" t="s">
        <v>9</v>
      </c>
      <c r="D2190" t="s">
        <v>21</v>
      </c>
      <c r="E2190" t="s">
        <v>666</v>
      </c>
      <c r="F2190" s="1">
        <v>81.96</v>
      </c>
      <c r="G2190">
        <v>2</v>
      </c>
      <c r="H2190" s="1">
        <v>39.340800000000002</v>
      </c>
      <c r="I2190" s="4">
        <f>SalesData[[#This Row],[Profit]]/SalesData[[#This Row],[Sales]]</f>
        <v>0.48000000000000004</v>
      </c>
      <c r="J2190">
        <f>YEAR(SalesData[[#This Row],[Order Date]])</f>
        <v>2016</v>
      </c>
      <c r="K2190" t="str">
        <f>TEXT(SalesData[[#This Row],[Order Date]],"mmm")</f>
        <v>Oct</v>
      </c>
      <c r="L2190">
        <f>MONTH(SalesData[[#This Row],[Order Date]])</f>
        <v>10</v>
      </c>
      <c r="M2190">
        <f>SalesData[[#This Row],[Sales]]/SalesData[[#This Row],[Quantity]]</f>
        <v>40.98</v>
      </c>
      <c r="N2190" t="str">
        <f>IF(SalesData[[#This Row],[Profit]]&gt;0,"Profit","Loss")</f>
        <v>Profit</v>
      </c>
    </row>
    <row r="2191" spans="1:14" x14ac:dyDescent="0.3">
      <c r="A2191" t="s">
        <v>2573</v>
      </c>
      <c r="B2191" s="3">
        <v>42654</v>
      </c>
      <c r="C2191" t="s">
        <v>17</v>
      </c>
      <c r="D2191" t="s">
        <v>21</v>
      </c>
      <c r="E2191" t="s">
        <v>2574</v>
      </c>
      <c r="F2191" s="1">
        <v>20.367999999999999</v>
      </c>
      <c r="G2191">
        <v>1</v>
      </c>
      <c r="H2191" s="1">
        <v>7.3834</v>
      </c>
      <c r="I2191" s="4">
        <f>SalesData[[#This Row],[Profit]]/SalesData[[#This Row],[Sales]]</f>
        <v>0.36250000000000004</v>
      </c>
      <c r="J2191">
        <f>YEAR(SalesData[[#This Row],[Order Date]])</f>
        <v>2016</v>
      </c>
      <c r="K2191" t="str">
        <f>TEXT(SalesData[[#This Row],[Order Date]],"mmm")</f>
        <v>Oct</v>
      </c>
      <c r="L2191">
        <f>MONTH(SalesData[[#This Row],[Order Date]])</f>
        <v>10</v>
      </c>
      <c r="M2191">
        <f>SalesData[[#This Row],[Sales]]/SalesData[[#This Row],[Quantity]]</f>
        <v>20.367999999999999</v>
      </c>
      <c r="N2191" t="str">
        <f>IF(SalesData[[#This Row],[Profit]]&gt;0,"Profit","Loss")</f>
        <v>Profit</v>
      </c>
    </row>
    <row r="2192" spans="1:14" x14ac:dyDescent="0.3">
      <c r="A2192" t="s">
        <v>2573</v>
      </c>
      <c r="B2192" s="3">
        <v>42654</v>
      </c>
      <c r="C2192" t="s">
        <v>17</v>
      </c>
      <c r="D2192" t="s">
        <v>21</v>
      </c>
      <c r="E2192" t="s">
        <v>517</v>
      </c>
      <c r="F2192" s="1">
        <v>49.847999999999999</v>
      </c>
      <c r="G2192">
        <v>3</v>
      </c>
      <c r="H2192" s="1">
        <v>16.823699999999999</v>
      </c>
      <c r="I2192" s="4">
        <f>SalesData[[#This Row],[Profit]]/SalesData[[#This Row],[Sales]]</f>
        <v>0.33749999999999997</v>
      </c>
      <c r="J2192">
        <f>YEAR(SalesData[[#This Row],[Order Date]])</f>
        <v>2016</v>
      </c>
      <c r="K2192" t="str">
        <f>TEXT(SalesData[[#This Row],[Order Date]],"mmm")</f>
        <v>Oct</v>
      </c>
      <c r="L2192">
        <f>MONTH(SalesData[[#This Row],[Order Date]])</f>
        <v>10</v>
      </c>
      <c r="M2192">
        <f>SalesData[[#This Row],[Sales]]/SalesData[[#This Row],[Quantity]]</f>
        <v>16.616</v>
      </c>
      <c r="N2192" t="str">
        <f>IF(SalesData[[#This Row],[Profit]]&gt;0,"Profit","Loss")</f>
        <v>Profit</v>
      </c>
    </row>
    <row r="2193" spans="1:14" x14ac:dyDescent="0.3">
      <c r="A2193" t="s">
        <v>2575</v>
      </c>
      <c r="B2193" s="3">
        <v>42654</v>
      </c>
      <c r="C2193" t="s">
        <v>13</v>
      </c>
      <c r="D2193" t="s">
        <v>21</v>
      </c>
      <c r="E2193" t="s">
        <v>2307</v>
      </c>
      <c r="F2193" s="1">
        <v>67.709999999999994</v>
      </c>
      <c r="G2193">
        <v>3</v>
      </c>
      <c r="H2193" s="1">
        <v>32.500799999999998</v>
      </c>
      <c r="I2193" s="4">
        <f>SalesData[[#This Row],[Profit]]/SalesData[[#This Row],[Sales]]</f>
        <v>0.48000000000000004</v>
      </c>
      <c r="J2193">
        <f>YEAR(SalesData[[#This Row],[Order Date]])</f>
        <v>2016</v>
      </c>
      <c r="K2193" t="str">
        <f>TEXT(SalesData[[#This Row],[Order Date]],"mmm")</f>
        <v>Oct</v>
      </c>
      <c r="L2193">
        <f>MONTH(SalesData[[#This Row],[Order Date]])</f>
        <v>10</v>
      </c>
      <c r="M2193">
        <f>SalesData[[#This Row],[Sales]]/SalesData[[#This Row],[Quantity]]</f>
        <v>22.569999999999997</v>
      </c>
      <c r="N2193" t="str">
        <f>IF(SalesData[[#This Row],[Profit]]&gt;0,"Profit","Loss")</f>
        <v>Profit</v>
      </c>
    </row>
    <row r="2194" spans="1:14" x14ac:dyDescent="0.3">
      <c r="A2194" t="s">
        <v>2575</v>
      </c>
      <c r="B2194" s="3">
        <v>42654</v>
      </c>
      <c r="C2194" t="s">
        <v>13</v>
      </c>
      <c r="D2194" t="s">
        <v>21</v>
      </c>
      <c r="E2194" t="s">
        <v>2576</v>
      </c>
      <c r="F2194" s="1">
        <v>129.91999999999999</v>
      </c>
      <c r="G2194">
        <v>4</v>
      </c>
      <c r="H2194" s="1">
        <v>38.975999999999999</v>
      </c>
      <c r="I2194" s="4">
        <f>SalesData[[#This Row],[Profit]]/SalesData[[#This Row],[Sales]]</f>
        <v>0.30000000000000004</v>
      </c>
      <c r="J2194">
        <f>YEAR(SalesData[[#This Row],[Order Date]])</f>
        <v>2016</v>
      </c>
      <c r="K2194" t="str">
        <f>TEXT(SalesData[[#This Row],[Order Date]],"mmm")</f>
        <v>Oct</v>
      </c>
      <c r="L2194">
        <f>MONTH(SalesData[[#This Row],[Order Date]])</f>
        <v>10</v>
      </c>
      <c r="M2194">
        <f>SalesData[[#This Row],[Sales]]/SalesData[[#This Row],[Quantity]]</f>
        <v>32.479999999999997</v>
      </c>
      <c r="N2194" t="str">
        <f>IF(SalesData[[#This Row],[Profit]]&gt;0,"Profit","Loss")</f>
        <v>Profit</v>
      </c>
    </row>
    <row r="2195" spans="1:14" x14ac:dyDescent="0.3">
      <c r="A2195" t="s">
        <v>2575</v>
      </c>
      <c r="B2195" s="3">
        <v>42654</v>
      </c>
      <c r="C2195" t="s">
        <v>13</v>
      </c>
      <c r="D2195" t="s">
        <v>14</v>
      </c>
      <c r="E2195" t="s">
        <v>822</v>
      </c>
      <c r="F2195" s="1">
        <v>467.46</v>
      </c>
      <c r="G2195">
        <v>9</v>
      </c>
      <c r="H2195" s="1">
        <v>191.65860000000001</v>
      </c>
      <c r="I2195" s="4">
        <f>SalesData[[#This Row],[Profit]]/SalesData[[#This Row],[Sales]]</f>
        <v>0.41000000000000003</v>
      </c>
      <c r="J2195">
        <f>YEAR(SalesData[[#This Row],[Order Date]])</f>
        <v>2016</v>
      </c>
      <c r="K2195" t="str">
        <f>TEXT(SalesData[[#This Row],[Order Date]],"mmm")</f>
        <v>Oct</v>
      </c>
      <c r="L2195">
        <f>MONTH(SalesData[[#This Row],[Order Date]])</f>
        <v>10</v>
      </c>
      <c r="M2195">
        <f>SalesData[[#This Row],[Sales]]/SalesData[[#This Row],[Quantity]]</f>
        <v>51.94</v>
      </c>
      <c r="N2195" t="str">
        <f>IF(SalesData[[#This Row],[Profit]]&gt;0,"Profit","Loss")</f>
        <v>Profit</v>
      </c>
    </row>
    <row r="2196" spans="1:14" x14ac:dyDescent="0.3">
      <c r="A2196" t="s">
        <v>2575</v>
      </c>
      <c r="B2196" s="3">
        <v>42654</v>
      </c>
      <c r="C2196" t="s">
        <v>13</v>
      </c>
      <c r="D2196" t="s">
        <v>21</v>
      </c>
      <c r="E2196" t="s">
        <v>409</v>
      </c>
      <c r="F2196" s="1">
        <v>61.4</v>
      </c>
      <c r="G2196">
        <v>5</v>
      </c>
      <c r="H2196" s="1">
        <v>28.858000000000001</v>
      </c>
      <c r="I2196" s="4">
        <f>SalesData[[#This Row],[Profit]]/SalesData[[#This Row],[Sales]]</f>
        <v>0.47000000000000003</v>
      </c>
      <c r="J2196">
        <f>YEAR(SalesData[[#This Row],[Order Date]])</f>
        <v>2016</v>
      </c>
      <c r="K2196" t="str">
        <f>TEXT(SalesData[[#This Row],[Order Date]],"mmm")</f>
        <v>Oct</v>
      </c>
      <c r="L2196">
        <f>MONTH(SalesData[[#This Row],[Order Date]])</f>
        <v>10</v>
      </c>
      <c r="M2196">
        <f>SalesData[[#This Row],[Sales]]/SalesData[[#This Row],[Quantity]]</f>
        <v>12.28</v>
      </c>
      <c r="N2196" t="str">
        <f>IF(SalesData[[#This Row],[Profit]]&gt;0,"Profit","Loss")</f>
        <v>Profit</v>
      </c>
    </row>
    <row r="2197" spans="1:14" x14ac:dyDescent="0.3">
      <c r="A2197" t="s">
        <v>2575</v>
      </c>
      <c r="B2197" s="3">
        <v>42654</v>
      </c>
      <c r="C2197" t="s">
        <v>13</v>
      </c>
      <c r="D2197" t="s">
        <v>21</v>
      </c>
      <c r="E2197" t="s">
        <v>554</v>
      </c>
      <c r="F2197" s="1">
        <v>720.76</v>
      </c>
      <c r="G2197">
        <v>4</v>
      </c>
      <c r="H2197" s="1">
        <v>187.39760000000001</v>
      </c>
      <c r="I2197" s="4">
        <f>SalesData[[#This Row],[Profit]]/SalesData[[#This Row],[Sales]]</f>
        <v>0.26</v>
      </c>
      <c r="J2197">
        <f>YEAR(SalesData[[#This Row],[Order Date]])</f>
        <v>2016</v>
      </c>
      <c r="K2197" t="str">
        <f>TEXT(SalesData[[#This Row],[Order Date]],"mmm")</f>
        <v>Oct</v>
      </c>
      <c r="L2197">
        <f>MONTH(SalesData[[#This Row],[Order Date]])</f>
        <v>10</v>
      </c>
      <c r="M2197">
        <f>SalesData[[#This Row],[Sales]]/SalesData[[#This Row],[Quantity]]</f>
        <v>180.19</v>
      </c>
      <c r="N2197" t="str">
        <f>IF(SalesData[[#This Row],[Profit]]&gt;0,"Profit","Loss")</f>
        <v>Profit</v>
      </c>
    </row>
    <row r="2198" spans="1:14" x14ac:dyDescent="0.3">
      <c r="A2198" t="s">
        <v>2575</v>
      </c>
      <c r="B2198" s="3">
        <v>42654</v>
      </c>
      <c r="C2198" t="s">
        <v>13</v>
      </c>
      <c r="D2198" t="s">
        <v>21</v>
      </c>
      <c r="E2198" t="s">
        <v>2158</v>
      </c>
      <c r="F2198" s="1">
        <v>5.1840000000000002</v>
      </c>
      <c r="G2198">
        <v>3</v>
      </c>
      <c r="H2198" s="1">
        <v>1.8144</v>
      </c>
      <c r="I2198" s="4">
        <f>SalesData[[#This Row],[Profit]]/SalesData[[#This Row],[Sales]]</f>
        <v>0.35</v>
      </c>
      <c r="J2198">
        <f>YEAR(SalesData[[#This Row],[Order Date]])</f>
        <v>2016</v>
      </c>
      <c r="K2198" t="str">
        <f>TEXT(SalesData[[#This Row],[Order Date]],"mmm")</f>
        <v>Oct</v>
      </c>
      <c r="L2198">
        <f>MONTH(SalesData[[#This Row],[Order Date]])</f>
        <v>10</v>
      </c>
      <c r="M2198">
        <f>SalesData[[#This Row],[Sales]]/SalesData[[#This Row],[Quantity]]</f>
        <v>1.728</v>
      </c>
      <c r="N2198" t="str">
        <f>IF(SalesData[[#This Row],[Profit]]&gt;0,"Profit","Loss")</f>
        <v>Profit</v>
      </c>
    </row>
    <row r="2199" spans="1:14" x14ac:dyDescent="0.3">
      <c r="A2199" t="s">
        <v>2575</v>
      </c>
      <c r="B2199" s="3">
        <v>42654</v>
      </c>
      <c r="C2199" t="s">
        <v>13</v>
      </c>
      <c r="D2199" t="s">
        <v>21</v>
      </c>
      <c r="E2199" t="s">
        <v>2577</v>
      </c>
      <c r="F2199" s="1">
        <v>14.7</v>
      </c>
      <c r="G2199">
        <v>5</v>
      </c>
      <c r="H2199" s="1">
        <v>3.9689999999999999</v>
      </c>
      <c r="I2199" s="4">
        <f>SalesData[[#This Row],[Profit]]/SalesData[[#This Row],[Sales]]</f>
        <v>0.27</v>
      </c>
      <c r="J2199">
        <f>YEAR(SalesData[[#This Row],[Order Date]])</f>
        <v>2016</v>
      </c>
      <c r="K2199" t="str">
        <f>TEXT(SalesData[[#This Row],[Order Date]],"mmm")</f>
        <v>Oct</v>
      </c>
      <c r="L2199">
        <f>MONTH(SalesData[[#This Row],[Order Date]])</f>
        <v>10</v>
      </c>
      <c r="M2199">
        <f>SalesData[[#This Row],[Sales]]/SalesData[[#This Row],[Quantity]]</f>
        <v>2.94</v>
      </c>
      <c r="N2199" t="str">
        <f>IF(SalesData[[#This Row],[Profit]]&gt;0,"Profit","Loss")</f>
        <v>Profit</v>
      </c>
    </row>
    <row r="2200" spans="1:14" x14ac:dyDescent="0.3">
      <c r="A2200" t="s">
        <v>2578</v>
      </c>
      <c r="B2200" s="3">
        <v>42654</v>
      </c>
      <c r="C2200" t="s">
        <v>13</v>
      </c>
      <c r="D2200" t="s">
        <v>14</v>
      </c>
      <c r="E2200" t="s">
        <v>2579</v>
      </c>
      <c r="F2200" s="1">
        <v>9.98</v>
      </c>
      <c r="G2200">
        <v>1</v>
      </c>
      <c r="H2200" s="1">
        <v>2.7944</v>
      </c>
      <c r="I2200" s="4">
        <f>SalesData[[#This Row],[Profit]]/SalesData[[#This Row],[Sales]]</f>
        <v>0.27999999999999997</v>
      </c>
      <c r="J2200">
        <f>YEAR(SalesData[[#This Row],[Order Date]])</f>
        <v>2016</v>
      </c>
      <c r="K2200" t="str">
        <f>TEXT(SalesData[[#This Row],[Order Date]],"mmm")</f>
        <v>Oct</v>
      </c>
      <c r="L2200">
        <f>MONTH(SalesData[[#This Row],[Order Date]])</f>
        <v>10</v>
      </c>
      <c r="M2200">
        <f>SalesData[[#This Row],[Sales]]/SalesData[[#This Row],[Quantity]]</f>
        <v>9.98</v>
      </c>
      <c r="N2200" t="str">
        <f>IF(SalesData[[#This Row],[Profit]]&gt;0,"Profit","Loss")</f>
        <v>Profit</v>
      </c>
    </row>
    <row r="2201" spans="1:14" x14ac:dyDescent="0.3">
      <c r="A2201" t="s">
        <v>2580</v>
      </c>
      <c r="B2201" s="3">
        <v>42654</v>
      </c>
      <c r="C2201" t="s">
        <v>13</v>
      </c>
      <c r="D2201" t="s">
        <v>21</v>
      </c>
      <c r="E2201" t="s">
        <v>2550</v>
      </c>
      <c r="F2201" s="1">
        <v>29.74</v>
      </c>
      <c r="G2201">
        <v>1</v>
      </c>
      <c r="H2201" s="1">
        <v>4.4610000000000003</v>
      </c>
      <c r="I2201" s="4">
        <f>SalesData[[#This Row],[Profit]]/SalesData[[#This Row],[Sales]]</f>
        <v>0.15000000000000002</v>
      </c>
      <c r="J2201">
        <f>YEAR(SalesData[[#This Row],[Order Date]])</f>
        <v>2016</v>
      </c>
      <c r="K2201" t="str">
        <f>TEXT(SalesData[[#This Row],[Order Date]],"mmm")</f>
        <v>Oct</v>
      </c>
      <c r="L2201">
        <f>MONTH(SalesData[[#This Row],[Order Date]])</f>
        <v>10</v>
      </c>
      <c r="M2201">
        <f>SalesData[[#This Row],[Sales]]/SalesData[[#This Row],[Quantity]]</f>
        <v>29.74</v>
      </c>
      <c r="N2201" t="str">
        <f>IF(SalesData[[#This Row],[Profit]]&gt;0,"Profit","Loss")</f>
        <v>Profit</v>
      </c>
    </row>
    <row r="2202" spans="1:14" x14ac:dyDescent="0.3">
      <c r="A2202" t="s">
        <v>2581</v>
      </c>
      <c r="B2202" s="3">
        <v>42654</v>
      </c>
      <c r="C2202" t="s">
        <v>17</v>
      </c>
      <c r="D2202" t="s">
        <v>21</v>
      </c>
      <c r="E2202" t="s">
        <v>2531</v>
      </c>
      <c r="F2202" s="1">
        <v>31.103999999999999</v>
      </c>
      <c r="G2202">
        <v>6</v>
      </c>
      <c r="H2202" s="1">
        <v>10.8864</v>
      </c>
      <c r="I2202" s="4">
        <f>SalesData[[#This Row],[Profit]]/SalesData[[#This Row],[Sales]]</f>
        <v>0.35000000000000003</v>
      </c>
      <c r="J2202">
        <f>YEAR(SalesData[[#This Row],[Order Date]])</f>
        <v>2016</v>
      </c>
      <c r="K2202" t="str">
        <f>TEXT(SalesData[[#This Row],[Order Date]],"mmm")</f>
        <v>Oct</v>
      </c>
      <c r="L2202">
        <f>MONTH(SalesData[[#This Row],[Order Date]])</f>
        <v>10</v>
      </c>
      <c r="M2202">
        <f>SalesData[[#This Row],[Sales]]/SalesData[[#This Row],[Quantity]]</f>
        <v>5.1840000000000002</v>
      </c>
      <c r="N2202" t="str">
        <f>IF(SalesData[[#This Row],[Profit]]&gt;0,"Profit","Loss")</f>
        <v>Profit</v>
      </c>
    </row>
    <row r="2203" spans="1:14" x14ac:dyDescent="0.3">
      <c r="A2203" t="s">
        <v>2582</v>
      </c>
      <c r="B2203" s="3">
        <v>42654</v>
      </c>
      <c r="C2203" t="s">
        <v>9</v>
      </c>
      <c r="D2203" t="s">
        <v>10</v>
      </c>
      <c r="E2203" t="s">
        <v>1329</v>
      </c>
      <c r="F2203" s="1">
        <v>221.98</v>
      </c>
      <c r="G2203">
        <v>2</v>
      </c>
      <c r="H2203" s="1">
        <v>62.154400000000003</v>
      </c>
      <c r="I2203" s="4">
        <f>SalesData[[#This Row],[Profit]]/SalesData[[#This Row],[Sales]]</f>
        <v>0.28000000000000003</v>
      </c>
      <c r="J2203">
        <f>YEAR(SalesData[[#This Row],[Order Date]])</f>
        <v>2016</v>
      </c>
      <c r="K2203" t="str">
        <f>TEXT(SalesData[[#This Row],[Order Date]],"mmm")</f>
        <v>Oct</v>
      </c>
      <c r="L2203">
        <f>MONTH(SalesData[[#This Row],[Order Date]])</f>
        <v>10</v>
      </c>
      <c r="M2203">
        <f>SalesData[[#This Row],[Sales]]/SalesData[[#This Row],[Quantity]]</f>
        <v>110.99</v>
      </c>
      <c r="N2203" t="str">
        <f>IF(SalesData[[#This Row],[Profit]]&gt;0,"Profit","Loss")</f>
        <v>Profit</v>
      </c>
    </row>
    <row r="2204" spans="1:14" x14ac:dyDescent="0.3">
      <c r="A2204" t="s">
        <v>2582</v>
      </c>
      <c r="B2204" s="3">
        <v>42654</v>
      </c>
      <c r="C2204" t="s">
        <v>9</v>
      </c>
      <c r="D2204" t="s">
        <v>14</v>
      </c>
      <c r="E2204" t="s">
        <v>2583</v>
      </c>
      <c r="F2204" s="1">
        <v>341.96</v>
      </c>
      <c r="G2204">
        <v>2</v>
      </c>
      <c r="H2204" s="1">
        <v>54.7136</v>
      </c>
      <c r="I2204" s="4">
        <f>SalesData[[#This Row],[Profit]]/SalesData[[#This Row],[Sales]]</f>
        <v>0.16</v>
      </c>
      <c r="J2204">
        <f>YEAR(SalesData[[#This Row],[Order Date]])</f>
        <v>2016</v>
      </c>
      <c r="K2204" t="str">
        <f>TEXT(SalesData[[#This Row],[Order Date]],"mmm")</f>
        <v>Oct</v>
      </c>
      <c r="L2204">
        <f>MONTH(SalesData[[#This Row],[Order Date]])</f>
        <v>10</v>
      </c>
      <c r="M2204">
        <f>SalesData[[#This Row],[Sales]]/SalesData[[#This Row],[Quantity]]</f>
        <v>170.98</v>
      </c>
      <c r="N2204" t="str">
        <f>IF(SalesData[[#This Row],[Profit]]&gt;0,"Profit","Loss")</f>
        <v>Profit</v>
      </c>
    </row>
    <row r="2205" spans="1:14" x14ac:dyDescent="0.3">
      <c r="A2205" t="s">
        <v>2584</v>
      </c>
      <c r="B2205" s="3">
        <v>42654</v>
      </c>
      <c r="C2205" t="s">
        <v>17</v>
      </c>
      <c r="D2205" t="s">
        <v>21</v>
      </c>
      <c r="E2205" t="s">
        <v>525</v>
      </c>
      <c r="F2205" s="1">
        <v>3.64</v>
      </c>
      <c r="G2205">
        <v>1</v>
      </c>
      <c r="H2205" s="1">
        <v>1.365</v>
      </c>
      <c r="I2205" s="4">
        <f>SalesData[[#This Row],[Profit]]/SalesData[[#This Row],[Sales]]</f>
        <v>0.375</v>
      </c>
      <c r="J2205">
        <f>YEAR(SalesData[[#This Row],[Order Date]])</f>
        <v>2016</v>
      </c>
      <c r="K2205" t="str">
        <f>TEXT(SalesData[[#This Row],[Order Date]],"mmm")</f>
        <v>Oct</v>
      </c>
      <c r="L2205">
        <f>MONTH(SalesData[[#This Row],[Order Date]])</f>
        <v>10</v>
      </c>
      <c r="M2205">
        <f>SalesData[[#This Row],[Sales]]/SalesData[[#This Row],[Quantity]]</f>
        <v>3.64</v>
      </c>
      <c r="N2205" t="str">
        <f>IF(SalesData[[#This Row],[Profit]]&gt;0,"Profit","Loss")</f>
        <v>Profit</v>
      </c>
    </row>
    <row r="2206" spans="1:14" x14ac:dyDescent="0.3">
      <c r="A2206" t="s">
        <v>2584</v>
      </c>
      <c r="B2206" s="3">
        <v>42654</v>
      </c>
      <c r="C2206" t="s">
        <v>17</v>
      </c>
      <c r="D2206" t="s">
        <v>10</v>
      </c>
      <c r="E2206" t="s">
        <v>1001</v>
      </c>
      <c r="F2206" s="1">
        <v>881.93</v>
      </c>
      <c r="G2206">
        <v>7</v>
      </c>
      <c r="H2206" s="1">
        <v>220.48249999999999</v>
      </c>
      <c r="I2206" s="4">
        <f>SalesData[[#This Row],[Profit]]/SalesData[[#This Row],[Sales]]</f>
        <v>0.25</v>
      </c>
      <c r="J2206">
        <f>YEAR(SalesData[[#This Row],[Order Date]])</f>
        <v>2016</v>
      </c>
      <c r="K2206" t="str">
        <f>TEXT(SalesData[[#This Row],[Order Date]],"mmm")</f>
        <v>Oct</v>
      </c>
      <c r="L2206">
        <f>MONTH(SalesData[[#This Row],[Order Date]])</f>
        <v>10</v>
      </c>
      <c r="M2206">
        <f>SalesData[[#This Row],[Sales]]/SalesData[[#This Row],[Quantity]]</f>
        <v>125.99</v>
      </c>
      <c r="N2206" t="str">
        <f>IF(SalesData[[#This Row],[Profit]]&gt;0,"Profit","Loss")</f>
        <v>Profit</v>
      </c>
    </row>
    <row r="2207" spans="1:14" x14ac:dyDescent="0.3">
      <c r="A2207" t="s">
        <v>2585</v>
      </c>
      <c r="B2207" s="3">
        <v>42655</v>
      </c>
      <c r="C2207" t="s">
        <v>13</v>
      </c>
      <c r="D2207" t="s">
        <v>14</v>
      </c>
      <c r="E2207" t="s">
        <v>1208</v>
      </c>
      <c r="F2207" s="1">
        <v>321.56799999999998</v>
      </c>
      <c r="G2207">
        <v>2</v>
      </c>
      <c r="H2207" s="1">
        <v>28.1372</v>
      </c>
      <c r="I2207" s="4">
        <f>SalesData[[#This Row],[Profit]]/SalesData[[#This Row],[Sales]]</f>
        <v>8.7500000000000008E-2</v>
      </c>
      <c r="J2207">
        <f>YEAR(SalesData[[#This Row],[Order Date]])</f>
        <v>2016</v>
      </c>
      <c r="K2207" t="str">
        <f>TEXT(SalesData[[#This Row],[Order Date]],"mmm")</f>
        <v>Oct</v>
      </c>
      <c r="L2207">
        <f>MONTH(SalesData[[#This Row],[Order Date]])</f>
        <v>10</v>
      </c>
      <c r="M2207">
        <f>SalesData[[#This Row],[Sales]]/SalesData[[#This Row],[Quantity]]</f>
        <v>160.78399999999999</v>
      </c>
      <c r="N2207" t="str">
        <f>IF(SalesData[[#This Row],[Profit]]&gt;0,"Profit","Loss")</f>
        <v>Profit</v>
      </c>
    </row>
    <row r="2208" spans="1:14" x14ac:dyDescent="0.3">
      <c r="A2208" t="s">
        <v>2586</v>
      </c>
      <c r="B2208" s="3">
        <v>42655</v>
      </c>
      <c r="C2208" t="s">
        <v>17</v>
      </c>
      <c r="D2208" t="s">
        <v>21</v>
      </c>
      <c r="E2208" t="s">
        <v>619</v>
      </c>
      <c r="F2208" s="1">
        <v>80.58</v>
      </c>
      <c r="G2208">
        <v>6</v>
      </c>
      <c r="H2208" s="1">
        <v>22.5624</v>
      </c>
      <c r="I2208" s="4">
        <f>SalesData[[#This Row],[Profit]]/SalesData[[#This Row],[Sales]]</f>
        <v>0.28000000000000003</v>
      </c>
      <c r="J2208">
        <f>YEAR(SalesData[[#This Row],[Order Date]])</f>
        <v>2016</v>
      </c>
      <c r="K2208" t="str">
        <f>TEXT(SalesData[[#This Row],[Order Date]],"mmm")</f>
        <v>Oct</v>
      </c>
      <c r="L2208">
        <f>MONTH(SalesData[[#This Row],[Order Date]])</f>
        <v>10</v>
      </c>
      <c r="M2208">
        <f>SalesData[[#This Row],[Sales]]/SalesData[[#This Row],[Quantity]]</f>
        <v>13.43</v>
      </c>
      <c r="N2208" t="str">
        <f>IF(SalesData[[#This Row],[Profit]]&gt;0,"Profit","Loss")</f>
        <v>Profit</v>
      </c>
    </row>
    <row r="2209" spans="1:14" x14ac:dyDescent="0.3">
      <c r="A2209" t="s">
        <v>2586</v>
      </c>
      <c r="B2209" s="3">
        <v>42655</v>
      </c>
      <c r="C2209" t="s">
        <v>17</v>
      </c>
      <c r="D2209" t="s">
        <v>21</v>
      </c>
      <c r="E2209" t="s">
        <v>1317</v>
      </c>
      <c r="F2209" s="1">
        <v>361.92</v>
      </c>
      <c r="G2209">
        <v>4</v>
      </c>
      <c r="H2209" s="1">
        <v>162.864</v>
      </c>
      <c r="I2209" s="4">
        <f>SalesData[[#This Row],[Profit]]/SalesData[[#This Row],[Sales]]</f>
        <v>0.45</v>
      </c>
      <c r="J2209">
        <f>YEAR(SalesData[[#This Row],[Order Date]])</f>
        <v>2016</v>
      </c>
      <c r="K2209" t="str">
        <f>TEXT(SalesData[[#This Row],[Order Date]],"mmm")</f>
        <v>Oct</v>
      </c>
      <c r="L2209">
        <f>MONTH(SalesData[[#This Row],[Order Date]])</f>
        <v>10</v>
      </c>
      <c r="M2209">
        <f>SalesData[[#This Row],[Sales]]/SalesData[[#This Row],[Quantity]]</f>
        <v>90.48</v>
      </c>
      <c r="N2209" t="str">
        <f>IF(SalesData[[#This Row],[Profit]]&gt;0,"Profit","Loss")</f>
        <v>Profit</v>
      </c>
    </row>
    <row r="2210" spans="1:14" x14ac:dyDescent="0.3">
      <c r="A2210" t="s">
        <v>2587</v>
      </c>
      <c r="B2210" s="3">
        <v>42655</v>
      </c>
      <c r="C2210" t="s">
        <v>13</v>
      </c>
      <c r="D2210" t="s">
        <v>21</v>
      </c>
      <c r="E2210" t="s">
        <v>1262</v>
      </c>
      <c r="F2210" s="1">
        <v>153.55199999999999</v>
      </c>
      <c r="G2210">
        <v>3</v>
      </c>
      <c r="H2210" s="1">
        <v>51.823799999999999</v>
      </c>
      <c r="I2210" s="4">
        <f>SalesData[[#This Row],[Profit]]/SalesData[[#This Row],[Sales]]</f>
        <v>0.33750000000000002</v>
      </c>
      <c r="J2210">
        <f>YEAR(SalesData[[#This Row],[Order Date]])</f>
        <v>2016</v>
      </c>
      <c r="K2210" t="str">
        <f>TEXT(SalesData[[#This Row],[Order Date]],"mmm")</f>
        <v>Oct</v>
      </c>
      <c r="L2210">
        <f>MONTH(SalesData[[#This Row],[Order Date]])</f>
        <v>10</v>
      </c>
      <c r="M2210">
        <f>SalesData[[#This Row],[Sales]]/SalesData[[#This Row],[Quantity]]</f>
        <v>51.183999999999997</v>
      </c>
      <c r="N2210" t="str">
        <f>IF(SalesData[[#This Row],[Profit]]&gt;0,"Profit","Loss")</f>
        <v>Profit</v>
      </c>
    </row>
    <row r="2211" spans="1:14" x14ac:dyDescent="0.3">
      <c r="A2211" t="s">
        <v>2587</v>
      </c>
      <c r="B2211" s="3">
        <v>42655</v>
      </c>
      <c r="C2211" t="s">
        <v>13</v>
      </c>
      <c r="D2211" t="s">
        <v>21</v>
      </c>
      <c r="E2211" t="s">
        <v>2588</v>
      </c>
      <c r="F2211" s="1">
        <v>65.34</v>
      </c>
      <c r="G2211">
        <v>3</v>
      </c>
      <c r="H2211" s="1">
        <v>22.869</v>
      </c>
      <c r="I2211" s="4">
        <f>SalesData[[#This Row],[Profit]]/SalesData[[#This Row],[Sales]]</f>
        <v>0.35</v>
      </c>
      <c r="J2211">
        <f>YEAR(SalesData[[#This Row],[Order Date]])</f>
        <v>2016</v>
      </c>
      <c r="K2211" t="str">
        <f>TEXT(SalesData[[#This Row],[Order Date]],"mmm")</f>
        <v>Oct</v>
      </c>
      <c r="L2211">
        <f>MONTH(SalesData[[#This Row],[Order Date]])</f>
        <v>10</v>
      </c>
      <c r="M2211">
        <f>SalesData[[#This Row],[Sales]]/SalesData[[#This Row],[Quantity]]</f>
        <v>21.78</v>
      </c>
      <c r="N2211" t="str">
        <f>IF(SalesData[[#This Row],[Profit]]&gt;0,"Profit","Loss")</f>
        <v>Profit</v>
      </c>
    </row>
    <row r="2212" spans="1:14" x14ac:dyDescent="0.3">
      <c r="A2212" t="s">
        <v>2587</v>
      </c>
      <c r="B2212" s="3">
        <v>42655</v>
      </c>
      <c r="C2212" t="s">
        <v>13</v>
      </c>
      <c r="D2212" t="s">
        <v>21</v>
      </c>
      <c r="E2212" t="s">
        <v>1585</v>
      </c>
      <c r="F2212" s="1">
        <v>123.92</v>
      </c>
      <c r="G2212">
        <v>4</v>
      </c>
      <c r="H2212" s="1">
        <v>55.764000000000003</v>
      </c>
      <c r="I2212" s="4">
        <f>SalesData[[#This Row],[Profit]]/SalesData[[#This Row],[Sales]]</f>
        <v>0.45</v>
      </c>
      <c r="J2212">
        <f>YEAR(SalesData[[#This Row],[Order Date]])</f>
        <v>2016</v>
      </c>
      <c r="K2212" t="str">
        <f>TEXT(SalesData[[#This Row],[Order Date]],"mmm")</f>
        <v>Oct</v>
      </c>
      <c r="L2212">
        <f>MONTH(SalesData[[#This Row],[Order Date]])</f>
        <v>10</v>
      </c>
      <c r="M2212">
        <f>SalesData[[#This Row],[Sales]]/SalesData[[#This Row],[Quantity]]</f>
        <v>30.98</v>
      </c>
      <c r="N2212" t="str">
        <f>IF(SalesData[[#This Row],[Profit]]&gt;0,"Profit","Loss")</f>
        <v>Profit</v>
      </c>
    </row>
    <row r="2213" spans="1:14" x14ac:dyDescent="0.3">
      <c r="A2213" t="s">
        <v>2587</v>
      </c>
      <c r="B2213" s="3">
        <v>42655</v>
      </c>
      <c r="C2213" t="s">
        <v>13</v>
      </c>
      <c r="D2213" t="s">
        <v>21</v>
      </c>
      <c r="E2213" t="s">
        <v>2589</v>
      </c>
      <c r="F2213" s="1">
        <v>35.1</v>
      </c>
      <c r="G2213">
        <v>3</v>
      </c>
      <c r="H2213" s="1">
        <v>12.285</v>
      </c>
      <c r="I2213" s="4">
        <f>SalesData[[#This Row],[Profit]]/SalesData[[#This Row],[Sales]]</f>
        <v>0.35</v>
      </c>
      <c r="J2213">
        <f>YEAR(SalesData[[#This Row],[Order Date]])</f>
        <v>2016</v>
      </c>
      <c r="K2213" t="str">
        <f>TEXT(SalesData[[#This Row],[Order Date]],"mmm")</f>
        <v>Oct</v>
      </c>
      <c r="L2213">
        <f>MONTH(SalesData[[#This Row],[Order Date]])</f>
        <v>10</v>
      </c>
      <c r="M2213">
        <f>SalesData[[#This Row],[Sales]]/SalesData[[#This Row],[Quantity]]</f>
        <v>11.700000000000001</v>
      </c>
      <c r="N2213" t="str">
        <f>IF(SalesData[[#This Row],[Profit]]&gt;0,"Profit","Loss")</f>
        <v>Profit</v>
      </c>
    </row>
    <row r="2214" spans="1:14" x14ac:dyDescent="0.3">
      <c r="A2214" t="s">
        <v>2587</v>
      </c>
      <c r="B2214" s="3">
        <v>42655</v>
      </c>
      <c r="C2214" t="s">
        <v>13</v>
      </c>
      <c r="D2214" t="s">
        <v>10</v>
      </c>
      <c r="E2214" t="s">
        <v>179</v>
      </c>
      <c r="F2214" s="1">
        <v>44.75</v>
      </c>
      <c r="G2214">
        <v>5</v>
      </c>
      <c r="H2214" s="1">
        <v>8.5024999999999995</v>
      </c>
      <c r="I2214" s="4">
        <f>SalesData[[#This Row],[Profit]]/SalesData[[#This Row],[Sales]]</f>
        <v>0.19</v>
      </c>
      <c r="J2214">
        <f>YEAR(SalesData[[#This Row],[Order Date]])</f>
        <v>2016</v>
      </c>
      <c r="K2214" t="str">
        <f>TEXT(SalesData[[#This Row],[Order Date]],"mmm")</f>
        <v>Oct</v>
      </c>
      <c r="L2214">
        <f>MONTH(SalesData[[#This Row],[Order Date]])</f>
        <v>10</v>
      </c>
      <c r="M2214">
        <f>SalesData[[#This Row],[Sales]]/SalesData[[#This Row],[Quantity]]</f>
        <v>8.9499999999999993</v>
      </c>
      <c r="N2214" t="str">
        <f>IF(SalesData[[#This Row],[Profit]]&gt;0,"Profit","Loss")</f>
        <v>Profit</v>
      </c>
    </row>
    <row r="2215" spans="1:14" x14ac:dyDescent="0.3">
      <c r="A2215" t="s">
        <v>2590</v>
      </c>
      <c r="B2215" s="3">
        <v>42655</v>
      </c>
      <c r="C2215" t="s">
        <v>9</v>
      </c>
      <c r="D2215" t="s">
        <v>14</v>
      </c>
      <c r="E2215" t="s">
        <v>915</v>
      </c>
      <c r="F2215" s="1">
        <v>1424.9</v>
      </c>
      <c r="G2215">
        <v>5</v>
      </c>
      <c r="H2215" s="1">
        <v>356.22500000000002</v>
      </c>
      <c r="I2215" s="4">
        <f>SalesData[[#This Row],[Profit]]/SalesData[[#This Row],[Sales]]</f>
        <v>0.25</v>
      </c>
      <c r="J2215">
        <f>YEAR(SalesData[[#This Row],[Order Date]])</f>
        <v>2016</v>
      </c>
      <c r="K2215" t="str">
        <f>TEXT(SalesData[[#This Row],[Order Date]],"mmm")</f>
        <v>Oct</v>
      </c>
      <c r="L2215">
        <f>MONTH(SalesData[[#This Row],[Order Date]])</f>
        <v>10</v>
      </c>
      <c r="M2215">
        <f>SalesData[[#This Row],[Sales]]/SalesData[[#This Row],[Quantity]]</f>
        <v>284.98</v>
      </c>
      <c r="N2215" t="str">
        <f>IF(SalesData[[#This Row],[Profit]]&gt;0,"Profit","Loss")</f>
        <v>Profit</v>
      </c>
    </row>
    <row r="2216" spans="1:14" x14ac:dyDescent="0.3">
      <c r="A2216" t="s">
        <v>2591</v>
      </c>
      <c r="B2216" s="3">
        <v>42655</v>
      </c>
      <c r="C2216" t="s">
        <v>13</v>
      </c>
      <c r="D2216" t="s">
        <v>21</v>
      </c>
      <c r="E2216" t="s">
        <v>2551</v>
      </c>
      <c r="F2216" s="1">
        <v>80.28</v>
      </c>
      <c r="G2216">
        <v>12</v>
      </c>
      <c r="H2216" s="1">
        <v>36.928800000000003</v>
      </c>
      <c r="I2216" s="4">
        <f>SalesData[[#This Row],[Profit]]/SalesData[[#This Row],[Sales]]</f>
        <v>0.46</v>
      </c>
      <c r="J2216">
        <f>YEAR(SalesData[[#This Row],[Order Date]])</f>
        <v>2016</v>
      </c>
      <c r="K2216" t="str">
        <f>TEXT(SalesData[[#This Row],[Order Date]],"mmm")</f>
        <v>Oct</v>
      </c>
      <c r="L2216">
        <f>MONTH(SalesData[[#This Row],[Order Date]])</f>
        <v>10</v>
      </c>
      <c r="M2216">
        <f>SalesData[[#This Row],[Sales]]/SalesData[[#This Row],[Quantity]]</f>
        <v>6.69</v>
      </c>
      <c r="N2216" t="str">
        <f>IF(SalesData[[#This Row],[Profit]]&gt;0,"Profit","Loss")</f>
        <v>Profit</v>
      </c>
    </row>
    <row r="2217" spans="1:14" x14ac:dyDescent="0.3">
      <c r="A2217" t="s">
        <v>2592</v>
      </c>
      <c r="B2217" s="3">
        <v>42655</v>
      </c>
      <c r="C2217" t="s">
        <v>17</v>
      </c>
      <c r="D2217" t="s">
        <v>21</v>
      </c>
      <c r="E2217" t="s">
        <v>969</v>
      </c>
      <c r="F2217" s="1">
        <v>18.54</v>
      </c>
      <c r="G2217">
        <v>2</v>
      </c>
      <c r="H2217" s="1">
        <v>8.7138000000000009</v>
      </c>
      <c r="I2217" s="4">
        <f>SalesData[[#This Row],[Profit]]/SalesData[[#This Row],[Sales]]</f>
        <v>0.47000000000000008</v>
      </c>
      <c r="J2217">
        <f>YEAR(SalesData[[#This Row],[Order Date]])</f>
        <v>2016</v>
      </c>
      <c r="K2217" t="str">
        <f>TEXT(SalesData[[#This Row],[Order Date]],"mmm")</f>
        <v>Oct</v>
      </c>
      <c r="L2217">
        <f>MONTH(SalesData[[#This Row],[Order Date]])</f>
        <v>10</v>
      </c>
      <c r="M2217">
        <f>SalesData[[#This Row],[Sales]]/SalesData[[#This Row],[Quantity]]</f>
        <v>9.27</v>
      </c>
      <c r="N2217" t="str">
        <f>IF(SalesData[[#This Row],[Profit]]&gt;0,"Profit","Loss")</f>
        <v>Profit</v>
      </c>
    </row>
    <row r="2218" spans="1:14" x14ac:dyDescent="0.3">
      <c r="A2218" t="s">
        <v>2592</v>
      </c>
      <c r="B2218" s="3">
        <v>42655</v>
      </c>
      <c r="C2218" t="s">
        <v>17</v>
      </c>
      <c r="D2218" t="s">
        <v>21</v>
      </c>
      <c r="E2218" t="s">
        <v>2249</v>
      </c>
      <c r="F2218" s="1">
        <v>679.96</v>
      </c>
      <c r="G2218">
        <v>5</v>
      </c>
      <c r="H2218" s="1">
        <v>220.98699999999999</v>
      </c>
      <c r="I2218" s="4">
        <f>SalesData[[#This Row],[Profit]]/SalesData[[#This Row],[Sales]]</f>
        <v>0.32499999999999996</v>
      </c>
      <c r="J2218">
        <f>YEAR(SalesData[[#This Row],[Order Date]])</f>
        <v>2016</v>
      </c>
      <c r="K2218" t="str">
        <f>TEXT(SalesData[[#This Row],[Order Date]],"mmm")</f>
        <v>Oct</v>
      </c>
      <c r="L2218">
        <f>MONTH(SalesData[[#This Row],[Order Date]])</f>
        <v>10</v>
      </c>
      <c r="M2218">
        <f>SalesData[[#This Row],[Sales]]/SalesData[[#This Row],[Quantity]]</f>
        <v>135.99200000000002</v>
      </c>
      <c r="N2218" t="str">
        <f>IF(SalesData[[#This Row],[Profit]]&gt;0,"Profit","Loss")</f>
        <v>Profit</v>
      </c>
    </row>
    <row r="2219" spans="1:14" x14ac:dyDescent="0.3">
      <c r="A2219" t="s">
        <v>2593</v>
      </c>
      <c r="B2219" s="3">
        <v>42655</v>
      </c>
      <c r="C2219" t="s">
        <v>17</v>
      </c>
      <c r="D2219" t="s">
        <v>21</v>
      </c>
      <c r="E2219" t="s">
        <v>431</v>
      </c>
      <c r="F2219" s="1">
        <v>62.82</v>
      </c>
      <c r="G2219">
        <v>9</v>
      </c>
      <c r="H2219" s="1">
        <v>29.525400000000001</v>
      </c>
      <c r="I2219" s="4">
        <f>SalesData[[#This Row],[Profit]]/SalesData[[#This Row],[Sales]]</f>
        <v>0.47000000000000003</v>
      </c>
      <c r="J2219">
        <f>YEAR(SalesData[[#This Row],[Order Date]])</f>
        <v>2016</v>
      </c>
      <c r="K2219" t="str">
        <f>TEXT(SalesData[[#This Row],[Order Date]],"mmm")</f>
        <v>Oct</v>
      </c>
      <c r="L2219">
        <f>MONTH(SalesData[[#This Row],[Order Date]])</f>
        <v>10</v>
      </c>
      <c r="M2219">
        <f>SalesData[[#This Row],[Sales]]/SalesData[[#This Row],[Quantity]]</f>
        <v>6.98</v>
      </c>
      <c r="N2219" t="str">
        <f>IF(SalesData[[#This Row],[Profit]]&gt;0,"Profit","Loss")</f>
        <v>Profit</v>
      </c>
    </row>
    <row r="2220" spans="1:14" x14ac:dyDescent="0.3">
      <c r="A2220" t="s">
        <v>2594</v>
      </c>
      <c r="B2220" s="3">
        <v>42655</v>
      </c>
      <c r="C2220" t="s">
        <v>17</v>
      </c>
      <c r="D2220" t="s">
        <v>21</v>
      </c>
      <c r="E2220" t="s">
        <v>2595</v>
      </c>
      <c r="F2220" s="1">
        <v>6.48</v>
      </c>
      <c r="G2220">
        <v>1</v>
      </c>
      <c r="H2220" s="1">
        <v>3.1103999999999998</v>
      </c>
      <c r="I2220" s="4">
        <f>SalesData[[#This Row],[Profit]]/SalesData[[#This Row],[Sales]]</f>
        <v>0.47999999999999993</v>
      </c>
      <c r="J2220">
        <f>YEAR(SalesData[[#This Row],[Order Date]])</f>
        <v>2016</v>
      </c>
      <c r="K2220" t="str">
        <f>TEXT(SalesData[[#This Row],[Order Date]],"mmm")</f>
        <v>Oct</v>
      </c>
      <c r="L2220">
        <f>MONTH(SalesData[[#This Row],[Order Date]])</f>
        <v>10</v>
      </c>
      <c r="M2220">
        <f>SalesData[[#This Row],[Sales]]/SalesData[[#This Row],[Quantity]]</f>
        <v>6.48</v>
      </c>
      <c r="N2220" t="str">
        <f>IF(SalesData[[#This Row],[Profit]]&gt;0,"Profit","Loss")</f>
        <v>Profit</v>
      </c>
    </row>
    <row r="2221" spans="1:14" x14ac:dyDescent="0.3">
      <c r="A2221" t="s">
        <v>2596</v>
      </c>
      <c r="B2221" s="3">
        <v>42675</v>
      </c>
      <c r="C2221" t="s">
        <v>17</v>
      </c>
      <c r="D2221" t="s">
        <v>21</v>
      </c>
      <c r="E2221" t="s">
        <v>2597</v>
      </c>
      <c r="F2221" s="1">
        <v>15.552</v>
      </c>
      <c r="G2221">
        <v>3</v>
      </c>
      <c r="H2221" s="1">
        <v>5.4432</v>
      </c>
      <c r="I2221" s="4">
        <f>SalesData[[#This Row],[Profit]]/SalesData[[#This Row],[Sales]]</f>
        <v>0.35000000000000003</v>
      </c>
      <c r="J2221">
        <f>YEAR(SalesData[[#This Row],[Order Date]])</f>
        <v>2016</v>
      </c>
      <c r="K2221" t="str">
        <f>TEXT(SalesData[[#This Row],[Order Date]],"mmm")</f>
        <v>Nov</v>
      </c>
      <c r="L2221">
        <f>MONTH(SalesData[[#This Row],[Order Date]])</f>
        <v>11</v>
      </c>
      <c r="M2221">
        <f>SalesData[[#This Row],[Sales]]/SalesData[[#This Row],[Quantity]]</f>
        <v>5.1840000000000002</v>
      </c>
      <c r="N2221" t="str">
        <f>IF(SalesData[[#This Row],[Profit]]&gt;0,"Profit","Loss")</f>
        <v>Profit</v>
      </c>
    </row>
    <row r="2222" spans="1:14" x14ac:dyDescent="0.3">
      <c r="A2222" t="s">
        <v>2596</v>
      </c>
      <c r="B2222" s="3">
        <v>42675</v>
      </c>
      <c r="C2222" t="s">
        <v>17</v>
      </c>
      <c r="D2222" t="s">
        <v>21</v>
      </c>
      <c r="E2222" t="s">
        <v>1265</v>
      </c>
      <c r="F2222" s="1">
        <v>63.311999999999998</v>
      </c>
      <c r="G2222">
        <v>3</v>
      </c>
      <c r="H2222" s="1">
        <v>20.5764</v>
      </c>
      <c r="I2222" s="4">
        <f>SalesData[[#This Row],[Profit]]/SalesData[[#This Row],[Sales]]</f>
        <v>0.32500000000000001</v>
      </c>
      <c r="J2222">
        <f>YEAR(SalesData[[#This Row],[Order Date]])</f>
        <v>2016</v>
      </c>
      <c r="K2222" t="str">
        <f>TEXT(SalesData[[#This Row],[Order Date]],"mmm")</f>
        <v>Nov</v>
      </c>
      <c r="L2222">
        <f>MONTH(SalesData[[#This Row],[Order Date]])</f>
        <v>11</v>
      </c>
      <c r="M2222">
        <f>SalesData[[#This Row],[Sales]]/SalesData[[#This Row],[Quantity]]</f>
        <v>21.103999999999999</v>
      </c>
      <c r="N2222" t="str">
        <f>IF(SalesData[[#This Row],[Profit]]&gt;0,"Profit","Loss")</f>
        <v>Profit</v>
      </c>
    </row>
    <row r="2223" spans="1:14" x14ac:dyDescent="0.3">
      <c r="A2223" t="s">
        <v>2596</v>
      </c>
      <c r="B2223" s="3">
        <v>42675</v>
      </c>
      <c r="C2223" t="s">
        <v>17</v>
      </c>
      <c r="D2223" t="s">
        <v>10</v>
      </c>
      <c r="E2223" t="s">
        <v>1881</v>
      </c>
      <c r="F2223" s="1">
        <v>15.587999999999999</v>
      </c>
      <c r="G2223">
        <v>2</v>
      </c>
      <c r="H2223" s="1">
        <v>-9.8724000000000007</v>
      </c>
      <c r="I2223" s="4">
        <f>SalesData[[#This Row],[Profit]]/SalesData[[#This Row],[Sales]]</f>
        <v>-0.63333333333333341</v>
      </c>
      <c r="J2223">
        <f>YEAR(SalesData[[#This Row],[Order Date]])</f>
        <v>2016</v>
      </c>
      <c r="K2223" t="str">
        <f>TEXT(SalesData[[#This Row],[Order Date]],"mmm")</f>
        <v>Nov</v>
      </c>
      <c r="L2223">
        <f>MONTH(SalesData[[#This Row],[Order Date]])</f>
        <v>11</v>
      </c>
      <c r="M2223">
        <f>SalesData[[#This Row],[Sales]]/SalesData[[#This Row],[Quantity]]</f>
        <v>7.7939999999999996</v>
      </c>
      <c r="N2223" t="str">
        <f>IF(SalesData[[#This Row],[Profit]]&gt;0,"Profit","Loss")</f>
        <v>Loss</v>
      </c>
    </row>
    <row r="2224" spans="1:14" x14ac:dyDescent="0.3">
      <c r="A2224" t="s">
        <v>2598</v>
      </c>
      <c r="B2224" s="3">
        <v>42675</v>
      </c>
      <c r="C2224" t="s">
        <v>17</v>
      </c>
      <c r="D2224" t="s">
        <v>14</v>
      </c>
      <c r="E2224" t="s">
        <v>121</v>
      </c>
      <c r="F2224" s="1">
        <v>54.991999999999997</v>
      </c>
      <c r="G2224">
        <v>14</v>
      </c>
      <c r="H2224" s="1">
        <v>8.9361999999999995</v>
      </c>
      <c r="I2224" s="4">
        <f>SalesData[[#This Row],[Profit]]/SalesData[[#This Row],[Sales]]</f>
        <v>0.16250000000000001</v>
      </c>
      <c r="J2224">
        <f>YEAR(SalesData[[#This Row],[Order Date]])</f>
        <v>2016</v>
      </c>
      <c r="K2224" t="str">
        <f>TEXT(SalesData[[#This Row],[Order Date]],"mmm")</f>
        <v>Nov</v>
      </c>
      <c r="L2224">
        <f>MONTH(SalesData[[#This Row],[Order Date]])</f>
        <v>11</v>
      </c>
      <c r="M2224">
        <f>SalesData[[#This Row],[Sales]]/SalesData[[#This Row],[Quantity]]</f>
        <v>3.9279999999999999</v>
      </c>
      <c r="N2224" t="str">
        <f>IF(SalesData[[#This Row],[Profit]]&gt;0,"Profit","Loss")</f>
        <v>Profit</v>
      </c>
    </row>
    <row r="2225" spans="1:14" x14ac:dyDescent="0.3">
      <c r="A2225" t="s">
        <v>2599</v>
      </c>
      <c r="B2225" s="3">
        <v>42676</v>
      </c>
      <c r="C2225" t="s">
        <v>9</v>
      </c>
      <c r="D2225" t="s">
        <v>10</v>
      </c>
      <c r="E2225" t="s">
        <v>2502</v>
      </c>
      <c r="F2225" s="1">
        <v>69.930000000000007</v>
      </c>
      <c r="G2225">
        <v>7</v>
      </c>
      <c r="H2225" s="1">
        <v>0.69930000000000003</v>
      </c>
      <c r="I2225" s="4">
        <f>SalesData[[#This Row],[Profit]]/SalesData[[#This Row],[Sales]]</f>
        <v>0.01</v>
      </c>
      <c r="J2225">
        <f>YEAR(SalesData[[#This Row],[Order Date]])</f>
        <v>2016</v>
      </c>
      <c r="K2225" t="str">
        <f>TEXT(SalesData[[#This Row],[Order Date]],"mmm")</f>
        <v>Nov</v>
      </c>
      <c r="L2225">
        <f>MONTH(SalesData[[#This Row],[Order Date]])</f>
        <v>11</v>
      </c>
      <c r="M2225">
        <f>SalesData[[#This Row],[Sales]]/SalesData[[#This Row],[Quantity]]</f>
        <v>9.99</v>
      </c>
      <c r="N2225" t="str">
        <f>IF(SalesData[[#This Row],[Profit]]&gt;0,"Profit","Loss")</f>
        <v>Profit</v>
      </c>
    </row>
    <row r="2226" spans="1:14" x14ac:dyDescent="0.3">
      <c r="A2226" t="s">
        <v>2600</v>
      </c>
      <c r="B2226" s="3">
        <v>42677</v>
      </c>
      <c r="C2226" t="s">
        <v>9</v>
      </c>
      <c r="D2226" t="s">
        <v>10</v>
      </c>
      <c r="E2226" t="s">
        <v>1256</v>
      </c>
      <c r="F2226" s="1">
        <v>45.98</v>
      </c>
      <c r="G2226">
        <v>2</v>
      </c>
      <c r="H2226" s="1">
        <v>19.7714</v>
      </c>
      <c r="I2226" s="4">
        <f>SalesData[[#This Row],[Profit]]/SalesData[[#This Row],[Sales]]</f>
        <v>0.43000000000000005</v>
      </c>
      <c r="J2226">
        <f>YEAR(SalesData[[#This Row],[Order Date]])</f>
        <v>2016</v>
      </c>
      <c r="K2226" t="str">
        <f>TEXT(SalesData[[#This Row],[Order Date]],"mmm")</f>
        <v>Nov</v>
      </c>
      <c r="L2226">
        <f>MONTH(SalesData[[#This Row],[Order Date]])</f>
        <v>11</v>
      </c>
      <c r="M2226">
        <f>SalesData[[#This Row],[Sales]]/SalesData[[#This Row],[Quantity]]</f>
        <v>22.99</v>
      </c>
      <c r="N2226" t="str">
        <f>IF(SalesData[[#This Row],[Profit]]&gt;0,"Profit","Loss")</f>
        <v>Profit</v>
      </c>
    </row>
    <row r="2227" spans="1:14" x14ac:dyDescent="0.3">
      <c r="A2227" t="s">
        <v>2600</v>
      </c>
      <c r="B2227" s="3">
        <v>42677</v>
      </c>
      <c r="C2227" t="s">
        <v>9</v>
      </c>
      <c r="D2227" t="s">
        <v>21</v>
      </c>
      <c r="E2227" t="s">
        <v>760</v>
      </c>
      <c r="F2227" s="1">
        <v>17.46</v>
      </c>
      <c r="G2227">
        <v>2</v>
      </c>
      <c r="H2227" s="1">
        <v>8.2062000000000008</v>
      </c>
      <c r="I2227" s="4">
        <f>SalesData[[#This Row],[Profit]]/SalesData[[#This Row],[Sales]]</f>
        <v>0.47000000000000003</v>
      </c>
      <c r="J2227">
        <f>YEAR(SalesData[[#This Row],[Order Date]])</f>
        <v>2016</v>
      </c>
      <c r="K2227" t="str">
        <f>TEXT(SalesData[[#This Row],[Order Date]],"mmm")</f>
        <v>Nov</v>
      </c>
      <c r="L2227">
        <f>MONTH(SalesData[[#This Row],[Order Date]])</f>
        <v>11</v>
      </c>
      <c r="M2227">
        <f>SalesData[[#This Row],[Sales]]/SalesData[[#This Row],[Quantity]]</f>
        <v>8.73</v>
      </c>
      <c r="N2227" t="str">
        <f>IF(SalesData[[#This Row],[Profit]]&gt;0,"Profit","Loss")</f>
        <v>Profit</v>
      </c>
    </row>
    <row r="2228" spans="1:14" x14ac:dyDescent="0.3">
      <c r="A2228" t="s">
        <v>2601</v>
      </c>
      <c r="B2228" s="3">
        <v>42677</v>
      </c>
      <c r="C2228" t="s">
        <v>17</v>
      </c>
      <c r="D2228" t="s">
        <v>14</v>
      </c>
      <c r="E2228" t="s">
        <v>1475</v>
      </c>
      <c r="F2228" s="1">
        <v>244.006</v>
      </c>
      <c r="G2228">
        <v>2</v>
      </c>
      <c r="H2228" s="1">
        <v>-31.372199999999999</v>
      </c>
      <c r="I2228" s="4">
        <f>SalesData[[#This Row],[Profit]]/SalesData[[#This Row],[Sales]]</f>
        <v>-0.12857142857142856</v>
      </c>
      <c r="J2228">
        <f>YEAR(SalesData[[#This Row],[Order Date]])</f>
        <v>2016</v>
      </c>
      <c r="K2228" t="str">
        <f>TEXT(SalesData[[#This Row],[Order Date]],"mmm")</f>
        <v>Nov</v>
      </c>
      <c r="L2228">
        <f>MONTH(SalesData[[#This Row],[Order Date]])</f>
        <v>11</v>
      </c>
      <c r="M2228">
        <f>SalesData[[#This Row],[Sales]]/SalesData[[#This Row],[Quantity]]</f>
        <v>122.003</v>
      </c>
      <c r="N2228" t="str">
        <f>IF(SalesData[[#This Row],[Profit]]&gt;0,"Profit","Loss")</f>
        <v>Loss</v>
      </c>
    </row>
    <row r="2229" spans="1:14" x14ac:dyDescent="0.3">
      <c r="A2229" t="s">
        <v>2602</v>
      </c>
      <c r="B2229" s="3">
        <v>42677</v>
      </c>
      <c r="C2229" t="s">
        <v>46</v>
      </c>
      <c r="D2229" t="s">
        <v>14</v>
      </c>
      <c r="E2229" t="s">
        <v>595</v>
      </c>
      <c r="F2229" s="1">
        <v>76.92</v>
      </c>
      <c r="G2229">
        <v>4</v>
      </c>
      <c r="H2229" s="1">
        <v>31.537199999999999</v>
      </c>
      <c r="I2229" s="4">
        <f>SalesData[[#This Row],[Profit]]/SalesData[[#This Row],[Sales]]</f>
        <v>0.41</v>
      </c>
      <c r="J2229">
        <f>YEAR(SalesData[[#This Row],[Order Date]])</f>
        <v>2016</v>
      </c>
      <c r="K2229" t="str">
        <f>TEXT(SalesData[[#This Row],[Order Date]],"mmm")</f>
        <v>Nov</v>
      </c>
      <c r="L2229">
        <f>MONTH(SalesData[[#This Row],[Order Date]])</f>
        <v>11</v>
      </c>
      <c r="M2229">
        <f>SalesData[[#This Row],[Sales]]/SalesData[[#This Row],[Quantity]]</f>
        <v>19.23</v>
      </c>
      <c r="N2229" t="str">
        <f>IF(SalesData[[#This Row],[Profit]]&gt;0,"Profit","Loss")</f>
        <v>Profit</v>
      </c>
    </row>
    <row r="2230" spans="1:14" x14ac:dyDescent="0.3">
      <c r="A2230" t="s">
        <v>2602</v>
      </c>
      <c r="B2230" s="3">
        <v>42677</v>
      </c>
      <c r="C2230" t="s">
        <v>46</v>
      </c>
      <c r="D2230" t="s">
        <v>21</v>
      </c>
      <c r="E2230" t="s">
        <v>1230</v>
      </c>
      <c r="F2230" s="1">
        <v>481.32</v>
      </c>
      <c r="G2230">
        <v>4</v>
      </c>
      <c r="H2230" s="1">
        <v>125.14319999999999</v>
      </c>
      <c r="I2230" s="4">
        <f>SalesData[[#This Row],[Profit]]/SalesData[[#This Row],[Sales]]</f>
        <v>0.26</v>
      </c>
      <c r="J2230">
        <f>YEAR(SalesData[[#This Row],[Order Date]])</f>
        <v>2016</v>
      </c>
      <c r="K2230" t="str">
        <f>TEXT(SalesData[[#This Row],[Order Date]],"mmm")</f>
        <v>Nov</v>
      </c>
      <c r="L2230">
        <f>MONTH(SalesData[[#This Row],[Order Date]])</f>
        <v>11</v>
      </c>
      <c r="M2230">
        <f>SalesData[[#This Row],[Sales]]/SalesData[[#This Row],[Quantity]]</f>
        <v>120.33</v>
      </c>
      <c r="N2230" t="str">
        <f>IF(SalesData[[#This Row],[Profit]]&gt;0,"Profit","Loss")</f>
        <v>Profit</v>
      </c>
    </row>
    <row r="2231" spans="1:14" x14ac:dyDescent="0.3">
      <c r="A2231" t="s">
        <v>2603</v>
      </c>
      <c r="B2231" s="3">
        <v>42677</v>
      </c>
      <c r="C2231" t="s">
        <v>17</v>
      </c>
      <c r="D2231" t="s">
        <v>14</v>
      </c>
      <c r="E2231" t="s">
        <v>1340</v>
      </c>
      <c r="F2231" s="1">
        <v>30.335999999999999</v>
      </c>
      <c r="G2231">
        <v>4</v>
      </c>
      <c r="H2231" s="1">
        <v>9.48</v>
      </c>
      <c r="I2231" s="4">
        <f>SalesData[[#This Row],[Profit]]/SalesData[[#This Row],[Sales]]</f>
        <v>0.31250000000000006</v>
      </c>
      <c r="J2231">
        <f>YEAR(SalesData[[#This Row],[Order Date]])</f>
        <v>2016</v>
      </c>
      <c r="K2231" t="str">
        <f>TEXT(SalesData[[#This Row],[Order Date]],"mmm")</f>
        <v>Nov</v>
      </c>
      <c r="L2231">
        <f>MONTH(SalesData[[#This Row],[Order Date]])</f>
        <v>11</v>
      </c>
      <c r="M2231">
        <f>SalesData[[#This Row],[Sales]]/SalesData[[#This Row],[Quantity]]</f>
        <v>7.5839999999999996</v>
      </c>
      <c r="N2231" t="str">
        <f>IF(SalesData[[#This Row],[Profit]]&gt;0,"Profit","Loss")</f>
        <v>Profit</v>
      </c>
    </row>
    <row r="2232" spans="1:14" x14ac:dyDescent="0.3">
      <c r="A2232" t="s">
        <v>2604</v>
      </c>
      <c r="B2232" s="3">
        <v>42679</v>
      </c>
      <c r="C2232" t="s">
        <v>13</v>
      </c>
      <c r="D2232" t="s">
        <v>21</v>
      </c>
      <c r="E2232" t="s">
        <v>1407</v>
      </c>
      <c r="F2232" s="1">
        <v>5.98</v>
      </c>
      <c r="G2232">
        <v>1</v>
      </c>
      <c r="H2232" s="1">
        <v>2.6909999999999998</v>
      </c>
      <c r="I2232" s="4">
        <f>SalesData[[#This Row],[Profit]]/SalesData[[#This Row],[Sales]]</f>
        <v>0.44999999999999996</v>
      </c>
      <c r="J2232">
        <f>YEAR(SalesData[[#This Row],[Order Date]])</f>
        <v>2016</v>
      </c>
      <c r="K2232" t="str">
        <f>TEXT(SalesData[[#This Row],[Order Date]],"mmm")</f>
        <v>Nov</v>
      </c>
      <c r="L2232">
        <f>MONTH(SalesData[[#This Row],[Order Date]])</f>
        <v>11</v>
      </c>
      <c r="M2232">
        <f>SalesData[[#This Row],[Sales]]/SalesData[[#This Row],[Quantity]]</f>
        <v>5.98</v>
      </c>
      <c r="N2232" t="str">
        <f>IF(SalesData[[#This Row],[Profit]]&gt;0,"Profit","Loss")</f>
        <v>Profit</v>
      </c>
    </row>
    <row r="2233" spans="1:14" x14ac:dyDescent="0.3">
      <c r="A2233" t="s">
        <v>2605</v>
      </c>
      <c r="B2233" s="3">
        <v>42680</v>
      </c>
      <c r="C2233" t="s">
        <v>9</v>
      </c>
      <c r="D2233" t="s">
        <v>21</v>
      </c>
      <c r="E2233" t="s">
        <v>2188</v>
      </c>
      <c r="F2233" s="1">
        <v>1.3440000000000001</v>
      </c>
      <c r="G2233">
        <v>4</v>
      </c>
      <c r="H2233" s="1">
        <v>-2.1503999999999999</v>
      </c>
      <c r="I2233" s="4">
        <f>SalesData[[#This Row],[Profit]]/SalesData[[#This Row],[Sales]]</f>
        <v>-1.5999999999999999</v>
      </c>
      <c r="J2233">
        <f>YEAR(SalesData[[#This Row],[Order Date]])</f>
        <v>2016</v>
      </c>
      <c r="K2233" t="str">
        <f>TEXT(SalesData[[#This Row],[Order Date]],"mmm")</f>
        <v>Nov</v>
      </c>
      <c r="L2233">
        <f>MONTH(SalesData[[#This Row],[Order Date]])</f>
        <v>11</v>
      </c>
      <c r="M2233">
        <f>SalesData[[#This Row],[Sales]]/SalesData[[#This Row],[Quantity]]</f>
        <v>0.33600000000000002</v>
      </c>
      <c r="N2233" t="str">
        <f>IF(SalesData[[#This Row],[Profit]]&gt;0,"Profit","Loss")</f>
        <v>Loss</v>
      </c>
    </row>
    <row r="2234" spans="1:14" x14ac:dyDescent="0.3">
      <c r="A2234" t="s">
        <v>2605</v>
      </c>
      <c r="B2234" s="3">
        <v>42680</v>
      </c>
      <c r="C2234" t="s">
        <v>9</v>
      </c>
      <c r="D2234" t="s">
        <v>21</v>
      </c>
      <c r="E2234" t="s">
        <v>388</v>
      </c>
      <c r="F2234" s="1">
        <v>8.2720000000000002</v>
      </c>
      <c r="G2234">
        <v>4</v>
      </c>
      <c r="H2234" s="1">
        <v>-13.6488</v>
      </c>
      <c r="I2234" s="4">
        <f>SalesData[[#This Row],[Profit]]/SalesData[[#This Row],[Sales]]</f>
        <v>-1.65</v>
      </c>
      <c r="J2234">
        <f>YEAR(SalesData[[#This Row],[Order Date]])</f>
        <v>2016</v>
      </c>
      <c r="K2234" t="str">
        <f>TEXT(SalesData[[#This Row],[Order Date]],"mmm")</f>
        <v>Nov</v>
      </c>
      <c r="L2234">
        <f>MONTH(SalesData[[#This Row],[Order Date]])</f>
        <v>11</v>
      </c>
      <c r="M2234">
        <f>SalesData[[#This Row],[Sales]]/SalesData[[#This Row],[Quantity]]</f>
        <v>2.0680000000000001</v>
      </c>
      <c r="N2234" t="str">
        <f>IF(SalesData[[#This Row],[Profit]]&gt;0,"Profit","Loss")</f>
        <v>Loss</v>
      </c>
    </row>
    <row r="2235" spans="1:14" x14ac:dyDescent="0.3">
      <c r="A2235" t="s">
        <v>2605</v>
      </c>
      <c r="B2235" s="3">
        <v>42680</v>
      </c>
      <c r="C2235" t="s">
        <v>9</v>
      </c>
      <c r="D2235" t="s">
        <v>14</v>
      </c>
      <c r="E2235" t="s">
        <v>575</v>
      </c>
      <c r="F2235" s="1">
        <v>12.544</v>
      </c>
      <c r="G2235">
        <v>7</v>
      </c>
      <c r="H2235" s="1">
        <v>-9.0944000000000003</v>
      </c>
      <c r="I2235" s="4">
        <f>SalesData[[#This Row],[Profit]]/SalesData[[#This Row],[Sales]]</f>
        <v>-0.72499999999999998</v>
      </c>
      <c r="J2235">
        <f>YEAR(SalesData[[#This Row],[Order Date]])</f>
        <v>2016</v>
      </c>
      <c r="K2235" t="str">
        <f>TEXT(SalesData[[#This Row],[Order Date]],"mmm")</f>
        <v>Nov</v>
      </c>
      <c r="L2235">
        <f>MONTH(SalesData[[#This Row],[Order Date]])</f>
        <v>11</v>
      </c>
      <c r="M2235">
        <f>SalesData[[#This Row],[Sales]]/SalesData[[#This Row],[Quantity]]</f>
        <v>1.792</v>
      </c>
      <c r="N2235" t="str">
        <f>IF(SalesData[[#This Row],[Profit]]&gt;0,"Profit","Loss")</f>
        <v>Loss</v>
      </c>
    </row>
    <row r="2236" spans="1:14" x14ac:dyDescent="0.3">
      <c r="A2236" t="s">
        <v>2606</v>
      </c>
      <c r="B2236" s="3">
        <v>42680</v>
      </c>
      <c r="C2236" t="s">
        <v>17</v>
      </c>
      <c r="D2236" t="s">
        <v>10</v>
      </c>
      <c r="E2236" t="s">
        <v>1469</v>
      </c>
      <c r="F2236" s="1">
        <v>239.97</v>
      </c>
      <c r="G2236">
        <v>3</v>
      </c>
      <c r="H2236" s="1">
        <v>71.991</v>
      </c>
      <c r="I2236" s="4">
        <f>SalesData[[#This Row],[Profit]]/SalesData[[#This Row],[Sales]]</f>
        <v>0.3</v>
      </c>
      <c r="J2236">
        <f>YEAR(SalesData[[#This Row],[Order Date]])</f>
        <v>2016</v>
      </c>
      <c r="K2236" t="str">
        <f>TEXT(SalesData[[#This Row],[Order Date]],"mmm")</f>
        <v>Nov</v>
      </c>
      <c r="L2236">
        <f>MONTH(SalesData[[#This Row],[Order Date]])</f>
        <v>11</v>
      </c>
      <c r="M2236">
        <f>SalesData[[#This Row],[Sales]]/SalesData[[#This Row],[Quantity]]</f>
        <v>79.989999999999995</v>
      </c>
      <c r="N2236" t="str">
        <f>IF(SalesData[[#This Row],[Profit]]&gt;0,"Profit","Loss")</f>
        <v>Profit</v>
      </c>
    </row>
    <row r="2237" spans="1:14" x14ac:dyDescent="0.3">
      <c r="A2237" t="s">
        <v>2607</v>
      </c>
      <c r="B2237" s="3">
        <v>42680</v>
      </c>
      <c r="C2237" t="s">
        <v>13</v>
      </c>
      <c r="D2237" t="s">
        <v>21</v>
      </c>
      <c r="E2237" t="s">
        <v>1734</v>
      </c>
      <c r="F2237" s="1">
        <v>14.62</v>
      </c>
      <c r="G2237">
        <v>2</v>
      </c>
      <c r="H2237" s="1">
        <v>6.8714000000000004</v>
      </c>
      <c r="I2237" s="4">
        <f>SalesData[[#This Row],[Profit]]/SalesData[[#This Row],[Sales]]</f>
        <v>0.47000000000000003</v>
      </c>
      <c r="J2237">
        <f>YEAR(SalesData[[#This Row],[Order Date]])</f>
        <v>2016</v>
      </c>
      <c r="K2237" t="str">
        <f>TEXT(SalesData[[#This Row],[Order Date]],"mmm")</f>
        <v>Nov</v>
      </c>
      <c r="L2237">
        <f>MONTH(SalesData[[#This Row],[Order Date]])</f>
        <v>11</v>
      </c>
      <c r="M2237">
        <f>SalesData[[#This Row],[Sales]]/SalesData[[#This Row],[Quantity]]</f>
        <v>7.31</v>
      </c>
      <c r="N2237" t="str">
        <f>IF(SalesData[[#This Row],[Profit]]&gt;0,"Profit","Loss")</f>
        <v>Profit</v>
      </c>
    </row>
    <row r="2238" spans="1:14" x14ac:dyDescent="0.3">
      <c r="A2238" t="s">
        <v>2607</v>
      </c>
      <c r="B2238" s="3">
        <v>42680</v>
      </c>
      <c r="C2238" t="s">
        <v>13</v>
      </c>
      <c r="D2238" t="s">
        <v>21</v>
      </c>
      <c r="E2238" t="s">
        <v>879</v>
      </c>
      <c r="F2238" s="1">
        <v>53.984000000000002</v>
      </c>
      <c r="G2238">
        <v>14</v>
      </c>
      <c r="H2238" s="1">
        <v>17.544799999999999</v>
      </c>
      <c r="I2238" s="4">
        <f>SalesData[[#This Row],[Profit]]/SalesData[[#This Row],[Sales]]</f>
        <v>0.32499999999999996</v>
      </c>
      <c r="J2238">
        <f>YEAR(SalesData[[#This Row],[Order Date]])</f>
        <v>2016</v>
      </c>
      <c r="K2238" t="str">
        <f>TEXT(SalesData[[#This Row],[Order Date]],"mmm")</f>
        <v>Nov</v>
      </c>
      <c r="L2238">
        <f>MONTH(SalesData[[#This Row],[Order Date]])</f>
        <v>11</v>
      </c>
      <c r="M2238">
        <f>SalesData[[#This Row],[Sales]]/SalesData[[#This Row],[Quantity]]</f>
        <v>3.8560000000000003</v>
      </c>
      <c r="N2238" t="str">
        <f>IF(SalesData[[#This Row],[Profit]]&gt;0,"Profit","Loss")</f>
        <v>Profit</v>
      </c>
    </row>
    <row r="2239" spans="1:14" x14ac:dyDescent="0.3">
      <c r="A2239" t="s">
        <v>2607</v>
      </c>
      <c r="B2239" s="3">
        <v>42680</v>
      </c>
      <c r="C2239" t="s">
        <v>13</v>
      </c>
      <c r="D2239" t="s">
        <v>10</v>
      </c>
      <c r="E2239" t="s">
        <v>2608</v>
      </c>
      <c r="F2239" s="1">
        <v>389.97</v>
      </c>
      <c r="G2239">
        <v>3</v>
      </c>
      <c r="H2239" s="1">
        <v>132.5898</v>
      </c>
      <c r="I2239" s="4">
        <f>SalesData[[#This Row],[Profit]]/SalesData[[#This Row],[Sales]]</f>
        <v>0.33999999999999997</v>
      </c>
      <c r="J2239">
        <f>YEAR(SalesData[[#This Row],[Order Date]])</f>
        <v>2016</v>
      </c>
      <c r="K2239" t="str">
        <f>TEXT(SalesData[[#This Row],[Order Date]],"mmm")</f>
        <v>Nov</v>
      </c>
      <c r="L2239">
        <f>MONTH(SalesData[[#This Row],[Order Date]])</f>
        <v>11</v>
      </c>
      <c r="M2239">
        <f>SalesData[[#This Row],[Sales]]/SalesData[[#This Row],[Quantity]]</f>
        <v>129.99</v>
      </c>
      <c r="N2239" t="str">
        <f>IF(SalesData[[#This Row],[Profit]]&gt;0,"Profit","Loss")</f>
        <v>Profit</v>
      </c>
    </row>
    <row r="2240" spans="1:14" x14ac:dyDescent="0.3">
      <c r="A2240" t="s">
        <v>2609</v>
      </c>
      <c r="B2240" s="3">
        <v>42680</v>
      </c>
      <c r="C2240" t="s">
        <v>13</v>
      </c>
      <c r="D2240" t="s">
        <v>14</v>
      </c>
      <c r="E2240" t="s">
        <v>1041</v>
      </c>
      <c r="F2240" s="1">
        <v>902.71199999999999</v>
      </c>
      <c r="G2240">
        <v>3</v>
      </c>
      <c r="H2240" s="1">
        <v>33.851700000000001</v>
      </c>
      <c r="I2240" s="4">
        <f>SalesData[[#This Row],[Profit]]/SalesData[[#This Row],[Sales]]</f>
        <v>3.7499999999999999E-2</v>
      </c>
      <c r="J2240">
        <f>YEAR(SalesData[[#This Row],[Order Date]])</f>
        <v>2016</v>
      </c>
      <c r="K2240" t="str">
        <f>TEXT(SalesData[[#This Row],[Order Date]],"mmm")</f>
        <v>Nov</v>
      </c>
      <c r="L2240">
        <f>MONTH(SalesData[[#This Row],[Order Date]])</f>
        <v>11</v>
      </c>
      <c r="M2240">
        <f>SalesData[[#This Row],[Sales]]/SalesData[[#This Row],[Quantity]]</f>
        <v>300.904</v>
      </c>
      <c r="N2240" t="str">
        <f>IF(SalesData[[#This Row],[Profit]]&gt;0,"Profit","Loss")</f>
        <v>Profit</v>
      </c>
    </row>
    <row r="2241" spans="1:14" x14ac:dyDescent="0.3">
      <c r="A2241" t="s">
        <v>2610</v>
      </c>
      <c r="B2241" s="3">
        <v>42682</v>
      </c>
      <c r="C2241" t="s">
        <v>9</v>
      </c>
      <c r="D2241" t="s">
        <v>21</v>
      </c>
      <c r="E2241" t="s">
        <v>1169</v>
      </c>
      <c r="F2241" s="1">
        <v>32.4</v>
      </c>
      <c r="G2241">
        <v>5</v>
      </c>
      <c r="H2241" s="1">
        <v>15.552</v>
      </c>
      <c r="I2241" s="4">
        <f>SalesData[[#This Row],[Profit]]/SalesData[[#This Row],[Sales]]</f>
        <v>0.48</v>
      </c>
      <c r="J2241">
        <f>YEAR(SalesData[[#This Row],[Order Date]])</f>
        <v>2016</v>
      </c>
      <c r="K2241" t="str">
        <f>TEXT(SalesData[[#This Row],[Order Date]],"mmm")</f>
        <v>Nov</v>
      </c>
      <c r="L2241">
        <f>MONTH(SalesData[[#This Row],[Order Date]])</f>
        <v>11</v>
      </c>
      <c r="M2241">
        <f>SalesData[[#This Row],[Sales]]/SalesData[[#This Row],[Quantity]]</f>
        <v>6.4799999999999995</v>
      </c>
      <c r="N2241" t="str">
        <f>IF(SalesData[[#This Row],[Profit]]&gt;0,"Profit","Loss")</f>
        <v>Profit</v>
      </c>
    </row>
    <row r="2242" spans="1:14" x14ac:dyDescent="0.3">
      <c r="A2242" t="s">
        <v>2610</v>
      </c>
      <c r="B2242" s="3">
        <v>42682</v>
      </c>
      <c r="C2242" t="s">
        <v>9</v>
      </c>
      <c r="D2242" t="s">
        <v>21</v>
      </c>
      <c r="E2242" t="s">
        <v>1518</v>
      </c>
      <c r="F2242" s="1">
        <v>41.86</v>
      </c>
      <c r="G2242">
        <v>7</v>
      </c>
      <c r="H2242" s="1">
        <v>19.255600000000001</v>
      </c>
      <c r="I2242" s="4">
        <f>SalesData[[#This Row],[Profit]]/SalesData[[#This Row],[Sales]]</f>
        <v>0.46</v>
      </c>
      <c r="J2242">
        <f>YEAR(SalesData[[#This Row],[Order Date]])</f>
        <v>2016</v>
      </c>
      <c r="K2242" t="str">
        <f>TEXT(SalesData[[#This Row],[Order Date]],"mmm")</f>
        <v>Nov</v>
      </c>
      <c r="L2242">
        <f>MONTH(SalesData[[#This Row],[Order Date]])</f>
        <v>11</v>
      </c>
      <c r="M2242">
        <f>SalesData[[#This Row],[Sales]]/SalesData[[#This Row],[Quantity]]</f>
        <v>5.9799999999999995</v>
      </c>
      <c r="N2242" t="str">
        <f>IF(SalesData[[#This Row],[Profit]]&gt;0,"Profit","Loss")</f>
        <v>Profit</v>
      </c>
    </row>
    <row r="2243" spans="1:14" x14ac:dyDescent="0.3">
      <c r="A2243" t="s">
        <v>2610</v>
      </c>
      <c r="B2243" s="3">
        <v>42682</v>
      </c>
      <c r="C2243" t="s">
        <v>9</v>
      </c>
      <c r="D2243" t="s">
        <v>21</v>
      </c>
      <c r="E2243" t="s">
        <v>2611</v>
      </c>
      <c r="F2243" s="1">
        <v>77.56</v>
      </c>
      <c r="G2243">
        <v>2</v>
      </c>
      <c r="H2243" s="1">
        <v>35.677599999999998</v>
      </c>
      <c r="I2243" s="4">
        <f>SalesData[[#This Row],[Profit]]/SalesData[[#This Row],[Sales]]</f>
        <v>0.45999999999999996</v>
      </c>
      <c r="J2243">
        <f>YEAR(SalesData[[#This Row],[Order Date]])</f>
        <v>2016</v>
      </c>
      <c r="K2243" t="str">
        <f>TEXT(SalesData[[#This Row],[Order Date]],"mmm")</f>
        <v>Nov</v>
      </c>
      <c r="L2243">
        <f>MONTH(SalesData[[#This Row],[Order Date]])</f>
        <v>11</v>
      </c>
      <c r="M2243">
        <f>SalesData[[#This Row],[Sales]]/SalesData[[#This Row],[Quantity]]</f>
        <v>38.78</v>
      </c>
      <c r="N2243" t="str">
        <f>IF(SalesData[[#This Row],[Profit]]&gt;0,"Profit","Loss")</f>
        <v>Profit</v>
      </c>
    </row>
    <row r="2244" spans="1:14" x14ac:dyDescent="0.3">
      <c r="A2244" t="s">
        <v>2612</v>
      </c>
      <c r="B2244" s="3">
        <v>42683</v>
      </c>
      <c r="C2244" t="s">
        <v>13</v>
      </c>
      <c r="D2244" t="s">
        <v>21</v>
      </c>
      <c r="E2244" t="s">
        <v>1284</v>
      </c>
      <c r="F2244" s="1">
        <v>7.61</v>
      </c>
      <c r="G2244">
        <v>1</v>
      </c>
      <c r="H2244" s="1">
        <v>3.5767000000000002</v>
      </c>
      <c r="I2244" s="4">
        <f>SalesData[[#This Row],[Profit]]/SalesData[[#This Row],[Sales]]</f>
        <v>0.47000000000000003</v>
      </c>
      <c r="J2244">
        <f>YEAR(SalesData[[#This Row],[Order Date]])</f>
        <v>2016</v>
      </c>
      <c r="K2244" t="str">
        <f>TEXT(SalesData[[#This Row],[Order Date]],"mmm")</f>
        <v>Nov</v>
      </c>
      <c r="L2244">
        <f>MONTH(SalesData[[#This Row],[Order Date]])</f>
        <v>11</v>
      </c>
      <c r="M2244">
        <f>SalesData[[#This Row],[Sales]]/SalesData[[#This Row],[Quantity]]</f>
        <v>7.61</v>
      </c>
      <c r="N2244" t="str">
        <f>IF(SalesData[[#This Row],[Profit]]&gt;0,"Profit","Loss")</f>
        <v>Profit</v>
      </c>
    </row>
    <row r="2245" spans="1:14" x14ac:dyDescent="0.3">
      <c r="A2245" t="s">
        <v>2612</v>
      </c>
      <c r="B2245" s="3">
        <v>42683</v>
      </c>
      <c r="C2245" t="s">
        <v>13</v>
      </c>
      <c r="D2245" t="s">
        <v>10</v>
      </c>
      <c r="E2245" t="s">
        <v>2613</v>
      </c>
      <c r="F2245" s="1">
        <v>3347.37</v>
      </c>
      <c r="G2245">
        <v>13</v>
      </c>
      <c r="H2245" s="1">
        <v>636.00030000000004</v>
      </c>
      <c r="I2245" s="4">
        <f>SalesData[[#This Row],[Profit]]/SalesData[[#This Row],[Sales]]</f>
        <v>0.19000000000000003</v>
      </c>
      <c r="J2245">
        <f>YEAR(SalesData[[#This Row],[Order Date]])</f>
        <v>2016</v>
      </c>
      <c r="K2245" t="str">
        <f>TEXT(SalesData[[#This Row],[Order Date]],"mmm")</f>
        <v>Nov</v>
      </c>
      <c r="L2245">
        <f>MONTH(SalesData[[#This Row],[Order Date]])</f>
        <v>11</v>
      </c>
      <c r="M2245">
        <f>SalesData[[#This Row],[Sales]]/SalesData[[#This Row],[Quantity]]</f>
        <v>257.49</v>
      </c>
      <c r="N2245" t="str">
        <f>IF(SalesData[[#This Row],[Profit]]&gt;0,"Profit","Loss")</f>
        <v>Profit</v>
      </c>
    </row>
    <row r="2246" spans="1:14" x14ac:dyDescent="0.3">
      <c r="A2246" t="s">
        <v>2614</v>
      </c>
      <c r="B2246" s="3">
        <v>42683</v>
      </c>
      <c r="C2246" t="s">
        <v>17</v>
      </c>
      <c r="D2246" t="s">
        <v>21</v>
      </c>
      <c r="E2246" t="s">
        <v>2615</v>
      </c>
      <c r="F2246" s="1">
        <v>8.4480000000000004</v>
      </c>
      <c r="G2246">
        <v>2</v>
      </c>
      <c r="H2246" s="1">
        <v>2.64</v>
      </c>
      <c r="I2246" s="4">
        <f>SalesData[[#This Row],[Profit]]/SalesData[[#This Row],[Sales]]</f>
        <v>0.3125</v>
      </c>
      <c r="J2246">
        <f>YEAR(SalesData[[#This Row],[Order Date]])</f>
        <v>2016</v>
      </c>
      <c r="K2246" t="str">
        <f>TEXT(SalesData[[#This Row],[Order Date]],"mmm")</f>
        <v>Nov</v>
      </c>
      <c r="L2246">
        <f>MONTH(SalesData[[#This Row],[Order Date]])</f>
        <v>11</v>
      </c>
      <c r="M2246">
        <f>SalesData[[#This Row],[Sales]]/SalesData[[#This Row],[Quantity]]</f>
        <v>4.2240000000000002</v>
      </c>
      <c r="N2246" t="str">
        <f>IF(SalesData[[#This Row],[Profit]]&gt;0,"Profit","Loss")</f>
        <v>Profit</v>
      </c>
    </row>
    <row r="2247" spans="1:14" x14ac:dyDescent="0.3">
      <c r="A2247" t="s">
        <v>2614</v>
      </c>
      <c r="B2247" s="3">
        <v>42683</v>
      </c>
      <c r="C2247" t="s">
        <v>17</v>
      </c>
      <c r="D2247" t="s">
        <v>10</v>
      </c>
      <c r="E2247" t="s">
        <v>850</v>
      </c>
      <c r="F2247" s="1">
        <v>728.94600000000003</v>
      </c>
      <c r="G2247">
        <v>9</v>
      </c>
      <c r="H2247" s="1">
        <v>-157.9383</v>
      </c>
      <c r="I2247" s="4">
        <f>SalesData[[#This Row],[Profit]]/SalesData[[#This Row],[Sales]]</f>
        <v>-0.21666666666666665</v>
      </c>
      <c r="J2247">
        <f>YEAR(SalesData[[#This Row],[Order Date]])</f>
        <v>2016</v>
      </c>
      <c r="K2247" t="str">
        <f>TEXT(SalesData[[#This Row],[Order Date]],"mmm")</f>
        <v>Nov</v>
      </c>
      <c r="L2247">
        <f>MONTH(SalesData[[#This Row],[Order Date]])</f>
        <v>11</v>
      </c>
      <c r="M2247">
        <f>SalesData[[#This Row],[Sales]]/SalesData[[#This Row],[Quantity]]</f>
        <v>80.994</v>
      </c>
      <c r="N2247" t="str">
        <f>IF(SalesData[[#This Row],[Profit]]&gt;0,"Profit","Loss")</f>
        <v>Loss</v>
      </c>
    </row>
    <row r="2248" spans="1:14" x14ac:dyDescent="0.3">
      <c r="A2248" t="s">
        <v>2616</v>
      </c>
      <c r="B2248" s="3">
        <v>42683</v>
      </c>
      <c r="C2248" t="s">
        <v>17</v>
      </c>
      <c r="D2248" t="s">
        <v>21</v>
      </c>
      <c r="E2248" t="s">
        <v>104</v>
      </c>
      <c r="F2248" s="1">
        <v>22.428000000000001</v>
      </c>
      <c r="G2248">
        <v>3</v>
      </c>
      <c r="H2248" s="1">
        <v>-17.942399999999999</v>
      </c>
      <c r="I2248" s="4">
        <f>SalesData[[#This Row],[Profit]]/SalesData[[#This Row],[Sales]]</f>
        <v>-0.79999999999999993</v>
      </c>
      <c r="J2248">
        <f>YEAR(SalesData[[#This Row],[Order Date]])</f>
        <v>2016</v>
      </c>
      <c r="K2248" t="str">
        <f>TEXT(SalesData[[#This Row],[Order Date]],"mmm")</f>
        <v>Nov</v>
      </c>
      <c r="L2248">
        <f>MONTH(SalesData[[#This Row],[Order Date]])</f>
        <v>11</v>
      </c>
      <c r="M2248">
        <f>SalesData[[#This Row],[Sales]]/SalesData[[#This Row],[Quantity]]</f>
        <v>7.476</v>
      </c>
      <c r="N2248" t="str">
        <f>IF(SalesData[[#This Row],[Profit]]&gt;0,"Profit","Loss")</f>
        <v>Loss</v>
      </c>
    </row>
    <row r="2249" spans="1:14" x14ac:dyDescent="0.3">
      <c r="A2249" t="s">
        <v>2616</v>
      </c>
      <c r="B2249" s="3">
        <v>42683</v>
      </c>
      <c r="C2249" t="s">
        <v>17</v>
      </c>
      <c r="D2249" t="s">
        <v>21</v>
      </c>
      <c r="E2249" t="s">
        <v>255</v>
      </c>
      <c r="F2249" s="1">
        <v>37.520000000000003</v>
      </c>
      <c r="G2249">
        <v>5</v>
      </c>
      <c r="H2249" s="1">
        <v>3.7519999999999998</v>
      </c>
      <c r="I2249" s="4">
        <f>SalesData[[#This Row],[Profit]]/SalesData[[#This Row],[Sales]]</f>
        <v>9.9999999999999992E-2</v>
      </c>
      <c r="J2249">
        <f>YEAR(SalesData[[#This Row],[Order Date]])</f>
        <v>2016</v>
      </c>
      <c r="K2249" t="str">
        <f>TEXT(SalesData[[#This Row],[Order Date]],"mmm")</f>
        <v>Nov</v>
      </c>
      <c r="L2249">
        <f>MONTH(SalesData[[#This Row],[Order Date]])</f>
        <v>11</v>
      </c>
      <c r="M2249">
        <f>SalesData[[#This Row],[Sales]]/SalesData[[#This Row],[Quantity]]</f>
        <v>7.5040000000000004</v>
      </c>
      <c r="N2249" t="str">
        <f>IF(SalesData[[#This Row],[Profit]]&gt;0,"Profit","Loss")</f>
        <v>Profit</v>
      </c>
    </row>
    <row r="2250" spans="1:14" x14ac:dyDescent="0.3">
      <c r="A2250" t="s">
        <v>2617</v>
      </c>
      <c r="B2250" s="3">
        <v>42683</v>
      </c>
      <c r="C2250" t="s">
        <v>46</v>
      </c>
      <c r="D2250" t="s">
        <v>10</v>
      </c>
      <c r="E2250" t="s">
        <v>1750</v>
      </c>
      <c r="F2250" s="1">
        <v>1599.92</v>
      </c>
      <c r="G2250">
        <v>8</v>
      </c>
      <c r="H2250" s="1">
        <v>751.9624</v>
      </c>
      <c r="I2250" s="4">
        <f>SalesData[[#This Row],[Profit]]/SalesData[[#This Row],[Sales]]</f>
        <v>0.47</v>
      </c>
      <c r="J2250">
        <f>YEAR(SalesData[[#This Row],[Order Date]])</f>
        <v>2016</v>
      </c>
      <c r="K2250" t="str">
        <f>TEXT(SalesData[[#This Row],[Order Date]],"mmm")</f>
        <v>Nov</v>
      </c>
      <c r="L2250">
        <f>MONTH(SalesData[[#This Row],[Order Date]])</f>
        <v>11</v>
      </c>
      <c r="M2250">
        <f>SalesData[[#This Row],[Sales]]/SalesData[[#This Row],[Quantity]]</f>
        <v>199.99</v>
      </c>
      <c r="N2250" t="str">
        <f>IF(SalesData[[#This Row],[Profit]]&gt;0,"Profit","Loss")</f>
        <v>Profit</v>
      </c>
    </row>
    <row r="2251" spans="1:14" x14ac:dyDescent="0.3">
      <c r="A2251" t="s">
        <v>2617</v>
      </c>
      <c r="B2251" s="3">
        <v>42683</v>
      </c>
      <c r="C2251" t="s">
        <v>46</v>
      </c>
      <c r="D2251" t="s">
        <v>21</v>
      </c>
      <c r="E2251" t="s">
        <v>2396</v>
      </c>
      <c r="F2251" s="1">
        <v>11.09</v>
      </c>
      <c r="G2251">
        <v>1</v>
      </c>
      <c r="H2251" s="1">
        <v>5.4340999999999999</v>
      </c>
      <c r="I2251" s="4">
        <f>SalesData[[#This Row],[Profit]]/SalesData[[#This Row],[Sales]]</f>
        <v>0.49</v>
      </c>
      <c r="J2251">
        <f>YEAR(SalesData[[#This Row],[Order Date]])</f>
        <v>2016</v>
      </c>
      <c r="K2251" t="str">
        <f>TEXT(SalesData[[#This Row],[Order Date]],"mmm")</f>
        <v>Nov</v>
      </c>
      <c r="L2251">
        <f>MONTH(SalesData[[#This Row],[Order Date]])</f>
        <v>11</v>
      </c>
      <c r="M2251">
        <f>SalesData[[#This Row],[Sales]]/SalesData[[#This Row],[Quantity]]</f>
        <v>11.09</v>
      </c>
      <c r="N2251" t="str">
        <f>IF(SalesData[[#This Row],[Profit]]&gt;0,"Profit","Loss")</f>
        <v>Profit</v>
      </c>
    </row>
    <row r="2252" spans="1:14" x14ac:dyDescent="0.3">
      <c r="A2252" t="s">
        <v>2618</v>
      </c>
      <c r="B2252" s="3">
        <v>42683</v>
      </c>
      <c r="C2252" t="s">
        <v>13</v>
      </c>
      <c r="D2252" t="s">
        <v>21</v>
      </c>
      <c r="E2252" t="s">
        <v>945</v>
      </c>
      <c r="F2252" s="1">
        <v>332.94</v>
      </c>
      <c r="G2252">
        <v>3</v>
      </c>
      <c r="H2252" s="1">
        <v>6.6588000000000003</v>
      </c>
      <c r="I2252" s="4">
        <f>SalesData[[#This Row],[Profit]]/SalesData[[#This Row],[Sales]]</f>
        <v>0.02</v>
      </c>
      <c r="J2252">
        <f>YEAR(SalesData[[#This Row],[Order Date]])</f>
        <v>2016</v>
      </c>
      <c r="K2252" t="str">
        <f>TEXT(SalesData[[#This Row],[Order Date]],"mmm")</f>
        <v>Nov</v>
      </c>
      <c r="L2252">
        <f>MONTH(SalesData[[#This Row],[Order Date]])</f>
        <v>11</v>
      </c>
      <c r="M2252">
        <f>SalesData[[#This Row],[Sales]]/SalesData[[#This Row],[Quantity]]</f>
        <v>110.98</v>
      </c>
      <c r="N2252" t="str">
        <f>IF(SalesData[[#This Row],[Profit]]&gt;0,"Profit","Loss")</f>
        <v>Profit</v>
      </c>
    </row>
    <row r="2253" spans="1:14" x14ac:dyDescent="0.3">
      <c r="A2253" t="s">
        <v>2618</v>
      </c>
      <c r="B2253" s="3">
        <v>42683</v>
      </c>
      <c r="C2253" t="s">
        <v>13</v>
      </c>
      <c r="D2253" t="s">
        <v>21</v>
      </c>
      <c r="E2253" t="s">
        <v>104</v>
      </c>
      <c r="F2253" s="1">
        <v>39.872</v>
      </c>
      <c r="G2253">
        <v>2</v>
      </c>
      <c r="H2253" s="1">
        <v>12.958399999999999</v>
      </c>
      <c r="I2253" s="4">
        <f>SalesData[[#This Row],[Profit]]/SalesData[[#This Row],[Sales]]</f>
        <v>0.32499999999999996</v>
      </c>
      <c r="J2253">
        <f>YEAR(SalesData[[#This Row],[Order Date]])</f>
        <v>2016</v>
      </c>
      <c r="K2253" t="str">
        <f>TEXT(SalesData[[#This Row],[Order Date]],"mmm")</f>
        <v>Nov</v>
      </c>
      <c r="L2253">
        <f>MONTH(SalesData[[#This Row],[Order Date]])</f>
        <v>11</v>
      </c>
      <c r="M2253">
        <f>SalesData[[#This Row],[Sales]]/SalesData[[#This Row],[Quantity]]</f>
        <v>19.936</v>
      </c>
      <c r="N2253" t="str">
        <f>IF(SalesData[[#This Row],[Profit]]&gt;0,"Profit","Loss")</f>
        <v>Profit</v>
      </c>
    </row>
    <row r="2254" spans="1:14" x14ac:dyDescent="0.3">
      <c r="A2254" t="s">
        <v>2619</v>
      </c>
      <c r="B2254" s="3">
        <v>42683</v>
      </c>
      <c r="C2254" t="s">
        <v>9</v>
      </c>
      <c r="D2254" t="s">
        <v>10</v>
      </c>
      <c r="E2254" t="s">
        <v>2014</v>
      </c>
      <c r="F2254" s="1">
        <v>224.75</v>
      </c>
      <c r="G2254">
        <v>5</v>
      </c>
      <c r="H2254" s="1">
        <v>62.93</v>
      </c>
      <c r="I2254" s="4">
        <f>SalesData[[#This Row],[Profit]]/SalesData[[#This Row],[Sales]]</f>
        <v>0.27999999999999997</v>
      </c>
      <c r="J2254">
        <f>YEAR(SalesData[[#This Row],[Order Date]])</f>
        <v>2016</v>
      </c>
      <c r="K2254" t="str">
        <f>TEXT(SalesData[[#This Row],[Order Date]],"mmm")</f>
        <v>Nov</v>
      </c>
      <c r="L2254">
        <f>MONTH(SalesData[[#This Row],[Order Date]])</f>
        <v>11</v>
      </c>
      <c r="M2254">
        <f>SalesData[[#This Row],[Sales]]/SalesData[[#This Row],[Quantity]]</f>
        <v>44.95</v>
      </c>
      <c r="N2254" t="str">
        <f>IF(SalesData[[#This Row],[Profit]]&gt;0,"Profit","Loss")</f>
        <v>Profit</v>
      </c>
    </row>
    <row r="2255" spans="1:14" x14ac:dyDescent="0.3">
      <c r="A2255" t="s">
        <v>2620</v>
      </c>
      <c r="B2255" s="3">
        <v>42683</v>
      </c>
      <c r="C2255" t="s">
        <v>9</v>
      </c>
      <c r="D2255" t="s">
        <v>21</v>
      </c>
      <c r="E2255" t="s">
        <v>1237</v>
      </c>
      <c r="F2255" s="1">
        <v>6</v>
      </c>
      <c r="G2255">
        <v>2</v>
      </c>
      <c r="H2255" s="1">
        <v>2.1</v>
      </c>
      <c r="I2255" s="4">
        <f>SalesData[[#This Row],[Profit]]/SalesData[[#This Row],[Sales]]</f>
        <v>0.35000000000000003</v>
      </c>
      <c r="J2255">
        <f>YEAR(SalesData[[#This Row],[Order Date]])</f>
        <v>2016</v>
      </c>
      <c r="K2255" t="str">
        <f>TEXT(SalesData[[#This Row],[Order Date]],"mmm")</f>
        <v>Nov</v>
      </c>
      <c r="L2255">
        <f>MONTH(SalesData[[#This Row],[Order Date]])</f>
        <v>11</v>
      </c>
      <c r="M2255">
        <f>SalesData[[#This Row],[Sales]]/SalesData[[#This Row],[Quantity]]</f>
        <v>3</v>
      </c>
      <c r="N2255" t="str">
        <f>IF(SalesData[[#This Row],[Profit]]&gt;0,"Profit","Loss")</f>
        <v>Profit</v>
      </c>
    </row>
    <row r="2256" spans="1:14" x14ac:dyDescent="0.3">
      <c r="A2256" t="s">
        <v>2620</v>
      </c>
      <c r="B2256" s="3">
        <v>42683</v>
      </c>
      <c r="C2256" t="s">
        <v>9</v>
      </c>
      <c r="D2256" t="s">
        <v>21</v>
      </c>
      <c r="E2256" t="s">
        <v>2621</v>
      </c>
      <c r="F2256" s="1">
        <v>1.9079999999999999</v>
      </c>
      <c r="G2256">
        <v>3</v>
      </c>
      <c r="H2256" s="1">
        <v>-3.2435999999999998</v>
      </c>
      <c r="I2256" s="4">
        <f>SalesData[[#This Row],[Profit]]/SalesData[[#This Row],[Sales]]</f>
        <v>-1.7</v>
      </c>
      <c r="J2256">
        <f>YEAR(SalesData[[#This Row],[Order Date]])</f>
        <v>2016</v>
      </c>
      <c r="K2256" t="str">
        <f>TEXT(SalesData[[#This Row],[Order Date]],"mmm")</f>
        <v>Nov</v>
      </c>
      <c r="L2256">
        <f>MONTH(SalesData[[#This Row],[Order Date]])</f>
        <v>11</v>
      </c>
      <c r="M2256">
        <f>SalesData[[#This Row],[Sales]]/SalesData[[#This Row],[Quantity]]</f>
        <v>0.63600000000000001</v>
      </c>
      <c r="N2256" t="str">
        <f>IF(SalesData[[#This Row],[Profit]]&gt;0,"Profit","Loss")</f>
        <v>Loss</v>
      </c>
    </row>
    <row r="2257" spans="1:14" x14ac:dyDescent="0.3">
      <c r="A2257" t="s">
        <v>2622</v>
      </c>
      <c r="B2257" s="3">
        <v>42683</v>
      </c>
      <c r="C2257" t="s">
        <v>13</v>
      </c>
      <c r="D2257" t="s">
        <v>21</v>
      </c>
      <c r="E2257" t="s">
        <v>2623</v>
      </c>
      <c r="F2257" s="1">
        <v>2.9119999999999999</v>
      </c>
      <c r="G2257">
        <v>2</v>
      </c>
      <c r="H2257" s="1">
        <v>0.91</v>
      </c>
      <c r="I2257" s="4">
        <f>SalesData[[#This Row],[Profit]]/SalesData[[#This Row],[Sales]]</f>
        <v>0.3125</v>
      </c>
      <c r="J2257">
        <f>YEAR(SalesData[[#This Row],[Order Date]])</f>
        <v>2016</v>
      </c>
      <c r="K2257" t="str">
        <f>TEXT(SalesData[[#This Row],[Order Date]],"mmm")</f>
        <v>Nov</v>
      </c>
      <c r="L2257">
        <f>MONTH(SalesData[[#This Row],[Order Date]])</f>
        <v>11</v>
      </c>
      <c r="M2257">
        <f>SalesData[[#This Row],[Sales]]/SalesData[[#This Row],[Quantity]]</f>
        <v>1.456</v>
      </c>
      <c r="N2257" t="str">
        <f>IF(SalesData[[#This Row],[Profit]]&gt;0,"Profit","Loss")</f>
        <v>Profit</v>
      </c>
    </row>
    <row r="2258" spans="1:14" x14ac:dyDescent="0.3">
      <c r="A2258" t="s">
        <v>2622</v>
      </c>
      <c r="B2258" s="3">
        <v>42683</v>
      </c>
      <c r="C2258" t="s">
        <v>13</v>
      </c>
      <c r="D2258" t="s">
        <v>21</v>
      </c>
      <c r="E2258" t="s">
        <v>2624</v>
      </c>
      <c r="F2258" s="1">
        <v>20.736000000000001</v>
      </c>
      <c r="G2258">
        <v>4</v>
      </c>
      <c r="H2258" s="1">
        <v>7.2576000000000001</v>
      </c>
      <c r="I2258" s="4">
        <f>SalesData[[#This Row],[Profit]]/SalesData[[#This Row],[Sales]]</f>
        <v>0.35</v>
      </c>
      <c r="J2258">
        <f>YEAR(SalesData[[#This Row],[Order Date]])</f>
        <v>2016</v>
      </c>
      <c r="K2258" t="str">
        <f>TEXT(SalesData[[#This Row],[Order Date]],"mmm")</f>
        <v>Nov</v>
      </c>
      <c r="L2258">
        <f>MONTH(SalesData[[#This Row],[Order Date]])</f>
        <v>11</v>
      </c>
      <c r="M2258">
        <f>SalesData[[#This Row],[Sales]]/SalesData[[#This Row],[Quantity]]</f>
        <v>5.1840000000000002</v>
      </c>
      <c r="N2258" t="str">
        <f>IF(SalesData[[#This Row],[Profit]]&gt;0,"Profit","Loss")</f>
        <v>Profit</v>
      </c>
    </row>
    <row r="2259" spans="1:14" x14ac:dyDescent="0.3">
      <c r="A2259" t="s">
        <v>2622</v>
      </c>
      <c r="B2259" s="3">
        <v>42683</v>
      </c>
      <c r="C2259" t="s">
        <v>13</v>
      </c>
      <c r="D2259" t="s">
        <v>21</v>
      </c>
      <c r="E2259" t="s">
        <v>776</v>
      </c>
      <c r="F2259" s="1">
        <v>9.5679999999999996</v>
      </c>
      <c r="G2259">
        <v>2</v>
      </c>
      <c r="H2259" s="1">
        <v>2.99</v>
      </c>
      <c r="I2259" s="4">
        <f>SalesData[[#This Row],[Profit]]/SalesData[[#This Row],[Sales]]</f>
        <v>0.31250000000000006</v>
      </c>
      <c r="J2259">
        <f>YEAR(SalesData[[#This Row],[Order Date]])</f>
        <v>2016</v>
      </c>
      <c r="K2259" t="str">
        <f>TEXT(SalesData[[#This Row],[Order Date]],"mmm")</f>
        <v>Nov</v>
      </c>
      <c r="L2259">
        <f>MONTH(SalesData[[#This Row],[Order Date]])</f>
        <v>11</v>
      </c>
      <c r="M2259">
        <f>SalesData[[#This Row],[Sales]]/SalesData[[#This Row],[Quantity]]</f>
        <v>4.7839999999999998</v>
      </c>
      <c r="N2259" t="str">
        <f>IF(SalesData[[#This Row],[Profit]]&gt;0,"Profit","Loss")</f>
        <v>Profit</v>
      </c>
    </row>
    <row r="2260" spans="1:14" x14ac:dyDescent="0.3">
      <c r="A2260" t="s">
        <v>2625</v>
      </c>
      <c r="B2260" s="3">
        <v>42683</v>
      </c>
      <c r="C2260" t="s">
        <v>9</v>
      </c>
      <c r="D2260" t="s">
        <v>21</v>
      </c>
      <c r="E2260" t="s">
        <v>472</v>
      </c>
      <c r="F2260" s="1">
        <v>99.567999999999998</v>
      </c>
      <c r="G2260">
        <v>2</v>
      </c>
      <c r="H2260" s="1">
        <v>33.604199999999999</v>
      </c>
      <c r="I2260" s="4">
        <f>SalesData[[#This Row],[Profit]]/SalesData[[#This Row],[Sales]]</f>
        <v>0.33750000000000002</v>
      </c>
      <c r="J2260">
        <f>YEAR(SalesData[[#This Row],[Order Date]])</f>
        <v>2016</v>
      </c>
      <c r="K2260" t="str">
        <f>TEXT(SalesData[[#This Row],[Order Date]],"mmm")</f>
        <v>Nov</v>
      </c>
      <c r="L2260">
        <f>MONTH(SalesData[[#This Row],[Order Date]])</f>
        <v>11</v>
      </c>
      <c r="M2260">
        <f>SalesData[[#This Row],[Sales]]/SalesData[[#This Row],[Quantity]]</f>
        <v>49.783999999999999</v>
      </c>
      <c r="N2260" t="str">
        <f>IF(SalesData[[#This Row],[Profit]]&gt;0,"Profit","Loss")</f>
        <v>Profit</v>
      </c>
    </row>
    <row r="2261" spans="1:14" x14ac:dyDescent="0.3">
      <c r="A2261" t="s">
        <v>2626</v>
      </c>
      <c r="B2261" s="3">
        <v>42684</v>
      </c>
      <c r="C2261" t="s">
        <v>9</v>
      </c>
      <c r="D2261" t="s">
        <v>21</v>
      </c>
      <c r="E2261" t="s">
        <v>1034</v>
      </c>
      <c r="F2261" s="1">
        <v>5.3440000000000003</v>
      </c>
      <c r="G2261">
        <v>2</v>
      </c>
      <c r="H2261" s="1">
        <v>0.66800000000000004</v>
      </c>
      <c r="I2261" s="4">
        <f>SalesData[[#This Row],[Profit]]/SalesData[[#This Row],[Sales]]</f>
        <v>0.125</v>
      </c>
      <c r="J2261">
        <f>YEAR(SalesData[[#This Row],[Order Date]])</f>
        <v>2016</v>
      </c>
      <c r="K2261" t="str">
        <f>TEXT(SalesData[[#This Row],[Order Date]],"mmm")</f>
        <v>Nov</v>
      </c>
      <c r="L2261">
        <f>MONTH(SalesData[[#This Row],[Order Date]])</f>
        <v>11</v>
      </c>
      <c r="M2261">
        <f>SalesData[[#This Row],[Sales]]/SalesData[[#This Row],[Quantity]]</f>
        <v>2.6720000000000002</v>
      </c>
      <c r="N2261" t="str">
        <f>IF(SalesData[[#This Row],[Profit]]&gt;0,"Profit","Loss")</f>
        <v>Profit</v>
      </c>
    </row>
    <row r="2262" spans="1:14" x14ac:dyDescent="0.3">
      <c r="A2262" t="s">
        <v>2626</v>
      </c>
      <c r="B2262" s="3">
        <v>42684</v>
      </c>
      <c r="C2262" t="s">
        <v>9</v>
      </c>
      <c r="D2262" t="s">
        <v>21</v>
      </c>
      <c r="E2262" t="s">
        <v>2627</v>
      </c>
      <c r="F2262" s="1">
        <v>27.72</v>
      </c>
      <c r="G2262">
        <v>3</v>
      </c>
      <c r="H2262" s="1">
        <v>3.4649999999999999</v>
      </c>
      <c r="I2262" s="4">
        <f>SalesData[[#This Row],[Profit]]/SalesData[[#This Row],[Sales]]</f>
        <v>0.125</v>
      </c>
      <c r="J2262">
        <f>YEAR(SalesData[[#This Row],[Order Date]])</f>
        <v>2016</v>
      </c>
      <c r="K2262" t="str">
        <f>TEXT(SalesData[[#This Row],[Order Date]],"mmm")</f>
        <v>Nov</v>
      </c>
      <c r="L2262">
        <f>MONTH(SalesData[[#This Row],[Order Date]])</f>
        <v>11</v>
      </c>
      <c r="M2262">
        <f>SalesData[[#This Row],[Sales]]/SalesData[[#This Row],[Quantity]]</f>
        <v>9.24</v>
      </c>
      <c r="N2262" t="str">
        <f>IF(SalesData[[#This Row],[Profit]]&gt;0,"Profit","Loss")</f>
        <v>Profit</v>
      </c>
    </row>
    <row r="2263" spans="1:14" x14ac:dyDescent="0.3">
      <c r="A2263" t="s">
        <v>2628</v>
      </c>
      <c r="B2263" s="3">
        <v>42685</v>
      </c>
      <c r="C2263" t="s">
        <v>17</v>
      </c>
      <c r="D2263" t="s">
        <v>10</v>
      </c>
      <c r="E2263" t="s">
        <v>2629</v>
      </c>
      <c r="F2263" s="1">
        <v>59.97</v>
      </c>
      <c r="G2263">
        <v>3</v>
      </c>
      <c r="H2263" s="1">
        <v>14.9925</v>
      </c>
      <c r="I2263" s="4">
        <f>SalesData[[#This Row],[Profit]]/SalesData[[#This Row],[Sales]]</f>
        <v>0.25</v>
      </c>
      <c r="J2263">
        <f>YEAR(SalesData[[#This Row],[Order Date]])</f>
        <v>2016</v>
      </c>
      <c r="K2263" t="str">
        <f>TEXT(SalesData[[#This Row],[Order Date]],"mmm")</f>
        <v>Nov</v>
      </c>
      <c r="L2263">
        <f>MONTH(SalesData[[#This Row],[Order Date]])</f>
        <v>11</v>
      </c>
      <c r="M2263">
        <f>SalesData[[#This Row],[Sales]]/SalesData[[#This Row],[Quantity]]</f>
        <v>19.989999999999998</v>
      </c>
      <c r="N2263" t="str">
        <f>IF(SalesData[[#This Row],[Profit]]&gt;0,"Profit","Loss")</f>
        <v>Profit</v>
      </c>
    </row>
    <row r="2264" spans="1:14" x14ac:dyDescent="0.3">
      <c r="A2264" t="s">
        <v>2628</v>
      </c>
      <c r="B2264" s="3">
        <v>42685</v>
      </c>
      <c r="C2264" t="s">
        <v>17</v>
      </c>
      <c r="D2264" t="s">
        <v>21</v>
      </c>
      <c r="E2264" t="s">
        <v>38</v>
      </c>
      <c r="F2264" s="1">
        <v>83.36</v>
      </c>
      <c r="G2264">
        <v>1</v>
      </c>
      <c r="H2264" s="1">
        <v>20.84</v>
      </c>
      <c r="I2264" s="4">
        <f>SalesData[[#This Row],[Profit]]/SalesData[[#This Row],[Sales]]</f>
        <v>0.25</v>
      </c>
      <c r="J2264">
        <f>YEAR(SalesData[[#This Row],[Order Date]])</f>
        <v>2016</v>
      </c>
      <c r="K2264" t="str">
        <f>TEXT(SalesData[[#This Row],[Order Date]],"mmm")</f>
        <v>Nov</v>
      </c>
      <c r="L2264">
        <f>MONTH(SalesData[[#This Row],[Order Date]])</f>
        <v>11</v>
      </c>
      <c r="M2264">
        <f>SalesData[[#This Row],[Sales]]/SalesData[[#This Row],[Quantity]]</f>
        <v>83.36</v>
      </c>
      <c r="N2264" t="str">
        <f>IF(SalesData[[#This Row],[Profit]]&gt;0,"Profit","Loss")</f>
        <v>Profit</v>
      </c>
    </row>
    <row r="2265" spans="1:14" x14ac:dyDescent="0.3">
      <c r="A2265" t="s">
        <v>2630</v>
      </c>
      <c r="B2265" s="3">
        <v>42685</v>
      </c>
      <c r="C2265" t="s">
        <v>9</v>
      </c>
      <c r="D2265" t="s">
        <v>10</v>
      </c>
      <c r="E2265" t="s">
        <v>294</v>
      </c>
      <c r="F2265" s="1">
        <v>95.968000000000004</v>
      </c>
      <c r="G2265">
        <v>4</v>
      </c>
      <c r="H2265" s="1">
        <v>1.1996</v>
      </c>
      <c r="I2265" s="4">
        <f>SalesData[[#This Row],[Profit]]/SalesData[[#This Row],[Sales]]</f>
        <v>1.2499999999999999E-2</v>
      </c>
      <c r="J2265">
        <f>YEAR(SalesData[[#This Row],[Order Date]])</f>
        <v>2016</v>
      </c>
      <c r="K2265" t="str">
        <f>TEXT(SalesData[[#This Row],[Order Date]],"mmm")</f>
        <v>Nov</v>
      </c>
      <c r="L2265">
        <f>MONTH(SalesData[[#This Row],[Order Date]])</f>
        <v>11</v>
      </c>
      <c r="M2265">
        <f>SalesData[[#This Row],[Sales]]/SalesData[[#This Row],[Quantity]]</f>
        <v>23.992000000000001</v>
      </c>
      <c r="N2265" t="str">
        <f>IF(SalesData[[#This Row],[Profit]]&gt;0,"Profit","Loss")</f>
        <v>Profit</v>
      </c>
    </row>
    <row r="2266" spans="1:14" x14ac:dyDescent="0.3">
      <c r="A2266" t="s">
        <v>2630</v>
      </c>
      <c r="B2266" s="3">
        <v>42685</v>
      </c>
      <c r="C2266" t="s">
        <v>9</v>
      </c>
      <c r="D2266" t="s">
        <v>14</v>
      </c>
      <c r="E2266" t="s">
        <v>1752</v>
      </c>
      <c r="F2266" s="1">
        <v>47.991999999999997</v>
      </c>
      <c r="G2266">
        <v>2</v>
      </c>
      <c r="H2266" s="1">
        <v>-2.0568</v>
      </c>
      <c r="I2266" s="4">
        <f>SalesData[[#This Row],[Profit]]/SalesData[[#This Row],[Sales]]</f>
        <v>-4.2857142857142858E-2</v>
      </c>
      <c r="J2266">
        <f>YEAR(SalesData[[#This Row],[Order Date]])</f>
        <v>2016</v>
      </c>
      <c r="K2266" t="str">
        <f>TEXT(SalesData[[#This Row],[Order Date]],"mmm")</f>
        <v>Nov</v>
      </c>
      <c r="L2266">
        <f>MONTH(SalesData[[#This Row],[Order Date]])</f>
        <v>11</v>
      </c>
      <c r="M2266">
        <f>SalesData[[#This Row],[Sales]]/SalesData[[#This Row],[Quantity]]</f>
        <v>23.995999999999999</v>
      </c>
      <c r="N2266" t="str">
        <f>IF(SalesData[[#This Row],[Profit]]&gt;0,"Profit","Loss")</f>
        <v>Loss</v>
      </c>
    </row>
    <row r="2267" spans="1:14" x14ac:dyDescent="0.3">
      <c r="A2267" t="s">
        <v>2631</v>
      </c>
      <c r="B2267" s="3">
        <v>42685</v>
      </c>
      <c r="C2267" t="s">
        <v>9</v>
      </c>
      <c r="D2267" t="s">
        <v>10</v>
      </c>
      <c r="E2267" t="s">
        <v>1533</v>
      </c>
      <c r="F2267" s="1">
        <v>257.98</v>
      </c>
      <c r="G2267">
        <v>2</v>
      </c>
      <c r="H2267" s="1">
        <v>74.8142</v>
      </c>
      <c r="I2267" s="4">
        <f>SalesData[[#This Row],[Profit]]/SalesData[[#This Row],[Sales]]</f>
        <v>0.28999999999999998</v>
      </c>
      <c r="J2267">
        <f>YEAR(SalesData[[#This Row],[Order Date]])</f>
        <v>2016</v>
      </c>
      <c r="K2267" t="str">
        <f>TEXT(SalesData[[#This Row],[Order Date]],"mmm")</f>
        <v>Nov</v>
      </c>
      <c r="L2267">
        <f>MONTH(SalesData[[#This Row],[Order Date]])</f>
        <v>11</v>
      </c>
      <c r="M2267">
        <f>SalesData[[#This Row],[Sales]]/SalesData[[#This Row],[Quantity]]</f>
        <v>128.99</v>
      </c>
      <c r="N2267" t="str">
        <f>IF(SalesData[[#This Row],[Profit]]&gt;0,"Profit","Loss")</f>
        <v>Profit</v>
      </c>
    </row>
    <row r="2268" spans="1:14" x14ac:dyDescent="0.3">
      <c r="A2268" t="s">
        <v>2632</v>
      </c>
      <c r="B2268" s="3">
        <v>42685</v>
      </c>
      <c r="C2268" t="s">
        <v>13</v>
      </c>
      <c r="D2268" t="s">
        <v>14</v>
      </c>
      <c r="E2268" t="s">
        <v>333</v>
      </c>
      <c r="F2268" s="1">
        <v>6.96</v>
      </c>
      <c r="G2268">
        <v>4</v>
      </c>
      <c r="H2268" s="1">
        <v>2.2271999999999998</v>
      </c>
      <c r="I2268" s="4">
        <f>SalesData[[#This Row],[Profit]]/SalesData[[#This Row],[Sales]]</f>
        <v>0.32</v>
      </c>
      <c r="J2268">
        <f>YEAR(SalesData[[#This Row],[Order Date]])</f>
        <v>2016</v>
      </c>
      <c r="K2268" t="str">
        <f>TEXT(SalesData[[#This Row],[Order Date]],"mmm")</f>
        <v>Nov</v>
      </c>
      <c r="L2268">
        <f>MONTH(SalesData[[#This Row],[Order Date]])</f>
        <v>11</v>
      </c>
      <c r="M2268">
        <f>SalesData[[#This Row],[Sales]]/SalesData[[#This Row],[Quantity]]</f>
        <v>1.74</v>
      </c>
      <c r="N2268" t="str">
        <f>IF(SalesData[[#This Row],[Profit]]&gt;0,"Profit","Loss")</f>
        <v>Profit</v>
      </c>
    </row>
    <row r="2269" spans="1:14" x14ac:dyDescent="0.3">
      <c r="A2269" t="s">
        <v>2633</v>
      </c>
      <c r="B2269" s="3">
        <v>42685</v>
      </c>
      <c r="C2269" t="s">
        <v>46</v>
      </c>
      <c r="D2269" t="s">
        <v>21</v>
      </c>
      <c r="E2269" t="s">
        <v>350</v>
      </c>
      <c r="F2269" s="1">
        <v>9.8879999999999999</v>
      </c>
      <c r="G2269">
        <v>2</v>
      </c>
      <c r="H2269" s="1">
        <v>-6.9215999999999998</v>
      </c>
      <c r="I2269" s="4">
        <f>SalesData[[#This Row],[Profit]]/SalesData[[#This Row],[Sales]]</f>
        <v>-0.7</v>
      </c>
      <c r="J2269">
        <f>YEAR(SalesData[[#This Row],[Order Date]])</f>
        <v>2016</v>
      </c>
      <c r="K2269" t="str">
        <f>TEXT(SalesData[[#This Row],[Order Date]],"mmm")</f>
        <v>Nov</v>
      </c>
      <c r="L2269">
        <f>MONTH(SalesData[[#This Row],[Order Date]])</f>
        <v>11</v>
      </c>
      <c r="M2269">
        <f>SalesData[[#This Row],[Sales]]/SalesData[[#This Row],[Quantity]]</f>
        <v>4.944</v>
      </c>
      <c r="N2269" t="str">
        <f>IF(SalesData[[#This Row],[Profit]]&gt;0,"Profit","Loss")</f>
        <v>Loss</v>
      </c>
    </row>
    <row r="2270" spans="1:14" x14ac:dyDescent="0.3">
      <c r="A2270" t="s">
        <v>2633</v>
      </c>
      <c r="B2270" s="3">
        <v>42685</v>
      </c>
      <c r="C2270" t="s">
        <v>46</v>
      </c>
      <c r="D2270" t="s">
        <v>21</v>
      </c>
      <c r="E2270" t="s">
        <v>2634</v>
      </c>
      <c r="F2270" s="1">
        <v>671.54399999999998</v>
      </c>
      <c r="G2270">
        <v>3</v>
      </c>
      <c r="H2270" s="1">
        <v>50.3658</v>
      </c>
      <c r="I2270" s="4">
        <f>SalesData[[#This Row],[Profit]]/SalesData[[#This Row],[Sales]]</f>
        <v>7.4999999999999997E-2</v>
      </c>
      <c r="J2270">
        <f>YEAR(SalesData[[#This Row],[Order Date]])</f>
        <v>2016</v>
      </c>
      <c r="K2270" t="str">
        <f>TEXT(SalesData[[#This Row],[Order Date]],"mmm")</f>
        <v>Nov</v>
      </c>
      <c r="L2270">
        <f>MONTH(SalesData[[#This Row],[Order Date]])</f>
        <v>11</v>
      </c>
      <c r="M2270">
        <f>SalesData[[#This Row],[Sales]]/SalesData[[#This Row],[Quantity]]</f>
        <v>223.84799999999998</v>
      </c>
      <c r="N2270" t="str">
        <f>IF(SalesData[[#This Row],[Profit]]&gt;0,"Profit","Loss")</f>
        <v>Profit</v>
      </c>
    </row>
    <row r="2271" spans="1:14" x14ac:dyDescent="0.3">
      <c r="A2271" t="s">
        <v>2635</v>
      </c>
      <c r="B2271" s="3">
        <v>42685</v>
      </c>
      <c r="C2271" t="s">
        <v>17</v>
      </c>
      <c r="D2271" t="s">
        <v>21</v>
      </c>
      <c r="E2271" t="s">
        <v>255</v>
      </c>
      <c r="F2271" s="1">
        <v>28.14</v>
      </c>
      <c r="G2271">
        <v>3</v>
      </c>
      <c r="H2271" s="1">
        <v>7.8792</v>
      </c>
      <c r="I2271" s="4">
        <f>SalesData[[#This Row],[Profit]]/SalesData[[#This Row],[Sales]]</f>
        <v>0.27999999999999997</v>
      </c>
      <c r="J2271">
        <f>YEAR(SalesData[[#This Row],[Order Date]])</f>
        <v>2016</v>
      </c>
      <c r="K2271" t="str">
        <f>TEXT(SalesData[[#This Row],[Order Date]],"mmm")</f>
        <v>Nov</v>
      </c>
      <c r="L2271">
        <f>MONTH(SalesData[[#This Row],[Order Date]])</f>
        <v>11</v>
      </c>
      <c r="M2271">
        <f>SalesData[[#This Row],[Sales]]/SalesData[[#This Row],[Quantity]]</f>
        <v>9.3800000000000008</v>
      </c>
      <c r="N2271" t="str">
        <f>IF(SalesData[[#This Row],[Profit]]&gt;0,"Profit","Loss")</f>
        <v>Profit</v>
      </c>
    </row>
    <row r="2272" spans="1:14" x14ac:dyDescent="0.3">
      <c r="A2272" t="s">
        <v>2635</v>
      </c>
      <c r="B2272" s="3">
        <v>42685</v>
      </c>
      <c r="C2272" t="s">
        <v>17</v>
      </c>
      <c r="D2272" t="s">
        <v>10</v>
      </c>
      <c r="E2272" t="s">
        <v>1506</v>
      </c>
      <c r="F2272" s="1">
        <v>36</v>
      </c>
      <c r="G2272">
        <v>2</v>
      </c>
      <c r="H2272" s="1">
        <v>6.48</v>
      </c>
      <c r="I2272" s="4">
        <f>SalesData[[#This Row],[Profit]]/SalesData[[#This Row],[Sales]]</f>
        <v>0.18000000000000002</v>
      </c>
      <c r="J2272">
        <f>YEAR(SalesData[[#This Row],[Order Date]])</f>
        <v>2016</v>
      </c>
      <c r="K2272" t="str">
        <f>TEXT(SalesData[[#This Row],[Order Date]],"mmm")</f>
        <v>Nov</v>
      </c>
      <c r="L2272">
        <f>MONTH(SalesData[[#This Row],[Order Date]])</f>
        <v>11</v>
      </c>
      <c r="M2272">
        <f>SalesData[[#This Row],[Sales]]/SalesData[[#This Row],[Quantity]]</f>
        <v>18</v>
      </c>
      <c r="N2272" t="str">
        <f>IF(SalesData[[#This Row],[Profit]]&gt;0,"Profit","Loss")</f>
        <v>Profit</v>
      </c>
    </row>
    <row r="2273" spans="1:14" x14ac:dyDescent="0.3">
      <c r="A2273" t="s">
        <v>2635</v>
      </c>
      <c r="B2273" s="3">
        <v>42685</v>
      </c>
      <c r="C2273" t="s">
        <v>17</v>
      </c>
      <c r="D2273" t="s">
        <v>21</v>
      </c>
      <c r="E2273" t="s">
        <v>2636</v>
      </c>
      <c r="F2273" s="1">
        <v>92.94</v>
      </c>
      <c r="G2273">
        <v>3</v>
      </c>
      <c r="H2273" s="1">
        <v>25.093800000000002</v>
      </c>
      <c r="I2273" s="4">
        <f>SalesData[[#This Row],[Profit]]/SalesData[[#This Row],[Sales]]</f>
        <v>0.27</v>
      </c>
      <c r="J2273">
        <f>YEAR(SalesData[[#This Row],[Order Date]])</f>
        <v>2016</v>
      </c>
      <c r="K2273" t="str">
        <f>TEXT(SalesData[[#This Row],[Order Date]],"mmm")</f>
        <v>Nov</v>
      </c>
      <c r="L2273">
        <f>MONTH(SalesData[[#This Row],[Order Date]])</f>
        <v>11</v>
      </c>
      <c r="M2273">
        <f>SalesData[[#This Row],[Sales]]/SalesData[[#This Row],[Quantity]]</f>
        <v>30.98</v>
      </c>
      <c r="N2273" t="str">
        <f>IF(SalesData[[#This Row],[Profit]]&gt;0,"Profit","Loss")</f>
        <v>Profit</v>
      </c>
    </row>
    <row r="2274" spans="1:14" x14ac:dyDescent="0.3">
      <c r="A2274" t="s">
        <v>2635</v>
      </c>
      <c r="B2274" s="3">
        <v>42685</v>
      </c>
      <c r="C2274" t="s">
        <v>17</v>
      </c>
      <c r="D2274" t="s">
        <v>14</v>
      </c>
      <c r="E2274" t="s">
        <v>1144</v>
      </c>
      <c r="F2274" s="1">
        <v>245.64599999999999</v>
      </c>
      <c r="G2274">
        <v>3</v>
      </c>
      <c r="H2274" s="1">
        <v>8.1882000000000001</v>
      </c>
      <c r="I2274" s="4">
        <f>SalesData[[#This Row],[Profit]]/SalesData[[#This Row],[Sales]]</f>
        <v>3.3333333333333333E-2</v>
      </c>
      <c r="J2274">
        <f>YEAR(SalesData[[#This Row],[Order Date]])</f>
        <v>2016</v>
      </c>
      <c r="K2274" t="str">
        <f>TEXT(SalesData[[#This Row],[Order Date]],"mmm")</f>
        <v>Nov</v>
      </c>
      <c r="L2274">
        <f>MONTH(SalesData[[#This Row],[Order Date]])</f>
        <v>11</v>
      </c>
      <c r="M2274">
        <f>SalesData[[#This Row],[Sales]]/SalesData[[#This Row],[Quantity]]</f>
        <v>81.881999999999991</v>
      </c>
      <c r="N2274" t="str">
        <f>IF(SalesData[[#This Row],[Profit]]&gt;0,"Profit","Loss")</f>
        <v>Profit</v>
      </c>
    </row>
    <row r="2275" spans="1:14" x14ac:dyDescent="0.3">
      <c r="A2275" t="s">
        <v>2635</v>
      </c>
      <c r="B2275" s="3">
        <v>42685</v>
      </c>
      <c r="C2275" t="s">
        <v>17</v>
      </c>
      <c r="D2275" t="s">
        <v>21</v>
      </c>
      <c r="E2275" t="s">
        <v>1080</v>
      </c>
      <c r="F2275" s="1">
        <v>55.008000000000003</v>
      </c>
      <c r="G2275">
        <v>3</v>
      </c>
      <c r="H2275" s="1">
        <v>17.190000000000001</v>
      </c>
      <c r="I2275" s="4">
        <f>SalesData[[#This Row],[Profit]]/SalesData[[#This Row],[Sales]]</f>
        <v>0.3125</v>
      </c>
      <c r="J2275">
        <f>YEAR(SalesData[[#This Row],[Order Date]])</f>
        <v>2016</v>
      </c>
      <c r="K2275" t="str">
        <f>TEXT(SalesData[[#This Row],[Order Date]],"mmm")</f>
        <v>Nov</v>
      </c>
      <c r="L2275">
        <f>MONTH(SalesData[[#This Row],[Order Date]])</f>
        <v>11</v>
      </c>
      <c r="M2275">
        <f>SalesData[[#This Row],[Sales]]/SalesData[[#This Row],[Quantity]]</f>
        <v>18.336000000000002</v>
      </c>
      <c r="N2275" t="str">
        <f>IF(SalesData[[#This Row],[Profit]]&gt;0,"Profit","Loss")</f>
        <v>Profit</v>
      </c>
    </row>
    <row r="2276" spans="1:14" x14ac:dyDescent="0.3">
      <c r="A2276" t="s">
        <v>2635</v>
      </c>
      <c r="B2276" s="3">
        <v>42685</v>
      </c>
      <c r="C2276" t="s">
        <v>17</v>
      </c>
      <c r="D2276" t="s">
        <v>21</v>
      </c>
      <c r="E2276" t="s">
        <v>1052</v>
      </c>
      <c r="F2276" s="1">
        <v>35.231999999999999</v>
      </c>
      <c r="G2276">
        <v>3</v>
      </c>
      <c r="H2276" s="1">
        <v>11.4504</v>
      </c>
      <c r="I2276" s="4">
        <f>SalesData[[#This Row],[Profit]]/SalesData[[#This Row],[Sales]]</f>
        <v>0.32500000000000001</v>
      </c>
      <c r="J2276">
        <f>YEAR(SalesData[[#This Row],[Order Date]])</f>
        <v>2016</v>
      </c>
      <c r="K2276" t="str">
        <f>TEXT(SalesData[[#This Row],[Order Date]],"mmm")</f>
        <v>Nov</v>
      </c>
      <c r="L2276">
        <f>MONTH(SalesData[[#This Row],[Order Date]])</f>
        <v>11</v>
      </c>
      <c r="M2276">
        <f>SalesData[[#This Row],[Sales]]/SalesData[[#This Row],[Quantity]]</f>
        <v>11.744</v>
      </c>
      <c r="N2276" t="str">
        <f>IF(SalesData[[#This Row],[Profit]]&gt;0,"Profit","Loss")</f>
        <v>Profit</v>
      </c>
    </row>
    <row r="2277" spans="1:14" x14ac:dyDescent="0.3">
      <c r="A2277" t="s">
        <v>2637</v>
      </c>
      <c r="B2277" s="3">
        <v>42685</v>
      </c>
      <c r="C2277" t="s">
        <v>13</v>
      </c>
      <c r="D2277" t="s">
        <v>14</v>
      </c>
      <c r="E2277" t="s">
        <v>2638</v>
      </c>
      <c r="F2277" s="1">
        <v>41.96</v>
      </c>
      <c r="G2277">
        <v>2</v>
      </c>
      <c r="H2277" s="1">
        <v>10.909599999999999</v>
      </c>
      <c r="I2277" s="4">
        <f>SalesData[[#This Row],[Profit]]/SalesData[[#This Row],[Sales]]</f>
        <v>0.25999999999999995</v>
      </c>
      <c r="J2277">
        <f>YEAR(SalesData[[#This Row],[Order Date]])</f>
        <v>2016</v>
      </c>
      <c r="K2277" t="str">
        <f>TEXT(SalesData[[#This Row],[Order Date]],"mmm")</f>
        <v>Nov</v>
      </c>
      <c r="L2277">
        <f>MONTH(SalesData[[#This Row],[Order Date]])</f>
        <v>11</v>
      </c>
      <c r="M2277">
        <f>SalesData[[#This Row],[Sales]]/SalesData[[#This Row],[Quantity]]</f>
        <v>20.98</v>
      </c>
      <c r="N2277" t="str">
        <f>IF(SalesData[[#This Row],[Profit]]&gt;0,"Profit","Loss")</f>
        <v>Profit</v>
      </c>
    </row>
    <row r="2278" spans="1:14" x14ac:dyDescent="0.3">
      <c r="A2278" t="s">
        <v>2637</v>
      </c>
      <c r="B2278" s="3">
        <v>42685</v>
      </c>
      <c r="C2278" t="s">
        <v>13</v>
      </c>
      <c r="D2278" t="s">
        <v>14</v>
      </c>
      <c r="E2278" t="s">
        <v>866</v>
      </c>
      <c r="F2278" s="1">
        <v>451.15199999999999</v>
      </c>
      <c r="G2278">
        <v>3</v>
      </c>
      <c r="H2278" s="1">
        <v>0</v>
      </c>
      <c r="I2278" s="4">
        <f>SalesData[[#This Row],[Profit]]/SalesData[[#This Row],[Sales]]</f>
        <v>0</v>
      </c>
      <c r="J2278">
        <f>YEAR(SalesData[[#This Row],[Order Date]])</f>
        <v>2016</v>
      </c>
      <c r="K2278" t="str">
        <f>TEXT(SalesData[[#This Row],[Order Date]],"mmm")</f>
        <v>Nov</v>
      </c>
      <c r="L2278">
        <f>MONTH(SalesData[[#This Row],[Order Date]])</f>
        <v>11</v>
      </c>
      <c r="M2278">
        <f>SalesData[[#This Row],[Sales]]/SalesData[[#This Row],[Quantity]]</f>
        <v>150.38399999999999</v>
      </c>
      <c r="N2278" t="str">
        <f>IF(SalesData[[#This Row],[Profit]]&gt;0,"Profit","Loss")</f>
        <v>Loss</v>
      </c>
    </row>
    <row r="2279" spans="1:14" x14ac:dyDescent="0.3">
      <c r="A2279" t="s">
        <v>2637</v>
      </c>
      <c r="B2279" s="3">
        <v>42685</v>
      </c>
      <c r="C2279" t="s">
        <v>13</v>
      </c>
      <c r="D2279" t="s">
        <v>21</v>
      </c>
      <c r="E2279" t="s">
        <v>1071</v>
      </c>
      <c r="F2279" s="1">
        <v>31.504000000000001</v>
      </c>
      <c r="G2279">
        <v>11</v>
      </c>
      <c r="H2279" s="1">
        <v>11.026400000000001</v>
      </c>
      <c r="I2279" s="4">
        <f>SalesData[[#This Row],[Profit]]/SalesData[[#This Row],[Sales]]</f>
        <v>0.35000000000000003</v>
      </c>
      <c r="J2279">
        <f>YEAR(SalesData[[#This Row],[Order Date]])</f>
        <v>2016</v>
      </c>
      <c r="K2279" t="str">
        <f>TEXT(SalesData[[#This Row],[Order Date]],"mmm")</f>
        <v>Nov</v>
      </c>
      <c r="L2279">
        <f>MONTH(SalesData[[#This Row],[Order Date]])</f>
        <v>11</v>
      </c>
      <c r="M2279">
        <f>SalesData[[#This Row],[Sales]]/SalesData[[#This Row],[Quantity]]</f>
        <v>2.8640000000000003</v>
      </c>
      <c r="N2279" t="str">
        <f>IF(SalesData[[#This Row],[Profit]]&gt;0,"Profit","Loss")</f>
        <v>Profit</v>
      </c>
    </row>
    <row r="2280" spans="1:14" x14ac:dyDescent="0.3">
      <c r="A2280" t="s">
        <v>2639</v>
      </c>
      <c r="B2280" s="3">
        <v>42685</v>
      </c>
      <c r="C2280" t="s">
        <v>9</v>
      </c>
      <c r="D2280" t="s">
        <v>14</v>
      </c>
      <c r="E2280" t="s">
        <v>2640</v>
      </c>
      <c r="F2280" s="1">
        <v>2678.94</v>
      </c>
      <c r="G2280">
        <v>6</v>
      </c>
      <c r="H2280" s="1">
        <v>241.1046</v>
      </c>
      <c r="I2280" s="4">
        <f>SalesData[[#This Row],[Profit]]/SalesData[[#This Row],[Sales]]</f>
        <v>0.09</v>
      </c>
      <c r="J2280">
        <f>YEAR(SalesData[[#This Row],[Order Date]])</f>
        <v>2016</v>
      </c>
      <c r="K2280" t="str">
        <f>TEXT(SalesData[[#This Row],[Order Date]],"mmm")</f>
        <v>Nov</v>
      </c>
      <c r="L2280">
        <f>MONTH(SalesData[[#This Row],[Order Date]])</f>
        <v>11</v>
      </c>
      <c r="M2280">
        <f>SalesData[[#This Row],[Sales]]/SalesData[[#This Row],[Quantity]]</f>
        <v>446.49</v>
      </c>
      <c r="N2280" t="str">
        <f>IF(SalesData[[#This Row],[Profit]]&gt;0,"Profit","Loss")</f>
        <v>Profit</v>
      </c>
    </row>
    <row r="2281" spans="1:14" x14ac:dyDescent="0.3">
      <c r="A2281" t="s">
        <v>2641</v>
      </c>
      <c r="B2281" s="3">
        <v>42685</v>
      </c>
      <c r="C2281" t="s">
        <v>9</v>
      </c>
      <c r="D2281" t="s">
        <v>21</v>
      </c>
      <c r="E2281" t="s">
        <v>2062</v>
      </c>
      <c r="F2281" s="1">
        <v>14.112</v>
      </c>
      <c r="G2281">
        <v>6</v>
      </c>
      <c r="H2281" s="1">
        <v>1.2347999999999999</v>
      </c>
      <c r="I2281" s="4">
        <f>SalesData[[#This Row],[Profit]]/SalesData[[#This Row],[Sales]]</f>
        <v>8.7499999999999994E-2</v>
      </c>
      <c r="J2281">
        <f>YEAR(SalesData[[#This Row],[Order Date]])</f>
        <v>2016</v>
      </c>
      <c r="K2281" t="str">
        <f>TEXT(SalesData[[#This Row],[Order Date]],"mmm")</f>
        <v>Nov</v>
      </c>
      <c r="L2281">
        <f>MONTH(SalesData[[#This Row],[Order Date]])</f>
        <v>11</v>
      </c>
      <c r="M2281">
        <f>SalesData[[#This Row],[Sales]]/SalesData[[#This Row],[Quantity]]</f>
        <v>2.3519999999999999</v>
      </c>
      <c r="N2281" t="str">
        <f>IF(SalesData[[#This Row],[Profit]]&gt;0,"Profit","Loss")</f>
        <v>Profit</v>
      </c>
    </row>
    <row r="2282" spans="1:14" x14ac:dyDescent="0.3">
      <c r="A2282" t="s">
        <v>2642</v>
      </c>
      <c r="B2282" s="3">
        <v>42686</v>
      </c>
      <c r="C2282" t="s">
        <v>17</v>
      </c>
      <c r="D2282" t="s">
        <v>21</v>
      </c>
      <c r="E2282" t="s">
        <v>2216</v>
      </c>
      <c r="F2282" s="1">
        <v>15.26</v>
      </c>
      <c r="G2282">
        <v>7</v>
      </c>
      <c r="H2282" s="1">
        <v>6.2565999999999997</v>
      </c>
      <c r="I2282" s="4">
        <f>SalesData[[#This Row],[Profit]]/SalesData[[#This Row],[Sales]]</f>
        <v>0.41</v>
      </c>
      <c r="J2282">
        <f>YEAR(SalesData[[#This Row],[Order Date]])</f>
        <v>2016</v>
      </c>
      <c r="K2282" t="str">
        <f>TEXT(SalesData[[#This Row],[Order Date]],"mmm")</f>
        <v>Nov</v>
      </c>
      <c r="L2282">
        <f>MONTH(SalesData[[#This Row],[Order Date]])</f>
        <v>11</v>
      </c>
      <c r="M2282">
        <f>SalesData[[#This Row],[Sales]]/SalesData[[#This Row],[Quantity]]</f>
        <v>2.1800000000000002</v>
      </c>
      <c r="N2282" t="str">
        <f>IF(SalesData[[#This Row],[Profit]]&gt;0,"Profit","Loss")</f>
        <v>Profit</v>
      </c>
    </row>
    <row r="2283" spans="1:14" x14ac:dyDescent="0.3">
      <c r="A2283" t="s">
        <v>2642</v>
      </c>
      <c r="B2283" s="3">
        <v>42686</v>
      </c>
      <c r="C2283" t="s">
        <v>17</v>
      </c>
      <c r="D2283" t="s">
        <v>10</v>
      </c>
      <c r="E2283" t="s">
        <v>2300</v>
      </c>
      <c r="F2283" s="1">
        <v>1029.95</v>
      </c>
      <c r="G2283">
        <v>5</v>
      </c>
      <c r="H2283" s="1">
        <v>298.68549999999999</v>
      </c>
      <c r="I2283" s="4">
        <f>SalesData[[#This Row],[Profit]]/SalesData[[#This Row],[Sales]]</f>
        <v>0.28999999999999998</v>
      </c>
      <c r="J2283">
        <f>YEAR(SalesData[[#This Row],[Order Date]])</f>
        <v>2016</v>
      </c>
      <c r="K2283" t="str">
        <f>TEXT(SalesData[[#This Row],[Order Date]],"mmm")</f>
        <v>Nov</v>
      </c>
      <c r="L2283">
        <f>MONTH(SalesData[[#This Row],[Order Date]])</f>
        <v>11</v>
      </c>
      <c r="M2283">
        <f>SalesData[[#This Row],[Sales]]/SalesData[[#This Row],[Quantity]]</f>
        <v>205.99</v>
      </c>
      <c r="N2283" t="str">
        <f>IF(SalesData[[#This Row],[Profit]]&gt;0,"Profit","Loss")</f>
        <v>Profit</v>
      </c>
    </row>
    <row r="2284" spans="1:14" x14ac:dyDescent="0.3">
      <c r="A2284" t="s">
        <v>2643</v>
      </c>
      <c r="B2284" s="3">
        <v>42686</v>
      </c>
      <c r="C2284" t="s">
        <v>13</v>
      </c>
      <c r="D2284" t="s">
        <v>21</v>
      </c>
      <c r="E2284" t="s">
        <v>2644</v>
      </c>
      <c r="F2284" s="1">
        <v>243.38399999999999</v>
      </c>
      <c r="G2284">
        <v>3</v>
      </c>
      <c r="H2284" s="1">
        <v>-51.719099999999997</v>
      </c>
      <c r="I2284" s="4">
        <f>SalesData[[#This Row],[Profit]]/SalesData[[#This Row],[Sales]]</f>
        <v>-0.21249999999999999</v>
      </c>
      <c r="J2284">
        <f>YEAR(SalesData[[#This Row],[Order Date]])</f>
        <v>2016</v>
      </c>
      <c r="K2284" t="str">
        <f>TEXT(SalesData[[#This Row],[Order Date]],"mmm")</f>
        <v>Nov</v>
      </c>
      <c r="L2284">
        <f>MONTH(SalesData[[#This Row],[Order Date]])</f>
        <v>11</v>
      </c>
      <c r="M2284">
        <f>SalesData[[#This Row],[Sales]]/SalesData[[#This Row],[Quantity]]</f>
        <v>81.128</v>
      </c>
      <c r="N2284" t="str">
        <f>IF(SalesData[[#This Row],[Profit]]&gt;0,"Profit","Loss")</f>
        <v>Loss</v>
      </c>
    </row>
    <row r="2285" spans="1:14" x14ac:dyDescent="0.3">
      <c r="A2285" t="s">
        <v>2643</v>
      </c>
      <c r="B2285" s="3">
        <v>42686</v>
      </c>
      <c r="C2285" t="s">
        <v>13</v>
      </c>
      <c r="D2285" t="s">
        <v>10</v>
      </c>
      <c r="E2285" t="s">
        <v>205</v>
      </c>
      <c r="F2285" s="1">
        <v>119.8</v>
      </c>
      <c r="G2285">
        <v>5</v>
      </c>
      <c r="H2285" s="1">
        <v>29.95</v>
      </c>
      <c r="I2285" s="4">
        <f>SalesData[[#This Row],[Profit]]/SalesData[[#This Row],[Sales]]</f>
        <v>0.25</v>
      </c>
      <c r="J2285">
        <f>YEAR(SalesData[[#This Row],[Order Date]])</f>
        <v>2016</v>
      </c>
      <c r="K2285" t="str">
        <f>TEXT(SalesData[[#This Row],[Order Date]],"mmm")</f>
        <v>Nov</v>
      </c>
      <c r="L2285">
        <f>MONTH(SalesData[[#This Row],[Order Date]])</f>
        <v>11</v>
      </c>
      <c r="M2285">
        <f>SalesData[[#This Row],[Sales]]/SalesData[[#This Row],[Quantity]]</f>
        <v>23.96</v>
      </c>
      <c r="N2285" t="str">
        <f>IF(SalesData[[#This Row],[Profit]]&gt;0,"Profit","Loss")</f>
        <v>Profit</v>
      </c>
    </row>
    <row r="2286" spans="1:14" x14ac:dyDescent="0.3">
      <c r="A2286" t="s">
        <v>2643</v>
      </c>
      <c r="B2286" s="3">
        <v>42686</v>
      </c>
      <c r="C2286" t="s">
        <v>13</v>
      </c>
      <c r="D2286" t="s">
        <v>10</v>
      </c>
      <c r="E2286" t="s">
        <v>858</v>
      </c>
      <c r="F2286" s="1">
        <v>300.76799999999997</v>
      </c>
      <c r="G2286">
        <v>4</v>
      </c>
      <c r="H2286" s="1">
        <v>30.076799999999999</v>
      </c>
      <c r="I2286" s="4">
        <f>SalesData[[#This Row],[Profit]]/SalesData[[#This Row],[Sales]]</f>
        <v>0.1</v>
      </c>
      <c r="J2286">
        <f>YEAR(SalesData[[#This Row],[Order Date]])</f>
        <v>2016</v>
      </c>
      <c r="K2286" t="str">
        <f>TEXT(SalesData[[#This Row],[Order Date]],"mmm")</f>
        <v>Nov</v>
      </c>
      <c r="L2286">
        <f>MONTH(SalesData[[#This Row],[Order Date]])</f>
        <v>11</v>
      </c>
      <c r="M2286">
        <f>SalesData[[#This Row],[Sales]]/SalesData[[#This Row],[Quantity]]</f>
        <v>75.191999999999993</v>
      </c>
      <c r="N2286" t="str">
        <f>IF(SalesData[[#This Row],[Profit]]&gt;0,"Profit","Loss")</f>
        <v>Profit</v>
      </c>
    </row>
    <row r="2287" spans="1:14" x14ac:dyDescent="0.3">
      <c r="A2287" t="s">
        <v>2645</v>
      </c>
      <c r="B2287" s="3">
        <v>42686</v>
      </c>
      <c r="C2287" t="s">
        <v>13</v>
      </c>
      <c r="D2287" t="s">
        <v>14</v>
      </c>
      <c r="E2287" t="s">
        <v>47</v>
      </c>
      <c r="F2287" s="1">
        <v>14.8</v>
      </c>
      <c r="G2287">
        <v>4</v>
      </c>
      <c r="H2287" s="1">
        <v>6.0679999999999996</v>
      </c>
      <c r="I2287" s="4">
        <f>SalesData[[#This Row],[Profit]]/SalesData[[#This Row],[Sales]]</f>
        <v>0.41</v>
      </c>
      <c r="J2287">
        <f>YEAR(SalesData[[#This Row],[Order Date]])</f>
        <v>2016</v>
      </c>
      <c r="K2287" t="str">
        <f>TEXT(SalesData[[#This Row],[Order Date]],"mmm")</f>
        <v>Nov</v>
      </c>
      <c r="L2287">
        <f>MONTH(SalesData[[#This Row],[Order Date]])</f>
        <v>11</v>
      </c>
      <c r="M2287">
        <f>SalesData[[#This Row],[Sales]]/SalesData[[#This Row],[Quantity]]</f>
        <v>3.7</v>
      </c>
      <c r="N2287" t="str">
        <f>IF(SalesData[[#This Row],[Profit]]&gt;0,"Profit","Loss")</f>
        <v>Profit</v>
      </c>
    </row>
    <row r="2288" spans="1:14" x14ac:dyDescent="0.3">
      <c r="A2288" t="s">
        <v>2645</v>
      </c>
      <c r="B2288" s="3">
        <v>42686</v>
      </c>
      <c r="C2288" t="s">
        <v>13</v>
      </c>
      <c r="D2288" t="s">
        <v>10</v>
      </c>
      <c r="E2288" t="s">
        <v>577</v>
      </c>
      <c r="F2288" s="1">
        <v>302.37599999999998</v>
      </c>
      <c r="G2288">
        <v>3</v>
      </c>
      <c r="H2288" s="1">
        <v>22.6782</v>
      </c>
      <c r="I2288" s="4">
        <f>SalesData[[#This Row],[Profit]]/SalesData[[#This Row],[Sales]]</f>
        <v>7.5000000000000011E-2</v>
      </c>
      <c r="J2288">
        <f>YEAR(SalesData[[#This Row],[Order Date]])</f>
        <v>2016</v>
      </c>
      <c r="K2288" t="str">
        <f>TEXT(SalesData[[#This Row],[Order Date]],"mmm")</f>
        <v>Nov</v>
      </c>
      <c r="L2288">
        <f>MONTH(SalesData[[#This Row],[Order Date]])</f>
        <v>11</v>
      </c>
      <c r="M2288">
        <f>SalesData[[#This Row],[Sales]]/SalesData[[#This Row],[Quantity]]</f>
        <v>100.79199999999999</v>
      </c>
      <c r="N2288" t="str">
        <f>IF(SalesData[[#This Row],[Profit]]&gt;0,"Profit","Loss")</f>
        <v>Profit</v>
      </c>
    </row>
    <row r="2289" spans="1:14" x14ac:dyDescent="0.3">
      <c r="A2289" t="s">
        <v>2645</v>
      </c>
      <c r="B2289" s="3">
        <v>42686</v>
      </c>
      <c r="C2289" t="s">
        <v>13</v>
      </c>
      <c r="D2289" t="s">
        <v>10</v>
      </c>
      <c r="E2289" t="s">
        <v>2646</v>
      </c>
      <c r="F2289" s="1">
        <v>316</v>
      </c>
      <c r="G2289">
        <v>4</v>
      </c>
      <c r="H2289" s="1">
        <v>31.6</v>
      </c>
      <c r="I2289" s="4">
        <f>SalesData[[#This Row],[Profit]]/SalesData[[#This Row],[Sales]]</f>
        <v>0.1</v>
      </c>
      <c r="J2289">
        <f>YEAR(SalesData[[#This Row],[Order Date]])</f>
        <v>2016</v>
      </c>
      <c r="K2289" t="str">
        <f>TEXT(SalesData[[#This Row],[Order Date]],"mmm")</f>
        <v>Nov</v>
      </c>
      <c r="L2289">
        <f>MONTH(SalesData[[#This Row],[Order Date]])</f>
        <v>11</v>
      </c>
      <c r="M2289">
        <f>SalesData[[#This Row],[Sales]]/SalesData[[#This Row],[Quantity]]</f>
        <v>79</v>
      </c>
      <c r="N2289" t="str">
        <f>IF(SalesData[[#This Row],[Profit]]&gt;0,"Profit","Loss")</f>
        <v>Profit</v>
      </c>
    </row>
    <row r="2290" spans="1:14" x14ac:dyDescent="0.3">
      <c r="A2290" t="s">
        <v>2647</v>
      </c>
      <c r="B2290" s="3">
        <v>42686</v>
      </c>
      <c r="C2290" t="s">
        <v>46</v>
      </c>
      <c r="D2290" t="s">
        <v>21</v>
      </c>
      <c r="E2290" t="s">
        <v>1690</v>
      </c>
      <c r="F2290" s="1">
        <v>85.224000000000004</v>
      </c>
      <c r="G2290">
        <v>3</v>
      </c>
      <c r="H2290" s="1">
        <v>7.4570999999999996</v>
      </c>
      <c r="I2290" s="4">
        <f>SalesData[[#This Row],[Profit]]/SalesData[[#This Row],[Sales]]</f>
        <v>8.7499999999999994E-2</v>
      </c>
      <c r="J2290">
        <f>YEAR(SalesData[[#This Row],[Order Date]])</f>
        <v>2016</v>
      </c>
      <c r="K2290" t="str">
        <f>TEXT(SalesData[[#This Row],[Order Date]],"mmm")</f>
        <v>Nov</v>
      </c>
      <c r="L2290">
        <f>MONTH(SalesData[[#This Row],[Order Date]])</f>
        <v>11</v>
      </c>
      <c r="M2290">
        <f>SalesData[[#This Row],[Sales]]/SalesData[[#This Row],[Quantity]]</f>
        <v>28.408000000000001</v>
      </c>
      <c r="N2290" t="str">
        <f>IF(SalesData[[#This Row],[Profit]]&gt;0,"Profit","Loss")</f>
        <v>Profit</v>
      </c>
    </row>
    <row r="2291" spans="1:14" x14ac:dyDescent="0.3">
      <c r="A2291" t="s">
        <v>2648</v>
      </c>
      <c r="B2291" s="3">
        <v>42686</v>
      </c>
      <c r="C2291" t="s">
        <v>46</v>
      </c>
      <c r="D2291" t="s">
        <v>21</v>
      </c>
      <c r="E2291" t="s">
        <v>764</v>
      </c>
      <c r="F2291" s="1">
        <v>6.6719999999999997</v>
      </c>
      <c r="G2291">
        <v>3</v>
      </c>
      <c r="H2291" s="1">
        <v>1.6679999999999999</v>
      </c>
      <c r="I2291" s="4">
        <f>SalesData[[#This Row],[Profit]]/SalesData[[#This Row],[Sales]]</f>
        <v>0.25</v>
      </c>
      <c r="J2291">
        <f>YEAR(SalesData[[#This Row],[Order Date]])</f>
        <v>2016</v>
      </c>
      <c r="K2291" t="str">
        <f>TEXT(SalesData[[#This Row],[Order Date]],"mmm")</f>
        <v>Nov</v>
      </c>
      <c r="L2291">
        <f>MONTH(SalesData[[#This Row],[Order Date]])</f>
        <v>11</v>
      </c>
      <c r="M2291">
        <f>SalesData[[#This Row],[Sales]]/SalesData[[#This Row],[Quantity]]</f>
        <v>2.2239999999999998</v>
      </c>
      <c r="N2291" t="str">
        <f>IF(SalesData[[#This Row],[Profit]]&gt;0,"Profit","Loss")</f>
        <v>Profit</v>
      </c>
    </row>
    <row r="2292" spans="1:14" x14ac:dyDescent="0.3">
      <c r="A2292" t="s">
        <v>2649</v>
      </c>
      <c r="B2292" s="3">
        <v>42686</v>
      </c>
      <c r="C2292" t="s">
        <v>17</v>
      </c>
      <c r="D2292" t="s">
        <v>21</v>
      </c>
      <c r="E2292" t="s">
        <v>288</v>
      </c>
      <c r="F2292" s="1">
        <v>64.959999999999994</v>
      </c>
      <c r="G2292">
        <v>5</v>
      </c>
      <c r="H2292" s="1">
        <v>-4.0599999999999996</v>
      </c>
      <c r="I2292" s="4">
        <f>SalesData[[#This Row],[Profit]]/SalesData[[#This Row],[Sales]]</f>
        <v>-6.25E-2</v>
      </c>
      <c r="J2292">
        <f>YEAR(SalesData[[#This Row],[Order Date]])</f>
        <v>2016</v>
      </c>
      <c r="K2292" t="str">
        <f>TEXT(SalesData[[#This Row],[Order Date]],"mmm")</f>
        <v>Nov</v>
      </c>
      <c r="L2292">
        <f>MONTH(SalesData[[#This Row],[Order Date]])</f>
        <v>11</v>
      </c>
      <c r="M2292">
        <f>SalesData[[#This Row],[Sales]]/SalesData[[#This Row],[Quantity]]</f>
        <v>12.991999999999999</v>
      </c>
      <c r="N2292" t="str">
        <f>IF(SalesData[[#This Row],[Profit]]&gt;0,"Profit","Loss")</f>
        <v>Loss</v>
      </c>
    </row>
    <row r="2293" spans="1:14" x14ac:dyDescent="0.3">
      <c r="A2293" t="s">
        <v>2649</v>
      </c>
      <c r="B2293" s="3">
        <v>42686</v>
      </c>
      <c r="C2293" t="s">
        <v>17</v>
      </c>
      <c r="D2293" t="s">
        <v>21</v>
      </c>
      <c r="E2293" t="s">
        <v>2018</v>
      </c>
      <c r="F2293" s="1">
        <v>13.52</v>
      </c>
      <c r="G2293">
        <v>2</v>
      </c>
      <c r="H2293" s="1">
        <v>1.69</v>
      </c>
      <c r="I2293" s="4">
        <f>SalesData[[#This Row],[Profit]]/SalesData[[#This Row],[Sales]]</f>
        <v>0.125</v>
      </c>
      <c r="J2293">
        <f>YEAR(SalesData[[#This Row],[Order Date]])</f>
        <v>2016</v>
      </c>
      <c r="K2293" t="str">
        <f>TEXT(SalesData[[#This Row],[Order Date]],"mmm")</f>
        <v>Nov</v>
      </c>
      <c r="L2293">
        <f>MONTH(SalesData[[#This Row],[Order Date]])</f>
        <v>11</v>
      </c>
      <c r="M2293">
        <f>SalesData[[#This Row],[Sales]]/SalesData[[#This Row],[Quantity]]</f>
        <v>6.76</v>
      </c>
      <c r="N2293" t="str">
        <f>IF(SalesData[[#This Row],[Profit]]&gt;0,"Profit","Loss")</f>
        <v>Profit</v>
      </c>
    </row>
    <row r="2294" spans="1:14" x14ac:dyDescent="0.3">
      <c r="A2294" t="s">
        <v>2649</v>
      </c>
      <c r="B2294" s="3">
        <v>42686</v>
      </c>
      <c r="C2294" t="s">
        <v>17</v>
      </c>
      <c r="D2294" t="s">
        <v>14</v>
      </c>
      <c r="E2294" t="s">
        <v>361</v>
      </c>
      <c r="F2294" s="1">
        <v>458.43</v>
      </c>
      <c r="G2294">
        <v>5</v>
      </c>
      <c r="H2294" s="1">
        <v>-137.529</v>
      </c>
      <c r="I2294" s="4">
        <f>SalesData[[#This Row],[Profit]]/SalesData[[#This Row],[Sales]]</f>
        <v>-0.3</v>
      </c>
      <c r="J2294">
        <f>YEAR(SalesData[[#This Row],[Order Date]])</f>
        <v>2016</v>
      </c>
      <c r="K2294" t="str">
        <f>TEXT(SalesData[[#This Row],[Order Date]],"mmm")</f>
        <v>Nov</v>
      </c>
      <c r="L2294">
        <f>MONTH(SalesData[[#This Row],[Order Date]])</f>
        <v>11</v>
      </c>
      <c r="M2294">
        <f>SalesData[[#This Row],[Sales]]/SalesData[[#This Row],[Quantity]]</f>
        <v>91.686000000000007</v>
      </c>
      <c r="N2294" t="str">
        <f>IF(SalesData[[#This Row],[Profit]]&gt;0,"Profit","Loss")</f>
        <v>Loss</v>
      </c>
    </row>
    <row r="2295" spans="1:14" x14ac:dyDescent="0.3">
      <c r="A2295" t="s">
        <v>2649</v>
      </c>
      <c r="B2295" s="3">
        <v>42686</v>
      </c>
      <c r="C2295" t="s">
        <v>17</v>
      </c>
      <c r="D2295" t="s">
        <v>21</v>
      </c>
      <c r="E2295" t="s">
        <v>1373</v>
      </c>
      <c r="F2295" s="1">
        <v>387.13600000000002</v>
      </c>
      <c r="G2295">
        <v>4</v>
      </c>
      <c r="H2295" s="1">
        <v>24.196000000000002</v>
      </c>
      <c r="I2295" s="4">
        <f>SalesData[[#This Row],[Profit]]/SalesData[[#This Row],[Sales]]</f>
        <v>6.25E-2</v>
      </c>
      <c r="J2295">
        <f>YEAR(SalesData[[#This Row],[Order Date]])</f>
        <v>2016</v>
      </c>
      <c r="K2295" t="str">
        <f>TEXT(SalesData[[#This Row],[Order Date]],"mmm")</f>
        <v>Nov</v>
      </c>
      <c r="L2295">
        <f>MONTH(SalesData[[#This Row],[Order Date]])</f>
        <v>11</v>
      </c>
      <c r="M2295">
        <f>SalesData[[#This Row],[Sales]]/SalesData[[#This Row],[Quantity]]</f>
        <v>96.784000000000006</v>
      </c>
      <c r="N2295" t="str">
        <f>IF(SalesData[[#This Row],[Profit]]&gt;0,"Profit","Loss")</f>
        <v>Profit</v>
      </c>
    </row>
    <row r="2296" spans="1:14" x14ac:dyDescent="0.3">
      <c r="A2296" t="s">
        <v>2649</v>
      </c>
      <c r="B2296" s="3">
        <v>42686</v>
      </c>
      <c r="C2296" t="s">
        <v>17</v>
      </c>
      <c r="D2296" t="s">
        <v>14</v>
      </c>
      <c r="E2296" t="s">
        <v>2438</v>
      </c>
      <c r="F2296" s="1">
        <v>328.59</v>
      </c>
      <c r="G2296">
        <v>3</v>
      </c>
      <c r="H2296" s="1">
        <v>-147.8655</v>
      </c>
      <c r="I2296" s="4">
        <f>SalesData[[#This Row],[Profit]]/SalesData[[#This Row],[Sales]]</f>
        <v>-0.45</v>
      </c>
      <c r="J2296">
        <f>YEAR(SalesData[[#This Row],[Order Date]])</f>
        <v>2016</v>
      </c>
      <c r="K2296" t="str">
        <f>TEXT(SalesData[[#This Row],[Order Date]],"mmm")</f>
        <v>Nov</v>
      </c>
      <c r="L2296">
        <f>MONTH(SalesData[[#This Row],[Order Date]])</f>
        <v>11</v>
      </c>
      <c r="M2296">
        <f>SalesData[[#This Row],[Sales]]/SalesData[[#This Row],[Quantity]]</f>
        <v>109.52999999999999</v>
      </c>
      <c r="N2296" t="str">
        <f>IF(SalesData[[#This Row],[Profit]]&gt;0,"Profit","Loss")</f>
        <v>Loss</v>
      </c>
    </row>
    <row r="2297" spans="1:14" x14ac:dyDescent="0.3">
      <c r="A2297" t="s">
        <v>2650</v>
      </c>
      <c r="B2297" s="3">
        <v>42686</v>
      </c>
      <c r="C2297" t="s">
        <v>13</v>
      </c>
      <c r="D2297" t="s">
        <v>14</v>
      </c>
      <c r="E2297" t="s">
        <v>1202</v>
      </c>
      <c r="F2297" s="1">
        <v>403.92</v>
      </c>
      <c r="G2297">
        <v>5</v>
      </c>
      <c r="H2297" s="1">
        <v>25.245000000000001</v>
      </c>
      <c r="I2297" s="4">
        <f>SalesData[[#This Row],[Profit]]/SalesData[[#This Row],[Sales]]</f>
        <v>6.25E-2</v>
      </c>
      <c r="J2297">
        <f>YEAR(SalesData[[#This Row],[Order Date]])</f>
        <v>2016</v>
      </c>
      <c r="K2297" t="str">
        <f>TEXT(SalesData[[#This Row],[Order Date]],"mmm")</f>
        <v>Nov</v>
      </c>
      <c r="L2297">
        <f>MONTH(SalesData[[#This Row],[Order Date]])</f>
        <v>11</v>
      </c>
      <c r="M2297">
        <f>SalesData[[#This Row],[Sales]]/SalesData[[#This Row],[Quantity]]</f>
        <v>80.784000000000006</v>
      </c>
      <c r="N2297" t="str">
        <f>IF(SalesData[[#This Row],[Profit]]&gt;0,"Profit","Loss")</f>
        <v>Profit</v>
      </c>
    </row>
    <row r="2298" spans="1:14" x14ac:dyDescent="0.3">
      <c r="A2298" t="s">
        <v>2651</v>
      </c>
      <c r="B2298" s="3">
        <v>42686</v>
      </c>
      <c r="C2298" t="s">
        <v>13</v>
      </c>
      <c r="D2298" t="s">
        <v>21</v>
      </c>
      <c r="E2298" t="s">
        <v>219</v>
      </c>
      <c r="F2298" s="1">
        <v>209.6</v>
      </c>
      <c r="G2298">
        <v>5</v>
      </c>
      <c r="H2298" s="1">
        <v>68.12</v>
      </c>
      <c r="I2298" s="4">
        <f>SalesData[[#This Row],[Profit]]/SalesData[[#This Row],[Sales]]</f>
        <v>0.32500000000000001</v>
      </c>
      <c r="J2298">
        <f>YEAR(SalesData[[#This Row],[Order Date]])</f>
        <v>2016</v>
      </c>
      <c r="K2298" t="str">
        <f>TEXT(SalesData[[#This Row],[Order Date]],"mmm")</f>
        <v>Nov</v>
      </c>
      <c r="L2298">
        <f>MONTH(SalesData[[#This Row],[Order Date]])</f>
        <v>11</v>
      </c>
      <c r="M2298">
        <f>SalesData[[#This Row],[Sales]]/SalesData[[#This Row],[Quantity]]</f>
        <v>41.92</v>
      </c>
      <c r="N2298" t="str">
        <f>IF(SalesData[[#This Row],[Profit]]&gt;0,"Profit","Loss")</f>
        <v>Profit</v>
      </c>
    </row>
    <row r="2299" spans="1:14" x14ac:dyDescent="0.3">
      <c r="A2299" t="s">
        <v>2651</v>
      </c>
      <c r="B2299" s="3">
        <v>42686</v>
      </c>
      <c r="C2299" t="s">
        <v>13</v>
      </c>
      <c r="D2299" t="s">
        <v>21</v>
      </c>
      <c r="E2299" t="s">
        <v>2652</v>
      </c>
      <c r="F2299" s="1">
        <v>23.32</v>
      </c>
      <c r="G2299">
        <v>2</v>
      </c>
      <c r="H2299" s="1">
        <v>6.0632000000000001</v>
      </c>
      <c r="I2299" s="4">
        <f>SalesData[[#This Row],[Profit]]/SalesData[[#This Row],[Sales]]</f>
        <v>0.26</v>
      </c>
      <c r="J2299">
        <f>YEAR(SalesData[[#This Row],[Order Date]])</f>
        <v>2016</v>
      </c>
      <c r="K2299" t="str">
        <f>TEXT(SalesData[[#This Row],[Order Date]],"mmm")</f>
        <v>Nov</v>
      </c>
      <c r="L2299">
        <f>MONTH(SalesData[[#This Row],[Order Date]])</f>
        <v>11</v>
      </c>
      <c r="M2299">
        <f>SalesData[[#This Row],[Sales]]/SalesData[[#This Row],[Quantity]]</f>
        <v>11.66</v>
      </c>
      <c r="N2299" t="str">
        <f>IF(SalesData[[#This Row],[Profit]]&gt;0,"Profit","Loss")</f>
        <v>Profit</v>
      </c>
    </row>
    <row r="2300" spans="1:14" x14ac:dyDescent="0.3">
      <c r="A2300" t="s">
        <v>2651</v>
      </c>
      <c r="B2300" s="3">
        <v>42686</v>
      </c>
      <c r="C2300" t="s">
        <v>13</v>
      </c>
      <c r="D2300" t="s">
        <v>21</v>
      </c>
      <c r="E2300" t="s">
        <v>2653</v>
      </c>
      <c r="F2300" s="1">
        <v>30.98</v>
      </c>
      <c r="G2300">
        <v>1</v>
      </c>
      <c r="H2300" s="1">
        <v>13.941000000000001</v>
      </c>
      <c r="I2300" s="4">
        <f>SalesData[[#This Row],[Profit]]/SalesData[[#This Row],[Sales]]</f>
        <v>0.45</v>
      </c>
      <c r="J2300">
        <f>YEAR(SalesData[[#This Row],[Order Date]])</f>
        <v>2016</v>
      </c>
      <c r="K2300" t="str">
        <f>TEXT(SalesData[[#This Row],[Order Date]],"mmm")</f>
        <v>Nov</v>
      </c>
      <c r="L2300">
        <f>MONTH(SalesData[[#This Row],[Order Date]])</f>
        <v>11</v>
      </c>
      <c r="M2300">
        <f>SalesData[[#This Row],[Sales]]/SalesData[[#This Row],[Quantity]]</f>
        <v>30.98</v>
      </c>
      <c r="N2300" t="str">
        <f>IF(SalesData[[#This Row],[Profit]]&gt;0,"Profit","Loss")</f>
        <v>Profit</v>
      </c>
    </row>
    <row r="2301" spans="1:14" x14ac:dyDescent="0.3">
      <c r="A2301" t="s">
        <v>2651</v>
      </c>
      <c r="B2301" s="3">
        <v>42686</v>
      </c>
      <c r="C2301" t="s">
        <v>13</v>
      </c>
      <c r="D2301" t="s">
        <v>10</v>
      </c>
      <c r="E2301" t="s">
        <v>1241</v>
      </c>
      <c r="F2301" s="1">
        <v>119.96</v>
      </c>
      <c r="G2301">
        <v>4</v>
      </c>
      <c r="H2301" s="1">
        <v>25.191600000000001</v>
      </c>
      <c r="I2301" s="4">
        <f>SalesData[[#This Row],[Profit]]/SalesData[[#This Row],[Sales]]</f>
        <v>0.21000000000000002</v>
      </c>
      <c r="J2301">
        <f>YEAR(SalesData[[#This Row],[Order Date]])</f>
        <v>2016</v>
      </c>
      <c r="K2301" t="str">
        <f>TEXT(SalesData[[#This Row],[Order Date]],"mmm")</f>
        <v>Nov</v>
      </c>
      <c r="L2301">
        <f>MONTH(SalesData[[#This Row],[Order Date]])</f>
        <v>11</v>
      </c>
      <c r="M2301">
        <f>SalesData[[#This Row],[Sales]]/SalesData[[#This Row],[Quantity]]</f>
        <v>29.99</v>
      </c>
      <c r="N2301" t="str">
        <f>IF(SalesData[[#This Row],[Profit]]&gt;0,"Profit","Loss")</f>
        <v>Profit</v>
      </c>
    </row>
    <row r="2302" spans="1:14" x14ac:dyDescent="0.3">
      <c r="A2302" t="s">
        <v>2651</v>
      </c>
      <c r="B2302" s="3">
        <v>42686</v>
      </c>
      <c r="C2302" t="s">
        <v>13</v>
      </c>
      <c r="D2302" t="s">
        <v>14</v>
      </c>
      <c r="E2302" t="s">
        <v>1144</v>
      </c>
      <c r="F2302" s="1">
        <v>363.92</v>
      </c>
      <c r="G2302">
        <v>5</v>
      </c>
      <c r="H2302" s="1">
        <v>-31.843</v>
      </c>
      <c r="I2302" s="4">
        <f>SalesData[[#This Row],[Profit]]/SalesData[[#This Row],[Sales]]</f>
        <v>-8.7499999999999994E-2</v>
      </c>
      <c r="J2302">
        <f>YEAR(SalesData[[#This Row],[Order Date]])</f>
        <v>2016</v>
      </c>
      <c r="K2302" t="str">
        <f>TEXT(SalesData[[#This Row],[Order Date]],"mmm")</f>
        <v>Nov</v>
      </c>
      <c r="L2302">
        <f>MONTH(SalesData[[#This Row],[Order Date]])</f>
        <v>11</v>
      </c>
      <c r="M2302">
        <f>SalesData[[#This Row],[Sales]]/SalesData[[#This Row],[Quantity]]</f>
        <v>72.784000000000006</v>
      </c>
      <c r="N2302" t="str">
        <f>IF(SalesData[[#This Row],[Profit]]&gt;0,"Profit","Loss")</f>
        <v>Loss</v>
      </c>
    </row>
    <row r="2303" spans="1:14" x14ac:dyDescent="0.3">
      <c r="A2303" t="s">
        <v>2651</v>
      </c>
      <c r="B2303" s="3">
        <v>42686</v>
      </c>
      <c r="C2303" t="s">
        <v>13</v>
      </c>
      <c r="D2303" t="s">
        <v>21</v>
      </c>
      <c r="E2303" t="s">
        <v>2224</v>
      </c>
      <c r="F2303" s="1">
        <v>35.808</v>
      </c>
      <c r="G2303">
        <v>3</v>
      </c>
      <c r="H2303" s="1">
        <v>11.19</v>
      </c>
      <c r="I2303" s="4">
        <f>SalesData[[#This Row],[Profit]]/SalesData[[#This Row],[Sales]]</f>
        <v>0.3125</v>
      </c>
      <c r="J2303">
        <f>YEAR(SalesData[[#This Row],[Order Date]])</f>
        <v>2016</v>
      </c>
      <c r="K2303" t="str">
        <f>TEXT(SalesData[[#This Row],[Order Date]],"mmm")</f>
        <v>Nov</v>
      </c>
      <c r="L2303">
        <f>MONTH(SalesData[[#This Row],[Order Date]])</f>
        <v>11</v>
      </c>
      <c r="M2303">
        <f>SalesData[[#This Row],[Sales]]/SalesData[[#This Row],[Quantity]]</f>
        <v>11.936</v>
      </c>
      <c r="N2303" t="str">
        <f>IF(SalesData[[#This Row],[Profit]]&gt;0,"Profit","Loss")</f>
        <v>Profit</v>
      </c>
    </row>
    <row r="2304" spans="1:14" x14ac:dyDescent="0.3">
      <c r="A2304" t="s">
        <v>2651</v>
      </c>
      <c r="B2304" s="3">
        <v>42686</v>
      </c>
      <c r="C2304" t="s">
        <v>13</v>
      </c>
      <c r="D2304" t="s">
        <v>21</v>
      </c>
      <c r="E2304" t="s">
        <v>1639</v>
      </c>
      <c r="F2304" s="1">
        <v>122.688</v>
      </c>
      <c r="G2304">
        <v>9</v>
      </c>
      <c r="H2304" s="1">
        <v>39.873600000000003</v>
      </c>
      <c r="I2304" s="4">
        <f>SalesData[[#This Row],[Profit]]/SalesData[[#This Row],[Sales]]</f>
        <v>0.32500000000000001</v>
      </c>
      <c r="J2304">
        <f>YEAR(SalesData[[#This Row],[Order Date]])</f>
        <v>2016</v>
      </c>
      <c r="K2304" t="str">
        <f>TEXT(SalesData[[#This Row],[Order Date]],"mmm")</f>
        <v>Nov</v>
      </c>
      <c r="L2304">
        <f>MONTH(SalesData[[#This Row],[Order Date]])</f>
        <v>11</v>
      </c>
      <c r="M2304">
        <f>SalesData[[#This Row],[Sales]]/SalesData[[#This Row],[Quantity]]</f>
        <v>13.632</v>
      </c>
      <c r="N2304" t="str">
        <f>IF(SalesData[[#This Row],[Profit]]&gt;0,"Profit","Loss")</f>
        <v>Profit</v>
      </c>
    </row>
    <row r="2305" spans="1:14" x14ac:dyDescent="0.3">
      <c r="A2305" t="s">
        <v>2651</v>
      </c>
      <c r="B2305" s="3">
        <v>42686</v>
      </c>
      <c r="C2305" t="s">
        <v>13</v>
      </c>
      <c r="D2305" t="s">
        <v>14</v>
      </c>
      <c r="E2305" t="s">
        <v>1040</v>
      </c>
      <c r="F2305" s="1">
        <v>892.13599999999997</v>
      </c>
      <c r="G2305">
        <v>7</v>
      </c>
      <c r="H2305" s="1">
        <v>111.517</v>
      </c>
      <c r="I2305" s="4">
        <f>SalesData[[#This Row],[Profit]]/SalesData[[#This Row],[Sales]]</f>
        <v>0.125</v>
      </c>
      <c r="J2305">
        <f>YEAR(SalesData[[#This Row],[Order Date]])</f>
        <v>2016</v>
      </c>
      <c r="K2305" t="str">
        <f>TEXT(SalesData[[#This Row],[Order Date]],"mmm")</f>
        <v>Nov</v>
      </c>
      <c r="L2305">
        <f>MONTH(SalesData[[#This Row],[Order Date]])</f>
        <v>11</v>
      </c>
      <c r="M2305">
        <f>SalesData[[#This Row],[Sales]]/SalesData[[#This Row],[Quantity]]</f>
        <v>127.44799999999999</v>
      </c>
      <c r="N2305" t="str">
        <f>IF(SalesData[[#This Row],[Profit]]&gt;0,"Profit","Loss")</f>
        <v>Profit</v>
      </c>
    </row>
    <row r="2306" spans="1:14" x14ac:dyDescent="0.3">
      <c r="A2306" t="s">
        <v>2651</v>
      </c>
      <c r="B2306" s="3">
        <v>42686</v>
      </c>
      <c r="C2306" t="s">
        <v>13</v>
      </c>
      <c r="D2306" t="s">
        <v>21</v>
      </c>
      <c r="E2306" t="s">
        <v>35</v>
      </c>
      <c r="F2306" s="1">
        <v>50.22</v>
      </c>
      <c r="G2306">
        <v>3</v>
      </c>
      <c r="H2306" s="1">
        <v>2.0087999999999999</v>
      </c>
      <c r="I2306" s="4">
        <f>SalesData[[#This Row],[Profit]]/SalesData[[#This Row],[Sales]]</f>
        <v>0.04</v>
      </c>
      <c r="J2306">
        <f>YEAR(SalesData[[#This Row],[Order Date]])</f>
        <v>2016</v>
      </c>
      <c r="K2306" t="str">
        <f>TEXT(SalesData[[#This Row],[Order Date]],"mmm")</f>
        <v>Nov</v>
      </c>
      <c r="L2306">
        <f>MONTH(SalesData[[#This Row],[Order Date]])</f>
        <v>11</v>
      </c>
      <c r="M2306">
        <f>SalesData[[#This Row],[Sales]]/SalesData[[#This Row],[Quantity]]</f>
        <v>16.739999999999998</v>
      </c>
      <c r="N2306" t="str">
        <f>IF(SalesData[[#This Row],[Profit]]&gt;0,"Profit","Loss")</f>
        <v>Profit</v>
      </c>
    </row>
    <row r="2307" spans="1:14" x14ac:dyDescent="0.3">
      <c r="A2307" t="s">
        <v>2651</v>
      </c>
      <c r="B2307" s="3">
        <v>42686</v>
      </c>
      <c r="C2307" t="s">
        <v>13</v>
      </c>
      <c r="D2307" t="s">
        <v>21</v>
      </c>
      <c r="E2307" t="s">
        <v>482</v>
      </c>
      <c r="F2307" s="1">
        <v>83.42</v>
      </c>
      <c r="G2307">
        <v>2</v>
      </c>
      <c r="H2307" s="1">
        <v>24.191800000000001</v>
      </c>
      <c r="I2307" s="4">
        <f>SalesData[[#This Row],[Profit]]/SalesData[[#This Row],[Sales]]</f>
        <v>0.28999999999999998</v>
      </c>
      <c r="J2307">
        <f>YEAR(SalesData[[#This Row],[Order Date]])</f>
        <v>2016</v>
      </c>
      <c r="K2307" t="str">
        <f>TEXT(SalesData[[#This Row],[Order Date]],"mmm")</f>
        <v>Nov</v>
      </c>
      <c r="L2307">
        <f>MONTH(SalesData[[#This Row],[Order Date]])</f>
        <v>11</v>
      </c>
      <c r="M2307">
        <f>SalesData[[#This Row],[Sales]]/SalesData[[#This Row],[Quantity]]</f>
        <v>41.71</v>
      </c>
      <c r="N2307" t="str">
        <f>IF(SalesData[[#This Row],[Profit]]&gt;0,"Profit","Loss")</f>
        <v>Profit</v>
      </c>
    </row>
    <row r="2308" spans="1:14" x14ac:dyDescent="0.3">
      <c r="A2308" t="s">
        <v>2651</v>
      </c>
      <c r="B2308" s="3">
        <v>42686</v>
      </c>
      <c r="C2308" t="s">
        <v>13</v>
      </c>
      <c r="D2308" t="s">
        <v>21</v>
      </c>
      <c r="E2308" t="s">
        <v>2654</v>
      </c>
      <c r="F2308" s="1">
        <v>5.8719999999999999</v>
      </c>
      <c r="G2308">
        <v>2</v>
      </c>
      <c r="H2308" s="1">
        <v>2.1286</v>
      </c>
      <c r="I2308" s="4">
        <f>SalesData[[#This Row],[Profit]]/SalesData[[#This Row],[Sales]]</f>
        <v>0.36249999999999999</v>
      </c>
      <c r="J2308">
        <f>YEAR(SalesData[[#This Row],[Order Date]])</f>
        <v>2016</v>
      </c>
      <c r="K2308" t="str">
        <f>TEXT(SalesData[[#This Row],[Order Date]],"mmm")</f>
        <v>Nov</v>
      </c>
      <c r="L2308">
        <f>MONTH(SalesData[[#This Row],[Order Date]])</f>
        <v>11</v>
      </c>
      <c r="M2308">
        <f>SalesData[[#This Row],[Sales]]/SalesData[[#This Row],[Quantity]]</f>
        <v>2.9359999999999999</v>
      </c>
      <c r="N2308" t="str">
        <f>IF(SalesData[[#This Row],[Profit]]&gt;0,"Profit","Loss")</f>
        <v>Profit</v>
      </c>
    </row>
    <row r="2309" spans="1:14" x14ac:dyDescent="0.3">
      <c r="A2309" t="s">
        <v>2655</v>
      </c>
      <c r="B2309" s="3">
        <v>42686</v>
      </c>
      <c r="C2309" t="s">
        <v>17</v>
      </c>
      <c r="D2309" t="s">
        <v>21</v>
      </c>
      <c r="E2309" t="s">
        <v>451</v>
      </c>
      <c r="F2309" s="1">
        <v>73.536000000000001</v>
      </c>
      <c r="G2309">
        <v>4</v>
      </c>
      <c r="H2309" s="1">
        <v>9.1920000000000002</v>
      </c>
      <c r="I2309" s="4">
        <f>SalesData[[#This Row],[Profit]]/SalesData[[#This Row],[Sales]]</f>
        <v>0.125</v>
      </c>
      <c r="J2309">
        <f>YEAR(SalesData[[#This Row],[Order Date]])</f>
        <v>2016</v>
      </c>
      <c r="K2309" t="str">
        <f>TEXT(SalesData[[#This Row],[Order Date]],"mmm")</f>
        <v>Nov</v>
      </c>
      <c r="L2309">
        <f>MONTH(SalesData[[#This Row],[Order Date]])</f>
        <v>11</v>
      </c>
      <c r="M2309">
        <f>SalesData[[#This Row],[Sales]]/SalesData[[#This Row],[Quantity]]</f>
        <v>18.384</v>
      </c>
      <c r="N2309" t="str">
        <f>IF(SalesData[[#This Row],[Profit]]&gt;0,"Profit","Loss")</f>
        <v>Profit</v>
      </c>
    </row>
    <row r="2310" spans="1:14" x14ac:dyDescent="0.3">
      <c r="A2310" t="s">
        <v>2656</v>
      </c>
      <c r="B2310" s="3">
        <v>42706</v>
      </c>
      <c r="C2310" t="s">
        <v>46</v>
      </c>
      <c r="D2310" t="s">
        <v>21</v>
      </c>
      <c r="E2310" t="s">
        <v>460</v>
      </c>
      <c r="F2310" s="1">
        <v>1350.12</v>
      </c>
      <c r="G2310">
        <v>6</v>
      </c>
      <c r="H2310" s="1">
        <v>175.51560000000001</v>
      </c>
      <c r="I2310" s="4">
        <f>SalesData[[#This Row],[Profit]]/SalesData[[#This Row],[Sales]]</f>
        <v>0.13</v>
      </c>
      <c r="J2310">
        <f>YEAR(SalesData[[#This Row],[Order Date]])</f>
        <v>2016</v>
      </c>
      <c r="K2310" t="str">
        <f>TEXT(SalesData[[#This Row],[Order Date]],"mmm")</f>
        <v>Dec</v>
      </c>
      <c r="L2310">
        <f>MONTH(SalesData[[#This Row],[Order Date]])</f>
        <v>12</v>
      </c>
      <c r="M2310">
        <f>SalesData[[#This Row],[Sales]]/SalesData[[#This Row],[Quantity]]</f>
        <v>225.01999999999998</v>
      </c>
      <c r="N2310" t="str">
        <f>IF(SalesData[[#This Row],[Profit]]&gt;0,"Profit","Loss")</f>
        <v>Profit</v>
      </c>
    </row>
    <row r="2311" spans="1:14" x14ac:dyDescent="0.3">
      <c r="A2311" t="s">
        <v>2656</v>
      </c>
      <c r="B2311" s="3">
        <v>42706</v>
      </c>
      <c r="C2311" t="s">
        <v>46</v>
      </c>
      <c r="D2311" t="s">
        <v>21</v>
      </c>
      <c r="E2311" t="s">
        <v>1233</v>
      </c>
      <c r="F2311" s="1">
        <v>15.92</v>
      </c>
      <c r="G2311">
        <v>4</v>
      </c>
      <c r="H2311" s="1">
        <v>7.4824000000000002</v>
      </c>
      <c r="I2311" s="4">
        <f>SalesData[[#This Row],[Profit]]/SalesData[[#This Row],[Sales]]</f>
        <v>0.47000000000000003</v>
      </c>
      <c r="J2311">
        <f>YEAR(SalesData[[#This Row],[Order Date]])</f>
        <v>2016</v>
      </c>
      <c r="K2311" t="str">
        <f>TEXT(SalesData[[#This Row],[Order Date]],"mmm")</f>
        <v>Dec</v>
      </c>
      <c r="L2311">
        <f>MONTH(SalesData[[#This Row],[Order Date]])</f>
        <v>12</v>
      </c>
      <c r="M2311">
        <f>SalesData[[#This Row],[Sales]]/SalesData[[#This Row],[Quantity]]</f>
        <v>3.98</v>
      </c>
      <c r="N2311" t="str">
        <f>IF(SalesData[[#This Row],[Profit]]&gt;0,"Profit","Loss")</f>
        <v>Profit</v>
      </c>
    </row>
    <row r="2312" spans="1:14" x14ac:dyDescent="0.3">
      <c r="A2312" t="s">
        <v>2657</v>
      </c>
      <c r="B2312" s="3">
        <v>42707</v>
      </c>
      <c r="C2312" t="s">
        <v>46</v>
      </c>
      <c r="D2312" t="s">
        <v>21</v>
      </c>
      <c r="E2312" t="s">
        <v>1535</v>
      </c>
      <c r="F2312" s="1">
        <v>12.96</v>
      </c>
      <c r="G2312">
        <v>2</v>
      </c>
      <c r="H2312" s="1">
        <v>6.2207999999999997</v>
      </c>
      <c r="I2312" s="4">
        <f>SalesData[[#This Row],[Profit]]/SalesData[[#This Row],[Sales]]</f>
        <v>0.47999999999999993</v>
      </c>
      <c r="J2312">
        <f>YEAR(SalesData[[#This Row],[Order Date]])</f>
        <v>2016</v>
      </c>
      <c r="K2312" t="str">
        <f>TEXT(SalesData[[#This Row],[Order Date]],"mmm")</f>
        <v>Dec</v>
      </c>
      <c r="L2312">
        <f>MONTH(SalesData[[#This Row],[Order Date]])</f>
        <v>12</v>
      </c>
      <c r="M2312">
        <f>SalesData[[#This Row],[Sales]]/SalesData[[#This Row],[Quantity]]</f>
        <v>6.48</v>
      </c>
      <c r="N2312" t="str">
        <f>IF(SalesData[[#This Row],[Profit]]&gt;0,"Profit","Loss")</f>
        <v>Profit</v>
      </c>
    </row>
    <row r="2313" spans="1:14" x14ac:dyDescent="0.3">
      <c r="A2313" t="s">
        <v>2658</v>
      </c>
      <c r="B2313" s="3">
        <v>42707</v>
      </c>
      <c r="C2313" t="s">
        <v>17</v>
      </c>
      <c r="D2313" t="s">
        <v>21</v>
      </c>
      <c r="E2313" t="s">
        <v>127</v>
      </c>
      <c r="F2313" s="1">
        <v>29.34</v>
      </c>
      <c r="G2313">
        <v>3</v>
      </c>
      <c r="H2313" s="1">
        <v>13.4964</v>
      </c>
      <c r="I2313" s="4">
        <f>SalesData[[#This Row],[Profit]]/SalesData[[#This Row],[Sales]]</f>
        <v>0.45999999999999996</v>
      </c>
      <c r="J2313">
        <f>YEAR(SalesData[[#This Row],[Order Date]])</f>
        <v>2016</v>
      </c>
      <c r="K2313" t="str">
        <f>TEXT(SalesData[[#This Row],[Order Date]],"mmm")</f>
        <v>Dec</v>
      </c>
      <c r="L2313">
        <f>MONTH(SalesData[[#This Row],[Order Date]])</f>
        <v>12</v>
      </c>
      <c r="M2313">
        <f>SalesData[[#This Row],[Sales]]/SalesData[[#This Row],[Quantity]]</f>
        <v>9.7799999999999994</v>
      </c>
      <c r="N2313" t="str">
        <f>IF(SalesData[[#This Row],[Profit]]&gt;0,"Profit","Loss")</f>
        <v>Profit</v>
      </c>
    </row>
    <row r="2314" spans="1:14" x14ac:dyDescent="0.3">
      <c r="A2314" t="s">
        <v>2659</v>
      </c>
      <c r="B2314" s="3">
        <v>42707</v>
      </c>
      <c r="C2314" t="s">
        <v>13</v>
      </c>
      <c r="D2314" t="s">
        <v>21</v>
      </c>
      <c r="E2314" t="s">
        <v>2660</v>
      </c>
      <c r="F2314" s="1">
        <v>676.55</v>
      </c>
      <c r="G2314">
        <v>5</v>
      </c>
      <c r="H2314" s="1">
        <v>6.7655000000000003</v>
      </c>
      <c r="I2314" s="4">
        <f>SalesData[[#This Row],[Profit]]/SalesData[[#This Row],[Sales]]</f>
        <v>1.0000000000000002E-2</v>
      </c>
      <c r="J2314">
        <f>YEAR(SalesData[[#This Row],[Order Date]])</f>
        <v>2016</v>
      </c>
      <c r="K2314" t="str">
        <f>TEXT(SalesData[[#This Row],[Order Date]],"mmm")</f>
        <v>Dec</v>
      </c>
      <c r="L2314">
        <f>MONTH(SalesData[[#This Row],[Order Date]])</f>
        <v>12</v>
      </c>
      <c r="M2314">
        <f>SalesData[[#This Row],[Sales]]/SalesData[[#This Row],[Quantity]]</f>
        <v>135.31</v>
      </c>
      <c r="N2314" t="str">
        <f>IF(SalesData[[#This Row],[Profit]]&gt;0,"Profit","Loss")</f>
        <v>Profit</v>
      </c>
    </row>
    <row r="2315" spans="1:14" x14ac:dyDescent="0.3">
      <c r="A2315" t="s">
        <v>2659</v>
      </c>
      <c r="B2315" s="3">
        <v>42707</v>
      </c>
      <c r="C2315" t="s">
        <v>13</v>
      </c>
      <c r="D2315" t="s">
        <v>21</v>
      </c>
      <c r="E2315" t="s">
        <v>135</v>
      </c>
      <c r="F2315" s="1">
        <v>154.9</v>
      </c>
      <c r="G2315">
        <v>5</v>
      </c>
      <c r="H2315" s="1">
        <v>40.274000000000001</v>
      </c>
      <c r="I2315" s="4">
        <f>SalesData[[#This Row],[Profit]]/SalesData[[#This Row],[Sales]]</f>
        <v>0.26</v>
      </c>
      <c r="J2315">
        <f>YEAR(SalesData[[#This Row],[Order Date]])</f>
        <v>2016</v>
      </c>
      <c r="K2315" t="str">
        <f>TEXT(SalesData[[#This Row],[Order Date]],"mmm")</f>
        <v>Dec</v>
      </c>
      <c r="L2315">
        <f>MONTH(SalesData[[#This Row],[Order Date]])</f>
        <v>12</v>
      </c>
      <c r="M2315">
        <f>SalesData[[#This Row],[Sales]]/SalesData[[#This Row],[Quantity]]</f>
        <v>30.98</v>
      </c>
      <c r="N2315" t="str">
        <f>IF(SalesData[[#This Row],[Profit]]&gt;0,"Profit","Loss")</f>
        <v>Profit</v>
      </c>
    </row>
    <row r="2316" spans="1:14" x14ac:dyDescent="0.3">
      <c r="A2316" t="s">
        <v>2659</v>
      </c>
      <c r="B2316" s="3">
        <v>42707</v>
      </c>
      <c r="C2316" t="s">
        <v>13</v>
      </c>
      <c r="D2316" t="s">
        <v>21</v>
      </c>
      <c r="E2316" t="s">
        <v>245</v>
      </c>
      <c r="F2316" s="1">
        <v>30.56</v>
      </c>
      <c r="G2316">
        <v>4</v>
      </c>
      <c r="H2316" s="1">
        <v>14.974399999999999</v>
      </c>
      <c r="I2316" s="4">
        <f>SalesData[[#This Row],[Profit]]/SalesData[[#This Row],[Sales]]</f>
        <v>0.49</v>
      </c>
      <c r="J2316">
        <f>YEAR(SalesData[[#This Row],[Order Date]])</f>
        <v>2016</v>
      </c>
      <c r="K2316" t="str">
        <f>TEXT(SalesData[[#This Row],[Order Date]],"mmm")</f>
        <v>Dec</v>
      </c>
      <c r="L2316">
        <f>MONTH(SalesData[[#This Row],[Order Date]])</f>
        <v>12</v>
      </c>
      <c r="M2316">
        <f>SalesData[[#This Row],[Sales]]/SalesData[[#This Row],[Quantity]]</f>
        <v>7.64</v>
      </c>
      <c r="N2316" t="str">
        <f>IF(SalesData[[#This Row],[Profit]]&gt;0,"Profit","Loss")</f>
        <v>Profit</v>
      </c>
    </row>
    <row r="2317" spans="1:14" x14ac:dyDescent="0.3">
      <c r="A2317" t="s">
        <v>2659</v>
      </c>
      <c r="B2317" s="3">
        <v>42707</v>
      </c>
      <c r="C2317" t="s">
        <v>13</v>
      </c>
      <c r="D2317" t="s">
        <v>14</v>
      </c>
      <c r="E2317" t="s">
        <v>118</v>
      </c>
      <c r="F2317" s="1">
        <v>770.35199999999998</v>
      </c>
      <c r="G2317">
        <v>3</v>
      </c>
      <c r="H2317" s="1">
        <v>77.035200000000003</v>
      </c>
      <c r="I2317" s="4">
        <f>SalesData[[#This Row],[Profit]]/SalesData[[#This Row],[Sales]]</f>
        <v>0.1</v>
      </c>
      <c r="J2317">
        <f>YEAR(SalesData[[#This Row],[Order Date]])</f>
        <v>2016</v>
      </c>
      <c r="K2317" t="str">
        <f>TEXT(SalesData[[#This Row],[Order Date]],"mmm")</f>
        <v>Dec</v>
      </c>
      <c r="L2317">
        <f>MONTH(SalesData[[#This Row],[Order Date]])</f>
        <v>12</v>
      </c>
      <c r="M2317">
        <f>SalesData[[#This Row],[Sales]]/SalesData[[#This Row],[Quantity]]</f>
        <v>256.78399999999999</v>
      </c>
      <c r="N2317" t="str">
        <f>IF(SalesData[[#This Row],[Profit]]&gt;0,"Profit","Loss")</f>
        <v>Profit</v>
      </c>
    </row>
    <row r="2318" spans="1:14" x14ac:dyDescent="0.3">
      <c r="A2318" t="s">
        <v>2661</v>
      </c>
      <c r="B2318" s="3">
        <v>42707</v>
      </c>
      <c r="C2318" t="s">
        <v>13</v>
      </c>
      <c r="D2318" t="s">
        <v>21</v>
      </c>
      <c r="E2318" t="s">
        <v>2662</v>
      </c>
      <c r="F2318" s="1">
        <v>19.98</v>
      </c>
      <c r="G2318">
        <v>2</v>
      </c>
      <c r="H2318" s="1">
        <v>8.9909999999999997</v>
      </c>
      <c r="I2318" s="4">
        <f>SalesData[[#This Row],[Profit]]/SalesData[[#This Row],[Sales]]</f>
        <v>0.44999999999999996</v>
      </c>
      <c r="J2318">
        <f>YEAR(SalesData[[#This Row],[Order Date]])</f>
        <v>2016</v>
      </c>
      <c r="K2318" t="str">
        <f>TEXT(SalesData[[#This Row],[Order Date]],"mmm")</f>
        <v>Dec</v>
      </c>
      <c r="L2318">
        <f>MONTH(SalesData[[#This Row],[Order Date]])</f>
        <v>12</v>
      </c>
      <c r="M2318">
        <f>SalesData[[#This Row],[Sales]]/SalesData[[#This Row],[Quantity]]</f>
        <v>9.99</v>
      </c>
      <c r="N2318" t="str">
        <f>IF(SalesData[[#This Row],[Profit]]&gt;0,"Profit","Loss")</f>
        <v>Profit</v>
      </c>
    </row>
    <row r="2319" spans="1:14" x14ac:dyDescent="0.3">
      <c r="A2319" t="s">
        <v>2663</v>
      </c>
      <c r="B2319" s="3">
        <v>42708</v>
      </c>
      <c r="C2319" t="s">
        <v>46</v>
      </c>
      <c r="D2319" t="s">
        <v>14</v>
      </c>
      <c r="E2319" t="s">
        <v>243</v>
      </c>
      <c r="F2319" s="1">
        <v>343.92</v>
      </c>
      <c r="G2319">
        <v>4</v>
      </c>
      <c r="H2319" s="1">
        <v>75.662400000000005</v>
      </c>
      <c r="I2319" s="4">
        <f>SalesData[[#This Row],[Profit]]/SalesData[[#This Row],[Sales]]</f>
        <v>0.22</v>
      </c>
      <c r="J2319">
        <f>YEAR(SalesData[[#This Row],[Order Date]])</f>
        <v>2016</v>
      </c>
      <c r="K2319" t="str">
        <f>TEXT(SalesData[[#This Row],[Order Date]],"mmm")</f>
        <v>Dec</v>
      </c>
      <c r="L2319">
        <f>MONTH(SalesData[[#This Row],[Order Date]])</f>
        <v>12</v>
      </c>
      <c r="M2319">
        <f>SalesData[[#This Row],[Sales]]/SalesData[[#This Row],[Quantity]]</f>
        <v>85.98</v>
      </c>
      <c r="N2319" t="str">
        <f>IF(SalesData[[#This Row],[Profit]]&gt;0,"Profit","Loss")</f>
        <v>Profit</v>
      </c>
    </row>
    <row r="2320" spans="1:14" x14ac:dyDescent="0.3">
      <c r="A2320" t="s">
        <v>2663</v>
      </c>
      <c r="B2320" s="3">
        <v>42708</v>
      </c>
      <c r="C2320" t="s">
        <v>46</v>
      </c>
      <c r="D2320" t="s">
        <v>21</v>
      </c>
      <c r="E2320" t="s">
        <v>578</v>
      </c>
      <c r="F2320" s="1">
        <v>40.99</v>
      </c>
      <c r="G2320">
        <v>1</v>
      </c>
      <c r="H2320" s="1">
        <v>20.085100000000001</v>
      </c>
      <c r="I2320" s="4">
        <f>SalesData[[#This Row],[Profit]]/SalesData[[#This Row],[Sales]]</f>
        <v>0.49</v>
      </c>
      <c r="J2320">
        <f>YEAR(SalesData[[#This Row],[Order Date]])</f>
        <v>2016</v>
      </c>
      <c r="K2320" t="str">
        <f>TEXT(SalesData[[#This Row],[Order Date]],"mmm")</f>
        <v>Dec</v>
      </c>
      <c r="L2320">
        <f>MONTH(SalesData[[#This Row],[Order Date]])</f>
        <v>12</v>
      </c>
      <c r="M2320">
        <f>SalesData[[#This Row],[Sales]]/SalesData[[#This Row],[Quantity]]</f>
        <v>40.99</v>
      </c>
      <c r="N2320" t="str">
        <f>IF(SalesData[[#This Row],[Profit]]&gt;0,"Profit","Loss")</f>
        <v>Profit</v>
      </c>
    </row>
    <row r="2321" spans="1:14" x14ac:dyDescent="0.3">
      <c r="A2321" t="s">
        <v>2663</v>
      </c>
      <c r="B2321" s="3">
        <v>42708</v>
      </c>
      <c r="C2321" t="s">
        <v>46</v>
      </c>
      <c r="D2321" t="s">
        <v>21</v>
      </c>
      <c r="E2321" t="s">
        <v>677</v>
      </c>
      <c r="F2321" s="1">
        <v>63.9</v>
      </c>
      <c r="G2321">
        <v>5</v>
      </c>
      <c r="H2321" s="1">
        <v>28.754999999999999</v>
      </c>
      <c r="I2321" s="4">
        <f>SalesData[[#This Row],[Profit]]/SalesData[[#This Row],[Sales]]</f>
        <v>0.45</v>
      </c>
      <c r="J2321">
        <f>YEAR(SalesData[[#This Row],[Order Date]])</f>
        <v>2016</v>
      </c>
      <c r="K2321" t="str">
        <f>TEXT(SalesData[[#This Row],[Order Date]],"mmm")</f>
        <v>Dec</v>
      </c>
      <c r="L2321">
        <f>MONTH(SalesData[[#This Row],[Order Date]])</f>
        <v>12</v>
      </c>
      <c r="M2321">
        <f>SalesData[[#This Row],[Sales]]/SalesData[[#This Row],[Quantity]]</f>
        <v>12.78</v>
      </c>
      <c r="N2321" t="str">
        <f>IF(SalesData[[#This Row],[Profit]]&gt;0,"Profit","Loss")</f>
        <v>Profit</v>
      </c>
    </row>
    <row r="2322" spans="1:14" x14ac:dyDescent="0.3">
      <c r="A2322" t="s">
        <v>2664</v>
      </c>
      <c r="B2322" s="3">
        <v>42708</v>
      </c>
      <c r="C2322" t="s">
        <v>13</v>
      </c>
      <c r="D2322" t="s">
        <v>14</v>
      </c>
      <c r="E2322" t="s">
        <v>1105</v>
      </c>
      <c r="F2322" s="1">
        <v>638.28800000000001</v>
      </c>
      <c r="G2322">
        <v>7</v>
      </c>
      <c r="H2322" s="1">
        <v>-31.914400000000001</v>
      </c>
      <c r="I2322" s="4">
        <f>SalesData[[#This Row],[Profit]]/SalesData[[#This Row],[Sales]]</f>
        <v>-0.05</v>
      </c>
      <c r="J2322">
        <f>YEAR(SalesData[[#This Row],[Order Date]])</f>
        <v>2016</v>
      </c>
      <c r="K2322" t="str">
        <f>TEXT(SalesData[[#This Row],[Order Date]],"mmm")</f>
        <v>Dec</v>
      </c>
      <c r="L2322">
        <f>MONTH(SalesData[[#This Row],[Order Date]])</f>
        <v>12</v>
      </c>
      <c r="M2322">
        <f>SalesData[[#This Row],[Sales]]/SalesData[[#This Row],[Quantity]]</f>
        <v>91.183999999999997</v>
      </c>
      <c r="N2322" t="str">
        <f>IF(SalesData[[#This Row],[Profit]]&gt;0,"Profit","Loss")</f>
        <v>Loss</v>
      </c>
    </row>
    <row r="2323" spans="1:14" x14ac:dyDescent="0.3">
      <c r="A2323" t="s">
        <v>2664</v>
      </c>
      <c r="B2323" s="3">
        <v>42708</v>
      </c>
      <c r="C2323" t="s">
        <v>13</v>
      </c>
      <c r="D2323" t="s">
        <v>21</v>
      </c>
      <c r="E2323" t="s">
        <v>2556</v>
      </c>
      <c r="F2323" s="1">
        <v>13.208</v>
      </c>
      <c r="G2323">
        <v>1</v>
      </c>
      <c r="H2323" s="1">
        <v>4.6227999999999998</v>
      </c>
      <c r="I2323" s="4">
        <f>SalesData[[#This Row],[Profit]]/SalesData[[#This Row],[Sales]]</f>
        <v>0.35</v>
      </c>
      <c r="J2323">
        <f>YEAR(SalesData[[#This Row],[Order Date]])</f>
        <v>2016</v>
      </c>
      <c r="K2323" t="str">
        <f>TEXT(SalesData[[#This Row],[Order Date]],"mmm")</f>
        <v>Dec</v>
      </c>
      <c r="L2323">
        <f>MONTH(SalesData[[#This Row],[Order Date]])</f>
        <v>12</v>
      </c>
      <c r="M2323">
        <f>SalesData[[#This Row],[Sales]]/SalesData[[#This Row],[Quantity]]</f>
        <v>13.208</v>
      </c>
      <c r="N2323" t="str">
        <f>IF(SalesData[[#This Row],[Profit]]&gt;0,"Profit","Loss")</f>
        <v>Profit</v>
      </c>
    </row>
    <row r="2324" spans="1:14" x14ac:dyDescent="0.3">
      <c r="A2324" t="s">
        <v>2665</v>
      </c>
      <c r="B2324" s="3">
        <v>42708</v>
      </c>
      <c r="C2324" t="s">
        <v>13</v>
      </c>
      <c r="D2324" t="s">
        <v>21</v>
      </c>
      <c r="E2324" t="s">
        <v>2666</v>
      </c>
      <c r="F2324" s="1">
        <v>19.440000000000001</v>
      </c>
      <c r="G2324">
        <v>3</v>
      </c>
      <c r="H2324" s="1">
        <v>9.3312000000000008</v>
      </c>
      <c r="I2324" s="4">
        <f>SalesData[[#This Row],[Profit]]/SalesData[[#This Row],[Sales]]</f>
        <v>0.48000000000000004</v>
      </c>
      <c r="J2324">
        <f>YEAR(SalesData[[#This Row],[Order Date]])</f>
        <v>2016</v>
      </c>
      <c r="K2324" t="str">
        <f>TEXT(SalesData[[#This Row],[Order Date]],"mmm")</f>
        <v>Dec</v>
      </c>
      <c r="L2324">
        <f>MONTH(SalesData[[#This Row],[Order Date]])</f>
        <v>12</v>
      </c>
      <c r="M2324">
        <f>SalesData[[#This Row],[Sales]]/SalesData[[#This Row],[Quantity]]</f>
        <v>6.48</v>
      </c>
      <c r="N2324" t="str">
        <f>IF(SalesData[[#This Row],[Profit]]&gt;0,"Profit","Loss")</f>
        <v>Profit</v>
      </c>
    </row>
    <row r="2325" spans="1:14" x14ac:dyDescent="0.3">
      <c r="A2325" t="s">
        <v>2665</v>
      </c>
      <c r="B2325" s="3">
        <v>42708</v>
      </c>
      <c r="C2325" t="s">
        <v>13</v>
      </c>
      <c r="D2325" t="s">
        <v>14</v>
      </c>
      <c r="E2325" t="s">
        <v>973</v>
      </c>
      <c r="F2325" s="1">
        <v>194.352</v>
      </c>
      <c r="G2325">
        <v>3</v>
      </c>
      <c r="H2325" s="1">
        <v>-36.441000000000003</v>
      </c>
      <c r="I2325" s="4">
        <f>SalesData[[#This Row],[Profit]]/SalesData[[#This Row],[Sales]]</f>
        <v>-0.1875</v>
      </c>
      <c r="J2325">
        <f>YEAR(SalesData[[#This Row],[Order Date]])</f>
        <v>2016</v>
      </c>
      <c r="K2325" t="str">
        <f>TEXT(SalesData[[#This Row],[Order Date]],"mmm")</f>
        <v>Dec</v>
      </c>
      <c r="L2325">
        <f>MONTH(SalesData[[#This Row],[Order Date]])</f>
        <v>12</v>
      </c>
      <c r="M2325">
        <f>SalesData[[#This Row],[Sales]]/SalesData[[#This Row],[Quantity]]</f>
        <v>64.784000000000006</v>
      </c>
      <c r="N2325" t="str">
        <f>IF(SalesData[[#This Row],[Profit]]&gt;0,"Profit","Loss")</f>
        <v>Loss</v>
      </c>
    </row>
    <row r="2326" spans="1:14" x14ac:dyDescent="0.3">
      <c r="A2326" t="s">
        <v>2665</v>
      </c>
      <c r="B2326" s="3">
        <v>42708</v>
      </c>
      <c r="C2326" t="s">
        <v>13</v>
      </c>
      <c r="D2326" t="s">
        <v>21</v>
      </c>
      <c r="E2326" t="s">
        <v>1136</v>
      </c>
      <c r="F2326" s="1">
        <v>36.624000000000002</v>
      </c>
      <c r="G2326">
        <v>3</v>
      </c>
      <c r="H2326" s="1">
        <v>13.734</v>
      </c>
      <c r="I2326" s="4">
        <f>SalesData[[#This Row],[Profit]]/SalesData[[#This Row],[Sales]]</f>
        <v>0.375</v>
      </c>
      <c r="J2326">
        <f>YEAR(SalesData[[#This Row],[Order Date]])</f>
        <v>2016</v>
      </c>
      <c r="K2326" t="str">
        <f>TEXT(SalesData[[#This Row],[Order Date]],"mmm")</f>
        <v>Dec</v>
      </c>
      <c r="L2326">
        <f>MONTH(SalesData[[#This Row],[Order Date]])</f>
        <v>12</v>
      </c>
      <c r="M2326">
        <f>SalesData[[#This Row],[Sales]]/SalesData[[#This Row],[Quantity]]</f>
        <v>12.208</v>
      </c>
      <c r="N2326" t="str">
        <f>IF(SalesData[[#This Row],[Profit]]&gt;0,"Profit","Loss")</f>
        <v>Profit</v>
      </c>
    </row>
    <row r="2327" spans="1:14" x14ac:dyDescent="0.3">
      <c r="A2327" t="s">
        <v>2667</v>
      </c>
      <c r="B2327" s="3">
        <v>42708</v>
      </c>
      <c r="C2327" t="s">
        <v>46</v>
      </c>
      <c r="D2327" t="s">
        <v>21</v>
      </c>
      <c r="E2327" t="s">
        <v>27</v>
      </c>
      <c r="F2327" s="1">
        <v>129.55199999999999</v>
      </c>
      <c r="G2327">
        <v>3</v>
      </c>
      <c r="H2327" s="1">
        <v>-22.671600000000002</v>
      </c>
      <c r="I2327" s="4">
        <f>SalesData[[#This Row],[Profit]]/SalesData[[#This Row],[Sales]]</f>
        <v>-0.17500000000000002</v>
      </c>
      <c r="J2327">
        <f>YEAR(SalesData[[#This Row],[Order Date]])</f>
        <v>2016</v>
      </c>
      <c r="K2327" t="str">
        <f>TEXT(SalesData[[#This Row],[Order Date]],"mmm")</f>
        <v>Dec</v>
      </c>
      <c r="L2327">
        <f>MONTH(SalesData[[#This Row],[Order Date]])</f>
        <v>12</v>
      </c>
      <c r="M2327">
        <f>SalesData[[#This Row],[Sales]]/SalesData[[#This Row],[Quantity]]</f>
        <v>43.183999999999997</v>
      </c>
      <c r="N2327" t="str">
        <f>IF(SalesData[[#This Row],[Profit]]&gt;0,"Profit","Loss")</f>
        <v>Loss</v>
      </c>
    </row>
    <row r="2328" spans="1:14" x14ac:dyDescent="0.3">
      <c r="A2328" t="s">
        <v>2667</v>
      </c>
      <c r="B2328" s="3">
        <v>42708</v>
      </c>
      <c r="C2328" t="s">
        <v>46</v>
      </c>
      <c r="D2328" t="s">
        <v>21</v>
      </c>
      <c r="E2328" t="s">
        <v>2203</v>
      </c>
      <c r="F2328" s="1">
        <v>51.984000000000002</v>
      </c>
      <c r="G2328">
        <v>1</v>
      </c>
      <c r="H2328" s="1">
        <v>-5.1984000000000004</v>
      </c>
      <c r="I2328" s="4">
        <f>SalesData[[#This Row],[Profit]]/SalesData[[#This Row],[Sales]]</f>
        <v>-0.1</v>
      </c>
      <c r="J2328">
        <f>YEAR(SalesData[[#This Row],[Order Date]])</f>
        <v>2016</v>
      </c>
      <c r="K2328" t="str">
        <f>TEXT(SalesData[[#This Row],[Order Date]],"mmm")</f>
        <v>Dec</v>
      </c>
      <c r="L2328">
        <f>MONTH(SalesData[[#This Row],[Order Date]])</f>
        <v>12</v>
      </c>
      <c r="M2328">
        <f>SalesData[[#This Row],[Sales]]/SalesData[[#This Row],[Quantity]]</f>
        <v>51.984000000000002</v>
      </c>
      <c r="N2328" t="str">
        <f>IF(SalesData[[#This Row],[Profit]]&gt;0,"Profit","Loss")</f>
        <v>Loss</v>
      </c>
    </row>
    <row r="2329" spans="1:14" x14ac:dyDescent="0.3">
      <c r="A2329" t="s">
        <v>2667</v>
      </c>
      <c r="B2329" s="3">
        <v>42708</v>
      </c>
      <c r="C2329" t="s">
        <v>46</v>
      </c>
      <c r="D2329" t="s">
        <v>21</v>
      </c>
      <c r="E2329" t="s">
        <v>2668</v>
      </c>
      <c r="F2329" s="1">
        <v>10.272</v>
      </c>
      <c r="G2329">
        <v>3</v>
      </c>
      <c r="H2329" s="1">
        <v>3.4668000000000001</v>
      </c>
      <c r="I2329" s="4">
        <f>SalesData[[#This Row],[Profit]]/SalesData[[#This Row],[Sales]]</f>
        <v>0.33750000000000002</v>
      </c>
      <c r="J2329">
        <f>YEAR(SalesData[[#This Row],[Order Date]])</f>
        <v>2016</v>
      </c>
      <c r="K2329" t="str">
        <f>TEXT(SalesData[[#This Row],[Order Date]],"mmm")</f>
        <v>Dec</v>
      </c>
      <c r="L2329">
        <f>MONTH(SalesData[[#This Row],[Order Date]])</f>
        <v>12</v>
      </c>
      <c r="M2329">
        <f>SalesData[[#This Row],[Sales]]/SalesData[[#This Row],[Quantity]]</f>
        <v>3.4239999999999999</v>
      </c>
      <c r="N2329" t="str">
        <f>IF(SalesData[[#This Row],[Profit]]&gt;0,"Profit","Loss")</f>
        <v>Profit</v>
      </c>
    </row>
    <row r="2330" spans="1:14" x14ac:dyDescent="0.3">
      <c r="A2330" t="s">
        <v>2669</v>
      </c>
      <c r="B2330" s="3">
        <v>42709</v>
      </c>
      <c r="C2330" t="s">
        <v>46</v>
      </c>
      <c r="D2330" t="s">
        <v>21</v>
      </c>
      <c r="E2330" t="s">
        <v>489</v>
      </c>
      <c r="F2330" s="1">
        <v>10.96</v>
      </c>
      <c r="G2330">
        <v>4</v>
      </c>
      <c r="H2330" s="1">
        <v>2.9592000000000001</v>
      </c>
      <c r="I2330" s="4">
        <f>SalesData[[#This Row],[Profit]]/SalesData[[#This Row],[Sales]]</f>
        <v>0.26999999999999996</v>
      </c>
      <c r="J2330">
        <f>YEAR(SalesData[[#This Row],[Order Date]])</f>
        <v>2016</v>
      </c>
      <c r="K2330" t="str">
        <f>TEXT(SalesData[[#This Row],[Order Date]],"mmm")</f>
        <v>Dec</v>
      </c>
      <c r="L2330">
        <f>MONTH(SalesData[[#This Row],[Order Date]])</f>
        <v>12</v>
      </c>
      <c r="M2330">
        <f>SalesData[[#This Row],[Sales]]/SalesData[[#This Row],[Quantity]]</f>
        <v>2.74</v>
      </c>
      <c r="N2330" t="str">
        <f>IF(SalesData[[#This Row],[Profit]]&gt;0,"Profit","Loss")</f>
        <v>Profit</v>
      </c>
    </row>
    <row r="2331" spans="1:14" x14ac:dyDescent="0.3">
      <c r="A2331" t="s">
        <v>2670</v>
      </c>
      <c r="B2331" s="3">
        <v>42709</v>
      </c>
      <c r="C2331" t="s">
        <v>17</v>
      </c>
      <c r="D2331" t="s">
        <v>21</v>
      </c>
      <c r="E2331" t="s">
        <v>1445</v>
      </c>
      <c r="F2331" s="1">
        <v>82.367999999999995</v>
      </c>
      <c r="G2331">
        <v>2</v>
      </c>
      <c r="H2331" s="1">
        <v>-19.5624</v>
      </c>
      <c r="I2331" s="4">
        <f>SalesData[[#This Row],[Profit]]/SalesData[[#This Row],[Sales]]</f>
        <v>-0.23750000000000002</v>
      </c>
      <c r="J2331">
        <f>YEAR(SalesData[[#This Row],[Order Date]])</f>
        <v>2016</v>
      </c>
      <c r="K2331" t="str">
        <f>TEXT(SalesData[[#This Row],[Order Date]],"mmm")</f>
        <v>Dec</v>
      </c>
      <c r="L2331">
        <f>MONTH(SalesData[[#This Row],[Order Date]])</f>
        <v>12</v>
      </c>
      <c r="M2331">
        <f>SalesData[[#This Row],[Sales]]/SalesData[[#This Row],[Quantity]]</f>
        <v>41.183999999999997</v>
      </c>
      <c r="N2331" t="str">
        <f>IF(SalesData[[#This Row],[Profit]]&gt;0,"Profit","Loss")</f>
        <v>Loss</v>
      </c>
    </row>
    <row r="2332" spans="1:14" x14ac:dyDescent="0.3">
      <c r="A2332" t="s">
        <v>2671</v>
      </c>
      <c r="B2332" s="3">
        <v>42709</v>
      </c>
      <c r="C2332" t="s">
        <v>13</v>
      </c>
      <c r="D2332" t="s">
        <v>21</v>
      </c>
      <c r="E2332" t="s">
        <v>2672</v>
      </c>
      <c r="F2332" s="1">
        <v>54.9</v>
      </c>
      <c r="G2332">
        <v>5</v>
      </c>
      <c r="H2332" s="1">
        <v>26.901</v>
      </c>
      <c r="I2332" s="4">
        <f>SalesData[[#This Row],[Profit]]/SalesData[[#This Row],[Sales]]</f>
        <v>0.49</v>
      </c>
      <c r="J2332">
        <f>YEAR(SalesData[[#This Row],[Order Date]])</f>
        <v>2016</v>
      </c>
      <c r="K2332" t="str">
        <f>TEXT(SalesData[[#This Row],[Order Date]],"mmm")</f>
        <v>Dec</v>
      </c>
      <c r="L2332">
        <f>MONTH(SalesData[[#This Row],[Order Date]])</f>
        <v>12</v>
      </c>
      <c r="M2332">
        <f>SalesData[[#This Row],[Sales]]/SalesData[[#This Row],[Quantity]]</f>
        <v>10.98</v>
      </c>
      <c r="N2332" t="str">
        <f>IF(SalesData[[#This Row],[Profit]]&gt;0,"Profit","Loss")</f>
        <v>Profit</v>
      </c>
    </row>
    <row r="2333" spans="1:14" x14ac:dyDescent="0.3">
      <c r="A2333" t="s">
        <v>2673</v>
      </c>
      <c r="B2333" s="3">
        <v>42709</v>
      </c>
      <c r="C2333" t="s">
        <v>17</v>
      </c>
      <c r="D2333" t="s">
        <v>14</v>
      </c>
      <c r="E2333" t="s">
        <v>455</v>
      </c>
      <c r="F2333" s="1">
        <v>10.02</v>
      </c>
      <c r="G2333">
        <v>3</v>
      </c>
      <c r="H2333" s="1">
        <v>4.4088000000000003</v>
      </c>
      <c r="I2333" s="4">
        <f>SalesData[[#This Row],[Profit]]/SalesData[[#This Row],[Sales]]</f>
        <v>0.44000000000000006</v>
      </c>
      <c r="J2333">
        <f>YEAR(SalesData[[#This Row],[Order Date]])</f>
        <v>2016</v>
      </c>
      <c r="K2333" t="str">
        <f>TEXT(SalesData[[#This Row],[Order Date]],"mmm")</f>
        <v>Dec</v>
      </c>
      <c r="L2333">
        <f>MONTH(SalesData[[#This Row],[Order Date]])</f>
        <v>12</v>
      </c>
      <c r="M2333">
        <f>SalesData[[#This Row],[Sales]]/SalesData[[#This Row],[Quantity]]</f>
        <v>3.34</v>
      </c>
      <c r="N2333" t="str">
        <f>IF(SalesData[[#This Row],[Profit]]&gt;0,"Profit","Loss")</f>
        <v>Profit</v>
      </c>
    </row>
    <row r="2334" spans="1:14" x14ac:dyDescent="0.3">
      <c r="A2334" t="s">
        <v>2673</v>
      </c>
      <c r="B2334" s="3">
        <v>42709</v>
      </c>
      <c r="C2334" t="s">
        <v>17</v>
      </c>
      <c r="D2334" t="s">
        <v>10</v>
      </c>
      <c r="E2334" t="s">
        <v>898</v>
      </c>
      <c r="F2334" s="1">
        <v>631.96</v>
      </c>
      <c r="G2334">
        <v>4</v>
      </c>
      <c r="H2334" s="1">
        <v>303.3408</v>
      </c>
      <c r="I2334" s="4">
        <f>SalesData[[#This Row],[Profit]]/SalesData[[#This Row],[Sales]]</f>
        <v>0.48</v>
      </c>
      <c r="J2334">
        <f>YEAR(SalesData[[#This Row],[Order Date]])</f>
        <v>2016</v>
      </c>
      <c r="K2334" t="str">
        <f>TEXT(SalesData[[#This Row],[Order Date]],"mmm")</f>
        <v>Dec</v>
      </c>
      <c r="L2334">
        <f>MONTH(SalesData[[#This Row],[Order Date]])</f>
        <v>12</v>
      </c>
      <c r="M2334">
        <f>SalesData[[#This Row],[Sales]]/SalesData[[#This Row],[Quantity]]</f>
        <v>157.99</v>
      </c>
      <c r="N2334" t="str">
        <f>IF(SalesData[[#This Row],[Profit]]&gt;0,"Profit","Loss")</f>
        <v>Profit</v>
      </c>
    </row>
    <row r="2335" spans="1:14" x14ac:dyDescent="0.3">
      <c r="A2335" t="s">
        <v>2674</v>
      </c>
      <c r="B2335" s="3">
        <v>42709</v>
      </c>
      <c r="C2335" t="s">
        <v>13</v>
      </c>
      <c r="D2335" t="s">
        <v>10</v>
      </c>
      <c r="E2335" t="s">
        <v>2675</v>
      </c>
      <c r="F2335" s="1">
        <v>120</v>
      </c>
      <c r="G2335">
        <v>6</v>
      </c>
      <c r="H2335" s="1">
        <v>46.8</v>
      </c>
      <c r="I2335" s="4">
        <f>SalesData[[#This Row],[Profit]]/SalesData[[#This Row],[Sales]]</f>
        <v>0.38999999999999996</v>
      </c>
      <c r="J2335">
        <f>YEAR(SalesData[[#This Row],[Order Date]])</f>
        <v>2016</v>
      </c>
      <c r="K2335" t="str">
        <f>TEXT(SalesData[[#This Row],[Order Date]],"mmm")</f>
        <v>Dec</v>
      </c>
      <c r="L2335">
        <f>MONTH(SalesData[[#This Row],[Order Date]])</f>
        <v>12</v>
      </c>
      <c r="M2335">
        <f>SalesData[[#This Row],[Sales]]/SalesData[[#This Row],[Quantity]]</f>
        <v>20</v>
      </c>
      <c r="N2335" t="str">
        <f>IF(SalesData[[#This Row],[Profit]]&gt;0,"Profit","Loss")</f>
        <v>Profit</v>
      </c>
    </row>
    <row r="2336" spans="1:14" x14ac:dyDescent="0.3">
      <c r="A2336" t="s">
        <v>2674</v>
      </c>
      <c r="B2336" s="3">
        <v>42709</v>
      </c>
      <c r="C2336" t="s">
        <v>13</v>
      </c>
      <c r="D2336" t="s">
        <v>21</v>
      </c>
      <c r="E2336" t="s">
        <v>207</v>
      </c>
      <c r="F2336" s="1">
        <v>8.67</v>
      </c>
      <c r="G2336">
        <v>1</v>
      </c>
      <c r="H2336" s="1">
        <v>2.3409</v>
      </c>
      <c r="I2336" s="4">
        <f>SalesData[[#This Row],[Profit]]/SalesData[[#This Row],[Sales]]</f>
        <v>0.27</v>
      </c>
      <c r="J2336">
        <f>YEAR(SalesData[[#This Row],[Order Date]])</f>
        <v>2016</v>
      </c>
      <c r="K2336" t="str">
        <f>TEXT(SalesData[[#This Row],[Order Date]],"mmm")</f>
        <v>Dec</v>
      </c>
      <c r="L2336">
        <f>MONTH(SalesData[[#This Row],[Order Date]])</f>
        <v>12</v>
      </c>
      <c r="M2336">
        <f>SalesData[[#This Row],[Sales]]/SalesData[[#This Row],[Quantity]]</f>
        <v>8.67</v>
      </c>
      <c r="N2336" t="str">
        <f>IF(SalesData[[#This Row],[Profit]]&gt;0,"Profit","Loss")</f>
        <v>Profit</v>
      </c>
    </row>
    <row r="2337" spans="1:14" x14ac:dyDescent="0.3">
      <c r="A2337" t="s">
        <v>2676</v>
      </c>
      <c r="B2337" s="3">
        <v>42710</v>
      </c>
      <c r="C2337" t="s">
        <v>13</v>
      </c>
      <c r="D2337" t="s">
        <v>21</v>
      </c>
      <c r="E2337" t="s">
        <v>58</v>
      </c>
      <c r="F2337" s="1">
        <v>14.62</v>
      </c>
      <c r="G2337">
        <v>2</v>
      </c>
      <c r="H2337" s="1">
        <v>6.8714000000000004</v>
      </c>
      <c r="I2337" s="4">
        <f>SalesData[[#This Row],[Profit]]/SalesData[[#This Row],[Sales]]</f>
        <v>0.47000000000000003</v>
      </c>
      <c r="J2337">
        <f>YEAR(SalesData[[#This Row],[Order Date]])</f>
        <v>2016</v>
      </c>
      <c r="K2337" t="str">
        <f>TEXT(SalesData[[#This Row],[Order Date]],"mmm")</f>
        <v>Dec</v>
      </c>
      <c r="L2337">
        <f>MONTH(SalesData[[#This Row],[Order Date]])</f>
        <v>12</v>
      </c>
      <c r="M2337">
        <f>SalesData[[#This Row],[Sales]]/SalesData[[#This Row],[Quantity]]</f>
        <v>7.31</v>
      </c>
      <c r="N2337" t="str">
        <f>IF(SalesData[[#This Row],[Profit]]&gt;0,"Profit","Loss")</f>
        <v>Profit</v>
      </c>
    </row>
    <row r="2338" spans="1:14" x14ac:dyDescent="0.3">
      <c r="A2338" t="s">
        <v>2677</v>
      </c>
      <c r="B2338" s="3">
        <v>42710</v>
      </c>
      <c r="C2338" t="s">
        <v>46</v>
      </c>
      <c r="D2338" t="s">
        <v>21</v>
      </c>
      <c r="E2338" t="s">
        <v>2678</v>
      </c>
      <c r="F2338" s="1">
        <v>208.16</v>
      </c>
      <c r="G2338">
        <v>1</v>
      </c>
      <c r="H2338" s="1">
        <v>56.203200000000002</v>
      </c>
      <c r="I2338" s="4">
        <f>SalesData[[#This Row],[Profit]]/SalesData[[#This Row],[Sales]]</f>
        <v>0.27</v>
      </c>
      <c r="J2338">
        <f>YEAR(SalesData[[#This Row],[Order Date]])</f>
        <v>2016</v>
      </c>
      <c r="K2338" t="str">
        <f>TEXT(SalesData[[#This Row],[Order Date]],"mmm")</f>
        <v>Dec</v>
      </c>
      <c r="L2338">
        <f>MONTH(SalesData[[#This Row],[Order Date]])</f>
        <v>12</v>
      </c>
      <c r="M2338">
        <f>SalesData[[#This Row],[Sales]]/SalesData[[#This Row],[Quantity]]</f>
        <v>208.16</v>
      </c>
      <c r="N2338" t="str">
        <f>IF(SalesData[[#This Row],[Profit]]&gt;0,"Profit","Loss")</f>
        <v>Profit</v>
      </c>
    </row>
    <row r="2339" spans="1:14" x14ac:dyDescent="0.3">
      <c r="A2339" t="s">
        <v>2677</v>
      </c>
      <c r="B2339" s="3">
        <v>42710</v>
      </c>
      <c r="C2339" t="s">
        <v>46</v>
      </c>
      <c r="D2339" t="s">
        <v>21</v>
      </c>
      <c r="E2339" t="s">
        <v>2679</v>
      </c>
      <c r="F2339" s="1">
        <v>16.739999999999998</v>
      </c>
      <c r="G2339">
        <v>3</v>
      </c>
      <c r="H2339" s="1">
        <v>8.0351999999999997</v>
      </c>
      <c r="I2339" s="4">
        <f>SalesData[[#This Row],[Profit]]/SalesData[[#This Row],[Sales]]</f>
        <v>0.48000000000000004</v>
      </c>
      <c r="J2339">
        <f>YEAR(SalesData[[#This Row],[Order Date]])</f>
        <v>2016</v>
      </c>
      <c r="K2339" t="str">
        <f>TEXT(SalesData[[#This Row],[Order Date]],"mmm")</f>
        <v>Dec</v>
      </c>
      <c r="L2339">
        <f>MONTH(SalesData[[#This Row],[Order Date]])</f>
        <v>12</v>
      </c>
      <c r="M2339">
        <f>SalesData[[#This Row],[Sales]]/SalesData[[#This Row],[Quantity]]</f>
        <v>5.5799999999999992</v>
      </c>
      <c r="N2339" t="str">
        <f>IF(SalesData[[#This Row],[Profit]]&gt;0,"Profit","Loss")</f>
        <v>Profit</v>
      </c>
    </row>
    <row r="2340" spans="1:14" x14ac:dyDescent="0.3">
      <c r="A2340" t="s">
        <v>2680</v>
      </c>
      <c r="B2340" s="3">
        <v>42710</v>
      </c>
      <c r="C2340" t="s">
        <v>17</v>
      </c>
      <c r="D2340" t="s">
        <v>14</v>
      </c>
      <c r="E2340" t="s">
        <v>1650</v>
      </c>
      <c r="F2340" s="1">
        <v>47.04</v>
      </c>
      <c r="G2340">
        <v>3</v>
      </c>
      <c r="H2340" s="1">
        <v>18.345600000000001</v>
      </c>
      <c r="I2340" s="4">
        <f>SalesData[[#This Row],[Profit]]/SalesData[[#This Row],[Sales]]</f>
        <v>0.39</v>
      </c>
      <c r="J2340">
        <f>YEAR(SalesData[[#This Row],[Order Date]])</f>
        <v>2016</v>
      </c>
      <c r="K2340" t="str">
        <f>TEXT(SalesData[[#This Row],[Order Date]],"mmm")</f>
        <v>Dec</v>
      </c>
      <c r="L2340">
        <f>MONTH(SalesData[[#This Row],[Order Date]])</f>
        <v>12</v>
      </c>
      <c r="M2340">
        <f>SalesData[[#This Row],[Sales]]/SalesData[[#This Row],[Quantity]]</f>
        <v>15.68</v>
      </c>
      <c r="N2340" t="str">
        <f>IF(SalesData[[#This Row],[Profit]]&gt;0,"Profit","Loss")</f>
        <v>Profit</v>
      </c>
    </row>
    <row r="2341" spans="1:14" x14ac:dyDescent="0.3">
      <c r="A2341" t="s">
        <v>2680</v>
      </c>
      <c r="B2341" s="3">
        <v>42710</v>
      </c>
      <c r="C2341" t="s">
        <v>17</v>
      </c>
      <c r="D2341" t="s">
        <v>21</v>
      </c>
      <c r="E2341" t="s">
        <v>741</v>
      </c>
      <c r="F2341" s="1">
        <v>30.84</v>
      </c>
      <c r="G2341">
        <v>4</v>
      </c>
      <c r="H2341" s="1">
        <v>13.878</v>
      </c>
      <c r="I2341" s="4">
        <f>SalesData[[#This Row],[Profit]]/SalesData[[#This Row],[Sales]]</f>
        <v>0.45</v>
      </c>
      <c r="J2341">
        <f>YEAR(SalesData[[#This Row],[Order Date]])</f>
        <v>2016</v>
      </c>
      <c r="K2341" t="str">
        <f>TEXT(SalesData[[#This Row],[Order Date]],"mmm")</f>
        <v>Dec</v>
      </c>
      <c r="L2341">
        <f>MONTH(SalesData[[#This Row],[Order Date]])</f>
        <v>12</v>
      </c>
      <c r="M2341">
        <f>SalesData[[#This Row],[Sales]]/SalesData[[#This Row],[Quantity]]</f>
        <v>7.71</v>
      </c>
      <c r="N2341" t="str">
        <f>IF(SalesData[[#This Row],[Profit]]&gt;0,"Profit","Loss")</f>
        <v>Profit</v>
      </c>
    </row>
    <row r="2342" spans="1:14" x14ac:dyDescent="0.3">
      <c r="A2342" t="s">
        <v>2680</v>
      </c>
      <c r="B2342" s="3">
        <v>42710</v>
      </c>
      <c r="C2342" t="s">
        <v>17</v>
      </c>
      <c r="D2342" t="s">
        <v>21</v>
      </c>
      <c r="E2342" t="s">
        <v>718</v>
      </c>
      <c r="F2342" s="1">
        <v>226.56</v>
      </c>
      <c r="G2342">
        <v>6</v>
      </c>
      <c r="H2342" s="1">
        <v>63.436799999999998</v>
      </c>
      <c r="I2342" s="4">
        <f>SalesData[[#This Row],[Profit]]/SalesData[[#This Row],[Sales]]</f>
        <v>0.27999999999999997</v>
      </c>
      <c r="J2342">
        <f>YEAR(SalesData[[#This Row],[Order Date]])</f>
        <v>2016</v>
      </c>
      <c r="K2342" t="str">
        <f>TEXT(SalesData[[#This Row],[Order Date]],"mmm")</f>
        <v>Dec</v>
      </c>
      <c r="L2342">
        <f>MONTH(SalesData[[#This Row],[Order Date]])</f>
        <v>12</v>
      </c>
      <c r="M2342">
        <f>SalesData[[#This Row],[Sales]]/SalesData[[#This Row],[Quantity]]</f>
        <v>37.76</v>
      </c>
      <c r="N2342" t="str">
        <f>IF(SalesData[[#This Row],[Profit]]&gt;0,"Profit","Loss")</f>
        <v>Profit</v>
      </c>
    </row>
    <row r="2343" spans="1:14" x14ac:dyDescent="0.3">
      <c r="A2343" t="s">
        <v>2680</v>
      </c>
      <c r="B2343" s="3">
        <v>42710</v>
      </c>
      <c r="C2343" t="s">
        <v>17</v>
      </c>
      <c r="D2343" t="s">
        <v>21</v>
      </c>
      <c r="E2343" t="s">
        <v>677</v>
      </c>
      <c r="F2343" s="1">
        <v>115.02</v>
      </c>
      <c r="G2343">
        <v>9</v>
      </c>
      <c r="H2343" s="1">
        <v>51.759</v>
      </c>
      <c r="I2343" s="4">
        <f>SalesData[[#This Row],[Profit]]/SalesData[[#This Row],[Sales]]</f>
        <v>0.45</v>
      </c>
      <c r="J2343">
        <f>YEAR(SalesData[[#This Row],[Order Date]])</f>
        <v>2016</v>
      </c>
      <c r="K2343" t="str">
        <f>TEXT(SalesData[[#This Row],[Order Date]],"mmm")</f>
        <v>Dec</v>
      </c>
      <c r="L2343">
        <f>MONTH(SalesData[[#This Row],[Order Date]])</f>
        <v>12</v>
      </c>
      <c r="M2343">
        <f>SalesData[[#This Row],[Sales]]/SalesData[[#This Row],[Quantity]]</f>
        <v>12.78</v>
      </c>
      <c r="N2343" t="str">
        <f>IF(SalesData[[#This Row],[Profit]]&gt;0,"Profit","Loss")</f>
        <v>Profit</v>
      </c>
    </row>
    <row r="2344" spans="1:14" x14ac:dyDescent="0.3">
      <c r="A2344" t="s">
        <v>2680</v>
      </c>
      <c r="B2344" s="3">
        <v>42710</v>
      </c>
      <c r="C2344" t="s">
        <v>17</v>
      </c>
      <c r="D2344" t="s">
        <v>10</v>
      </c>
      <c r="E2344" t="s">
        <v>1661</v>
      </c>
      <c r="F2344" s="1">
        <v>68.040000000000006</v>
      </c>
      <c r="G2344">
        <v>7</v>
      </c>
      <c r="H2344" s="1">
        <v>19.7316</v>
      </c>
      <c r="I2344" s="4">
        <f>SalesData[[#This Row],[Profit]]/SalesData[[#This Row],[Sales]]</f>
        <v>0.28999999999999998</v>
      </c>
      <c r="J2344">
        <f>YEAR(SalesData[[#This Row],[Order Date]])</f>
        <v>2016</v>
      </c>
      <c r="K2344" t="str">
        <f>TEXT(SalesData[[#This Row],[Order Date]],"mmm")</f>
        <v>Dec</v>
      </c>
      <c r="L2344">
        <f>MONTH(SalesData[[#This Row],[Order Date]])</f>
        <v>12</v>
      </c>
      <c r="M2344">
        <f>SalesData[[#This Row],[Sales]]/SalesData[[#This Row],[Quantity]]</f>
        <v>9.7200000000000006</v>
      </c>
      <c r="N2344" t="str">
        <f>IF(SalesData[[#This Row],[Profit]]&gt;0,"Profit","Loss")</f>
        <v>Profit</v>
      </c>
    </row>
    <row r="2345" spans="1:14" x14ac:dyDescent="0.3">
      <c r="A2345" t="s">
        <v>2681</v>
      </c>
      <c r="B2345" s="3">
        <v>42710</v>
      </c>
      <c r="C2345" t="s">
        <v>9</v>
      </c>
      <c r="D2345" t="s">
        <v>10</v>
      </c>
      <c r="E2345" t="s">
        <v>2682</v>
      </c>
      <c r="F2345" s="1">
        <v>1007.979</v>
      </c>
      <c r="G2345">
        <v>3</v>
      </c>
      <c r="H2345" s="1">
        <v>43.199100000000001</v>
      </c>
      <c r="I2345" s="4">
        <f>SalesData[[#This Row],[Profit]]/SalesData[[#This Row],[Sales]]</f>
        <v>4.2857142857142858E-2</v>
      </c>
      <c r="J2345">
        <f>YEAR(SalesData[[#This Row],[Order Date]])</f>
        <v>2016</v>
      </c>
      <c r="K2345" t="str">
        <f>TEXT(SalesData[[#This Row],[Order Date]],"mmm")</f>
        <v>Dec</v>
      </c>
      <c r="L2345">
        <f>MONTH(SalesData[[#This Row],[Order Date]])</f>
        <v>12</v>
      </c>
      <c r="M2345">
        <f>SalesData[[#This Row],[Sales]]/SalesData[[#This Row],[Quantity]]</f>
        <v>335.99299999999999</v>
      </c>
      <c r="N2345" t="str">
        <f>IF(SalesData[[#This Row],[Profit]]&gt;0,"Profit","Loss")</f>
        <v>Profit</v>
      </c>
    </row>
    <row r="2346" spans="1:14" x14ac:dyDescent="0.3">
      <c r="A2346" t="s">
        <v>2681</v>
      </c>
      <c r="B2346" s="3">
        <v>42710</v>
      </c>
      <c r="C2346" t="s">
        <v>9</v>
      </c>
      <c r="D2346" t="s">
        <v>21</v>
      </c>
      <c r="E2346" t="s">
        <v>1295</v>
      </c>
      <c r="F2346" s="1">
        <v>313.488</v>
      </c>
      <c r="G2346">
        <v>7</v>
      </c>
      <c r="H2346" s="1">
        <v>113.63939999999999</v>
      </c>
      <c r="I2346" s="4">
        <f>SalesData[[#This Row],[Profit]]/SalesData[[#This Row],[Sales]]</f>
        <v>0.36249999999999999</v>
      </c>
      <c r="J2346">
        <f>YEAR(SalesData[[#This Row],[Order Date]])</f>
        <v>2016</v>
      </c>
      <c r="K2346" t="str">
        <f>TEXT(SalesData[[#This Row],[Order Date]],"mmm")</f>
        <v>Dec</v>
      </c>
      <c r="L2346">
        <f>MONTH(SalesData[[#This Row],[Order Date]])</f>
        <v>12</v>
      </c>
      <c r="M2346">
        <f>SalesData[[#This Row],[Sales]]/SalesData[[#This Row],[Quantity]]</f>
        <v>44.783999999999999</v>
      </c>
      <c r="N2346" t="str">
        <f>IF(SalesData[[#This Row],[Profit]]&gt;0,"Profit","Loss")</f>
        <v>Profit</v>
      </c>
    </row>
    <row r="2347" spans="1:14" x14ac:dyDescent="0.3">
      <c r="A2347" t="s">
        <v>2683</v>
      </c>
      <c r="B2347" s="3">
        <v>42710</v>
      </c>
      <c r="C2347" t="s">
        <v>9</v>
      </c>
      <c r="D2347" t="s">
        <v>21</v>
      </c>
      <c r="E2347" t="s">
        <v>1673</v>
      </c>
      <c r="F2347" s="1">
        <v>23.12</v>
      </c>
      <c r="G2347">
        <v>5</v>
      </c>
      <c r="H2347" s="1">
        <v>8.3810000000000002</v>
      </c>
      <c r="I2347" s="4">
        <f>SalesData[[#This Row],[Profit]]/SalesData[[#This Row],[Sales]]</f>
        <v>0.36249999999999999</v>
      </c>
      <c r="J2347">
        <f>YEAR(SalesData[[#This Row],[Order Date]])</f>
        <v>2016</v>
      </c>
      <c r="K2347" t="str">
        <f>TEXT(SalesData[[#This Row],[Order Date]],"mmm")</f>
        <v>Dec</v>
      </c>
      <c r="L2347">
        <f>MONTH(SalesData[[#This Row],[Order Date]])</f>
        <v>12</v>
      </c>
      <c r="M2347">
        <f>SalesData[[#This Row],[Sales]]/SalesData[[#This Row],[Quantity]]</f>
        <v>4.6240000000000006</v>
      </c>
      <c r="N2347" t="str">
        <f>IF(SalesData[[#This Row],[Profit]]&gt;0,"Profit","Loss")</f>
        <v>Profit</v>
      </c>
    </row>
    <row r="2348" spans="1:14" x14ac:dyDescent="0.3">
      <c r="A2348" t="s">
        <v>2684</v>
      </c>
      <c r="B2348" s="3">
        <v>42710</v>
      </c>
      <c r="C2348" t="s">
        <v>17</v>
      </c>
      <c r="D2348" t="s">
        <v>21</v>
      </c>
      <c r="E2348" t="s">
        <v>2653</v>
      </c>
      <c r="F2348" s="1">
        <v>92.94</v>
      </c>
      <c r="G2348">
        <v>3</v>
      </c>
      <c r="H2348" s="1">
        <v>41.823</v>
      </c>
      <c r="I2348" s="4">
        <f>SalesData[[#This Row],[Profit]]/SalesData[[#This Row],[Sales]]</f>
        <v>0.45</v>
      </c>
      <c r="J2348">
        <f>YEAR(SalesData[[#This Row],[Order Date]])</f>
        <v>2016</v>
      </c>
      <c r="K2348" t="str">
        <f>TEXT(SalesData[[#This Row],[Order Date]],"mmm")</f>
        <v>Dec</v>
      </c>
      <c r="L2348">
        <f>MONTH(SalesData[[#This Row],[Order Date]])</f>
        <v>12</v>
      </c>
      <c r="M2348">
        <f>SalesData[[#This Row],[Sales]]/SalesData[[#This Row],[Quantity]]</f>
        <v>30.98</v>
      </c>
      <c r="N2348" t="str">
        <f>IF(SalesData[[#This Row],[Profit]]&gt;0,"Profit","Loss")</f>
        <v>Profit</v>
      </c>
    </row>
    <row r="2349" spans="1:14" x14ac:dyDescent="0.3">
      <c r="A2349" t="s">
        <v>2684</v>
      </c>
      <c r="B2349" s="3">
        <v>42710</v>
      </c>
      <c r="C2349" t="s">
        <v>17</v>
      </c>
      <c r="D2349" t="s">
        <v>21</v>
      </c>
      <c r="E2349" t="s">
        <v>548</v>
      </c>
      <c r="F2349" s="1">
        <v>52.56</v>
      </c>
      <c r="G2349">
        <v>3</v>
      </c>
      <c r="H2349" s="1">
        <v>18.396000000000001</v>
      </c>
      <c r="I2349" s="4">
        <f>SalesData[[#This Row],[Profit]]/SalesData[[#This Row],[Sales]]</f>
        <v>0.35</v>
      </c>
      <c r="J2349">
        <f>YEAR(SalesData[[#This Row],[Order Date]])</f>
        <v>2016</v>
      </c>
      <c r="K2349" t="str">
        <f>TEXT(SalesData[[#This Row],[Order Date]],"mmm")</f>
        <v>Dec</v>
      </c>
      <c r="L2349">
        <f>MONTH(SalesData[[#This Row],[Order Date]])</f>
        <v>12</v>
      </c>
      <c r="M2349">
        <f>SalesData[[#This Row],[Sales]]/SalesData[[#This Row],[Quantity]]</f>
        <v>17.52</v>
      </c>
      <c r="N2349" t="str">
        <f>IF(SalesData[[#This Row],[Profit]]&gt;0,"Profit","Loss")</f>
        <v>Profit</v>
      </c>
    </row>
    <row r="2350" spans="1:14" x14ac:dyDescent="0.3">
      <c r="A2350" t="s">
        <v>2685</v>
      </c>
      <c r="B2350" s="3">
        <v>42710</v>
      </c>
      <c r="C2350" t="s">
        <v>13</v>
      </c>
      <c r="D2350" t="s">
        <v>21</v>
      </c>
      <c r="E2350" t="s">
        <v>2653</v>
      </c>
      <c r="F2350" s="1">
        <v>185.88</v>
      </c>
      <c r="G2350">
        <v>6</v>
      </c>
      <c r="H2350" s="1">
        <v>83.646000000000001</v>
      </c>
      <c r="I2350" s="4">
        <f>SalesData[[#This Row],[Profit]]/SalesData[[#This Row],[Sales]]</f>
        <v>0.45</v>
      </c>
      <c r="J2350">
        <f>YEAR(SalesData[[#This Row],[Order Date]])</f>
        <v>2016</v>
      </c>
      <c r="K2350" t="str">
        <f>TEXT(SalesData[[#This Row],[Order Date]],"mmm")</f>
        <v>Dec</v>
      </c>
      <c r="L2350">
        <f>MONTH(SalesData[[#This Row],[Order Date]])</f>
        <v>12</v>
      </c>
      <c r="M2350">
        <f>SalesData[[#This Row],[Sales]]/SalesData[[#This Row],[Quantity]]</f>
        <v>30.98</v>
      </c>
      <c r="N2350" t="str">
        <f>IF(SalesData[[#This Row],[Profit]]&gt;0,"Profit","Loss")</f>
        <v>Profit</v>
      </c>
    </row>
    <row r="2351" spans="1:14" x14ac:dyDescent="0.3">
      <c r="A2351" t="s">
        <v>2685</v>
      </c>
      <c r="B2351" s="3">
        <v>42710</v>
      </c>
      <c r="C2351" t="s">
        <v>13</v>
      </c>
      <c r="D2351" t="s">
        <v>21</v>
      </c>
      <c r="E2351" t="s">
        <v>2686</v>
      </c>
      <c r="F2351" s="1">
        <v>12.96</v>
      </c>
      <c r="G2351">
        <v>2</v>
      </c>
      <c r="H2351" s="1">
        <v>6.2207999999999997</v>
      </c>
      <c r="I2351" s="4">
        <f>SalesData[[#This Row],[Profit]]/SalesData[[#This Row],[Sales]]</f>
        <v>0.47999999999999993</v>
      </c>
      <c r="J2351">
        <f>YEAR(SalesData[[#This Row],[Order Date]])</f>
        <v>2016</v>
      </c>
      <c r="K2351" t="str">
        <f>TEXT(SalesData[[#This Row],[Order Date]],"mmm")</f>
        <v>Dec</v>
      </c>
      <c r="L2351">
        <f>MONTH(SalesData[[#This Row],[Order Date]])</f>
        <v>12</v>
      </c>
      <c r="M2351">
        <f>SalesData[[#This Row],[Sales]]/SalesData[[#This Row],[Quantity]]</f>
        <v>6.48</v>
      </c>
      <c r="N2351" t="str">
        <f>IF(SalesData[[#This Row],[Profit]]&gt;0,"Profit","Loss")</f>
        <v>Profit</v>
      </c>
    </row>
    <row r="2352" spans="1:14" x14ac:dyDescent="0.3">
      <c r="A2352" t="s">
        <v>2687</v>
      </c>
      <c r="B2352" s="3">
        <v>42710</v>
      </c>
      <c r="C2352" t="s">
        <v>9</v>
      </c>
      <c r="D2352" t="s">
        <v>21</v>
      </c>
      <c r="E2352" t="s">
        <v>1133</v>
      </c>
      <c r="F2352" s="1">
        <v>64.384</v>
      </c>
      <c r="G2352">
        <v>4</v>
      </c>
      <c r="H2352" s="1">
        <v>-160.96</v>
      </c>
      <c r="I2352" s="4">
        <f>SalesData[[#This Row],[Profit]]/SalesData[[#This Row],[Sales]]</f>
        <v>-2.5</v>
      </c>
      <c r="J2352">
        <f>YEAR(SalesData[[#This Row],[Order Date]])</f>
        <v>2016</v>
      </c>
      <c r="K2352" t="str">
        <f>TEXT(SalesData[[#This Row],[Order Date]],"mmm")</f>
        <v>Dec</v>
      </c>
      <c r="L2352">
        <f>MONTH(SalesData[[#This Row],[Order Date]])</f>
        <v>12</v>
      </c>
      <c r="M2352">
        <f>SalesData[[#This Row],[Sales]]/SalesData[[#This Row],[Quantity]]</f>
        <v>16.096</v>
      </c>
      <c r="N2352" t="str">
        <f>IF(SalesData[[#This Row],[Profit]]&gt;0,"Profit","Loss")</f>
        <v>Loss</v>
      </c>
    </row>
    <row r="2353" spans="1:14" x14ac:dyDescent="0.3">
      <c r="A2353" t="s">
        <v>2687</v>
      </c>
      <c r="B2353" s="3">
        <v>42710</v>
      </c>
      <c r="C2353" t="s">
        <v>9</v>
      </c>
      <c r="D2353" t="s">
        <v>14</v>
      </c>
      <c r="E2353" t="s">
        <v>2688</v>
      </c>
      <c r="F2353" s="1">
        <v>6.984</v>
      </c>
      <c r="G2353">
        <v>2</v>
      </c>
      <c r="H2353" s="1">
        <v>-4.5396000000000001</v>
      </c>
      <c r="I2353" s="4">
        <f>SalesData[[#This Row],[Profit]]/SalesData[[#This Row],[Sales]]</f>
        <v>-0.65</v>
      </c>
      <c r="J2353">
        <f>YEAR(SalesData[[#This Row],[Order Date]])</f>
        <v>2016</v>
      </c>
      <c r="K2353" t="str">
        <f>TEXT(SalesData[[#This Row],[Order Date]],"mmm")</f>
        <v>Dec</v>
      </c>
      <c r="L2353">
        <f>MONTH(SalesData[[#This Row],[Order Date]])</f>
        <v>12</v>
      </c>
      <c r="M2353">
        <f>SalesData[[#This Row],[Sales]]/SalesData[[#This Row],[Quantity]]</f>
        <v>3.492</v>
      </c>
      <c r="N2353" t="str">
        <f>IF(SalesData[[#This Row],[Profit]]&gt;0,"Profit","Loss")</f>
        <v>Loss</v>
      </c>
    </row>
    <row r="2354" spans="1:14" x14ac:dyDescent="0.3">
      <c r="A2354" t="s">
        <v>2687</v>
      </c>
      <c r="B2354" s="3">
        <v>42710</v>
      </c>
      <c r="C2354" t="s">
        <v>9</v>
      </c>
      <c r="D2354" t="s">
        <v>21</v>
      </c>
      <c r="E2354" t="s">
        <v>708</v>
      </c>
      <c r="F2354" s="1">
        <v>11.263999999999999</v>
      </c>
      <c r="G2354">
        <v>8</v>
      </c>
      <c r="H2354" s="1">
        <v>3.9424000000000001</v>
      </c>
      <c r="I2354" s="4">
        <f>SalesData[[#This Row],[Profit]]/SalesData[[#This Row],[Sales]]</f>
        <v>0.35000000000000003</v>
      </c>
      <c r="J2354">
        <f>YEAR(SalesData[[#This Row],[Order Date]])</f>
        <v>2016</v>
      </c>
      <c r="K2354" t="str">
        <f>TEXT(SalesData[[#This Row],[Order Date]],"mmm")</f>
        <v>Dec</v>
      </c>
      <c r="L2354">
        <f>MONTH(SalesData[[#This Row],[Order Date]])</f>
        <v>12</v>
      </c>
      <c r="M2354">
        <f>SalesData[[#This Row],[Sales]]/SalesData[[#This Row],[Quantity]]</f>
        <v>1.4079999999999999</v>
      </c>
      <c r="N2354" t="str">
        <f>IF(SalesData[[#This Row],[Profit]]&gt;0,"Profit","Loss")</f>
        <v>Profit</v>
      </c>
    </row>
    <row r="2355" spans="1:14" x14ac:dyDescent="0.3">
      <c r="A2355" t="s">
        <v>2687</v>
      </c>
      <c r="B2355" s="3">
        <v>42710</v>
      </c>
      <c r="C2355" t="s">
        <v>9</v>
      </c>
      <c r="D2355" t="s">
        <v>21</v>
      </c>
      <c r="E2355" t="s">
        <v>2689</v>
      </c>
      <c r="F2355" s="1">
        <v>15.552</v>
      </c>
      <c r="G2355">
        <v>3</v>
      </c>
      <c r="H2355" s="1">
        <v>5.6375999999999999</v>
      </c>
      <c r="I2355" s="4">
        <f>SalesData[[#This Row],[Profit]]/SalesData[[#This Row],[Sales]]</f>
        <v>0.36249999999999999</v>
      </c>
      <c r="J2355">
        <f>YEAR(SalesData[[#This Row],[Order Date]])</f>
        <v>2016</v>
      </c>
      <c r="K2355" t="str">
        <f>TEXT(SalesData[[#This Row],[Order Date]],"mmm")</f>
        <v>Dec</v>
      </c>
      <c r="L2355">
        <f>MONTH(SalesData[[#This Row],[Order Date]])</f>
        <v>12</v>
      </c>
      <c r="M2355">
        <f>SalesData[[#This Row],[Sales]]/SalesData[[#This Row],[Quantity]]</f>
        <v>5.1840000000000002</v>
      </c>
      <c r="N2355" t="str">
        <f>IF(SalesData[[#This Row],[Profit]]&gt;0,"Profit","Loss")</f>
        <v>Profit</v>
      </c>
    </row>
    <row r="2356" spans="1:14" x14ac:dyDescent="0.3">
      <c r="A2356" t="s">
        <v>2687</v>
      </c>
      <c r="B2356" s="3">
        <v>42710</v>
      </c>
      <c r="C2356" t="s">
        <v>9</v>
      </c>
      <c r="D2356" t="s">
        <v>14</v>
      </c>
      <c r="E2356" t="s">
        <v>940</v>
      </c>
      <c r="F2356" s="1">
        <v>379.37200000000001</v>
      </c>
      <c r="G2356">
        <v>2</v>
      </c>
      <c r="H2356" s="1">
        <v>-119.2312</v>
      </c>
      <c r="I2356" s="4">
        <f>SalesData[[#This Row],[Profit]]/SalesData[[#This Row],[Sales]]</f>
        <v>-0.31428571428571428</v>
      </c>
      <c r="J2356">
        <f>YEAR(SalesData[[#This Row],[Order Date]])</f>
        <v>2016</v>
      </c>
      <c r="K2356" t="str">
        <f>TEXT(SalesData[[#This Row],[Order Date]],"mmm")</f>
        <v>Dec</v>
      </c>
      <c r="L2356">
        <f>MONTH(SalesData[[#This Row],[Order Date]])</f>
        <v>12</v>
      </c>
      <c r="M2356">
        <f>SalesData[[#This Row],[Sales]]/SalesData[[#This Row],[Quantity]]</f>
        <v>189.68600000000001</v>
      </c>
      <c r="N2356" t="str">
        <f>IF(SalesData[[#This Row],[Profit]]&gt;0,"Profit","Loss")</f>
        <v>Loss</v>
      </c>
    </row>
    <row r="2357" spans="1:14" x14ac:dyDescent="0.3">
      <c r="A2357" t="s">
        <v>2687</v>
      </c>
      <c r="B2357" s="3">
        <v>42710</v>
      </c>
      <c r="C2357" t="s">
        <v>9</v>
      </c>
      <c r="D2357" t="s">
        <v>21</v>
      </c>
      <c r="E2357" t="s">
        <v>255</v>
      </c>
      <c r="F2357" s="1">
        <v>67.536000000000001</v>
      </c>
      <c r="G2357">
        <v>9</v>
      </c>
      <c r="H2357" s="1">
        <v>6.7535999999999996</v>
      </c>
      <c r="I2357" s="4">
        <f>SalesData[[#This Row],[Profit]]/SalesData[[#This Row],[Sales]]</f>
        <v>9.9999999999999992E-2</v>
      </c>
      <c r="J2357">
        <f>YEAR(SalesData[[#This Row],[Order Date]])</f>
        <v>2016</v>
      </c>
      <c r="K2357" t="str">
        <f>TEXT(SalesData[[#This Row],[Order Date]],"mmm")</f>
        <v>Dec</v>
      </c>
      <c r="L2357">
        <f>MONTH(SalesData[[#This Row],[Order Date]])</f>
        <v>12</v>
      </c>
      <c r="M2357">
        <f>SalesData[[#This Row],[Sales]]/SalesData[[#This Row],[Quantity]]</f>
        <v>7.5040000000000004</v>
      </c>
      <c r="N2357" t="str">
        <f>IF(SalesData[[#This Row],[Profit]]&gt;0,"Profit","Loss")</f>
        <v>Profit</v>
      </c>
    </row>
    <row r="2358" spans="1:14" x14ac:dyDescent="0.3">
      <c r="A2358" t="s">
        <v>2687</v>
      </c>
      <c r="B2358" s="3">
        <v>42710</v>
      </c>
      <c r="C2358" t="s">
        <v>9</v>
      </c>
      <c r="D2358" t="s">
        <v>21</v>
      </c>
      <c r="E2358" t="s">
        <v>2347</v>
      </c>
      <c r="F2358" s="1">
        <v>1.524</v>
      </c>
      <c r="G2358">
        <v>2</v>
      </c>
      <c r="H2358" s="1">
        <v>-2.6669999999999998</v>
      </c>
      <c r="I2358" s="4">
        <f>SalesData[[#This Row],[Profit]]/SalesData[[#This Row],[Sales]]</f>
        <v>-1.7499999999999998</v>
      </c>
      <c r="J2358">
        <f>YEAR(SalesData[[#This Row],[Order Date]])</f>
        <v>2016</v>
      </c>
      <c r="K2358" t="str">
        <f>TEXT(SalesData[[#This Row],[Order Date]],"mmm")</f>
        <v>Dec</v>
      </c>
      <c r="L2358">
        <f>MONTH(SalesData[[#This Row],[Order Date]])</f>
        <v>12</v>
      </c>
      <c r="M2358">
        <f>SalesData[[#This Row],[Sales]]/SalesData[[#This Row],[Quantity]]</f>
        <v>0.76200000000000001</v>
      </c>
      <c r="N2358" t="str">
        <f>IF(SalesData[[#This Row],[Profit]]&gt;0,"Profit","Loss")</f>
        <v>Loss</v>
      </c>
    </row>
    <row r="2359" spans="1:14" x14ac:dyDescent="0.3">
      <c r="A2359" t="s">
        <v>2690</v>
      </c>
      <c r="B2359" s="3">
        <v>42711</v>
      </c>
      <c r="C2359" t="s">
        <v>13</v>
      </c>
      <c r="D2359" t="s">
        <v>10</v>
      </c>
      <c r="E2359" t="s">
        <v>1333</v>
      </c>
      <c r="F2359" s="1">
        <v>95.76</v>
      </c>
      <c r="G2359">
        <v>6</v>
      </c>
      <c r="H2359" s="1">
        <v>7.1820000000000004</v>
      </c>
      <c r="I2359" s="4">
        <f>SalesData[[#This Row],[Profit]]/SalesData[[#This Row],[Sales]]</f>
        <v>7.4999999999999997E-2</v>
      </c>
      <c r="J2359">
        <f>YEAR(SalesData[[#This Row],[Order Date]])</f>
        <v>2016</v>
      </c>
      <c r="K2359" t="str">
        <f>TEXT(SalesData[[#This Row],[Order Date]],"mmm")</f>
        <v>Dec</v>
      </c>
      <c r="L2359">
        <f>MONTH(SalesData[[#This Row],[Order Date]])</f>
        <v>12</v>
      </c>
      <c r="M2359">
        <f>SalesData[[#This Row],[Sales]]/SalesData[[#This Row],[Quantity]]</f>
        <v>15.96</v>
      </c>
      <c r="N2359" t="str">
        <f>IF(SalesData[[#This Row],[Profit]]&gt;0,"Profit","Loss")</f>
        <v>Profit</v>
      </c>
    </row>
    <row r="2360" spans="1:14" x14ac:dyDescent="0.3">
      <c r="A2360" t="s">
        <v>2691</v>
      </c>
      <c r="B2360" s="3">
        <v>42712</v>
      </c>
      <c r="C2360" t="s">
        <v>9</v>
      </c>
      <c r="D2360" t="s">
        <v>21</v>
      </c>
      <c r="E2360" t="s">
        <v>894</v>
      </c>
      <c r="F2360" s="1">
        <v>6.48</v>
      </c>
      <c r="G2360">
        <v>1</v>
      </c>
      <c r="H2360" s="1">
        <v>3.1103999999999998</v>
      </c>
      <c r="I2360" s="4">
        <f>SalesData[[#This Row],[Profit]]/SalesData[[#This Row],[Sales]]</f>
        <v>0.47999999999999993</v>
      </c>
      <c r="J2360">
        <f>YEAR(SalesData[[#This Row],[Order Date]])</f>
        <v>2016</v>
      </c>
      <c r="K2360" t="str">
        <f>TEXT(SalesData[[#This Row],[Order Date]],"mmm")</f>
        <v>Dec</v>
      </c>
      <c r="L2360">
        <f>MONTH(SalesData[[#This Row],[Order Date]])</f>
        <v>12</v>
      </c>
      <c r="M2360">
        <f>SalesData[[#This Row],[Sales]]/SalesData[[#This Row],[Quantity]]</f>
        <v>6.48</v>
      </c>
      <c r="N2360" t="str">
        <f>IF(SalesData[[#This Row],[Profit]]&gt;0,"Profit","Loss")</f>
        <v>Profit</v>
      </c>
    </row>
    <row r="2361" spans="1:14" x14ac:dyDescent="0.3">
      <c r="A2361" t="s">
        <v>2692</v>
      </c>
      <c r="B2361" s="3">
        <v>42712</v>
      </c>
      <c r="C2361" t="s">
        <v>9</v>
      </c>
      <c r="D2361" t="s">
        <v>10</v>
      </c>
      <c r="E2361" t="s">
        <v>2693</v>
      </c>
      <c r="F2361" s="1">
        <v>1399.944</v>
      </c>
      <c r="G2361">
        <v>7</v>
      </c>
      <c r="H2361" s="1">
        <v>52.497900000000001</v>
      </c>
      <c r="I2361" s="4">
        <f>SalesData[[#This Row],[Profit]]/SalesData[[#This Row],[Sales]]</f>
        <v>3.7499999999999999E-2</v>
      </c>
      <c r="J2361">
        <f>YEAR(SalesData[[#This Row],[Order Date]])</f>
        <v>2016</v>
      </c>
      <c r="K2361" t="str">
        <f>TEXT(SalesData[[#This Row],[Order Date]],"mmm")</f>
        <v>Dec</v>
      </c>
      <c r="L2361">
        <f>MONTH(SalesData[[#This Row],[Order Date]])</f>
        <v>12</v>
      </c>
      <c r="M2361">
        <f>SalesData[[#This Row],[Sales]]/SalesData[[#This Row],[Quantity]]</f>
        <v>199.99199999999999</v>
      </c>
      <c r="N2361" t="str">
        <f>IF(SalesData[[#This Row],[Profit]]&gt;0,"Profit","Loss")</f>
        <v>Profit</v>
      </c>
    </row>
    <row r="2362" spans="1:14" x14ac:dyDescent="0.3">
      <c r="A2362" t="s">
        <v>2694</v>
      </c>
      <c r="B2362" s="3">
        <v>42712</v>
      </c>
      <c r="C2362" t="s">
        <v>17</v>
      </c>
      <c r="D2362" t="s">
        <v>14</v>
      </c>
      <c r="E2362" t="s">
        <v>973</v>
      </c>
      <c r="F2362" s="1">
        <v>145.76400000000001</v>
      </c>
      <c r="G2362">
        <v>2</v>
      </c>
      <c r="H2362" s="1">
        <v>-8.0980000000000008</v>
      </c>
      <c r="I2362" s="4">
        <f>SalesData[[#This Row],[Profit]]/SalesData[[#This Row],[Sales]]</f>
        <v>-5.5555555555555559E-2</v>
      </c>
      <c r="J2362">
        <f>YEAR(SalesData[[#This Row],[Order Date]])</f>
        <v>2016</v>
      </c>
      <c r="K2362" t="str">
        <f>TEXT(SalesData[[#This Row],[Order Date]],"mmm")</f>
        <v>Dec</v>
      </c>
      <c r="L2362">
        <f>MONTH(SalesData[[#This Row],[Order Date]])</f>
        <v>12</v>
      </c>
      <c r="M2362">
        <f>SalesData[[#This Row],[Sales]]/SalesData[[#This Row],[Quantity]]</f>
        <v>72.882000000000005</v>
      </c>
      <c r="N2362" t="str">
        <f>IF(SalesData[[#This Row],[Profit]]&gt;0,"Profit","Loss")</f>
        <v>Loss</v>
      </c>
    </row>
    <row r="2363" spans="1:14" x14ac:dyDescent="0.3">
      <c r="A2363" t="s">
        <v>2695</v>
      </c>
      <c r="B2363" s="3">
        <v>42712</v>
      </c>
      <c r="C2363" t="s">
        <v>46</v>
      </c>
      <c r="D2363" t="s">
        <v>14</v>
      </c>
      <c r="E2363" t="s">
        <v>2152</v>
      </c>
      <c r="F2363" s="1">
        <v>562.29250000000002</v>
      </c>
      <c r="G2363">
        <v>7</v>
      </c>
      <c r="H2363" s="1">
        <v>-255.58750000000001</v>
      </c>
      <c r="I2363" s="4">
        <f>SalesData[[#This Row],[Profit]]/SalesData[[#This Row],[Sales]]</f>
        <v>-0.45454545454545453</v>
      </c>
      <c r="J2363">
        <f>YEAR(SalesData[[#This Row],[Order Date]])</f>
        <v>2016</v>
      </c>
      <c r="K2363" t="str">
        <f>TEXT(SalesData[[#This Row],[Order Date]],"mmm")</f>
        <v>Dec</v>
      </c>
      <c r="L2363">
        <f>MONTH(SalesData[[#This Row],[Order Date]])</f>
        <v>12</v>
      </c>
      <c r="M2363">
        <f>SalesData[[#This Row],[Sales]]/SalesData[[#This Row],[Quantity]]</f>
        <v>80.327500000000001</v>
      </c>
      <c r="N2363" t="str">
        <f>IF(SalesData[[#This Row],[Profit]]&gt;0,"Profit","Loss")</f>
        <v>Loss</v>
      </c>
    </row>
    <row r="2364" spans="1:14" x14ac:dyDescent="0.3">
      <c r="A2364" t="s">
        <v>2696</v>
      </c>
      <c r="B2364" s="3">
        <v>42712</v>
      </c>
      <c r="C2364" t="s">
        <v>17</v>
      </c>
      <c r="D2364" t="s">
        <v>14</v>
      </c>
      <c r="E2364" t="s">
        <v>1475</v>
      </c>
      <c r="F2364" s="1">
        <v>209.148</v>
      </c>
      <c r="G2364">
        <v>2</v>
      </c>
      <c r="H2364" s="1">
        <v>-66.230199999999996</v>
      </c>
      <c r="I2364" s="4">
        <f>SalesData[[#This Row],[Profit]]/SalesData[[#This Row],[Sales]]</f>
        <v>-0.31666666666666665</v>
      </c>
      <c r="J2364">
        <f>YEAR(SalesData[[#This Row],[Order Date]])</f>
        <v>2016</v>
      </c>
      <c r="K2364" t="str">
        <f>TEXT(SalesData[[#This Row],[Order Date]],"mmm")</f>
        <v>Dec</v>
      </c>
      <c r="L2364">
        <f>MONTH(SalesData[[#This Row],[Order Date]])</f>
        <v>12</v>
      </c>
      <c r="M2364">
        <f>SalesData[[#This Row],[Sales]]/SalesData[[#This Row],[Quantity]]</f>
        <v>104.574</v>
      </c>
      <c r="N2364" t="str">
        <f>IF(SalesData[[#This Row],[Profit]]&gt;0,"Profit","Loss")</f>
        <v>Loss</v>
      </c>
    </row>
    <row r="2365" spans="1:14" x14ac:dyDescent="0.3">
      <c r="A2365" t="s">
        <v>2696</v>
      </c>
      <c r="B2365" s="3">
        <v>42712</v>
      </c>
      <c r="C2365" t="s">
        <v>17</v>
      </c>
      <c r="D2365" t="s">
        <v>21</v>
      </c>
      <c r="E2365" t="s">
        <v>785</v>
      </c>
      <c r="F2365" s="1">
        <v>1591.02</v>
      </c>
      <c r="G2365">
        <v>6</v>
      </c>
      <c r="H2365" s="1">
        <v>286.3836</v>
      </c>
      <c r="I2365" s="4">
        <f>SalesData[[#This Row],[Profit]]/SalesData[[#This Row],[Sales]]</f>
        <v>0.18</v>
      </c>
      <c r="J2365">
        <f>YEAR(SalesData[[#This Row],[Order Date]])</f>
        <v>2016</v>
      </c>
      <c r="K2365" t="str">
        <f>TEXT(SalesData[[#This Row],[Order Date]],"mmm")</f>
        <v>Dec</v>
      </c>
      <c r="L2365">
        <f>MONTH(SalesData[[#This Row],[Order Date]])</f>
        <v>12</v>
      </c>
      <c r="M2365">
        <f>SalesData[[#This Row],[Sales]]/SalesData[[#This Row],[Quantity]]</f>
        <v>265.17</v>
      </c>
      <c r="N2365" t="str">
        <f>IF(SalesData[[#This Row],[Profit]]&gt;0,"Profit","Loss")</f>
        <v>Profit</v>
      </c>
    </row>
    <row r="2366" spans="1:14" x14ac:dyDescent="0.3">
      <c r="A2366" t="s">
        <v>2697</v>
      </c>
      <c r="B2366" s="3">
        <v>42712</v>
      </c>
      <c r="C2366" t="s">
        <v>17</v>
      </c>
      <c r="D2366" t="s">
        <v>21</v>
      </c>
      <c r="E2366" t="s">
        <v>2652</v>
      </c>
      <c r="F2366" s="1">
        <v>37.311999999999998</v>
      </c>
      <c r="G2366">
        <v>4</v>
      </c>
      <c r="H2366" s="1">
        <v>2.7984</v>
      </c>
      <c r="I2366" s="4">
        <f>SalesData[[#This Row],[Profit]]/SalesData[[#This Row],[Sales]]</f>
        <v>7.5000000000000011E-2</v>
      </c>
      <c r="J2366">
        <f>YEAR(SalesData[[#This Row],[Order Date]])</f>
        <v>2016</v>
      </c>
      <c r="K2366" t="str">
        <f>TEXT(SalesData[[#This Row],[Order Date]],"mmm")</f>
        <v>Dec</v>
      </c>
      <c r="L2366">
        <f>MONTH(SalesData[[#This Row],[Order Date]])</f>
        <v>12</v>
      </c>
      <c r="M2366">
        <f>SalesData[[#This Row],[Sales]]/SalesData[[#This Row],[Quantity]]</f>
        <v>9.3279999999999994</v>
      </c>
      <c r="N2366" t="str">
        <f>IF(SalesData[[#This Row],[Profit]]&gt;0,"Profit","Loss")</f>
        <v>Profit</v>
      </c>
    </row>
    <row r="2367" spans="1:14" x14ac:dyDescent="0.3">
      <c r="A2367" t="s">
        <v>2698</v>
      </c>
      <c r="B2367" s="3">
        <v>42713</v>
      </c>
      <c r="C2367" t="s">
        <v>13</v>
      </c>
      <c r="D2367" t="s">
        <v>14</v>
      </c>
      <c r="E2367" t="s">
        <v>507</v>
      </c>
      <c r="F2367" s="1">
        <v>15.135999999999999</v>
      </c>
      <c r="G2367">
        <v>4</v>
      </c>
      <c r="H2367" s="1">
        <v>3.5948000000000002</v>
      </c>
      <c r="I2367" s="4">
        <f>SalesData[[#This Row],[Profit]]/SalesData[[#This Row],[Sales]]</f>
        <v>0.23750000000000002</v>
      </c>
      <c r="J2367">
        <f>YEAR(SalesData[[#This Row],[Order Date]])</f>
        <v>2016</v>
      </c>
      <c r="K2367" t="str">
        <f>TEXT(SalesData[[#This Row],[Order Date]],"mmm")</f>
        <v>Dec</v>
      </c>
      <c r="L2367">
        <f>MONTH(SalesData[[#This Row],[Order Date]])</f>
        <v>12</v>
      </c>
      <c r="M2367">
        <f>SalesData[[#This Row],[Sales]]/SalesData[[#This Row],[Quantity]]</f>
        <v>3.7839999999999998</v>
      </c>
      <c r="N2367" t="str">
        <f>IF(SalesData[[#This Row],[Profit]]&gt;0,"Profit","Loss")</f>
        <v>Profit</v>
      </c>
    </row>
    <row r="2368" spans="1:14" x14ac:dyDescent="0.3">
      <c r="A2368" t="s">
        <v>2698</v>
      </c>
      <c r="B2368" s="3">
        <v>42713</v>
      </c>
      <c r="C2368" t="s">
        <v>13</v>
      </c>
      <c r="D2368" t="s">
        <v>14</v>
      </c>
      <c r="E2368" t="s">
        <v>1143</v>
      </c>
      <c r="F2368" s="1">
        <v>466.76799999999997</v>
      </c>
      <c r="G2368">
        <v>2</v>
      </c>
      <c r="H2368" s="1">
        <v>52.511400000000002</v>
      </c>
      <c r="I2368" s="4">
        <f>SalesData[[#This Row],[Profit]]/SalesData[[#This Row],[Sales]]</f>
        <v>0.11250000000000002</v>
      </c>
      <c r="J2368">
        <f>YEAR(SalesData[[#This Row],[Order Date]])</f>
        <v>2016</v>
      </c>
      <c r="K2368" t="str">
        <f>TEXT(SalesData[[#This Row],[Order Date]],"mmm")</f>
        <v>Dec</v>
      </c>
      <c r="L2368">
        <f>MONTH(SalesData[[#This Row],[Order Date]])</f>
        <v>12</v>
      </c>
      <c r="M2368">
        <f>SalesData[[#This Row],[Sales]]/SalesData[[#This Row],[Quantity]]</f>
        <v>233.38399999999999</v>
      </c>
      <c r="N2368" t="str">
        <f>IF(SalesData[[#This Row],[Profit]]&gt;0,"Profit","Loss")</f>
        <v>Profit</v>
      </c>
    </row>
    <row r="2369" spans="1:14" x14ac:dyDescent="0.3">
      <c r="A2369" t="s">
        <v>2698</v>
      </c>
      <c r="B2369" s="3">
        <v>42713</v>
      </c>
      <c r="C2369" t="s">
        <v>13</v>
      </c>
      <c r="D2369" t="s">
        <v>14</v>
      </c>
      <c r="E2369" t="s">
        <v>2057</v>
      </c>
      <c r="F2369" s="1">
        <v>15.231999999999999</v>
      </c>
      <c r="G2369">
        <v>1</v>
      </c>
      <c r="H2369" s="1">
        <v>1.7136</v>
      </c>
      <c r="I2369" s="4">
        <f>SalesData[[#This Row],[Profit]]/SalesData[[#This Row],[Sales]]</f>
        <v>0.1125</v>
      </c>
      <c r="J2369">
        <f>YEAR(SalesData[[#This Row],[Order Date]])</f>
        <v>2016</v>
      </c>
      <c r="K2369" t="str">
        <f>TEXT(SalesData[[#This Row],[Order Date]],"mmm")</f>
        <v>Dec</v>
      </c>
      <c r="L2369">
        <f>MONTH(SalesData[[#This Row],[Order Date]])</f>
        <v>12</v>
      </c>
      <c r="M2369">
        <f>SalesData[[#This Row],[Sales]]/SalesData[[#This Row],[Quantity]]</f>
        <v>15.231999999999999</v>
      </c>
      <c r="N2369" t="str">
        <f>IF(SalesData[[#This Row],[Profit]]&gt;0,"Profit","Loss")</f>
        <v>Profit</v>
      </c>
    </row>
    <row r="2370" spans="1:14" x14ac:dyDescent="0.3">
      <c r="A2370" t="s">
        <v>2698</v>
      </c>
      <c r="B2370" s="3">
        <v>42713</v>
      </c>
      <c r="C2370" t="s">
        <v>13</v>
      </c>
      <c r="D2370" t="s">
        <v>21</v>
      </c>
      <c r="E2370" t="s">
        <v>212</v>
      </c>
      <c r="F2370" s="1">
        <v>6.2640000000000002</v>
      </c>
      <c r="G2370">
        <v>3</v>
      </c>
      <c r="H2370" s="1">
        <v>2.0358000000000001</v>
      </c>
      <c r="I2370" s="4">
        <f>SalesData[[#This Row],[Profit]]/SalesData[[#This Row],[Sales]]</f>
        <v>0.32500000000000001</v>
      </c>
      <c r="J2370">
        <f>YEAR(SalesData[[#This Row],[Order Date]])</f>
        <v>2016</v>
      </c>
      <c r="K2370" t="str">
        <f>TEXT(SalesData[[#This Row],[Order Date]],"mmm")</f>
        <v>Dec</v>
      </c>
      <c r="L2370">
        <f>MONTH(SalesData[[#This Row],[Order Date]])</f>
        <v>12</v>
      </c>
      <c r="M2370">
        <f>SalesData[[#This Row],[Sales]]/SalesData[[#This Row],[Quantity]]</f>
        <v>2.0880000000000001</v>
      </c>
      <c r="N2370" t="str">
        <f>IF(SalesData[[#This Row],[Profit]]&gt;0,"Profit","Loss")</f>
        <v>Profit</v>
      </c>
    </row>
    <row r="2371" spans="1:14" x14ac:dyDescent="0.3">
      <c r="A2371" t="s">
        <v>2699</v>
      </c>
      <c r="B2371" s="3">
        <v>42713</v>
      </c>
      <c r="C2371" t="s">
        <v>13</v>
      </c>
      <c r="D2371" t="s">
        <v>21</v>
      </c>
      <c r="E2371" t="s">
        <v>369</v>
      </c>
      <c r="F2371" s="1">
        <v>10.47</v>
      </c>
      <c r="G2371">
        <v>3</v>
      </c>
      <c r="H2371" s="1">
        <v>4.8162000000000003</v>
      </c>
      <c r="I2371" s="4">
        <f>SalesData[[#This Row],[Profit]]/SalesData[[#This Row],[Sales]]</f>
        <v>0.46</v>
      </c>
      <c r="J2371">
        <f>YEAR(SalesData[[#This Row],[Order Date]])</f>
        <v>2016</v>
      </c>
      <c r="K2371" t="str">
        <f>TEXT(SalesData[[#This Row],[Order Date]],"mmm")</f>
        <v>Dec</v>
      </c>
      <c r="L2371">
        <f>MONTH(SalesData[[#This Row],[Order Date]])</f>
        <v>12</v>
      </c>
      <c r="M2371">
        <f>SalesData[[#This Row],[Sales]]/SalesData[[#This Row],[Quantity]]</f>
        <v>3.49</v>
      </c>
      <c r="N2371" t="str">
        <f>IF(SalesData[[#This Row],[Profit]]&gt;0,"Profit","Loss")</f>
        <v>Profit</v>
      </c>
    </row>
    <row r="2372" spans="1:14" x14ac:dyDescent="0.3">
      <c r="A2372" t="s">
        <v>2699</v>
      </c>
      <c r="B2372" s="3">
        <v>42713</v>
      </c>
      <c r="C2372" t="s">
        <v>13</v>
      </c>
      <c r="D2372" t="s">
        <v>21</v>
      </c>
      <c r="E2372" t="s">
        <v>2543</v>
      </c>
      <c r="F2372" s="1">
        <v>11.07</v>
      </c>
      <c r="G2372">
        <v>3</v>
      </c>
      <c r="H2372" s="1">
        <v>5.2028999999999996</v>
      </c>
      <c r="I2372" s="4">
        <f>SalesData[[#This Row],[Profit]]/SalesData[[#This Row],[Sales]]</f>
        <v>0.47</v>
      </c>
      <c r="J2372">
        <f>YEAR(SalesData[[#This Row],[Order Date]])</f>
        <v>2016</v>
      </c>
      <c r="K2372" t="str">
        <f>TEXT(SalesData[[#This Row],[Order Date]],"mmm")</f>
        <v>Dec</v>
      </c>
      <c r="L2372">
        <f>MONTH(SalesData[[#This Row],[Order Date]])</f>
        <v>12</v>
      </c>
      <c r="M2372">
        <f>SalesData[[#This Row],[Sales]]/SalesData[[#This Row],[Quantity]]</f>
        <v>3.69</v>
      </c>
      <c r="N2372" t="str">
        <f>IF(SalesData[[#This Row],[Profit]]&gt;0,"Profit","Loss")</f>
        <v>Profit</v>
      </c>
    </row>
    <row r="2373" spans="1:14" x14ac:dyDescent="0.3">
      <c r="A2373" t="s">
        <v>2699</v>
      </c>
      <c r="B2373" s="3">
        <v>42713</v>
      </c>
      <c r="C2373" t="s">
        <v>13</v>
      </c>
      <c r="D2373" t="s">
        <v>21</v>
      </c>
      <c r="E2373" t="s">
        <v>2164</v>
      </c>
      <c r="F2373" s="1">
        <v>20.704000000000001</v>
      </c>
      <c r="G2373">
        <v>4</v>
      </c>
      <c r="H2373" s="1">
        <v>7.7640000000000002</v>
      </c>
      <c r="I2373" s="4">
        <f>SalesData[[#This Row],[Profit]]/SalesData[[#This Row],[Sales]]</f>
        <v>0.375</v>
      </c>
      <c r="J2373">
        <f>YEAR(SalesData[[#This Row],[Order Date]])</f>
        <v>2016</v>
      </c>
      <c r="K2373" t="str">
        <f>TEXT(SalesData[[#This Row],[Order Date]],"mmm")</f>
        <v>Dec</v>
      </c>
      <c r="L2373">
        <f>MONTH(SalesData[[#This Row],[Order Date]])</f>
        <v>12</v>
      </c>
      <c r="M2373">
        <f>SalesData[[#This Row],[Sales]]/SalesData[[#This Row],[Quantity]]</f>
        <v>5.1760000000000002</v>
      </c>
      <c r="N2373" t="str">
        <f>IF(SalesData[[#This Row],[Profit]]&gt;0,"Profit","Loss")</f>
        <v>Profit</v>
      </c>
    </row>
    <row r="2374" spans="1:14" x14ac:dyDescent="0.3">
      <c r="A2374" t="s">
        <v>2700</v>
      </c>
      <c r="B2374" s="3">
        <v>42713</v>
      </c>
      <c r="C2374" t="s">
        <v>46</v>
      </c>
      <c r="D2374" t="s">
        <v>10</v>
      </c>
      <c r="E2374" t="s">
        <v>2460</v>
      </c>
      <c r="F2374" s="1">
        <v>20.7</v>
      </c>
      <c r="G2374">
        <v>3</v>
      </c>
      <c r="H2374" s="1">
        <v>1.6559999999999999</v>
      </c>
      <c r="I2374" s="4">
        <f>SalesData[[#This Row],[Profit]]/SalesData[[#This Row],[Sales]]</f>
        <v>0.08</v>
      </c>
      <c r="J2374">
        <f>YEAR(SalesData[[#This Row],[Order Date]])</f>
        <v>2016</v>
      </c>
      <c r="K2374" t="str">
        <f>TEXT(SalesData[[#This Row],[Order Date]],"mmm")</f>
        <v>Dec</v>
      </c>
      <c r="L2374">
        <f>MONTH(SalesData[[#This Row],[Order Date]])</f>
        <v>12</v>
      </c>
      <c r="M2374">
        <f>SalesData[[#This Row],[Sales]]/SalesData[[#This Row],[Quantity]]</f>
        <v>6.8999999999999995</v>
      </c>
      <c r="N2374" t="str">
        <f>IF(SalesData[[#This Row],[Profit]]&gt;0,"Profit","Loss")</f>
        <v>Profit</v>
      </c>
    </row>
    <row r="2375" spans="1:14" x14ac:dyDescent="0.3">
      <c r="A2375" t="s">
        <v>2700</v>
      </c>
      <c r="B2375" s="3">
        <v>42713</v>
      </c>
      <c r="C2375" t="s">
        <v>46</v>
      </c>
      <c r="D2375" t="s">
        <v>21</v>
      </c>
      <c r="E2375" t="s">
        <v>83</v>
      </c>
      <c r="F2375" s="1">
        <v>11.34</v>
      </c>
      <c r="G2375">
        <v>3</v>
      </c>
      <c r="H2375" s="1">
        <v>5.2164000000000001</v>
      </c>
      <c r="I2375" s="4">
        <f>SalesData[[#This Row],[Profit]]/SalesData[[#This Row],[Sales]]</f>
        <v>0.46</v>
      </c>
      <c r="J2375">
        <f>YEAR(SalesData[[#This Row],[Order Date]])</f>
        <v>2016</v>
      </c>
      <c r="K2375" t="str">
        <f>TEXT(SalesData[[#This Row],[Order Date]],"mmm")</f>
        <v>Dec</v>
      </c>
      <c r="L2375">
        <f>MONTH(SalesData[[#This Row],[Order Date]])</f>
        <v>12</v>
      </c>
      <c r="M2375">
        <f>SalesData[[#This Row],[Sales]]/SalesData[[#This Row],[Quantity]]</f>
        <v>3.78</v>
      </c>
      <c r="N2375" t="str">
        <f>IF(SalesData[[#This Row],[Profit]]&gt;0,"Profit","Loss")</f>
        <v>Profit</v>
      </c>
    </row>
    <row r="2376" spans="1:14" x14ac:dyDescent="0.3">
      <c r="A2376" t="s">
        <v>2700</v>
      </c>
      <c r="B2376" s="3">
        <v>42713</v>
      </c>
      <c r="C2376" t="s">
        <v>46</v>
      </c>
      <c r="D2376" t="s">
        <v>21</v>
      </c>
      <c r="E2376" t="s">
        <v>1815</v>
      </c>
      <c r="F2376" s="1">
        <v>67.900000000000006</v>
      </c>
      <c r="G2376">
        <v>5</v>
      </c>
      <c r="H2376" s="1">
        <v>0.67900000000000005</v>
      </c>
      <c r="I2376" s="4">
        <f>SalesData[[#This Row],[Profit]]/SalesData[[#This Row],[Sales]]</f>
        <v>0.01</v>
      </c>
      <c r="J2376">
        <f>YEAR(SalesData[[#This Row],[Order Date]])</f>
        <v>2016</v>
      </c>
      <c r="K2376" t="str">
        <f>TEXT(SalesData[[#This Row],[Order Date]],"mmm")</f>
        <v>Dec</v>
      </c>
      <c r="L2376">
        <f>MONTH(SalesData[[#This Row],[Order Date]])</f>
        <v>12</v>
      </c>
      <c r="M2376">
        <f>SalesData[[#This Row],[Sales]]/SalesData[[#This Row],[Quantity]]</f>
        <v>13.580000000000002</v>
      </c>
      <c r="N2376" t="str">
        <f>IF(SalesData[[#This Row],[Profit]]&gt;0,"Profit","Loss")</f>
        <v>Profit</v>
      </c>
    </row>
    <row r="2377" spans="1:14" x14ac:dyDescent="0.3">
      <c r="A2377" t="s">
        <v>2700</v>
      </c>
      <c r="B2377" s="3">
        <v>42713</v>
      </c>
      <c r="C2377" t="s">
        <v>46</v>
      </c>
      <c r="D2377" t="s">
        <v>14</v>
      </c>
      <c r="E2377" t="s">
        <v>1184</v>
      </c>
      <c r="F2377" s="1">
        <v>1059.1199999999999</v>
      </c>
      <c r="G2377">
        <v>4</v>
      </c>
      <c r="H2377" s="1">
        <v>307.14479999999998</v>
      </c>
      <c r="I2377" s="4">
        <f>SalesData[[#This Row],[Profit]]/SalesData[[#This Row],[Sales]]</f>
        <v>0.28999999999999998</v>
      </c>
      <c r="J2377">
        <f>YEAR(SalesData[[#This Row],[Order Date]])</f>
        <v>2016</v>
      </c>
      <c r="K2377" t="str">
        <f>TEXT(SalesData[[#This Row],[Order Date]],"mmm")</f>
        <v>Dec</v>
      </c>
      <c r="L2377">
        <f>MONTH(SalesData[[#This Row],[Order Date]])</f>
        <v>12</v>
      </c>
      <c r="M2377">
        <f>SalesData[[#This Row],[Sales]]/SalesData[[#This Row],[Quantity]]</f>
        <v>264.77999999999997</v>
      </c>
      <c r="N2377" t="str">
        <f>IF(SalesData[[#This Row],[Profit]]&gt;0,"Profit","Loss")</f>
        <v>Profit</v>
      </c>
    </row>
    <row r="2378" spans="1:14" x14ac:dyDescent="0.3">
      <c r="A2378" t="s">
        <v>2701</v>
      </c>
      <c r="B2378" s="3">
        <v>42713</v>
      </c>
      <c r="C2378" t="s">
        <v>9</v>
      </c>
      <c r="D2378" t="s">
        <v>21</v>
      </c>
      <c r="E2378" t="s">
        <v>2702</v>
      </c>
      <c r="F2378" s="1">
        <v>68.52</v>
      </c>
      <c r="G2378">
        <v>3</v>
      </c>
      <c r="H2378" s="1">
        <v>31.519200000000001</v>
      </c>
      <c r="I2378" s="4">
        <f>SalesData[[#This Row],[Profit]]/SalesData[[#This Row],[Sales]]</f>
        <v>0.46</v>
      </c>
      <c r="J2378">
        <f>YEAR(SalesData[[#This Row],[Order Date]])</f>
        <v>2016</v>
      </c>
      <c r="K2378" t="str">
        <f>TEXT(SalesData[[#This Row],[Order Date]],"mmm")</f>
        <v>Dec</v>
      </c>
      <c r="L2378">
        <f>MONTH(SalesData[[#This Row],[Order Date]])</f>
        <v>12</v>
      </c>
      <c r="M2378">
        <f>SalesData[[#This Row],[Sales]]/SalesData[[#This Row],[Quantity]]</f>
        <v>22.84</v>
      </c>
      <c r="N2378" t="str">
        <f>IF(SalesData[[#This Row],[Profit]]&gt;0,"Profit","Loss")</f>
        <v>Profit</v>
      </c>
    </row>
    <row r="2379" spans="1:14" x14ac:dyDescent="0.3">
      <c r="A2379" t="s">
        <v>2703</v>
      </c>
      <c r="B2379" s="3">
        <v>42713</v>
      </c>
      <c r="C2379" t="s">
        <v>13</v>
      </c>
      <c r="D2379" t="s">
        <v>10</v>
      </c>
      <c r="E2379" t="s">
        <v>476</v>
      </c>
      <c r="F2379" s="1">
        <v>146.952</v>
      </c>
      <c r="G2379">
        <v>3</v>
      </c>
      <c r="H2379" s="1">
        <v>9.1844999999999999</v>
      </c>
      <c r="I2379" s="4">
        <f>SalesData[[#This Row],[Profit]]/SalesData[[#This Row],[Sales]]</f>
        <v>6.25E-2</v>
      </c>
      <c r="J2379">
        <f>YEAR(SalesData[[#This Row],[Order Date]])</f>
        <v>2016</v>
      </c>
      <c r="K2379" t="str">
        <f>TEXT(SalesData[[#This Row],[Order Date]],"mmm")</f>
        <v>Dec</v>
      </c>
      <c r="L2379">
        <f>MONTH(SalesData[[#This Row],[Order Date]])</f>
        <v>12</v>
      </c>
      <c r="M2379">
        <f>SalesData[[#This Row],[Sales]]/SalesData[[#This Row],[Quantity]]</f>
        <v>48.984000000000002</v>
      </c>
      <c r="N2379" t="str">
        <f>IF(SalesData[[#This Row],[Profit]]&gt;0,"Profit","Loss")</f>
        <v>Profit</v>
      </c>
    </row>
    <row r="2380" spans="1:14" x14ac:dyDescent="0.3">
      <c r="A2380" t="s">
        <v>2703</v>
      </c>
      <c r="B2380" s="3">
        <v>42713</v>
      </c>
      <c r="C2380" t="s">
        <v>13</v>
      </c>
      <c r="D2380" t="s">
        <v>14</v>
      </c>
      <c r="E2380" t="s">
        <v>1951</v>
      </c>
      <c r="F2380" s="1">
        <v>83.135999999999996</v>
      </c>
      <c r="G2380">
        <v>4</v>
      </c>
      <c r="H2380" s="1">
        <v>5.1959999999999997</v>
      </c>
      <c r="I2380" s="4">
        <f>SalesData[[#This Row],[Profit]]/SalesData[[#This Row],[Sales]]</f>
        <v>6.25E-2</v>
      </c>
      <c r="J2380">
        <f>YEAR(SalesData[[#This Row],[Order Date]])</f>
        <v>2016</v>
      </c>
      <c r="K2380" t="str">
        <f>TEXT(SalesData[[#This Row],[Order Date]],"mmm")</f>
        <v>Dec</v>
      </c>
      <c r="L2380">
        <f>MONTH(SalesData[[#This Row],[Order Date]])</f>
        <v>12</v>
      </c>
      <c r="M2380">
        <f>SalesData[[#This Row],[Sales]]/SalesData[[#This Row],[Quantity]]</f>
        <v>20.783999999999999</v>
      </c>
      <c r="N2380" t="str">
        <f>IF(SalesData[[#This Row],[Profit]]&gt;0,"Profit","Loss")</f>
        <v>Profit</v>
      </c>
    </row>
    <row r="2381" spans="1:14" x14ac:dyDescent="0.3">
      <c r="A2381" t="s">
        <v>2704</v>
      </c>
      <c r="B2381" s="3">
        <v>42713</v>
      </c>
      <c r="C2381" t="s">
        <v>17</v>
      </c>
      <c r="D2381" t="s">
        <v>14</v>
      </c>
      <c r="E2381" t="s">
        <v>2705</v>
      </c>
      <c r="F2381" s="1">
        <v>40.479999999999997</v>
      </c>
      <c r="G2381">
        <v>2</v>
      </c>
      <c r="H2381" s="1">
        <v>14.572800000000001</v>
      </c>
      <c r="I2381" s="4">
        <f>SalesData[[#This Row],[Profit]]/SalesData[[#This Row],[Sales]]</f>
        <v>0.36000000000000004</v>
      </c>
      <c r="J2381">
        <f>YEAR(SalesData[[#This Row],[Order Date]])</f>
        <v>2016</v>
      </c>
      <c r="K2381" t="str">
        <f>TEXT(SalesData[[#This Row],[Order Date]],"mmm")</f>
        <v>Dec</v>
      </c>
      <c r="L2381">
        <f>MONTH(SalesData[[#This Row],[Order Date]])</f>
        <v>12</v>
      </c>
      <c r="M2381">
        <f>SalesData[[#This Row],[Sales]]/SalesData[[#This Row],[Quantity]]</f>
        <v>20.239999999999998</v>
      </c>
      <c r="N2381" t="str">
        <f>IF(SalesData[[#This Row],[Profit]]&gt;0,"Profit","Loss")</f>
        <v>Profit</v>
      </c>
    </row>
    <row r="2382" spans="1:14" x14ac:dyDescent="0.3">
      <c r="A2382" t="s">
        <v>2706</v>
      </c>
      <c r="B2382" s="3">
        <v>42715</v>
      </c>
      <c r="C2382" t="s">
        <v>13</v>
      </c>
      <c r="D2382" t="s">
        <v>21</v>
      </c>
      <c r="E2382" t="s">
        <v>1532</v>
      </c>
      <c r="F2382" s="1">
        <v>6.27</v>
      </c>
      <c r="G2382">
        <v>5</v>
      </c>
      <c r="H2382" s="1">
        <v>-4.5979999999999999</v>
      </c>
      <c r="I2382" s="4">
        <f>SalesData[[#This Row],[Profit]]/SalesData[[#This Row],[Sales]]</f>
        <v>-0.73333333333333339</v>
      </c>
      <c r="J2382">
        <f>YEAR(SalesData[[#This Row],[Order Date]])</f>
        <v>2016</v>
      </c>
      <c r="K2382" t="str">
        <f>TEXT(SalesData[[#This Row],[Order Date]],"mmm")</f>
        <v>Dec</v>
      </c>
      <c r="L2382">
        <f>MONTH(SalesData[[#This Row],[Order Date]])</f>
        <v>12</v>
      </c>
      <c r="M2382">
        <f>SalesData[[#This Row],[Sales]]/SalesData[[#This Row],[Quantity]]</f>
        <v>1.254</v>
      </c>
      <c r="N2382" t="str">
        <f>IF(SalesData[[#This Row],[Profit]]&gt;0,"Profit","Loss")</f>
        <v>Loss</v>
      </c>
    </row>
    <row r="2383" spans="1:14" x14ac:dyDescent="0.3">
      <c r="A2383" t="s">
        <v>2706</v>
      </c>
      <c r="B2383" s="3">
        <v>42715</v>
      </c>
      <c r="C2383" t="s">
        <v>13</v>
      </c>
      <c r="D2383" t="s">
        <v>21</v>
      </c>
      <c r="E2383" t="s">
        <v>2707</v>
      </c>
      <c r="F2383" s="1">
        <v>4.3680000000000003</v>
      </c>
      <c r="G2383">
        <v>7</v>
      </c>
      <c r="H2383" s="1">
        <v>-3.3488000000000002</v>
      </c>
      <c r="I2383" s="4">
        <f>SalesData[[#This Row],[Profit]]/SalesData[[#This Row],[Sales]]</f>
        <v>-0.76666666666666661</v>
      </c>
      <c r="J2383">
        <f>YEAR(SalesData[[#This Row],[Order Date]])</f>
        <v>2016</v>
      </c>
      <c r="K2383" t="str">
        <f>TEXT(SalesData[[#This Row],[Order Date]],"mmm")</f>
        <v>Dec</v>
      </c>
      <c r="L2383">
        <f>MONTH(SalesData[[#This Row],[Order Date]])</f>
        <v>12</v>
      </c>
      <c r="M2383">
        <f>SalesData[[#This Row],[Sales]]/SalesData[[#This Row],[Quantity]]</f>
        <v>0.624</v>
      </c>
      <c r="N2383" t="str">
        <f>IF(SalesData[[#This Row],[Profit]]&gt;0,"Profit","Loss")</f>
        <v>Loss</v>
      </c>
    </row>
    <row r="2384" spans="1:14" x14ac:dyDescent="0.3">
      <c r="A2384" t="s">
        <v>2706</v>
      </c>
      <c r="B2384" s="3">
        <v>42715</v>
      </c>
      <c r="C2384" t="s">
        <v>13</v>
      </c>
      <c r="D2384" t="s">
        <v>10</v>
      </c>
      <c r="E2384" t="s">
        <v>2629</v>
      </c>
      <c r="F2384" s="1">
        <v>31.984000000000002</v>
      </c>
      <c r="G2384">
        <v>2</v>
      </c>
      <c r="H2384" s="1">
        <v>1.9990000000000001</v>
      </c>
      <c r="I2384" s="4">
        <f>SalesData[[#This Row],[Profit]]/SalesData[[#This Row],[Sales]]</f>
        <v>6.25E-2</v>
      </c>
      <c r="J2384">
        <f>YEAR(SalesData[[#This Row],[Order Date]])</f>
        <v>2016</v>
      </c>
      <c r="K2384" t="str">
        <f>TEXT(SalesData[[#This Row],[Order Date]],"mmm")</f>
        <v>Dec</v>
      </c>
      <c r="L2384">
        <f>MONTH(SalesData[[#This Row],[Order Date]])</f>
        <v>12</v>
      </c>
      <c r="M2384">
        <f>SalesData[[#This Row],[Sales]]/SalesData[[#This Row],[Quantity]]</f>
        <v>15.992000000000001</v>
      </c>
      <c r="N2384" t="str">
        <f>IF(SalesData[[#This Row],[Profit]]&gt;0,"Profit","Loss")</f>
        <v>Profit</v>
      </c>
    </row>
    <row r="2385" spans="1:14" x14ac:dyDescent="0.3">
      <c r="A2385" t="s">
        <v>2708</v>
      </c>
      <c r="B2385" s="3">
        <v>42715</v>
      </c>
      <c r="C2385" t="s">
        <v>9</v>
      </c>
      <c r="D2385" t="s">
        <v>21</v>
      </c>
      <c r="E2385" t="s">
        <v>2709</v>
      </c>
      <c r="F2385" s="1">
        <v>287.52</v>
      </c>
      <c r="G2385">
        <v>8</v>
      </c>
      <c r="H2385" s="1">
        <v>129.38399999999999</v>
      </c>
      <c r="I2385" s="4">
        <f>SalesData[[#This Row],[Profit]]/SalesData[[#This Row],[Sales]]</f>
        <v>0.44999999999999996</v>
      </c>
      <c r="J2385">
        <f>YEAR(SalesData[[#This Row],[Order Date]])</f>
        <v>2016</v>
      </c>
      <c r="K2385" t="str">
        <f>TEXT(SalesData[[#This Row],[Order Date]],"mmm")</f>
        <v>Dec</v>
      </c>
      <c r="L2385">
        <f>MONTH(SalesData[[#This Row],[Order Date]])</f>
        <v>12</v>
      </c>
      <c r="M2385">
        <f>SalesData[[#This Row],[Sales]]/SalesData[[#This Row],[Quantity]]</f>
        <v>35.94</v>
      </c>
      <c r="N2385" t="str">
        <f>IF(SalesData[[#This Row],[Profit]]&gt;0,"Profit","Loss")</f>
        <v>Profit</v>
      </c>
    </row>
    <row r="2386" spans="1:14" x14ac:dyDescent="0.3">
      <c r="A2386" t="s">
        <v>2708</v>
      </c>
      <c r="B2386" s="3">
        <v>42715</v>
      </c>
      <c r="C2386" t="s">
        <v>9</v>
      </c>
      <c r="D2386" t="s">
        <v>21</v>
      </c>
      <c r="E2386" t="s">
        <v>1872</v>
      </c>
      <c r="F2386" s="1">
        <v>37.68</v>
      </c>
      <c r="G2386">
        <v>2</v>
      </c>
      <c r="H2386" s="1">
        <v>10.5504</v>
      </c>
      <c r="I2386" s="4">
        <f>SalesData[[#This Row],[Profit]]/SalesData[[#This Row],[Sales]]</f>
        <v>0.27999999999999997</v>
      </c>
      <c r="J2386">
        <f>YEAR(SalesData[[#This Row],[Order Date]])</f>
        <v>2016</v>
      </c>
      <c r="K2386" t="str">
        <f>TEXT(SalesData[[#This Row],[Order Date]],"mmm")</f>
        <v>Dec</v>
      </c>
      <c r="L2386">
        <f>MONTH(SalesData[[#This Row],[Order Date]])</f>
        <v>12</v>
      </c>
      <c r="M2386">
        <f>SalesData[[#This Row],[Sales]]/SalesData[[#This Row],[Quantity]]</f>
        <v>18.84</v>
      </c>
      <c r="N2386" t="str">
        <f>IF(SalesData[[#This Row],[Profit]]&gt;0,"Profit","Loss")</f>
        <v>Profit</v>
      </c>
    </row>
    <row r="2387" spans="1:14" x14ac:dyDescent="0.3">
      <c r="A2387" t="s">
        <v>2708</v>
      </c>
      <c r="B2387" s="3">
        <v>42715</v>
      </c>
      <c r="C2387" t="s">
        <v>9</v>
      </c>
      <c r="D2387" t="s">
        <v>21</v>
      </c>
      <c r="E2387" t="s">
        <v>1765</v>
      </c>
      <c r="F2387" s="1">
        <v>19.98</v>
      </c>
      <c r="G2387">
        <v>2</v>
      </c>
      <c r="H2387" s="1">
        <v>8.9909999999999997</v>
      </c>
      <c r="I2387" s="4">
        <f>SalesData[[#This Row],[Profit]]/SalesData[[#This Row],[Sales]]</f>
        <v>0.44999999999999996</v>
      </c>
      <c r="J2387">
        <f>YEAR(SalesData[[#This Row],[Order Date]])</f>
        <v>2016</v>
      </c>
      <c r="K2387" t="str">
        <f>TEXT(SalesData[[#This Row],[Order Date]],"mmm")</f>
        <v>Dec</v>
      </c>
      <c r="L2387">
        <f>MONTH(SalesData[[#This Row],[Order Date]])</f>
        <v>12</v>
      </c>
      <c r="M2387">
        <f>SalesData[[#This Row],[Sales]]/SalesData[[#This Row],[Quantity]]</f>
        <v>9.99</v>
      </c>
      <c r="N2387" t="str">
        <f>IF(SalesData[[#This Row],[Profit]]&gt;0,"Profit","Loss")</f>
        <v>Profit</v>
      </c>
    </row>
    <row r="2388" spans="1:14" x14ac:dyDescent="0.3">
      <c r="A2388" t="s">
        <v>2708</v>
      </c>
      <c r="B2388" s="3">
        <v>42715</v>
      </c>
      <c r="C2388" t="s">
        <v>9</v>
      </c>
      <c r="D2388" t="s">
        <v>21</v>
      </c>
      <c r="E2388" t="s">
        <v>2062</v>
      </c>
      <c r="F2388" s="1">
        <v>20.58</v>
      </c>
      <c r="G2388">
        <v>7</v>
      </c>
      <c r="H2388" s="1">
        <v>5.5566000000000004</v>
      </c>
      <c r="I2388" s="4">
        <f>SalesData[[#This Row],[Profit]]/SalesData[[#This Row],[Sales]]</f>
        <v>0.27</v>
      </c>
      <c r="J2388">
        <f>YEAR(SalesData[[#This Row],[Order Date]])</f>
        <v>2016</v>
      </c>
      <c r="K2388" t="str">
        <f>TEXT(SalesData[[#This Row],[Order Date]],"mmm")</f>
        <v>Dec</v>
      </c>
      <c r="L2388">
        <f>MONTH(SalesData[[#This Row],[Order Date]])</f>
        <v>12</v>
      </c>
      <c r="M2388">
        <f>SalesData[[#This Row],[Sales]]/SalesData[[#This Row],[Quantity]]</f>
        <v>2.94</v>
      </c>
      <c r="N2388" t="str">
        <f>IF(SalesData[[#This Row],[Profit]]&gt;0,"Profit","Loss")</f>
        <v>Profit</v>
      </c>
    </row>
    <row r="2389" spans="1:14" x14ac:dyDescent="0.3">
      <c r="A2389" t="s">
        <v>2708</v>
      </c>
      <c r="B2389" s="3">
        <v>42715</v>
      </c>
      <c r="C2389" t="s">
        <v>9</v>
      </c>
      <c r="D2389" t="s">
        <v>21</v>
      </c>
      <c r="E2389" t="s">
        <v>1339</v>
      </c>
      <c r="F2389" s="1">
        <v>17.38</v>
      </c>
      <c r="G2389">
        <v>2</v>
      </c>
      <c r="H2389" s="1">
        <v>8.69</v>
      </c>
      <c r="I2389" s="4">
        <f>SalesData[[#This Row],[Profit]]/SalesData[[#This Row],[Sales]]</f>
        <v>0.5</v>
      </c>
      <c r="J2389">
        <f>YEAR(SalesData[[#This Row],[Order Date]])</f>
        <v>2016</v>
      </c>
      <c r="K2389" t="str">
        <f>TEXT(SalesData[[#This Row],[Order Date]],"mmm")</f>
        <v>Dec</v>
      </c>
      <c r="L2389">
        <f>MONTH(SalesData[[#This Row],[Order Date]])</f>
        <v>12</v>
      </c>
      <c r="M2389">
        <f>SalesData[[#This Row],[Sales]]/SalesData[[#This Row],[Quantity]]</f>
        <v>8.69</v>
      </c>
      <c r="N2389" t="str">
        <f>IF(SalesData[[#This Row],[Profit]]&gt;0,"Profit","Loss")</f>
        <v>Profit</v>
      </c>
    </row>
    <row r="2390" spans="1:14" x14ac:dyDescent="0.3">
      <c r="A2390" t="s">
        <v>2710</v>
      </c>
      <c r="B2390" s="3">
        <v>42715</v>
      </c>
      <c r="C2390" t="s">
        <v>17</v>
      </c>
      <c r="D2390" t="s">
        <v>14</v>
      </c>
      <c r="E2390" t="s">
        <v>573</v>
      </c>
      <c r="F2390" s="1">
        <v>1474.8019999999999</v>
      </c>
      <c r="G2390">
        <v>7</v>
      </c>
      <c r="H2390" s="1">
        <v>-21.0686</v>
      </c>
      <c r="I2390" s="4">
        <f>SalesData[[#This Row],[Profit]]/SalesData[[#This Row],[Sales]]</f>
        <v>-1.4285714285714287E-2</v>
      </c>
      <c r="J2390">
        <f>YEAR(SalesData[[#This Row],[Order Date]])</f>
        <v>2016</v>
      </c>
      <c r="K2390" t="str">
        <f>TEXT(SalesData[[#This Row],[Order Date]],"mmm")</f>
        <v>Dec</v>
      </c>
      <c r="L2390">
        <f>MONTH(SalesData[[#This Row],[Order Date]])</f>
        <v>12</v>
      </c>
      <c r="M2390">
        <f>SalesData[[#This Row],[Sales]]/SalesData[[#This Row],[Quantity]]</f>
        <v>210.68599999999998</v>
      </c>
      <c r="N2390" t="str">
        <f>IF(SalesData[[#This Row],[Profit]]&gt;0,"Profit","Loss")</f>
        <v>Loss</v>
      </c>
    </row>
    <row r="2391" spans="1:14" x14ac:dyDescent="0.3">
      <c r="A2391" t="s">
        <v>2710</v>
      </c>
      <c r="B2391" s="3">
        <v>42715</v>
      </c>
      <c r="C2391" t="s">
        <v>17</v>
      </c>
      <c r="D2391" t="s">
        <v>21</v>
      </c>
      <c r="E2391" t="s">
        <v>1228</v>
      </c>
      <c r="F2391" s="1">
        <v>110.096</v>
      </c>
      <c r="G2391">
        <v>2</v>
      </c>
      <c r="H2391" s="1">
        <v>33.028799999999997</v>
      </c>
      <c r="I2391" s="4">
        <f>SalesData[[#This Row],[Profit]]/SalesData[[#This Row],[Sales]]</f>
        <v>0.3</v>
      </c>
      <c r="J2391">
        <f>YEAR(SalesData[[#This Row],[Order Date]])</f>
        <v>2016</v>
      </c>
      <c r="K2391" t="str">
        <f>TEXT(SalesData[[#This Row],[Order Date]],"mmm")</f>
        <v>Dec</v>
      </c>
      <c r="L2391">
        <f>MONTH(SalesData[[#This Row],[Order Date]])</f>
        <v>12</v>
      </c>
      <c r="M2391">
        <f>SalesData[[#This Row],[Sales]]/SalesData[[#This Row],[Quantity]]</f>
        <v>55.048000000000002</v>
      </c>
      <c r="N2391" t="str">
        <f>IF(SalesData[[#This Row],[Profit]]&gt;0,"Profit","Loss")</f>
        <v>Profit</v>
      </c>
    </row>
    <row r="2392" spans="1:14" x14ac:dyDescent="0.3">
      <c r="A2392" t="s">
        <v>2710</v>
      </c>
      <c r="B2392" s="3">
        <v>42715</v>
      </c>
      <c r="C2392" t="s">
        <v>17</v>
      </c>
      <c r="D2392" t="s">
        <v>21</v>
      </c>
      <c r="E2392" t="s">
        <v>369</v>
      </c>
      <c r="F2392" s="1">
        <v>16.751999999999999</v>
      </c>
      <c r="G2392">
        <v>6</v>
      </c>
      <c r="H2392" s="1">
        <v>5.4443999999999999</v>
      </c>
      <c r="I2392" s="4">
        <f>SalesData[[#This Row],[Profit]]/SalesData[[#This Row],[Sales]]</f>
        <v>0.32500000000000001</v>
      </c>
      <c r="J2392">
        <f>YEAR(SalesData[[#This Row],[Order Date]])</f>
        <v>2016</v>
      </c>
      <c r="K2392" t="str">
        <f>TEXT(SalesData[[#This Row],[Order Date]],"mmm")</f>
        <v>Dec</v>
      </c>
      <c r="L2392">
        <f>MONTH(SalesData[[#This Row],[Order Date]])</f>
        <v>12</v>
      </c>
      <c r="M2392">
        <f>SalesData[[#This Row],[Sales]]/SalesData[[#This Row],[Quantity]]</f>
        <v>2.7919999999999998</v>
      </c>
      <c r="N2392" t="str">
        <f>IF(SalesData[[#This Row],[Profit]]&gt;0,"Profit","Loss")</f>
        <v>Profit</v>
      </c>
    </row>
    <row r="2393" spans="1:14" x14ac:dyDescent="0.3">
      <c r="A2393" t="s">
        <v>2710</v>
      </c>
      <c r="B2393" s="3">
        <v>42715</v>
      </c>
      <c r="C2393" t="s">
        <v>17</v>
      </c>
      <c r="D2393" t="s">
        <v>14</v>
      </c>
      <c r="E2393" t="s">
        <v>700</v>
      </c>
      <c r="F2393" s="1">
        <v>1537.0740000000001</v>
      </c>
      <c r="G2393">
        <v>9</v>
      </c>
      <c r="H2393" s="1">
        <v>0</v>
      </c>
      <c r="I2393" s="4">
        <f>SalesData[[#This Row],[Profit]]/SalesData[[#This Row],[Sales]]</f>
        <v>0</v>
      </c>
      <c r="J2393">
        <f>YEAR(SalesData[[#This Row],[Order Date]])</f>
        <v>2016</v>
      </c>
      <c r="K2393" t="str">
        <f>TEXT(SalesData[[#This Row],[Order Date]],"mmm")</f>
        <v>Dec</v>
      </c>
      <c r="L2393">
        <f>MONTH(SalesData[[#This Row],[Order Date]])</f>
        <v>12</v>
      </c>
      <c r="M2393">
        <f>SalesData[[#This Row],[Sales]]/SalesData[[#This Row],[Quantity]]</f>
        <v>170.786</v>
      </c>
      <c r="N2393" t="str">
        <f>IF(SalesData[[#This Row],[Profit]]&gt;0,"Profit","Loss")</f>
        <v>Loss</v>
      </c>
    </row>
    <row r="2394" spans="1:14" x14ac:dyDescent="0.3">
      <c r="A2394" t="s">
        <v>2710</v>
      </c>
      <c r="B2394" s="3">
        <v>42715</v>
      </c>
      <c r="C2394" t="s">
        <v>17</v>
      </c>
      <c r="D2394" t="s">
        <v>14</v>
      </c>
      <c r="E2394" t="s">
        <v>118</v>
      </c>
      <c r="F2394" s="1">
        <v>449.37200000000001</v>
      </c>
      <c r="G2394">
        <v>2</v>
      </c>
      <c r="H2394" s="1">
        <v>-12.8392</v>
      </c>
      <c r="I2394" s="4">
        <f>SalesData[[#This Row],[Profit]]/SalesData[[#This Row],[Sales]]</f>
        <v>-2.8571428571428571E-2</v>
      </c>
      <c r="J2394">
        <f>YEAR(SalesData[[#This Row],[Order Date]])</f>
        <v>2016</v>
      </c>
      <c r="K2394" t="str">
        <f>TEXT(SalesData[[#This Row],[Order Date]],"mmm")</f>
        <v>Dec</v>
      </c>
      <c r="L2394">
        <f>MONTH(SalesData[[#This Row],[Order Date]])</f>
        <v>12</v>
      </c>
      <c r="M2394">
        <f>SalesData[[#This Row],[Sales]]/SalesData[[#This Row],[Quantity]]</f>
        <v>224.68600000000001</v>
      </c>
      <c r="N2394" t="str">
        <f>IF(SalesData[[#This Row],[Profit]]&gt;0,"Profit","Loss")</f>
        <v>Loss</v>
      </c>
    </row>
    <row r="2395" spans="1:14" x14ac:dyDescent="0.3">
      <c r="A2395" t="s">
        <v>2711</v>
      </c>
      <c r="B2395" s="3">
        <v>42715</v>
      </c>
      <c r="C2395" t="s">
        <v>13</v>
      </c>
      <c r="D2395" t="s">
        <v>10</v>
      </c>
      <c r="E2395" t="s">
        <v>2712</v>
      </c>
      <c r="F2395" s="1">
        <v>203.976</v>
      </c>
      <c r="G2395">
        <v>3</v>
      </c>
      <c r="H2395" s="1">
        <v>25.497</v>
      </c>
      <c r="I2395" s="4">
        <f>SalesData[[#This Row],[Profit]]/SalesData[[#This Row],[Sales]]</f>
        <v>0.125</v>
      </c>
      <c r="J2395">
        <f>YEAR(SalesData[[#This Row],[Order Date]])</f>
        <v>2016</v>
      </c>
      <c r="K2395" t="str">
        <f>TEXT(SalesData[[#This Row],[Order Date]],"mmm")</f>
        <v>Dec</v>
      </c>
      <c r="L2395">
        <f>MONTH(SalesData[[#This Row],[Order Date]])</f>
        <v>12</v>
      </c>
      <c r="M2395">
        <f>SalesData[[#This Row],[Sales]]/SalesData[[#This Row],[Quantity]]</f>
        <v>67.992000000000004</v>
      </c>
      <c r="N2395" t="str">
        <f>IF(SalesData[[#This Row],[Profit]]&gt;0,"Profit","Loss")</f>
        <v>Profit</v>
      </c>
    </row>
    <row r="2396" spans="1:14" x14ac:dyDescent="0.3">
      <c r="A2396" t="s">
        <v>2711</v>
      </c>
      <c r="B2396" s="3">
        <v>42715</v>
      </c>
      <c r="C2396" t="s">
        <v>13</v>
      </c>
      <c r="D2396" t="s">
        <v>14</v>
      </c>
      <c r="E2396" t="s">
        <v>2070</v>
      </c>
      <c r="F2396" s="1">
        <v>674.35199999999998</v>
      </c>
      <c r="G2396">
        <v>3</v>
      </c>
      <c r="H2396" s="1">
        <v>-8.4293999999999993</v>
      </c>
      <c r="I2396" s="4">
        <f>SalesData[[#This Row],[Profit]]/SalesData[[#This Row],[Sales]]</f>
        <v>-1.2499999999999999E-2</v>
      </c>
      <c r="J2396">
        <f>YEAR(SalesData[[#This Row],[Order Date]])</f>
        <v>2016</v>
      </c>
      <c r="K2396" t="str">
        <f>TEXT(SalesData[[#This Row],[Order Date]],"mmm")</f>
        <v>Dec</v>
      </c>
      <c r="L2396">
        <f>MONTH(SalesData[[#This Row],[Order Date]])</f>
        <v>12</v>
      </c>
      <c r="M2396">
        <f>SalesData[[#This Row],[Sales]]/SalesData[[#This Row],[Quantity]]</f>
        <v>224.78399999999999</v>
      </c>
      <c r="N2396" t="str">
        <f>IF(SalesData[[#This Row],[Profit]]&gt;0,"Profit","Loss")</f>
        <v>Loss</v>
      </c>
    </row>
    <row r="2397" spans="1:14" x14ac:dyDescent="0.3">
      <c r="A2397" t="s">
        <v>2713</v>
      </c>
      <c r="B2397" s="3">
        <v>42715</v>
      </c>
      <c r="C2397" t="s">
        <v>9</v>
      </c>
      <c r="D2397" t="s">
        <v>14</v>
      </c>
      <c r="E2397" t="s">
        <v>1340</v>
      </c>
      <c r="F2397" s="1">
        <v>22.751999999999999</v>
      </c>
      <c r="G2397">
        <v>6</v>
      </c>
      <c r="H2397" s="1">
        <v>-8.532</v>
      </c>
      <c r="I2397" s="4">
        <f>SalesData[[#This Row],[Profit]]/SalesData[[#This Row],[Sales]]</f>
        <v>-0.375</v>
      </c>
      <c r="J2397">
        <f>YEAR(SalesData[[#This Row],[Order Date]])</f>
        <v>2016</v>
      </c>
      <c r="K2397" t="str">
        <f>TEXT(SalesData[[#This Row],[Order Date]],"mmm")</f>
        <v>Dec</v>
      </c>
      <c r="L2397">
        <f>MONTH(SalesData[[#This Row],[Order Date]])</f>
        <v>12</v>
      </c>
      <c r="M2397">
        <f>SalesData[[#This Row],[Sales]]/SalesData[[#This Row],[Quantity]]</f>
        <v>3.7919999999999998</v>
      </c>
      <c r="N2397" t="str">
        <f>IF(SalesData[[#This Row],[Profit]]&gt;0,"Profit","Loss")</f>
        <v>Loss</v>
      </c>
    </row>
    <row r="2398" spans="1:14" x14ac:dyDescent="0.3">
      <c r="A2398" t="s">
        <v>2714</v>
      </c>
      <c r="B2398" s="3">
        <v>42716</v>
      </c>
      <c r="C2398" t="s">
        <v>17</v>
      </c>
      <c r="D2398" t="s">
        <v>21</v>
      </c>
      <c r="E2398" t="s">
        <v>517</v>
      </c>
      <c r="F2398" s="1">
        <v>18.693000000000001</v>
      </c>
      <c r="G2398">
        <v>3</v>
      </c>
      <c r="H2398" s="1">
        <v>-14.331300000000001</v>
      </c>
      <c r="I2398" s="4">
        <f>SalesData[[#This Row],[Profit]]/SalesData[[#This Row],[Sales]]</f>
        <v>-0.76666666666666661</v>
      </c>
      <c r="J2398">
        <f>YEAR(SalesData[[#This Row],[Order Date]])</f>
        <v>2016</v>
      </c>
      <c r="K2398" t="str">
        <f>TEXT(SalesData[[#This Row],[Order Date]],"mmm")</f>
        <v>Dec</v>
      </c>
      <c r="L2398">
        <f>MONTH(SalesData[[#This Row],[Order Date]])</f>
        <v>12</v>
      </c>
      <c r="M2398">
        <f>SalesData[[#This Row],[Sales]]/SalesData[[#This Row],[Quantity]]</f>
        <v>6.2310000000000008</v>
      </c>
      <c r="N2398" t="str">
        <f>IF(SalesData[[#This Row],[Profit]]&gt;0,"Profit","Loss")</f>
        <v>Loss</v>
      </c>
    </row>
    <row r="2399" spans="1:14" x14ac:dyDescent="0.3">
      <c r="A2399" t="s">
        <v>2714</v>
      </c>
      <c r="B2399" s="3">
        <v>42716</v>
      </c>
      <c r="C2399" t="s">
        <v>17</v>
      </c>
      <c r="D2399" t="s">
        <v>10</v>
      </c>
      <c r="E2399" t="s">
        <v>1038</v>
      </c>
      <c r="F2399" s="1">
        <v>383.952</v>
      </c>
      <c r="G2399">
        <v>6</v>
      </c>
      <c r="H2399" s="1">
        <v>76.790400000000005</v>
      </c>
      <c r="I2399" s="4">
        <f>SalesData[[#This Row],[Profit]]/SalesData[[#This Row],[Sales]]</f>
        <v>0.2</v>
      </c>
      <c r="J2399">
        <f>YEAR(SalesData[[#This Row],[Order Date]])</f>
        <v>2016</v>
      </c>
      <c r="K2399" t="str">
        <f>TEXT(SalesData[[#This Row],[Order Date]],"mmm")</f>
        <v>Dec</v>
      </c>
      <c r="L2399">
        <f>MONTH(SalesData[[#This Row],[Order Date]])</f>
        <v>12</v>
      </c>
      <c r="M2399">
        <f>SalesData[[#This Row],[Sales]]/SalesData[[#This Row],[Quantity]]</f>
        <v>63.991999999999997</v>
      </c>
      <c r="N2399" t="str">
        <f>IF(SalesData[[#This Row],[Profit]]&gt;0,"Profit","Loss")</f>
        <v>Profit</v>
      </c>
    </row>
    <row r="2400" spans="1:14" x14ac:dyDescent="0.3">
      <c r="A2400" t="s">
        <v>2715</v>
      </c>
      <c r="B2400" s="3">
        <v>42716</v>
      </c>
      <c r="C2400" t="s">
        <v>9</v>
      </c>
      <c r="D2400" t="s">
        <v>10</v>
      </c>
      <c r="E2400" t="s">
        <v>858</v>
      </c>
      <c r="F2400" s="1">
        <v>657.93</v>
      </c>
      <c r="G2400">
        <v>7</v>
      </c>
      <c r="H2400" s="1">
        <v>184.22040000000001</v>
      </c>
      <c r="I2400" s="4">
        <f>SalesData[[#This Row],[Profit]]/SalesData[[#This Row],[Sales]]</f>
        <v>0.28000000000000003</v>
      </c>
      <c r="J2400">
        <f>YEAR(SalesData[[#This Row],[Order Date]])</f>
        <v>2016</v>
      </c>
      <c r="K2400" t="str">
        <f>TEXT(SalesData[[#This Row],[Order Date]],"mmm")</f>
        <v>Dec</v>
      </c>
      <c r="L2400">
        <f>MONTH(SalesData[[#This Row],[Order Date]])</f>
        <v>12</v>
      </c>
      <c r="M2400">
        <f>SalesData[[#This Row],[Sales]]/SalesData[[#This Row],[Quantity]]</f>
        <v>93.99</v>
      </c>
      <c r="N2400" t="str">
        <f>IF(SalesData[[#This Row],[Profit]]&gt;0,"Profit","Loss")</f>
        <v>Profit</v>
      </c>
    </row>
    <row r="2401" spans="1:14" x14ac:dyDescent="0.3">
      <c r="A2401" t="s">
        <v>2715</v>
      </c>
      <c r="B2401" s="3">
        <v>42716</v>
      </c>
      <c r="C2401" t="s">
        <v>9</v>
      </c>
      <c r="D2401" t="s">
        <v>14</v>
      </c>
      <c r="E2401" t="s">
        <v>848</v>
      </c>
      <c r="F2401" s="1">
        <v>33.479999999999997</v>
      </c>
      <c r="G2401">
        <v>4</v>
      </c>
      <c r="H2401" s="1">
        <v>8.7048000000000005</v>
      </c>
      <c r="I2401" s="4">
        <f>SalesData[[#This Row],[Profit]]/SalesData[[#This Row],[Sales]]</f>
        <v>0.26000000000000006</v>
      </c>
      <c r="J2401">
        <f>YEAR(SalesData[[#This Row],[Order Date]])</f>
        <v>2016</v>
      </c>
      <c r="K2401" t="str">
        <f>TEXT(SalesData[[#This Row],[Order Date]],"mmm")</f>
        <v>Dec</v>
      </c>
      <c r="L2401">
        <f>MONTH(SalesData[[#This Row],[Order Date]])</f>
        <v>12</v>
      </c>
      <c r="M2401">
        <f>SalesData[[#This Row],[Sales]]/SalesData[[#This Row],[Quantity]]</f>
        <v>8.3699999999999992</v>
      </c>
      <c r="N2401" t="str">
        <f>IF(SalesData[[#This Row],[Profit]]&gt;0,"Profit","Loss")</f>
        <v>Profit</v>
      </c>
    </row>
    <row r="2402" spans="1:14" x14ac:dyDescent="0.3">
      <c r="A2402" t="s">
        <v>2715</v>
      </c>
      <c r="B2402" s="3">
        <v>42716</v>
      </c>
      <c r="C2402" t="s">
        <v>9</v>
      </c>
      <c r="D2402" t="s">
        <v>21</v>
      </c>
      <c r="E2402" t="s">
        <v>1419</v>
      </c>
      <c r="F2402" s="1">
        <v>13.9</v>
      </c>
      <c r="G2402">
        <v>5</v>
      </c>
      <c r="H2402" s="1">
        <v>3.6139999999999999</v>
      </c>
      <c r="I2402" s="4">
        <f>SalesData[[#This Row],[Profit]]/SalesData[[#This Row],[Sales]]</f>
        <v>0.26</v>
      </c>
      <c r="J2402">
        <f>YEAR(SalesData[[#This Row],[Order Date]])</f>
        <v>2016</v>
      </c>
      <c r="K2402" t="str">
        <f>TEXT(SalesData[[#This Row],[Order Date]],"mmm")</f>
        <v>Dec</v>
      </c>
      <c r="L2402">
        <f>MONTH(SalesData[[#This Row],[Order Date]])</f>
        <v>12</v>
      </c>
      <c r="M2402">
        <f>SalesData[[#This Row],[Sales]]/SalesData[[#This Row],[Quantity]]</f>
        <v>2.7800000000000002</v>
      </c>
      <c r="N2402" t="str">
        <f>IF(SalesData[[#This Row],[Profit]]&gt;0,"Profit","Loss")</f>
        <v>Profit</v>
      </c>
    </row>
    <row r="2403" spans="1:14" x14ac:dyDescent="0.3">
      <c r="A2403" t="s">
        <v>2715</v>
      </c>
      <c r="B2403" s="3">
        <v>42716</v>
      </c>
      <c r="C2403" t="s">
        <v>9</v>
      </c>
      <c r="D2403" t="s">
        <v>21</v>
      </c>
      <c r="E2403" t="s">
        <v>1594</v>
      </c>
      <c r="F2403" s="1">
        <v>26.86</v>
      </c>
      <c r="G2403">
        <v>2</v>
      </c>
      <c r="H2403" s="1">
        <v>6.7149999999999999</v>
      </c>
      <c r="I2403" s="4">
        <f>SalesData[[#This Row],[Profit]]/SalesData[[#This Row],[Sales]]</f>
        <v>0.25</v>
      </c>
      <c r="J2403">
        <f>YEAR(SalesData[[#This Row],[Order Date]])</f>
        <v>2016</v>
      </c>
      <c r="K2403" t="str">
        <f>TEXT(SalesData[[#This Row],[Order Date]],"mmm")</f>
        <v>Dec</v>
      </c>
      <c r="L2403">
        <f>MONTH(SalesData[[#This Row],[Order Date]])</f>
        <v>12</v>
      </c>
      <c r="M2403">
        <f>SalesData[[#This Row],[Sales]]/SalesData[[#This Row],[Quantity]]</f>
        <v>13.43</v>
      </c>
      <c r="N2403" t="str">
        <f>IF(SalesData[[#This Row],[Profit]]&gt;0,"Profit","Loss")</f>
        <v>Profit</v>
      </c>
    </row>
    <row r="2404" spans="1:14" x14ac:dyDescent="0.3">
      <c r="A2404" t="s">
        <v>2716</v>
      </c>
      <c r="B2404" s="3">
        <v>42716</v>
      </c>
      <c r="C2404" t="s">
        <v>46</v>
      </c>
      <c r="D2404" t="s">
        <v>10</v>
      </c>
      <c r="E2404" t="s">
        <v>2717</v>
      </c>
      <c r="F2404" s="1">
        <v>249.95</v>
      </c>
      <c r="G2404">
        <v>5</v>
      </c>
      <c r="H2404" s="1">
        <v>19.995999999999999</v>
      </c>
      <c r="I2404" s="4">
        <f>SalesData[[#This Row],[Profit]]/SalesData[[#This Row],[Sales]]</f>
        <v>0.08</v>
      </c>
      <c r="J2404">
        <f>YEAR(SalesData[[#This Row],[Order Date]])</f>
        <v>2016</v>
      </c>
      <c r="K2404" t="str">
        <f>TEXT(SalesData[[#This Row],[Order Date]],"mmm")</f>
        <v>Dec</v>
      </c>
      <c r="L2404">
        <f>MONTH(SalesData[[#This Row],[Order Date]])</f>
        <v>12</v>
      </c>
      <c r="M2404">
        <f>SalesData[[#This Row],[Sales]]/SalesData[[#This Row],[Quantity]]</f>
        <v>49.989999999999995</v>
      </c>
      <c r="N2404" t="str">
        <f>IF(SalesData[[#This Row],[Profit]]&gt;0,"Profit","Loss")</f>
        <v>Profit</v>
      </c>
    </row>
    <row r="2405" spans="1:14" x14ac:dyDescent="0.3">
      <c r="A2405" t="s">
        <v>2716</v>
      </c>
      <c r="B2405" s="3">
        <v>42716</v>
      </c>
      <c r="C2405" t="s">
        <v>46</v>
      </c>
      <c r="D2405" t="s">
        <v>21</v>
      </c>
      <c r="E2405" t="s">
        <v>2718</v>
      </c>
      <c r="F2405" s="1">
        <v>49.12</v>
      </c>
      <c r="G2405">
        <v>4</v>
      </c>
      <c r="H2405" s="1">
        <v>23.086400000000001</v>
      </c>
      <c r="I2405" s="4">
        <f>SalesData[[#This Row],[Profit]]/SalesData[[#This Row],[Sales]]</f>
        <v>0.47000000000000003</v>
      </c>
      <c r="J2405">
        <f>YEAR(SalesData[[#This Row],[Order Date]])</f>
        <v>2016</v>
      </c>
      <c r="K2405" t="str">
        <f>TEXT(SalesData[[#This Row],[Order Date]],"mmm")</f>
        <v>Dec</v>
      </c>
      <c r="L2405">
        <f>MONTH(SalesData[[#This Row],[Order Date]])</f>
        <v>12</v>
      </c>
      <c r="M2405">
        <f>SalesData[[#This Row],[Sales]]/SalesData[[#This Row],[Quantity]]</f>
        <v>12.28</v>
      </c>
      <c r="N2405" t="str">
        <f>IF(SalesData[[#This Row],[Profit]]&gt;0,"Profit","Loss")</f>
        <v>Profit</v>
      </c>
    </row>
    <row r="2406" spans="1:14" x14ac:dyDescent="0.3">
      <c r="A2406" t="s">
        <v>2719</v>
      </c>
      <c r="B2406" s="3">
        <v>42716</v>
      </c>
      <c r="C2406" t="s">
        <v>13</v>
      </c>
      <c r="D2406" t="s">
        <v>14</v>
      </c>
      <c r="E2406" t="s">
        <v>558</v>
      </c>
      <c r="F2406" s="1">
        <v>383.64</v>
      </c>
      <c r="G2406">
        <v>6</v>
      </c>
      <c r="H2406" s="1">
        <v>122.76479999999999</v>
      </c>
      <c r="I2406" s="4">
        <f>SalesData[[#This Row],[Profit]]/SalesData[[#This Row],[Sales]]</f>
        <v>0.32</v>
      </c>
      <c r="J2406">
        <f>YEAR(SalesData[[#This Row],[Order Date]])</f>
        <v>2016</v>
      </c>
      <c r="K2406" t="str">
        <f>TEXT(SalesData[[#This Row],[Order Date]],"mmm")</f>
        <v>Dec</v>
      </c>
      <c r="L2406">
        <f>MONTH(SalesData[[#This Row],[Order Date]])</f>
        <v>12</v>
      </c>
      <c r="M2406">
        <f>SalesData[[#This Row],[Sales]]/SalesData[[#This Row],[Quantity]]</f>
        <v>63.94</v>
      </c>
      <c r="N2406" t="str">
        <f>IF(SalesData[[#This Row],[Profit]]&gt;0,"Profit","Loss")</f>
        <v>Profit</v>
      </c>
    </row>
    <row r="2407" spans="1:14" x14ac:dyDescent="0.3">
      <c r="A2407" t="s">
        <v>2719</v>
      </c>
      <c r="B2407" s="3">
        <v>42716</v>
      </c>
      <c r="C2407" t="s">
        <v>13</v>
      </c>
      <c r="D2407" t="s">
        <v>21</v>
      </c>
      <c r="E2407" t="s">
        <v>1872</v>
      </c>
      <c r="F2407" s="1">
        <v>56.52</v>
      </c>
      <c r="G2407">
        <v>3</v>
      </c>
      <c r="H2407" s="1">
        <v>15.8256</v>
      </c>
      <c r="I2407" s="4">
        <f>SalesData[[#This Row],[Profit]]/SalesData[[#This Row],[Sales]]</f>
        <v>0.27999999999999997</v>
      </c>
      <c r="J2407">
        <f>YEAR(SalesData[[#This Row],[Order Date]])</f>
        <v>2016</v>
      </c>
      <c r="K2407" t="str">
        <f>TEXT(SalesData[[#This Row],[Order Date]],"mmm")</f>
        <v>Dec</v>
      </c>
      <c r="L2407">
        <f>MONTH(SalesData[[#This Row],[Order Date]])</f>
        <v>12</v>
      </c>
      <c r="M2407">
        <f>SalesData[[#This Row],[Sales]]/SalesData[[#This Row],[Quantity]]</f>
        <v>18.84</v>
      </c>
      <c r="N2407" t="str">
        <f>IF(SalesData[[#This Row],[Profit]]&gt;0,"Profit","Loss")</f>
        <v>Profit</v>
      </c>
    </row>
    <row r="2408" spans="1:14" x14ac:dyDescent="0.3">
      <c r="A2408" t="s">
        <v>2720</v>
      </c>
      <c r="B2408" s="3">
        <v>42716</v>
      </c>
      <c r="C2408" t="s">
        <v>17</v>
      </c>
      <c r="D2408" t="s">
        <v>14</v>
      </c>
      <c r="E2408" t="s">
        <v>1898</v>
      </c>
      <c r="F2408" s="1">
        <v>60.35</v>
      </c>
      <c r="G2408">
        <v>5</v>
      </c>
      <c r="H2408" s="1">
        <v>19.915500000000002</v>
      </c>
      <c r="I2408" s="4">
        <f>SalesData[[#This Row],[Profit]]/SalesData[[#This Row],[Sales]]</f>
        <v>0.33</v>
      </c>
      <c r="J2408">
        <f>YEAR(SalesData[[#This Row],[Order Date]])</f>
        <v>2016</v>
      </c>
      <c r="K2408" t="str">
        <f>TEXT(SalesData[[#This Row],[Order Date]],"mmm")</f>
        <v>Dec</v>
      </c>
      <c r="L2408">
        <f>MONTH(SalesData[[#This Row],[Order Date]])</f>
        <v>12</v>
      </c>
      <c r="M2408">
        <f>SalesData[[#This Row],[Sales]]/SalesData[[#This Row],[Quantity]]</f>
        <v>12.07</v>
      </c>
      <c r="N2408" t="str">
        <f>IF(SalesData[[#This Row],[Profit]]&gt;0,"Profit","Loss")</f>
        <v>Profit</v>
      </c>
    </row>
    <row r="2409" spans="1:14" x14ac:dyDescent="0.3">
      <c r="A2409" t="s">
        <v>2720</v>
      </c>
      <c r="B2409" s="3">
        <v>42716</v>
      </c>
      <c r="C2409" t="s">
        <v>17</v>
      </c>
      <c r="D2409" t="s">
        <v>21</v>
      </c>
      <c r="E2409" t="s">
        <v>2721</v>
      </c>
      <c r="F2409" s="1">
        <v>35.520000000000003</v>
      </c>
      <c r="G2409">
        <v>4</v>
      </c>
      <c r="H2409" s="1">
        <v>9.9456000000000007</v>
      </c>
      <c r="I2409" s="4">
        <f>SalesData[[#This Row],[Profit]]/SalesData[[#This Row],[Sales]]</f>
        <v>0.27999999999999997</v>
      </c>
      <c r="J2409">
        <f>YEAR(SalesData[[#This Row],[Order Date]])</f>
        <v>2016</v>
      </c>
      <c r="K2409" t="str">
        <f>TEXT(SalesData[[#This Row],[Order Date]],"mmm")</f>
        <v>Dec</v>
      </c>
      <c r="L2409">
        <f>MONTH(SalesData[[#This Row],[Order Date]])</f>
        <v>12</v>
      </c>
      <c r="M2409">
        <f>SalesData[[#This Row],[Sales]]/SalesData[[#This Row],[Quantity]]</f>
        <v>8.8800000000000008</v>
      </c>
      <c r="N2409" t="str">
        <f>IF(SalesData[[#This Row],[Profit]]&gt;0,"Profit","Loss")</f>
        <v>Profit</v>
      </c>
    </row>
    <row r="2410" spans="1:14" x14ac:dyDescent="0.3">
      <c r="A2410" t="s">
        <v>2720</v>
      </c>
      <c r="B2410" s="3">
        <v>42716</v>
      </c>
      <c r="C2410" t="s">
        <v>17</v>
      </c>
      <c r="D2410" t="s">
        <v>21</v>
      </c>
      <c r="E2410" t="s">
        <v>2478</v>
      </c>
      <c r="F2410" s="1">
        <v>11.2</v>
      </c>
      <c r="G2410">
        <v>7</v>
      </c>
      <c r="H2410" s="1">
        <v>4.8159999999999998</v>
      </c>
      <c r="I2410" s="4">
        <f>SalesData[[#This Row],[Profit]]/SalesData[[#This Row],[Sales]]</f>
        <v>0.43</v>
      </c>
      <c r="J2410">
        <f>YEAR(SalesData[[#This Row],[Order Date]])</f>
        <v>2016</v>
      </c>
      <c r="K2410" t="str">
        <f>TEXT(SalesData[[#This Row],[Order Date]],"mmm")</f>
        <v>Dec</v>
      </c>
      <c r="L2410">
        <f>MONTH(SalesData[[#This Row],[Order Date]])</f>
        <v>12</v>
      </c>
      <c r="M2410">
        <f>SalesData[[#This Row],[Sales]]/SalesData[[#This Row],[Quantity]]</f>
        <v>1.5999999999999999</v>
      </c>
      <c r="N2410" t="str">
        <f>IF(SalesData[[#This Row],[Profit]]&gt;0,"Profit","Loss")</f>
        <v>Profit</v>
      </c>
    </row>
    <row r="2411" spans="1:14" x14ac:dyDescent="0.3">
      <c r="A2411" t="s">
        <v>1051</v>
      </c>
      <c r="B2411" s="3">
        <v>42007</v>
      </c>
      <c r="C2411" t="s">
        <v>46</v>
      </c>
      <c r="D2411" t="s">
        <v>21</v>
      </c>
      <c r="E2411" t="s">
        <v>1052</v>
      </c>
      <c r="F2411" s="1">
        <v>58.72</v>
      </c>
      <c r="G2411">
        <v>4</v>
      </c>
      <c r="H2411" s="1">
        <v>27.011199999999999</v>
      </c>
      <c r="I2411" s="4">
        <f>SalesData[[#This Row],[Profit]]/SalesData[[#This Row],[Sales]]</f>
        <v>0.45999999999999996</v>
      </c>
      <c r="J2411">
        <f>YEAR(SalesData[[#This Row],[Order Date]])</f>
        <v>2015</v>
      </c>
      <c r="K2411" t="str">
        <f>TEXT(SalesData[[#This Row],[Order Date]],"mmm")</f>
        <v>Jan</v>
      </c>
      <c r="L2411">
        <f>MONTH(SalesData[[#This Row],[Order Date]])</f>
        <v>1</v>
      </c>
      <c r="M2411">
        <f>SalesData[[#This Row],[Sales]]/SalesData[[#This Row],[Quantity]]</f>
        <v>14.68</v>
      </c>
      <c r="N2411" t="str">
        <f>IF(SalesData[[#This Row],[Profit]]&gt;0,"Profit","Loss")</f>
        <v>Profit</v>
      </c>
    </row>
    <row r="2412" spans="1:14" x14ac:dyDescent="0.3">
      <c r="A2412" t="s">
        <v>1053</v>
      </c>
      <c r="B2412" s="3">
        <v>42007</v>
      </c>
      <c r="C2412" t="s">
        <v>13</v>
      </c>
      <c r="D2412" t="s">
        <v>10</v>
      </c>
      <c r="E2412" t="s">
        <v>745</v>
      </c>
      <c r="F2412" s="1">
        <v>15.984</v>
      </c>
      <c r="G2412">
        <v>2</v>
      </c>
      <c r="H2412" s="1">
        <v>1.1988000000000001</v>
      </c>
      <c r="I2412" s="4">
        <f>SalesData[[#This Row],[Profit]]/SalesData[[#This Row],[Sales]]</f>
        <v>7.5000000000000011E-2</v>
      </c>
      <c r="J2412">
        <f>YEAR(SalesData[[#This Row],[Order Date]])</f>
        <v>2015</v>
      </c>
      <c r="K2412" t="str">
        <f>TEXT(SalesData[[#This Row],[Order Date]],"mmm")</f>
        <v>Jan</v>
      </c>
      <c r="L2412">
        <f>MONTH(SalesData[[#This Row],[Order Date]])</f>
        <v>1</v>
      </c>
      <c r="M2412">
        <f>SalesData[[#This Row],[Sales]]/SalesData[[#This Row],[Quantity]]</f>
        <v>7.992</v>
      </c>
      <c r="N2412" t="str">
        <f>IF(SalesData[[#This Row],[Profit]]&gt;0,"Profit","Loss")</f>
        <v>Profit</v>
      </c>
    </row>
    <row r="2413" spans="1:14" x14ac:dyDescent="0.3">
      <c r="A2413" t="s">
        <v>1053</v>
      </c>
      <c r="B2413" s="3">
        <v>42007</v>
      </c>
      <c r="C2413" t="s">
        <v>13</v>
      </c>
      <c r="D2413" t="s">
        <v>14</v>
      </c>
      <c r="E2413" t="s">
        <v>1054</v>
      </c>
      <c r="F2413" s="1">
        <v>184.75200000000001</v>
      </c>
      <c r="G2413">
        <v>3</v>
      </c>
      <c r="H2413" s="1">
        <v>-20.784600000000001</v>
      </c>
      <c r="I2413" s="4">
        <f>SalesData[[#This Row],[Profit]]/SalesData[[#This Row],[Sales]]</f>
        <v>-0.1125</v>
      </c>
      <c r="J2413">
        <f>YEAR(SalesData[[#This Row],[Order Date]])</f>
        <v>2015</v>
      </c>
      <c r="K2413" t="str">
        <f>TEXT(SalesData[[#This Row],[Order Date]],"mmm")</f>
        <v>Jan</v>
      </c>
      <c r="L2413">
        <f>MONTH(SalesData[[#This Row],[Order Date]])</f>
        <v>1</v>
      </c>
      <c r="M2413">
        <f>SalesData[[#This Row],[Sales]]/SalesData[[#This Row],[Quantity]]</f>
        <v>61.584000000000003</v>
      </c>
      <c r="N2413" t="str">
        <f>IF(SalesData[[#This Row],[Profit]]&gt;0,"Profit","Loss")</f>
        <v>Loss</v>
      </c>
    </row>
    <row r="2414" spans="1:14" x14ac:dyDescent="0.3">
      <c r="A2414" t="s">
        <v>1055</v>
      </c>
      <c r="B2414" s="3">
        <v>42007</v>
      </c>
      <c r="C2414" t="s">
        <v>17</v>
      </c>
      <c r="D2414" t="s">
        <v>21</v>
      </c>
      <c r="E2414" t="s">
        <v>1056</v>
      </c>
      <c r="F2414" s="1">
        <v>3.552</v>
      </c>
      <c r="G2414">
        <v>2</v>
      </c>
      <c r="H2414" s="1">
        <v>0.44400000000000001</v>
      </c>
      <c r="I2414" s="4">
        <f>SalesData[[#This Row],[Profit]]/SalesData[[#This Row],[Sales]]</f>
        <v>0.125</v>
      </c>
      <c r="J2414">
        <f>YEAR(SalesData[[#This Row],[Order Date]])</f>
        <v>2015</v>
      </c>
      <c r="K2414" t="str">
        <f>TEXT(SalesData[[#This Row],[Order Date]],"mmm")</f>
        <v>Jan</v>
      </c>
      <c r="L2414">
        <f>MONTH(SalesData[[#This Row],[Order Date]])</f>
        <v>1</v>
      </c>
      <c r="M2414">
        <f>SalesData[[#This Row],[Sales]]/SalesData[[#This Row],[Quantity]]</f>
        <v>1.776</v>
      </c>
      <c r="N2414" t="str">
        <f>IF(SalesData[[#This Row],[Profit]]&gt;0,"Profit","Loss")</f>
        <v>Profit</v>
      </c>
    </row>
    <row r="2415" spans="1:14" x14ac:dyDescent="0.3">
      <c r="A2415" t="s">
        <v>1057</v>
      </c>
      <c r="B2415" s="3">
        <v>42007</v>
      </c>
      <c r="C2415" t="s">
        <v>9</v>
      </c>
      <c r="D2415" t="s">
        <v>21</v>
      </c>
      <c r="E2415" t="s">
        <v>1058</v>
      </c>
      <c r="F2415" s="1">
        <v>55.328000000000003</v>
      </c>
      <c r="G2415">
        <v>2</v>
      </c>
      <c r="H2415" s="1">
        <v>6.2244000000000002</v>
      </c>
      <c r="I2415" s="4">
        <f>SalesData[[#This Row],[Profit]]/SalesData[[#This Row],[Sales]]</f>
        <v>0.1125</v>
      </c>
      <c r="J2415">
        <f>YEAR(SalesData[[#This Row],[Order Date]])</f>
        <v>2015</v>
      </c>
      <c r="K2415" t="str">
        <f>TEXT(SalesData[[#This Row],[Order Date]],"mmm")</f>
        <v>Jan</v>
      </c>
      <c r="L2415">
        <f>MONTH(SalesData[[#This Row],[Order Date]])</f>
        <v>1</v>
      </c>
      <c r="M2415">
        <f>SalesData[[#This Row],[Sales]]/SalesData[[#This Row],[Quantity]]</f>
        <v>27.664000000000001</v>
      </c>
      <c r="N2415" t="str">
        <f>IF(SalesData[[#This Row],[Profit]]&gt;0,"Profit","Loss")</f>
        <v>Profit</v>
      </c>
    </row>
    <row r="2416" spans="1:14" x14ac:dyDescent="0.3">
      <c r="A2416" t="s">
        <v>1057</v>
      </c>
      <c r="B2416" s="3">
        <v>42007</v>
      </c>
      <c r="C2416" t="s">
        <v>9</v>
      </c>
      <c r="D2416" t="s">
        <v>14</v>
      </c>
      <c r="E2416" t="s">
        <v>1059</v>
      </c>
      <c r="F2416" s="1">
        <v>1227.9983999999999</v>
      </c>
      <c r="G2416">
        <v>6</v>
      </c>
      <c r="H2416" s="1">
        <v>-36.117600000000003</v>
      </c>
      <c r="I2416" s="4">
        <f>SalesData[[#This Row],[Profit]]/SalesData[[#This Row],[Sales]]</f>
        <v>-2.9411764705882356E-2</v>
      </c>
      <c r="J2416">
        <f>YEAR(SalesData[[#This Row],[Order Date]])</f>
        <v>2015</v>
      </c>
      <c r="K2416" t="str">
        <f>TEXT(SalesData[[#This Row],[Order Date]],"mmm")</f>
        <v>Jan</v>
      </c>
      <c r="L2416">
        <f>MONTH(SalesData[[#This Row],[Order Date]])</f>
        <v>1</v>
      </c>
      <c r="M2416">
        <f>SalesData[[#This Row],[Sales]]/SalesData[[#This Row],[Quantity]]</f>
        <v>204.66639999999998</v>
      </c>
      <c r="N2416" t="str">
        <f>IF(SalesData[[#This Row],[Profit]]&gt;0,"Profit","Loss")</f>
        <v>Loss</v>
      </c>
    </row>
    <row r="2417" spans="1:14" x14ac:dyDescent="0.3">
      <c r="A2417" t="s">
        <v>1060</v>
      </c>
      <c r="B2417" s="3">
        <v>42007</v>
      </c>
      <c r="C2417" t="s">
        <v>9</v>
      </c>
      <c r="D2417" t="s">
        <v>10</v>
      </c>
      <c r="E2417" t="s">
        <v>1061</v>
      </c>
      <c r="F2417" s="1">
        <v>95.84</v>
      </c>
      <c r="G2417">
        <v>4</v>
      </c>
      <c r="H2417" s="1">
        <v>34.741999999999997</v>
      </c>
      <c r="I2417" s="4">
        <f>SalesData[[#This Row],[Profit]]/SalesData[[#This Row],[Sales]]</f>
        <v>0.36249999999999993</v>
      </c>
      <c r="J2417">
        <f>YEAR(SalesData[[#This Row],[Order Date]])</f>
        <v>2015</v>
      </c>
      <c r="K2417" t="str">
        <f>TEXT(SalesData[[#This Row],[Order Date]],"mmm")</f>
        <v>Jan</v>
      </c>
      <c r="L2417">
        <f>MONTH(SalesData[[#This Row],[Order Date]])</f>
        <v>1</v>
      </c>
      <c r="M2417">
        <f>SalesData[[#This Row],[Sales]]/SalesData[[#This Row],[Quantity]]</f>
        <v>23.96</v>
      </c>
      <c r="N2417" t="str">
        <f>IF(SalesData[[#This Row],[Profit]]&gt;0,"Profit","Loss")</f>
        <v>Profit</v>
      </c>
    </row>
    <row r="2418" spans="1:14" x14ac:dyDescent="0.3">
      <c r="A2418" t="s">
        <v>1062</v>
      </c>
      <c r="B2418" s="3">
        <v>42009</v>
      </c>
      <c r="C2418" t="s">
        <v>13</v>
      </c>
      <c r="D2418" t="s">
        <v>10</v>
      </c>
      <c r="E2418" t="s">
        <v>1063</v>
      </c>
      <c r="F2418" s="1">
        <v>88.751999999999995</v>
      </c>
      <c r="G2418">
        <v>3</v>
      </c>
      <c r="H2418" s="1">
        <v>11.093999999999999</v>
      </c>
      <c r="I2418" s="4">
        <f>SalesData[[#This Row],[Profit]]/SalesData[[#This Row],[Sales]]</f>
        <v>0.125</v>
      </c>
      <c r="J2418">
        <f>YEAR(SalesData[[#This Row],[Order Date]])</f>
        <v>2015</v>
      </c>
      <c r="K2418" t="str">
        <f>TEXT(SalesData[[#This Row],[Order Date]],"mmm")</f>
        <v>Jan</v>
      </c>
      <c r="L2418">
        <f>MONTH(SalesData[[#This Row],[Order Date]])</f>
        <v>1</v>
      </c>
      <c r="M2418">
        <f>SalesData[[#This Row],[Sales]]/SalesData[[#This Row],[Quantity]]</f>
        <v>29.584</v>
      </c>
      <c r="N2418" t="str">
        <f>IF(SalesData[[#This Row],[Profit]]&gt;0,"Profit","Loss")</f>
        <v>Profit</v>
      </c>
    </row>
    <row r="2419" spans="1:14" x14ac:dyDescent="0.3">
      <c r="A2419" t="s">
        <v>1064</v>
      </c>
      <c r="B2419" s="3">
        <v>42009</v>
      </c>
      <c r="C2419" t="s">
        <v>46</v>
      </c>
      <c r="D2419" t="s">
        <v>14</v>
      </c>
      <c r="E2419" t="s">
        <v>26</v>
      </c>
      <c r="F2419" s="1">
        <v>63.552</v>
      </c>
      <c r="G2419">
        <v>3</v>
      </c>
      <c r="H2419" s="1">
        <v>14.299200000000001</v>
      </c>
      <c r="I2419" s="4">
        <f>SalesData[[#This Row],[Profit]]/SalesData[[#This Row],[Sales]]</f>
        <v>0.22500000000000001</v>
      </c>
      <c r="J2419">
        <f>YEAR(SalesData[[#This Row],[Order Date]])</f>
        <v>2015</v>
      </c>
      <c r="K2419" t="str">
        <f>TEXT(SalesData[[#This Row],[Order Date]],"mmm")</f>
        <v>Jan</v>
      </c>
      <c r="L2419">
        <f>MONTH(SalesData[[#This Row],[Order Date]])</f>
        <v>1</v>
      </c>
      <c r="M2419">
        <f>SalesData[[#This Row],[Sales]]/SalesData[[#This Row],[Quantity]]</f>
        <v>21.184000000000001</v>
      </c>
      <c r="N2419" t="str">
        <f>IF(SalesData[[#This Row],[Profit]]&gt;0,"Profit","Loss")</f>
        <v>Profit</v>
      </c>
    </row>
    <row r="2420" spans="1:14" x14ac:dyDescent="0.3">
      <c r="A2420" t="s">
        <v>1064</v>
      </c>
      <c r="B2420" s="3">
        <v>42009</v>
      </c>
      <c r="C2420" t="s">
        <v>46</v>
      </c>
      <c r="D2420" t="s">
        <v>21</v>
      </c>
      <c r="E2420" t="s">
        <v>1065</v>
      </c>
      <c r="F2420" s="1">
        <v>41.375999999999998</v>
      </c>
      <c r="G2420">
        <v>3</v>
      </c>
      <c r="H2420" s="1">
        <v>4.6547999999999998</v>
      </c>
      <c r="I2420" s="4">
        <f>SalesData[[#This Row],[Profit]]/SalesData[[#This Row],[Sales]]</f>
        <v>0.1125</v>
      </c>
      <c r="J2420">
        <f>YEAR(SalesData[[#This Row],[Order Date]])</f>
        <v>2015</v>
      </c>
      <c r="K2420" t="str">
        <f>TEXT(SalesData[[#This Row],[Order Date]],"mmm")</f>
        <v>Jan</v>
      </c>
      <c r="L2420">
        <f>MONTH(SalesData[[#This Row],[Order Date]])</f>
        <v>1</v>
      </c>
      <c r="M2420">
        <f>SalesData[[#This Row],[Sales]]/SalesData[[#This Row],[Quantity]]</f>
        <v>13.792</v>
      </c>
      <c r="N2420" t="str">
        <f>IF(SalesData[[#This Row],[Profit]]&gt;0,"Profit","Loss")</f>
        <v>Profit</v>
      </c>
    </row>
    <row r="2421" spans="1:14" x14ac:dyDescent="0.3">
      <c r="A2421" t="s">
        <v>1064</v>
      </c>
      <c r="B2421" s="3">
        <v>42009</v>
      </c>
      <c r="C2421" t="s">
        <v>46</v>
      </c>
      <c r="D2421" t="s">
        <v>21</v>
      </c>
      <c r="E2421" t="s">
        <v>1066</v>
      </c>
      <c r="F2421" s="1">
        <v>172.70400000000001</v>
      </c>
      <c r="G2421">
        <v>6</v>
      </c>
      <c r="H2421" s="1">
        <v>10.794</v>
      </c>
      <c r="I2421" s="4">
        <f>SalesData[[#This Row],[Profit]]/SalesData[[#This Row],[Sales]]</f>
        <v>6.25E-2</v>
      </c>
      <c r="J2421">
        <f>YEAR(SalesData[[#This Row],[Order Date]])</f>
        <v>2015</v>
      </c>
      <c r="K2421" t="str">
        <f>TEXT(SalesData[[#This Row],[Order Date]],"mmm")</f>
        <v>Jan</v>
      </c>
      <c r="L2421">
        <f>MONTH(SalesData[[#This Row],[Order Date]])</f>
        <v>1</v>
      </c>
      <c r="M2421">
        <f>SalesData[[#This Row],[Sales]]/SalesData[[#This Row],[Quantity]]</f>
        <v>28.784000000000002</v>
      </c>
      <c r="N2421" t="str">
        <f>IF(SalesData[[#This Row],[Profit]]&gt;0,"Profit","Loss")</f>
        <v>Profit</v>
      </c>
    </row>
    <row r="2422" spans="1:14" x14ac:dyDescent="0.3">
      <c r="A2422" t="s">
        <v>1067</v>
      </c>
      <c r="B2422" s="3">
        <v>42009</v>
      </c>
      <c r="C2422" t="s">
        <v>13</v>
      </c>
      <c r="D2422" t="s">
        <v>21</v>
      </c>
      <c r="E2422" t="s">
        <v>1068</v>
      </c>
      <c r="F2422" s="1">
        <v>12.176</v>
      </c>
      <c r="G2422">
        <v>1</v>
      </c>
      <c r="H2422" s="1">
        <v>4.4138000000000002</v>
      </c>
      <c r="I2422" s="4">
        <f>SalesData[[#This Row],[Profit]]/SalesData[[#This Row],[Sales]]</f>
        <v>0.36249999999999999</v>
      </c>
      <c r="J2422">
        <f>YEAR(SalesData[[#This Row],[Order Date]])</f>
        <v>2015</v>
      </c>
      <c r="K2422" t="str">
        <f>TEXT(SalesData[[#This Row],[Order Date]],"mmm")</f>
        <v>Jan</v>
      </c>
      <c r="L2422">
        <f>MONTH(SalesData[[#This Row],[Order Date]])</f>
        <v>1</v>
      </c>
      <c r="M2422">
        <f>SalesData[[#This Row],[Sales]]/SalesData[[#This Row],[Quantity]]</f>
        <v>12.176</v>
      </c>
      <c r="N2422" t="str">
        <f>IF(SalesData[[#This Row],[Profit]]&gt;0,"Profit","Loss")</f>
        <v>Profit</v>
      </c>
    </row>
    <row r="2423" spans="1:14" x14ac:dyDescent="0.3">
      <c r="A2423" t="s">
        <v>1067</v>
      </c>
      <c r="B2423" s="3">
        <v>42009</v>
      </c>
      <c r="C2423" t="s">
        <v>13</v>
      </c>
      <c r="D2423" t="s">
        <v>21</v>
      </c>
      <c r="E2423" t="s">
        <v>900</v>
      </c>
      <c r="F2423" s="1">
        <v>37.32</v>
      </c>
      <c r="G2423">
        <v>3</v>
      </c>
      <c r="H2423" s="1">
        <v>10.4496</v>
      </c>
      <c r="I2423" s="4">
        <f>SalesData[[#This Row],[Profit]]/SalesData[[#This Row],[Sales]]</f>
        <v>0.28000000000000003</v>
      </c>
      <c r="J2423">
        <f>YEAR(SalesData[[#This Row],[Order Date]])</f>
        <v>2015</v>
      </c>
      <c r="K2423" t="str">
        <f>TEXT(SalesData[[#This Row],[Order Date]],"mmm")</f>
        <v>Jan</v>
      </c>
      <c r="L2423">
        <f>MONTH(SalesData[[#This Row],[Order Date]])</f>
        <v>1</v>
      </c>
      <c r="M2423">
        <f>SalesData[[#This Row],[Sales]]/SalesData[[#This Row],[Quantity]]</f>
        <v>12.44</v>
      </c>
      <c r="N2423" t="str">
        <f>IF(SalesData[[#This Row],[Profit]]&gt;0,"Profit","Loss")</f>
        <v>Profit</v>
      </c>
    </row>
    <row r="2424" spans="1:14" x14ac:dyDescent="0.3">
      <c r="A2424" t="s">
        <v>1067</v>
      </c>
      <c r="B2424" s="3">
        <v>42009</v>
      </c>
      <c r="C2424" t="s">
        <v>13</v>
      </c>
      <c r="D2424" t="s">
        <v>21</v>
      </c>
      <c r="E2424" t="s">
        <v>1069</v>
      </c>
      <c r="F2424" s="1">
        <v>35.06</v>
      </c>
      <c r="G2424">
        <v>2</v>
      </c>
      <c r="H2424" s="1">
        <v>10.518000000000001</v>
      </c>
      <c r="I2424" s="4">
        <f>SalesData[[#This Row],[Profit]]/SalesData[[#This Row],[Sales]]</f>
        <v>0.3</v>
      </c>
      <c r="J2424">
        <f>YEAR(SalesData[[#This Row],[Order Date]])</f>
        <v>2015</v>
      </c>
      <c r="K2424" t="str">
        <f>TEXT(SalesData[[#This Row],[Order Date]],"mmm")</f>
        <v>Jan</v>
      </c>
      <c r="L2424">
        <f>MONTH(SalesData[[#This Row],[Order Date]])</f>
        <v>1</v>
      </c>
      <c r="M2424">
        <f>SalesData[[#This Row],[Sales]]/SalesData[[#This Row],[Quantity]]</f>
        <v>17.53</v>
      </c>
      <c r="N2424" t="str">
        <f>IF(SalesData[[#This Row],[Profit]]&gt;0,"Profit","Loss")</f>
        <v>Profit</v>
      </c>
    </row>
    <row r="2425" spans="1:14" x14ac:dyDescent="0.3">
      <c r="A2425" t="s">
        <v>1070</v>
      </c>
      <c r="B2425" s="3">
        <v>42010</v>
      </c>
      <c r="C2425" t="s">
        <v>9</v>
      </c>
      <c r="D2425" t="s">
        <v>21</v>
      </c>
      <c r="E2425" t="s">
        <v>1071</v>
      </c>
      <c r="F2425" s="1">
        <v>5.7279999999999998</v>
      </c>
      <c r="G2425">
        <v>8</v>
      </c>
      <c r="H2425" s="1">
        <v>-9.1647999999999996</v>
      </c>
      <c r="I2425" s="4">
        <f>SalesData[[#This Row],[Profit]]/SalesData[[#This Row],[Sales]]</f>
        <v>-1.6</v>
      </c>
      <c r="J2425">
        <f>YEAR(SalesData[[#This Row],[Order Date]])</f>
        <v>2015</v>
      </c>
      <c r="K2425" t="str">
        <f>TEXT(SalesData[[#This Row],[Order Date]],"mmm")</f>
        <v>Jan</v>
      </c>
      <c r="L2425">
        <f>MONTH(SalesData[[#This Row],[Order Date]])</f>
        <v>1</v>
      </c>
      <c r="M2425">
        <f>SalesData[[#This Row],[Sales]]/SalesData[[#This Row],[Quantity]]</f>
        <v>0.71599999999999997</v>
      </c>
      <c r="N2425" t="str">
        <f>IF(SalesData[[#This Row],[Profit]]&gt;0,"Profit","Loss")</f>
        <v>Loss</v>
      </c>
    </row>
    <row r="2426" spans="1:14" x14ac:dyDescent="0.3">
      <c r="A2426" t="s">
        <v>1070</v>
      </c>
      <c r="B2426" s="3">
        <v>42010</v>
      </c>
      <c r="C2426" t="s">
        <v>9</v>
      </c>
      <c r="D2426" t="s">
        <v>21</v>
      </c>
      <c r="E2426" t="s">
        <v>1072</v>
      </c>
      <c r="F2426" s="1">
        <v>42.24</v>
      </c>
      <c r="G2426">
        <v>10</v>
      </c>
      <c r="H2426" s="1">
        <v>13.2</v>
      </c>
      <c r="I2426" s="4">
        <f>SalesData[[#This Row],[Profit]]/SalesData[[#This Row],[Sales]]</f>
        <v>0.31249999999999994</v>
      </c>
      <c r="J2426">
        <f>YEAR(SalesData[[#This Row],[Order Date]])</f>
        <v>2015</v>
      </c>
      <c r="K2426" t="str">
        <f>TEXT(SalesData[[#This Row],[Order Date]],"mmm")</f>
        <v>Jan</v>
      </c>
      <c r="L2426">
        <f>MONTH(SalesData[[#This Row],[Order Date]])</f>
        <v>1</v>
      </c>
      <c r="M2426">
        <f>SalesData[[#This Row],[Sales]]/SalesData[[#This Row],[Quantity]]</f>
        <v>4.2240000000000002</v>
      </c>
      <c r="N2426" t="str">
        <f>IF(SalesData[[#This Row],[Profit]]&gt;0,"Profit","Loss")</f>
        <v>Profit</v>
      </c>
    </row>
    <row r="2427" spans="1:14" x14ac:dyDescent="0.3">
      <c r="A2427" t="s">
        <v>1073</v>
      </c>
      <c r="B2427" s="3">
        <v>42010</v>
      </c>
      <c r="C2427" t="s">
        <v>9</v>
      </c>
      <c r="D2427" t="s">
        <v>10</v>
      </c>
      <c r="E2427" t="s">
        <v>185</v>
      </c>
      <c r="F2427" s="1">
        <v>299.98</v>
      </c>
      <c r="G2427">
        <v>2</v>
      </c>
      <c r="H2427" s="1">
        <v>83.994399999999999</v>
      </c>
      <c r="I2427" s="4">
        <f>SalesData[[#This Row],[Profit]]/SalesData[[#This Row],[Sales]]</f>
        <v>0.27999999999999997</v>
      </c>
      <c r="J2427">
        <f>YEAR(SalesData[[#This Row],[Order Date]])</f>
        <v>2015</v>
      </c>
      <c r="K2427" t="str">
        <f>TEXT(SalesData[[#This Row],[Order Date]],"mmm")</f>
        <v>Jan</v>
      </c>
      <c r="L2427">
        <f>MONTH(SalesData[[#This Row],[Order Date]])</f>
        <v>1</v>
      </c>
      <c r="M2427">
        <f>SalesData[[#This Row],[Sales]]/SalesData[[#This Row],[Quantity]]</f>
        <v>149.99</v>
      </c>
      <c r="N2427" t="str">
        <f>IF(SalesData[[#This Row],[Profit]]&gt;0,"Profit","Loss")</f>
        <v>Profit</v>
      </c>
    </row>
    <row r="2428" spans="1:14" x14ac:dyDescent="0.3">
      <c r="A2428" t="s">
        <v>1073</v>
      </c>
      <c r="B2428" s="3">
        <v>42010</v>
      </c>
      <c r="C2428" t="s">
        <v>9</v>
      </c>
      <c r="D2428" t="s">
        <v>21</v>
      </c>
      <c r="E2428" t="s">
        <v>568</v>
      </c>
      <c r="F2428" s="1">
        <v>403.68</v>
      </c>
      <c r="G2428">
        <v>6</v>
      </c>
      <c r="H2428" s="1">
        <v>181.65600000000001</v>
      </c>
      <c r="I2428" s="4">
        <f>SalesData[[#This Row],[Profit]]/SalesData[[#This Row],[Sales]]</f>
        <v>0.45</v>
      </c>
      <c r="J2428">
        <f>YEAR(SalesData[[#This Row],[Order Date]])</f>
        <v>2015</v>
      </c>
      <c r="K2428" t="str">
        <f>TEXT(SalesData[[#This Row],[Order Date]],"mmm")</f>
        <v>Jan</v>
      </c>
      <c r="L2428">
        <f>MONTH(SalesData[[#This Row],[Order Date]])</f>
        <v>1</v>
      </c>
      <c r="M2428">
        <f>SalesData[[#This Row],[Sales]]/SalesData[[#This Row],[Quantity]]</f>
        <v>67.28</v>
      </c>
      <c r="N2428" t="str">
        <f>IF(SalesData[[#This Row],[Profit]]&gt;0,"Profit","Loss")</f>
        <v>Profit</v>
      </c>
    </row>
    <row r="2429" spans="1:14" x14ac:dyDescent="0.3">
      <c r="A2429" t="s">
        <v>1073</v>
      </c>
      <c r="B2429" s="3">
        <v>42010</v>
      </c>
      <c r="C2429" t="s">
        <v>9</v>
      </c>
      <c r="D2429" t="s">
        <v>10</v>
      </c>
      <c r="E2429" t="s">
        <v>1074</v>
      </c>
      <c r="F2429" s="1">
        <v>41.9</v>
      </c>
      <c r="G2429">
        <v>2</v>
      </c>
      <c r="H2429" s="1">
        <v>11.731999999999999</v>
      </c>
      <c r="I2429" s="4">
        <f>SalesData[[#This Row],[Profit]]/SalesData[[#This Row],[Sales]]</f>
        <v>0.27999999999999997</v>
      </c>
      <c r="J2429">
        <f>YEAR(SalesData[[#This Row],[Order Date]])</f>
        <v>2015</v>
      </c>
      <c r="K2429" t="str">
        <f>TEXT(SalesData[[#This Row],[Order Date]],"mmm")</f>
        <v>Jan</v>
      </c>
      <c r="L2429">
        <f>MONTH(SalesData[[#This Row],[Order Date]])</f>
        <v>1</v>
      </c>
      <c r="M2429">
        <f>SalesData[[#This Row],[Sales]]/SalesData[[#This Row],[Quantity]]</f>
        <v>20.95</v>
      </c>
      <c r="N2429" t="str">
        <f>IF(SalesData[[#This Row],[Profit]]&gt;0,"Profit","Loss")</f>
        <v>Profit</v>
      </c>
    </row>
    <row r="2430" spans="1:14" x14ac:dyDescent="0.3">
      <c r="A2430" t="s">
        <v>1073</v>
      </c>
      <c r="B2430" s="3">
        <v>42010</v>
      </c>
      <c r="C2430" t="s">
        <v>9</v>
      </c>
      <c r="D2430" t="s">
        <v>21</v>
      </c>
      <c r="E2430" t="s">
        <v>1075</v>
      </c>
      <c r="F2430" s="1">
        <v>28.91</v>
      </c>
      <c r="G2430">
        <v>7</v>
      </c>
      <c r="H2430" s="1">
        <v>13.2986</v>
      </c>
      <c r="I2430" s="4">
        <f>SalesData[[#This Row],[Profit]]/SalesData[[#This Row],[Sales]]</f>
        <v>0.46</v>
      </c>
      <c r="J2430">
        <f>YEAR(SalesData[[#This Row],[Order Date]])</f>
        <v>2015</v>
      </c>
      <c r="K2430" t="str">
        <f>TEXT(SalesData[[#This Row],[Order Date]],"mmm")</f>
        <v>Jan</v>
      </c>
      <c r="L2430">
        <f>MONTH(SalesData[[#This Row],[Order Date]])</f>
        <v>1</v>
      </c>
      <c r="M2430">
        <f>SalesData[[#This Row],[Sales]]/SalesData[[#This Row],[Quantity]]</f>
        <v>4.13</v>
      </c>
      <c r="N2430" t="str">
        <f>IF(SalesData[[#This Row],[Profit]]&gt;0,"Profit","Loss")</f>
        <v>Profit</v>
      </c>
    </row>
    <row r="2431" spans="1:14" x14ac:dyDescent="0.3">
      <c r="A2431" t="s">
        <v>1076</v>
      </c>
      <c r="B2431" s="3">
        <v>42010</v>
      </c>
      <c r="C2431" t="s">
        <v>13</v>
      </c>
      <c r="D2431" t="s">
        <v>21</v>
      </c>
      <c r="E2431" t="s">
        <v>174</v>
      </c>
      <c r="F2431" s="1">
        <v>11.76</v>
      </c>
      <c r="G2431">
        <v>2</v>
      </c>
      <c r="H2431" s="1">
        <v>5.7624000000000004</v>
      </c>
      <c r="I2431" s="4">
        <f>SalesData[[#This Row],[Profit]]/SalesData[[#This Row],[Sales]]</f>
        <v>0.49000000000000005</v>
      </c>
      <c r="J2431">
        <f>YEAR(SalesData[[#This Row],[Order Date]])</f>
        <v>2015</v>
      </c>
      <c r="K2431" t="str">
        <f>TEXT(SalesData[[#This Row],[Order Date]],"mmm")</f>
        <v>Jan</v>
      </c>
      <c r="L2431">
        <f>MONTH(SalesData[[#This Row],[Order Date]])</f>
        <v>1</v>
      </c>
      <c r="M2431">
        <f>SalesData[[#This Row],[Sales]]/SalesData[[#This Row],[Quantity]]</f>
        <v>5.88</v>
      </c>
      <c r="N2431" t="str">
        <f>IF(SalesData[[#This Row],[Profit]]&gt;0,"Profit","Loss")</f>
        <v>Profit</v>
      </c>
    </row>
    <row r="2432" spans="1:14" x14ac:dyDescent="0.3">
      <c r="A2432" t="s">
        <v>1077</v>
      </c>
      <c r="B2432" s="3">
        <v>42012</v>
      </c>
      <c r="C2432" t="s">
        <v>13</v>
      </c>
      <c r="D2432" t="s">
        <v>21</v>
      </c>
      <c r="E2432" t="s">
        <v>296</v>
      </c>
      <c r="F2432" s="1">
        <v>6.72</v>
      </c>
      <c r="G2432">
        <v>4</v>
      </c>
      <c r="H2432" s="1">
        <v>3.36</v>
      </c>
      <c r="I2432" s="4">
        <f>SalesData[[#This Row],[Profit]]/SalesData[[#This Row],[Sales]]</f>
        <v>0.5</v>
      </c>
      <c r="J2432">
        <f>YEAR(SalesData[[#This Row],[Order Date]])</f>
        <v>2015</v>
      </c>
      <c r="K2432" t="str">
        <f>TEXT(SalesData[[#This Row],[Order Date]],"mmm")</f>
        <v>Jan</v>
      </c>
      <c r="L2432">
        <f>MONTH(SalesData[[#This Row],[Order Date]])</f>
        <v>1</v>
      </c>
      <c r="M2432">
        <f>SalesData[[#This Row],[Sales]]/SalesData[[#This Row],[Quantity]]</f>
        <v>1.68</v>
      </c>
      <c r="N2432" t="str">
        <f>IF(SalesData[[#This Row],[Profit]]&gt;0,"Profit","Loss")</f>
        <v>Profit</v>
      </c>
    </row>
    <row r="2433" spans="1:14" x14ac:dyDescent="0.3">
      <c r="A2433" t="s">
        <v>1077</v>
      </c>
      <c r="B2433" s="3">
        <v>42012</v>
      </c>
      <c r="C2433" t="s">
        <v>13</v>
      </c>
      <c r="D2433" t="s">
        <v>14</v>
      </c>
      <c r="E2433" t="s">
        <v>665</v>
      </c>
      <c r="F2433" s="1">
        <v>1004.976</v>
      </c>
      <c r="G2433">
        <v>6</v>
      </c>
      <c r="H2433" s="1">
        <v>-175.8708</v>
      </c>
      <c r="I2433" s="4">
        <f>SalesData[[#This Row],[Profit]]/SalesData[[#This Row],[Sales]]</f>
        <v>-0.17500000000000002</v>
      </c>
      <c r="J2433">
        <f>YEAR(SalesData[[#This Row],[Order Date]])</f>
        <v>2015</v>
      </c>
      <c r="K2433" t="str">
        <f>TEXT(SalesData[[#This Row],[Order Date]],"mmm")</f>
        <v>Jan</v>
      </c>
      <c r="L2433">
        <f>MONTH(SalesData[[#This Row],[Order Date]])</f>
        <v>1</v>
      </c>
      <c r="M2433">
        <f>SalesData[[#This Row],[Sales]]/SalesData[[#This Row],[Quantity]]</f>
        <v>167.49600000000001</v>
      </c>
      <c r="N2433" t="str">
        <f>IF(SalesData[[#This Row],[Profit]]&gt;0,"Profit","Loss")</f>
        <v>Loss</v>
      </c>
    </row>
    <row r="2434" spans="1:14" x14ac:dyDescent="0.3">
      <c r="A2434" t="s">
        <v>1078</v>
      </c>
      <c r="B2434" s="3">
        <v>42013</v>
      </c>
      <c r="C2434" t="s">
        <v>13</v>
      </c>
      <c r="D2434" t="s">
        <v>21</v>
      </c>
      <c r="E2434" t="s">
        <v>415</v>
      </c>
      <c r="F2434" s="1">
        <v>4.7519999999999998</v>
      </c>
      <c r="G2434">
        <v>1</v>
      </c>
      <c r="H2434" s="1">
        <v>1.6037999999999999</v>
      </c>
      <c r="I2434" s="4">
        <f>SalesData[[#This Row],[Profit]]/SalesData[[#This Row],[Sales]]</f>
        <v>0.33749999999999997</v>
      </c>
      <c r="J2434">
        <f>YEAR(SalesData[[#This Row],[Order Date]])</f>
        <v>2015</v>
      </c>
      <c r="K2434" t="str">
        <f>TEXT(SalesData[[#This Row],[Order Date]],"mmm")</f>
        <v>Jan</v>
      </c>
      <c r="L2434">
        <f>MONTH(SalesData[[#This Row],[Order Date]])</f>
        <v>1</v>
      </c>
      <c r="M2434">
        <f>SalesData[[#This Row],[Sales]]/SalesData[[#This Row],[Quantity]]</f>
        <v>4.7519999999999998</v>
      </c>
      <c r="N2434" t="str">
        <f>IF(SalesData[[#This Row],[Profit]]&gt;0,"Profit","Loss")</f>
        <v>Profit</v>
      </c>
    </row>
    <row r="2435" spans="1:14" x14ac:dyDescent="0.3">
      <c r="A2435" t="s">
        <v>1078</v>
      </c>
      <c r="B2435" s="3">
        <v>42013</v>
      </c>
      <c r="C2435" t="s">
        <v>13</v>
      </c>
      <c r="D2435" t="s">
        <v>10</v>
      </c>
      <c r="E2435" t="s">
        <v>656</v>
      </c>
      <c r="F2435" s="1">
        <v>959.98400000000004</v>
      </c>
      <c r="G2435">
        <v>2</v>
      </c>
      <c r="H2435" s="1">
        <v>335.99439999999998</v>
      </c>
      <c r="I2435" s="4">
        <f>SalesData[[#This Row],[Profit]]/SalesData[[#This Row],[Sales]]</f>
        <v>0.35</v>
      </c>
      <c r="J2435">
        <f>YEAR(SalesData[[#This Row],[Order Date]])</f>
        <v>2015</v>
      </c>
      <c r="K2435" t="str">
        <f>TEXT(SalesData[[#This Row],[Order Date]],"mmm")</f>
        <v>Jan</v>
      </c>
      <c r="L2435">
        <f>MONTH(SalesData[[#This Row],[Order Date]])</f>
        <v>1</v>
      </c>
      <c r="M2435">
        <f>SalesData[[#This Row],[Sales]]/SalesData[[#This Row],[Quantity]]</f>
        <v>479.99200000000002</v>
      </c>
      <c r="N2435" t="str">
        <f>IF(SalesData[[#This Row],[Profit]]&gt;0,"Profit","Loss")</f>
        <v>Profit</v>
      </c>
    </row>
    <row r="2436" spans="1:14" x14ac:dyDescent="0.3">
      <c r="A2436" t="s">
        <v>1078</v>
      </c>
      <c r="B2436" s="3">
        <v>42013</v>
      </c>
      <c r="C2436" t="s">
        <v>13</v>
      </c>
      <c r="D2436" t="s">
        <v>21</v>
      </c>
      <c r="E2436" t="s">
        <v>319</v>
      </c>
      <c r="F2436" s="1">
        <v>14.368</v>
      </c>
      <c r="G2436">
        <v>4</v>
      </c>
      <c r="H2436" s="1">
        <v>4.49</v>
      </c>
      <c r="I2436" s="4">
        <f>SalesData[[#This Row],[Profit]]/SalesData[[#This Row],[Sales]]</f>
        <v>0.3125</v>
      </c>
      <c r="J2436">
        <f>YEAR(SalesData[[#This Row],[Order Date]])</f>
        <v>2015</v>
      </c>
      <c r="K2436" t="str">
        <f>TEXT(SalesData[[#This Row],[Order Date]],"mmm")</f>
        <v>Jan</v>
      </c>
      <c r="L2436">
        <f>MONTH(SalesData[[#This Row],[Order Date]])</f>
        <v>1</v>
      </c>
      <c r="M2436">
        <f>SalesData[[#This Row],[Sales]]/SalesData[[#This Row],[Quantity]]</f>
        <v>3.5920000000000001</v>
      </c>
      <c r="N2436" t="str">
        <f>IF(SalesData[[#This Row],[Profit]]&gt;0,"Profit","Loss")</f>
        <v>Profit</v>
      </c>
    </row>
    <row r="2437" spans="1:14" x14ac:dyDescent="0.3">
      <c r="A2437" t="s">
        <v>1079</v>
      </c>
      <c r="B2437" s="3">
        <v>42013</v>
      </c>
      <c r="C2437" t="s">
        <v>17</v>
      </c>
      <c r="D2437" t="s">
        <v>21</v>
      </c>
      <c r="E2437" t="s">
        <v>1080</v>
      </c>
      <c r="F2437" s="1">
        <v>114.6</v>
      </c>
      <c r="G2437">
        <v>5</v>
      </c>
      <c r="H2437" s="1">
        <v>51.57</v>
      </c>
      <c r="I2437" s="4">
        <f>SalesData[[#This Row],[Profit]]/SalesData[[#This Row],[Sales]]</f>
        <v>0.45</v>
      </c>
      <c r="J2437">
        <f>YEAR(SalesData[[#This Row],[Order Date]])</f>
        <v>2015</v>
      </c>
      <c r="K2437" t="str">
        <f>TEXT(SalesData[[#This Row],[Order Date]],"mmm")</f>
        <v>Jan</v>
      </c>
      <c r="L2437">
        <f>MONTH(SalesData[[#This Row],[Order Date]])</f>
        <v>1</v>
      </c>
      <c r="M2437">
        <f>SalesData[[#This Row],[Sales]]/SalesData[[#This Row],[Quantity]]</f>
        <v>22.919999999999998</v>
      </c>
      <c r="N2437" t="str">
        <f>IF(SalesData[[#This Row],[Profit]]&gt;0,"Profit","Loss")</f>
        <v>Profit</v>
      </c>
    </row>
    <row r="2438" spans="1:14" x14ac:dyDescent="0.3">
      <c r="A2438" t="s">
        <v>1079</v>
      </c>
      <c r="B2438" s="3">
        <v>42013</v>
      </c>
      <c r="C2438" t="s">
        <v>17</v>
      </c>
      <c r="D2438" t="s">
        <v>14</v>
      </c>
      <c r="E2438" t="s">
        <v>433</v>
      </c>
      <c r="F2438" s="1">
        <v>60.74</v>
      </c>
      <c r="G2438">
        <v>1</v>
      </c>
      <c r="H2438" s="1">
        <v>15.185</v>
      </c>
      <c r="I2438" s="4">
        <f>SalesData[[#This Row],[Profit]]/SalesData[[#This Row],[Sales]]</f>
        <v>0.25</v>
      </c>
      <c r="J2438">
        <f>YEAR(SalesData[[#This Row],[Order Date]])</f>
        <v>2015</v>
      </c>
      <c r="K2438" t="str">
        <f>TEXT(SalesData[[#This Row],[Order Date]],"mmm")</f>
        <v>Jan</v>
      </c>
      <c r="L2438">
        <f>MONTH(SalesData[[#This Row],[Order Date]])</f>
        <v>1</v>
      </c>
      <c r="M2438">
        <f>SalesData[[#This Row],[Sales]]/SalesData[[#This Row],[Quantity]]</f>
        <v>60.74</v>
      </c>
      <c r="N2438" t="str">
        <f>IF(SalesData[[#This Row],[Profit]]&gt;0,"Profit","Loss")</f>
        <v>Profit</v>
      </c>
    </row>
    <row r="2439" spans="1:14" x14ac:dyDescent="0.3">
      <c r="A2439" t="s">
        <v>1079</v>
      </c>
      <c r="B2439" s="3">
        <v>42013</v>
      </c>
      <c r="C2439" t="s">
        <v>17</v>
      </c>
      <c r="D2439" t="s">
        <v>14</v>
      </c>
      <c r="E2439" t="s">
        <v>1081</v>
      </c>
      <c r="F2439" s="1">
        <v>124.36</v>
      </c>
      <c r="G2439">
        <v>2</v>
      </c>
      <c r="H2439" s="1">
        <v>27.359200000000001</v>
      </c>
      <c r="I2439" s="4">
        <f>SalesData[[#This Row],[Profit]]/SalesData[[#This Row],[Sales]]</f>
        <v>0.22</v>
      </c>
      <c r="J2439">
        <f>YEAR(SalesData[[#This Row],[Order Date]])</f>
        <v>2015</v>
      </c>
      <c r="K2439" t="str">
        <f>TEXT(SalesData[[#This Row],[Order Date]],"mmm")</f>
        <v>Jan</v>
      </c>
      <c r="L2439">
        <f>MONTH(SalesData[[#This Row],[Order Date]])</f>
        <v>1</v>
      </c>
      <c r="M2439">
        <f>SalesData[[#This Row],[Sales]]/SalesData[[#This Row],[Quantity]]</f>
        <v>62.18</v>
      </c>
      <c r="N2439" t="str">
        <f>IF(SalesData[[#This Row],[Profit]]&gt;0,"Profit","Loss")</f>
        <v>Profit</v>
      </c>
    </row>
    <row r="2440" spans="1:14" x14ac:dyDescent="0.3">
      <c r="A2440" t="s">
        <v>1079</v>
      </c>
      <c r="B2440" s="3">
        <v>42013</v>
      </c>
      <c r="C2440" t="s">
        <v>17</v>
      </c>
      <c r="D2440" t="s">
        <v>21</v>
      </c>
      <c r="E2440" t="s">
        <v>192</v>
      </c>
      <c r="F2440" s="1">
        <v>1088.76</v>
      </c>
      <c r="G2440">
        <v>6</v>
      </c>
      <c r="H2440" s="1">
        <v>315.74040000000002</v>
      </c>
      <c r="I2440" s="4">
        <f>SalesData[[#This Row],[Profit]]/SalesData[[#This Row],[Sales]]</f>
        <v>0.29000000000000004</v>
      </c>
      <c r="J2440">
        <f>YEAR(SalesData[[#This Row],[Order Date]])</f>
        <v>2015</v>
      </c>
      <c r="K2440" t="str">
        <f>TEXT(SalesData[[#This Row],[Order Date]],"mmm")</f>
        <v>Jan</v>
      </c>
      <c r="L2440">
        <f>MONTH(SalesData[[#This Row],[Order Date]])</f>
        <v>1</v>
      </c>
      <c r="M2440">
        <f>SalesData[[#This Row],[Sales]]/SalesData[[#This Row],[Quantity]]</f>
        <v>181.46</v>
      </c>
      <c r="N2440" t="str">
        <f>IF(SalesData[[#This Row],[Profit]]&gt;0,"Profit","Loss")</f>
        <v>Profit</v>
      </c>
    </row>
    <row r="2441" spans="1:14" x14ac:dyDescent="0.3">
      <c r="A2441" t="s">
        <v>1082</v>
      </c>
      <c r="B2441" s="3">
        <v>42014</v>
      </c>
      <c r="C2441" t="s">
        <v>13</v>
      </c>
      <c r="D2441" t="s">
        <v>21</v>
      </c>
      <c r="E2441" t="s">
        <v>367</v>
      </c>
      <c r="F2441" s="1">
        <v>139.42400000000001</v>
      </c>
      <c r="G2441">
        <v>4</v>
      </c>
      <c r="H2441" s="1">
        <v>17.428000000000001</v>
      </c>
      <c r="I2441" s="4">
        <f>SalesData[[#This Row],[Profit]]/SalesData[[#This Row],[Sales]]</f>
        <v>0.125</v>
      </c>
      <c r="J2441">
        <f>YEAR(SalesData[[#This Row],[Order Date]])</f>
        <v>2015</v>
      </c>
      <c r="K2441" t="str">
        <f>TEXT(SalesData[[#This Row],[Order Date]],"mmm")</f>
        <v>Jan</v>
      </c>
      <c r="L2441">
        <f>MONTH(SalesData[[#This Row],[Order Date]])</f>
        <v>1</v>
      </c>
      <c r="M2441">
        <f>SalesData[[#This Row],[Sales]]/SalesData[[#This Row],[Quantity]]</f>
        <v>34.856000000000002</v>
      </c>
      <c r="N2441" t="str">
        <f>IF(SalesData[[#This Row],[Profit]]&gt;0,"Profit","Loss")</f>
        <v>Profit</v>
      </c>
    </row>
    <row r="2442" spans="1:14" x14ac:dyDescent="0.3">
      <c r="A2442" t="s">
        <v>1083</v>
      </c>
      <c r="B2442" s="3">
        <v>42014</v>
      </c>
      <c r="C2442" t="s">
        <v>17</v>
      </c>
      <c r="D2442" t="s">
        <v>10</v>
      </c>
      <c r="E2442" t="s">
        <v>1084</v>
      </c>
      <c r="F2442" s="1">
        <v>311.98</v>
      </c>
      <c r="G2442">
        <v>2</v>
      </c>
      <c r="H2442" s="1">
        <v>93.593999999999994</v>
      </c>
      <c r="I2442" s="4">
        <f>SalesData[[#This Row],[Profit]]/SalesData[[#This Row],[Sales]]</f>
        <v>0.3</v>
      </c>
      <c r="J2442">
        <f>YEAR(SalesData[[#This Row],[Order Date]])</f>
        <v>2015</v>
      </c>
      <c r="K2442" t="str">
        <f>TEXT(SalesData[[#This Row],[Order Date]],"mmm")</f>
        <v>Jan</v>
      </c>
      <c r="L2442">
        <f>MONTH(SalesData[[#This Row],[Order Date]])</f>
        <v>1</v>
      </c>
      <c r="M2442">
        <f>SalesData[[#This Row],[Sales]]/SalesData[[#This Row],[Quantity]]</f>
        <v>155.99</v>
      </c>
      <c r="N2442" t="str">
        <f>IF(SalesData[[#This Row],[Profit]]&gt;0,"Profit","Loss")</f>
        <v>Profit</v>
      </c>
    </row>
    <row r="2443" spans="1:14" x14ac:dyDescent="0.3">
      <c r="A2443" t="s">
        <v>1083</v>
      </c>
      <c r="B2443" s="3">
        <v>42014</v>
      </c>
      <c r="C2443" t="s">
        <v>17</v>
      </c>
      <c r="D2443" t="s">
        <v>21</v>
      </c>
      <c r="E2443" t="s">
        <v>319</v>
      </c>
      <c r="F2443" s="1">
        <v>22.45</v>
      </c>
      <c r="G2443">
        <v>5</v>
      </c>
      <c r="H2443" s="1">
        <v>10.327</v>
      </c>
      <c r="I2443" s="4">
        <f>SalesData[[#This Row],[Profit]]/SalesData[[#This Row],[Sales]]</f>
        <v>0.46</v>
      </c>
      <c r="J2443">
        <f>YEAR(SalesData[[#This Row],[Order Date]])</f>
        <v>2015</v>
      </c>
      <c r="K2443" t="str">
        <f>TEXT(SalesData[[#This Row],[Order Date]],"mmm")</f>
        <v>Jan</v>
      </c>
      <c r="L2443">
        <f>MONTH(SalesData[[#This Row],[Order Date]])</f>
        <v>1</v>
      </c>
      <c r="M2443">
        <f>SalesData[[#This Row],[Sales]]/SalesData[[#This Row],[Quantity]]</f>
        <v>4.49</v>
      </c>
      <c r="N2443" t="str">
        <f>IF(SalesData[[#This Row],[Profit]]&gt;0,"Profit","Loss")</f>
        <v>Profit</v>
      </c>
    </row>
    <row r="2444" spans="1:14" x14ac:dyDescent="0.3">
      <c r="A2444" t="s">
        <v>1085</v>
      </c>
      <c r="B2444" s="3">
        <v>42014</v>
      </c>
      <c r="C2444" t="s">
        <v>9</v>
      </c>
      <c r="D2444" t="s">
        <v>21</v>
      </c>
      <c r="E2444" t="s">
        <v>1086</v>
      </c>
      <c r="F2444" s="1">
        <v>2.992</v>
      </c>
      <c r="G2444">
        <v>4</v>
      </c>
      <c r="H2444" s="1">
        <v>-4.4880000000000004</v>
      </c>
      <c r="I2444" s="4">
        <f>SalesData[[#This Row],[Profit]]/SalesData[[#This Row],[Sales]]</f>
        <v>-1.5000000000000002</v>
      </c>
      <c r="J2444">
        <f>YEAR(SalesData[[#This Row],[Order Date]])</f>
        <v>2015</v>
      </c>
      <c r="K2444" t="str">
        <f>TEXT(SalesData[[#This Row],[Order Date]],"mmm")</f>
        <v>Jan</v>
      </c>
      <c r="L2444">
        <f>MONTH(SalesData[[#This Row],[Order Date]])</f>
        <v>1</v>
      </c>
      <c r="M2444">
        <f>SalesData[[#This Row],[Sales]]/SalesData[[#This Row],[Quantity]]</f>
        <v>0.748</v>
      </c>
      <c r="N2444" t="str">
        <f>IF(SalesData[[#This Row],[Profit]]&gt;0,"Profit","Loss")</f>
        <v>Loss</v>
      </c>
    </row>
    <row r="2445" spans="1:14" x14ac:dyDescent="0.3">
      <c r="A2445" t="s">
        <v>1085</v>
      </c>
      <c r="B2445" s="3">
        <v>42014</v>
      </c>
      <c r="C2445" t="s">
        <v>9</v>
      </c>
      <c r="D2445" t="s">
        <v>10</v>
      </c>
      <c r="E2445" t="s">
        <v>1087</v>
      </c>
      <c r="F2445" s="1">
        <v>108.768</v>
      </c>
      <c r="G2445">
        <v>4</v>
      </c>
      <c r="H2445" s="1">
        <v>2.7191999999999998</v>
      </c>
      <c r="I2445" s="4">
        <f>SalesData[[#This Row],[Profit]]/SalesData[[#This Row],[Sales]]</f>
        <v>2.4999999999999998E-2</v>
      </c>
      <c r="J2445">
        <f>YEAR(SalesData[[#This Row],[Order Date]])</f>
        <v>2015</v>
      </c>
      <c r="K2445" t="str">
        <f>TEXT(SalesData[[#This Row],[Order Date]],"mmm")</f>
        <v>Jan</v>
      </c>
      <c r="L2445">
        <f>MONTH(SalesData[[#This Row],[Order Date]])</f>
        <v>1</v>
      </c>
      <c r="M2445">
        <f>SalesData[[#This Row],[Sales]]/SalesData[[#This Row],[Quantity]]</f>
        <v>27.192</v>
      </c>
      <c r="N2445" t="str">
        <f>IF(SalesData[[#This Row],[Profit]]&gt;0,"Profit","Loss")</f>
        <v>Profit</v>
      </c>
    </row>
    <row r="2446" spans="1:14" x14ac:dyDescent="0.3">
      <c r="A2446" t="s">
        <v>1088</v>
      </c>
      <c r="B2446" s="3">
        <v>42014</v>
      </c>
      <c r="C2446" t="s">
        <v>13</v>
      </c>
      <c r="D2446" t="s">
        <v>10</v>
      </c>
      <c r="E2446" t="s">
        <v>832</v>
      </c>
      <c r="F2446" s="1">
        <v>572.79999999999995</v>
      </c>
      <c r="G2446">
        <v>2</v>
      </c>
      <c r="H2446" s="1">
        <v>50.12</v>
      </c>
      <c r="I2446" s="4">
        <f>SalesData[[#This Row],[Profit]]/SalesData[[#This Row],[Sales]]</f>
        <v>8.7500000000000008E-2</v>
      </c>
      <c r="J2446">
        <f>YEAR(SalesData[[#This Row],[Order Date]])</f>
        <v>2015</v>
      </c>
      <c r="K2446" t="str">
        <f>TEXT(SalesData[[#This Row],[Order Date]],"mmm")</f>
        <v>Jan</v>
      </c>
      <c r="L2446">
        <f>MONTH(SalesData[[#This Row],[Order Date]])</f>
        <v>1</v>
      </c>
      <c r="M2446">
        <f>SalesData[[#This Row],[Sales]]/SalesData[[#This Row],[Quantity]]</f>
        <v>286.39999999999998</v>
      </c>
      <c r="N2446" t="str">
        <f>IF(SalesData[[#This Row],[Profit]]&gt;0,"Profit","Loss")</f>
        <v>Profit</v>
      </c>
    </row>
    <row r="2447" spans="1:14" x14ac:dyDescent="0.3">
      <c r="A2447" t="s">
        <v>1089</v>
      </c>
      <c r="B2447" s="3">
        <v>42015</v>
      </c>
      <c r="C2447" t="s">
        <v>17</v>
      </c>
      <c r="D2447" t="s">
        <v>10</v>
      </c>
      <c r="E2447" t="s">
        <v>1090</v>
      </c>
      <c r="F2447" s="1">
        <v>35.36</v>
      </c>
      <c r="G2447">
        <v>2</v>
      </c>
      <c r="H2447" s="1">
        <v>-3.0939999999999999</v>
      </c>
      <c r="I2447" s="4">
        <f>SalesData[[#This Row],[Profit]]/SalesData[[#This Row],[Sales]]</f>
        <v>-8.7499999999999994E-2</v>
      </c>
      <c r="J2447">
        <f>YEAR(SalesData[[#This Row],[Order Date]])</f>
        <v>2015</v>
      </c>
      <c r="K2447" t="str">
        <f>TEXT(SalesData[[#This Row],[Order Date]],"mmm")</f>
        <v>Jan</v>
      </c>
      <c r="L2447">
        <f>MONTH(SalesData[[#This Row],[Order Date]])</f>
        <v>1</v>
      </c>
      <c r="M2447">
        <f>SalesData[[#This Row],[Sales]]/SalesData[[#This Row],[Quantity]]</f>
        <v>17.68</v>
      </c>
      <c r="N2447" t="str">
        <f>IF(SalesData[[#This Row],[Profit]]&gt;0,"Profit","Loss")</f>
        <v>Loss</v>
      </c>
    </row>
    <row r="2448" spans="1:14" x14ac:dyDescent="0.3">
      <c r="A2448" t="s">
        <v>1089</v>
      </c>
      <c r="B2448" s="3">
        <v>42015</v>
      </c>
      <c r="C2448" t="s">
        <v>17</v>
      </c>
      <c r="D2448" t="s">
        <v>21</v>
      </c>
      <c r="E2448" t="s">
        <v>1091</v>
      </c>
      <c r="F2448" s="1">
        <v>3.1680000000000001</v>
      </c>
      <c r="G2448">
        <v>2</v>
      </c>
      <c r="H2448" s="1">
        <v>-0.71279999999999999</v>
      </c>
      <c r="I2448" s="4">
        <f>SalesData[[#This Row],[Profit]]/SalesData[[#This Row],[Sales]]</f>
        <v>-0.22499999999999998</v>
      </c>
      <c r="J2448">
        <f>YEAR(SalesData[[#This Row],[Order Date]])</f>
        <v>2015</v>
      </c>
      <c r="K2448" t="str">
        <f>TEXT(SalesData[[#This Row],[Order Date]],"mmm")</f>
        <v>Jan</v>
      </c>
      <c r="L2448">
        <f>MONTH(SalesData[[#This Row],[Order Date]])</f>
        <v>1</v>
      </c>
      <c r="M2448">
        <f>SalesData[[#This Row],[Sales]]/SalesData[[#This Row],[Quantity]]</f>
        <v>1.5840000000000001</v>
      </c>
      <c r="N2448" t="str">
        <f>IF(SalesData[[#This Row],[Profit]]&gt;0,"Profit","Loss")</f>
        <v>Loss</v>
      </c>
    </row>
    <row r="2449" spans="1:14" x14ac:dyDescent="0.3">
      <c r="A2449" t="s">
        <v>1092</v>
      </c>
      <c r="B2449" s="3">
        <v>42015</v>
      </c>
      <c r="C2449" t="s">
        <v>17</v>
      </c>
      <c r="D2449" t="s">
        <v>10</v>
      </c>
      <c r="E2449" t="s">
        <v>1093</v>
      </c>
      <c r="F2449" s="1">
        <v>4.95</v>
      </c>
      <c r="G2449">
        <v>1</v>
      </c>
      <c r="H2449" s="1">
        <v>1.3365</v>
      </c>
      <c r="I2449" s="4">
        <f>SalesData[[#This Row],[Profit]]/SalesData[[#This Row],[Sales]]</f>
        <v>0.27</v>
      </c>
      <c r="J2449">
        <f>YEAR(SalesData[[#This Row],[Order Date]])</f>
        <v>2015</v>
      </c>
      <c r="K2449" t="str">
        <f>TEXT(SalesData[[#This Row],[Order Date]],"mmm")</f>
        <v>Jan</v>
      </c>
      <c r="L2449">
        <f>MONTH(SalesData[[#This Row],[Order Date]])</f>
        <v>1</v>
      </c>
      <c r="M2449">
        <f>SalesData[[#This Row],[Sales]]/SalesData[[#This Row],[Quantity]]</f>
        <v>4.95</v>
      </c>
      <c r="N2449" t="str">
        <f>IF(SalesData[[#This Row],[Profit]]&gt;0,"Profit","Loss")</f>
        <v>Profit</v>
      </c>
    </row>
    <row r="2450" spans="1:14" x14ac:dyDescent="0.3">
      <c r="A2450" t="s">
        <v>1094</v>
      </c>
      <c r="B2450" s="3">
        <v>42015</v>
      </c>
      <c r="C2450" t="s">
        <v>17</v>
      </c>
      <c r="D2450" t="s">
        <v>21</v>
      </c>
      <c r="E2450" t="s">
        <v>1095</v>
      </c>
      <c r="F2450" s="1">
        <v>13.52</v>
      </c>
      <c r="G2450">
        <v>4</v>
      </c>
      <c r="H2450" s="1">
        <v>6.2191999999999998</v>
      </c>
      <c r="I2450" s="4">
        <f>SalesData[[#This Row],[Profit]]/SalesData[[#This Row],[Sales]]</f>
        <v>0.46</v>
      </c>
      <c r="J2450">
        <f>YEAR(SalesData[[#This Row],[Order Date]])</f>
        <v>2015</v>
      </c>
      <c r="K2450" t="str">
        <f>TEXT(SalesData[[#This Row],[Order Date]],"mmm")</f>
        <v>Jan</v>
      </c>
      <c r="L2450">
        <f>MONTH(SalesData[[#This Row],[Order Date]])</f>
        <v>1</v>
      </c>
      <c r="M2450">
        <f>SalesData[[#This Row],[Sales]]/SalesData[[#This Row],[Quantity]]</f>
        <v>3.38</v>
      </c>
      <c r="N2450" t="str">
        <f>IF(SalesData[[#This Row],[Profit]]&gt;0,"Profit","Loss")</f>
        <v>Profit</v>
      </c>
    </row>
    <row r="2451" spans="1:14" x14ac:dyDescent="0.3">
      <c r="A2451" t="s">
        <v>1094</v>
      </c>
      <c r="B2451" s="3">
        <v>42015</v>
      </c>
      <c r="C2451" t="s">
        <v>17</v>
      </c>
      <c r="D2451" t="s">
        <v>14</v>
      </c>
      <c r="E2451" t="s">
        <v>822</v>
      </c>
      <c r="F2451" s="1">
        <v>259.7</v>
      </c>
      <c r="G2451">
        <v>5</v>
      </c>
      <c r="H2451" s="1">
        <v>106.477</v>
      </c>
      <c r="I2451" s="4">
        <f>SalesData[[#This Row],[Profit]]/SalesData[[#This Row],[Sales]]</f>
        <v>0.41000000000000003</v>
      </c>
      <c r="J2451">
        <f>YEAR(SalesData[[#This Row],[Order Date]])</f>
        <v>2015</v>
      </c>
      <c r="K2451" t="str">
        <f>TEXT(SalesData[[#This Row],[Order Date]],"mmm")</f>
        <v>Jan</v>
      </c>
      <c r="L2451">
        <f>MONTH(SalesData[[#This Row],[Order Date]])</f>
        <v>1</v>
      </c>
      <c r="M2451">
        <f>SalesData[[#This Row],[Sales]]/SalesData[[#This Row],[Quantity]]</f>
        <v>51.94</v>
      </c>
      <c r="N2451" t="str">
        <f>IF(SalesData[[#This Row],[Profit]]&gt;0,"Profit","Loss")</f>
        <v>Profit</v>
      </c>
    </row>
    <row r="2452" spans="1:14" x14ac:dyDescent="0.3">
      <c r="A2452" t="s">
        <v>1094</v>
      </c>
      <c r="B2452" s="3">
        <v>42015</v>
      </c>
      <c r="C2452" t="s">
        <v>17</v>
      </c>
      <c r="D2452" t="s">
        <v>10</v>
      </c>
      <c r="E2452" t="s">
        <v>1096</v>
      </c>
      <c r="F2452" s="1">
        <v>42.95</v>
      </c>
      <c r="G2452">
        <v>1</v>
      </c>
      <c r="H2452" s="1">
        <v>1.2885</v>
      </c>
      <c r="I2452" s="4">
        <f>SalesData[[#This Row],[Profit]]/SalesData[[#This Row],[Sales]]</f>
        <v>0.03</v>
      </c>
      <c r="J2452">
        <f>YEAR(SalesData[[#This Row],[Order Date]])</f>
        <v>2015</v>
      </c>
      <c r="K2452" t="str">
        <f>TEXT(SalesData[[#This Row],[Order Date]],"mmm")</f>
        <v>Jan</v>
      </c>
      <c r="L2452">
        <f>MONTH(SalesData[[#This Row],[Order Date]])</f>
        <v>1</v>
      </c>
      <c r="M2452">
        <f>SalesData[[#This Row],[Sales]]/SalesData[[#This Row],[Quantity]]</f>
        <v>42.95</v>
      </c>
      <c r="N2452" t="str">
        <f>IF(SalesData[[#This Row],[Profit]]&gt;0,"Profit","Loss")</f>
        <v>Profit</v>
      </c>
    </row>
    <row r="2453" spans="1:14" x14ac:dyDescent="0.3">
      <c r="A2453" t="s">
        <v>1094</v>
      </c>
      <c r="B2453" s="3">
        <v>42015</v>
      </c>
      <c r="C2453" t="s">
        <v>17</v>
      </c>
      <c r="D2453" t="s">
        <v>10</v>
      </c>
      <c r="E2453" t="s">
        <v>1097</v>
      </c>
      <c r="F2453" s="1">
        <v>1399.93</v>
      </c>
      <c r="G2453">
        <v>7</v>
      </c>
      <c r="H2453" s="1">
        <v>601.96990000000005</v>
      </c>
      <c r="I2453" s="4">
        <f>SalesData[[#This Row],[Profit]]/SalesData[[#This Row],[Sales]]</f>
        <v>0.43</v>
      </c>
      <c r="J2453">
        <f>YEAR(SalesData[[#This Row],[Order Date]])</f>
        <v>2015</v>
      </c>
      <c r="K2453" t="str">
        <f>TEXT(SalesData[[#This Row],[Order Date]],"mmm")</f>
        <v>Jan</v>
      </c>
      <c r="L2453">
        <f>MONTH(SalesData[[#This Row],[Order Date]])</f>
        <v>1</v>
      </c>
      <c r="M2453">
        <f>SalesData[[#This Row],[Sales]]/SalesData[[#This Row],[Quantity]]</f>
        <v>199.99</v>
      </c>
      <c r="N2453" t="str">
        <f>IF(SalesData[[#This Row],[Profit]]&gt;0,"Profit","Loss")</f>
        <v>Profit</v>
      </c>
    </row>
    <row r="2454" spans="1:14" x14ac:dyDescent="0.3">
      <c r="A2454" t="s">
        <v>1094</v>
      </c>
      <c r="B2454" s="3">
        <v>42015</v>
      </c>
      <c r="C2454" t="s">
        <v>17</v>
      </c>
      <c r="D2454" t="s">
        <v>10</v>
      </c>
      <c r="E2454" t="s">
        <v>905</v>
      </c>
      <c r="F2454" s="1">
        <v>503.96</v>
      </c>
      <c r="G2454">
        <v>4</v>
      </c>
      <c r="H2454" s="1">
        <v>125.99</v>
      </c>
      <c r="I2454" s="4">
        <f>SalesData[[#This Row],[Profit]]/SalesData[[#This Row],[Sales]]</f>
        <v>0.25</v>
      </c>
      <c r="J2454">
        <f>YEAR(SalesData[[#This Row],[Order Date]])</f>
        <v>2015</v>
      </c>
      <c r="K2454" t="str">
        <f>TEXT(SalesData[[#This Row],[Order Date]],"mmm")</f>
        <v>Jan</v>
      </c>
      <c r="L2454">
        <f>MONTH(SalesData[[#This Row],[Order Date]])</f>
        <v>1</v>
      </c>
      <c r="M2454">
        <f>SalesData[[#This Row],[Sales]]/SalesData[[#This Row],[Quantity]]</f>
        <v>125.99</v>
      </c>
      <c r="N2454" t="str">
        <f>IF(SalesData[[#This Row],[Profit]]&gt;0,"Profit","Loss")</f>
        <v>Profit</v>
      </c>
    </row>
    <row r="2455" spans="1:14" x14ac:dyDescent="0.3">
      <c r="A2455" t="s">
        <v>1098</v>
      </c>
      <c r="B2455" s="3">
        <v>42015</v>
      </c>
      <c r="C2455" t="s">
        <v>13</v>
      </c>
      <c r="D2455" t="s">
        <v>21</v>
      </c>
      <c r="E2455" t="s">
        <v>1099</v>
      </c>
      <c r="F2455" s="1">
        <v>7.88</v>
      </c>
      <c r="G2455">
        <v>1</v>
      </c>
      <c r="H2455" s="1">
        <v>1.7729999999999999</v>
      </c>
      <c r="I2455" s="4">
        <f>SalesData[[#This Row],[Profit]]/SalesData[[#This Row],[Sales]]</f>
        <v>0.22499999999999998</v>
      </c>
      <c r="J2455">
        <f>YEAR(SalesData[[#This Row],[Order Date]])</f>
        <v>2015</v>
      </c>
      <c r="K2455" t="str">
        <f>TEXT(SalesData[[#This Row],[Order Date]],"mmm")</f>
        <v>Jan</v>
      </c>
      <c r="L2455">
        <f>MONTH(SalesData[[#This Row],[Order Date]])</f>
        <v>1</v>
      </c>
      <c r="M2455">
        <f>SalesData[[#This Row],[Sales]]/SalesData[[#This Row],[Quantity]]</f>
        <v>7.88</v>
      </c>
      <c r="N2455" t="str">
        <f>IF(SalesData[[#This Row],[Profit]]&gt;0,"Profit","Loss")</f>
        <v>Profit</v>
      </c>
    </row>
    <row r="2456" spans="1:14" x14ac:dyDescent="0.3">
      <c r="A2456" t="s">
        <v>1100</v>
      </c>
      <c r="B2456" s="3">
        <v>42015</v>
      </c>
      <c r="C2456" t="s">
        <v>46</v>
      </c>
      <c r="D2456" t="s">
        <v>14</v>
      </c>
      <c r="E2456" t="s">
        <v>1101</v>
      </c>
      <c r="F2456" s="1">
        <v>301.95999999999998</v>
      </c>
      <c r="G2456">
        <v>2</v>
      </c>
      <c r="H2456" s="1">
        <v>45.293999999999997</v>
      </c>
      <c r="I2456" s="4">
        <f>SalesData[[#This Row],[Profit]]/SalesData[[#This Row],[Sales]]</f>
        <v>0.15</v>
      </c>
      <c r="J2456">
        <f>YEAR(SalesData[[#This Row],[Order Date]])</f>
        <v>2015</v>
      </c>
      <c r="K2456" t="str">
        <f>TEXT(SalesData[[#This Row],[Order Date]],"mmm")</f>
        <v>Jan</v>
      </c>
      <c r="L2456">
        <f>MONTH(SalesData[[#This Row],[Order Date]])</f>
        <v>1</v>
      </c>
      <c r="M2456">
        <f>SalesData[[#This Row],[Sales]]/SalesData[[#This Row],[Quantity]]</f>
        <v>150.97999999999999</v>
      </c>
      <c r="N2456" t="str">
        <f>IF(SalesData[[#This Row],[Profit]]&gt;0,"Profit","Loss")</f>
        <v>Profit</v>
      </c>
    </row>
    <row r="2457" spans="1:14" x14ac:dyDescent="0.3">
      <c r="A2457" t="s">
        <v>1102</v>
      </c>
      <c r="B2457" s="3">
        <v>42015</v>
      </c>
      <c r="C2457" t="s">
        <v>17</v>
      </c>
      <c r="D2457" t="s">
        <v>14</v>
      </c>
      <c r="E2457" t="s">
        <v>1103</v>
      </c>
      <c r="F2457" s="1">
        <v>327.56400000000002</v>
      </c>
      <c r="G2457">
        <v>4</v>
      </c>
      <c r="H2457" s="1">
        <v>21.837599999999998</v>
      </c>
      <c r="I2457" s="4">
        <f>SalesData[[#This Row],[Profit]]/SalesData[[#This Row],[Sales]]</f>
        <v>6.6666666666666652E-2</v>
      </c>
      <c r="J2457">
        <f>YEAR(SalesData[[#This Row],[Order Date]])</f>
        <v>2015</v>
      </c>
      <c r="K2457" t="str">
        <f>TEXT(SalesData[[#This Row],[Order Date]],"mmm")</f>
        <v>Jan</v>
      </c>
      <c r="L2457">
        <f>MONTH(SalesData[[#This Row],[Order Date]])</f>
        <v>1</v>
      </c>
      <c r="M2457">
        <f>SalesData[[#This Row],[Sales]]/SalesData[[#This Row],[Quantity]]</f>
        <v>81.891000000000005</v>
      </c>
      <c r="N2457" t="str">
        <f>IF(SalesData[[#This Row],[Profit]]&gt;0,"Profit","Loss")</f>
        <v>Profit</v>
      </c>
    </row>
    <row r="2458" spans="1:14" x14ac:dyDescent="0.3">
      <c r="A2458" t="s">
        <v>1104</v>
      </c>
      <c r="B2458" s="3">
        <v>42015</v>
      </c>
      <c r="C2458" t="s">
        <v>17</v>
      </c>
      <c r="D2458" t="s">
        <v>14</v>
      </c>
      <c r="E2458" t="s">
        <v>1105</v>
      </c>
      <c r="F2458" s="1">
        <v>205.16399999999999</v>
      </c>
      <c r="G2458">
        <v>2</v>
      </c>
      <c r="H2458" s="1">
        <v>13.6776</v>
      </c>
      <c r="I2458" s="4">
        <f>SalesData[[#This Row],[Profit]]/SalesData[[#This Row],[Sales]]</f>
        <v>6.6666666666666666E-2</v>
      </c>
      <c r="J2458">
        <f>YEAR(SalesData[[#This Row],[Order Date]])</f>
        <v>2015</v>
      </c>
      <c r="K2458" t="str">
        <f>TEXT(SalesData[[#This Row],[Order Date]],"mmm")</f>
        <v>Jan</v>
      </c>
      <c r="L2458">
        <f>MONTH(SalesData[[#This Row],[Order Date]])</f>
        <v>1</v>
      </c>
      <c r="M2458">
        <f>SalesData[[#This Row],[Sales]]/SalesData[[#This Row],[Quantity]]</f>
        <v>102.58199999999999</v>
      </c>
      <c r="N2458" t="str">
        <f>IF(SalesData[[#This Row],[Profit]]&gt;0,"Profit","Loss")</f>
        <v>Profit</v>
      </c>
    </row>
    <row r="2459" spans="1:14" x14ac:dyDescent="0.3">
      <c r="A2459" t="s">
        <v>1106</v>
      </c>
      <c r="B2459" s="3">
        <v>42016</v>
      </c>
      <c r="C2459" t="s">
        <v>13</v>
      </c>
      <c r="D2459" t="s">
        <v>21</v>
      </c>
      <c r="E2459" t="s">
        <v>50</v>
      </c>
      <c r="F2459" s="1">
        <v>55.423999999999999</v>
      </c>
      <c r="G2459">
        <v>2</v>
      </c>
      <c r="H2459" s="1">
        <v>19.398399999999999</v>
      </c>
      <c r="I2459" s="4">
        <f>SalesData[[#This Row],[Profit]]/SalesData[[#This Row],[Sales]]</f>
        <v>0.35</v>
      </c>
      <c r="J2459">
        <f>YEAR(SalesData[[#This Row],[Order Date]])</f>
        <v>2015</v>
      </c>
      <c r="K2459" t="str">
        <f>TEXT(SalesData[[#This Row],[Order Date]],"mmm")</f>
        <v>Jan</v>
      </c>
      <c r="L2459">
        <f>MONTH(SalesData[[#This Row],[Order Date]])</f>
        <v>1</v>
      </c>
      <c r="M2459">
        <f>SalesData[[#This Row],[Sales]]/SalesData[[#This Row],[Quantity]]</f>
        <v>27.712</v>
      </c>
      <c r="N2459" t="str">
        <f>IF(SalesData[[#This Row],[Profit]]&gt;0,"Profit","Loss")</f>
        <v>Profit</v>
      </c>
    </row>
    <row r="2460" spans="1:14" x14ac:dyDescent="0.3">
      <c r="A2460" t="s">
        <v>1107</v>
      </c>
      <c r="B2460" s="3">
        <v>42016</v>
      </c>
      <c r="C2460" t="s">
        <v>9</v>
      </c>
      <c r="D2460" t="s">
        <v>14</v>
      </c>
      <c r="E2460" t="s">
        <v>1047</v>
      </c>
      <c r="F2460" s="1">
        <v>6.6879999999999997</v>
      </c>
      <c r="G2460">
        <v>4</v>
      </c>
      <c r="H2460" s="1">
        <v>-4.0128000000000004</v>
      </c>
      <c r="I2460" s="4">
        <f>SalesData[[#This Row],[Profit]]/SalesData[[#This Row],[Sales]]</f>
        <v>-0.60000000000000009</v>
      </c>
      <c r="J2460">
        <f>YEAR(SalesData[[#This Row],[Order Date]])</f>
        <v>2015</v>
      </c>
      <c r="K2460" t="str">
        <f>TEXT(SalesData[[#This Row],[Order Date]],"mmm")</f>
        <v>Jan</v>
      </c>
      <c r="L2460">
        <f>MONTH(SalesData[[#This Row],[Order Date]])</f>
        <v>1</v>
      </c>
      <c r="M2460">
        <f>SalesData[[#This Row],[Sales]]/SalesData[[#This Row],[Quantity]]</f>
        <v>1.6719999999999999</v>
      </c>
      <c r="N2460" t="str">
        <f>IF(SalesData[[#This Row],[Profit]]&gt;0,"Profit","Loss")</f>
        <v>Loss</v>
      </c>
    </row>
    <row r="2461" spans="1:14" x14ac:dyDescent="0.3">
      <c r="A2461" t="s">
        <v>1108</v>
      </c>
      <c r="B2461" s="3">
        <v>42016</v>
      </c>
      <c r="C2461" t="s">
        <v>13</v>
      </c>
      <c r="D2461" t="s">
        <v>21</v>
      </c>
      <c r="E2461" t="s">
        <v>764</v>
      </c>
      <c r="F2461" s="1">
        <v>13.9</v>
      </c>
      <c r="G2461">
        <v>5</v>
      </c>
      <c r="H2461" s="1">
        <v>5.56</v>
      </c>
      <c r="I2461" s="4">
        <f>SalesData[[#This Row],[Profit]]/SalesData[[#This Row],[Sales]]</f>
        <v>0.39999999999999997</v>
      </c>
      <c r="J2461">
        <f>YEAR(SalesData[[#This Row],[Order Date]])</f>
        <v>2015</v>
      </c>
      <c r="K2461" t="str">
        <f>TEXT(SalesData[[#This Row],[Order Date]],"mmm")</f>
        <v>Jan</v>
      </c>
      <c r="L2461">
        <f>MONTH(SalesData[[#This Row],[Order Date]])</f>
        <v>1</v>
      </c>
      <c r="M2461">
        <f>SalesData[[#This Row],[Sales]]/SalesData[[#This Row],[Quantity]]</f>
        <v>2.7800000000000002</v>
      </c>
      <c r="N2461" t="str">
        <f>IF(SalesData[[#This Row],[Profit]]&gt;0,"Profit","Loss")</f>
        <v>Profit</v>
      </c>
    </row>
    <row r="2462" spans="1:14" x14ac:dyDescent="0.3">
      <c r="A2462" t="s">
        <v>1109</v>
      </c>
      <c r="B2462" s="3">
        <v>42016</v>
      </c>
      <c r="C2462" t="s">
        <v>46</v>
      </c>
      <c r="D2462" t="s">
        <v>21</v>
      </c>
      <c r="E2462" t="s">
        <v>803</v>
      </c>
      <c r="F2462" s="1">
        <v>61.68</v>
      </c>
      <c r="G2462">
        <v>4</v>
      </c>
      <c r="H2462" s="1">
        <v>16.653600000000001</v>
      </c>
      <c r="I2462" s="4">
        <f>SalesData[[#This Row],[Profit]]/SalesData[[#This Row],[Sales]]</f>
        <v>0.27</v>
      </c>
      <c r="J2462">
        <f>YEAR(SalesData[[#This Row],[Order Date]])</f>
        <v>2015</v>
      </c>
      <c r="K2462" t="str">
        <f>TEXT(SalesData[[#This Row],[Order Date]],"mmm")</f>
        <v>Jan</v>
      </c>
      <c r="L2462">
        <f>MONTH(SalesData[[#This Row],[Order Date]])</f>
        <v>1</v>
      </c>
      <c r="M2462">
        <f>SalesData[[#This Row],[Sales]]/SalesData[[#This Row],[Quantity]]</f>
        <v>15.42</v>
      </c>
      <c r="N2462" t="str">
        <f>IF(SalesData[[#This Row],[Profit]]&gt;0,"Profit","Loss")</f>
        <v>Profit</v>
      </c>
    </row>
    <row r="2463" spans="1:14" x14ac:dyDescent="0.3">
      <c r="A2463" t="s">
        <v>1109</v>
      </c>
      <c r="B2463" s="3">
        <v>42016</v>
      </c>
      <c r="C2463" t="s">
        <v>46</v>
      </c>
      <c r="D2463" t="s">
        <v>21</v>
      </c>
      <c r="E2463" t="s">
        <v>1110</v>
      </c>
      <c r="F2463" s="1">
        <v>63.96</v>
      </c>
      <c r="G2463">
        <v>4</v>
      </c>
      <c r="H2463" s="1">
        <v>30.700800000000001</v>
      </c>
      <c r="I2463" s="4">
        <f>SalesData[[#This Row],[Profit]]/SalesData[[#This Row],[Sales]]</f>
        <v>0.48</v>
      </c>
      <c r="J2463">
        <f>YEAR(SalesData[[#This Row],[Order Date]])</f>
        <v>2015</v>
      </c>
      <c r="K2463" t="str">
        <f>TEXT(SalesData[[#This Row],[Order Date]],"mmm")</f>
        <v>Jan</v>
      </c>
      <c r="L2463">
        <f>MONTH(SalesData[[#This Row],[Order Date]])</f>
        <v>1</v>
      </c>
      <c r="M2463">
        <f>SalesData[[#This Row],[Sales]]/SalesData[[#This Row],[Quantity]]</f>
        <v>15.99</v>
      </c>
      <c r="N2463" t="str">
        <f>IF(SalesData[[#This Row],[Profit]]&gt;0,"Profit","Loss")</f>
        <v>Profit</v>
      </c>
    </row>
    <row r="2464" spans="1:14" x14ac:dyDescent="0.3">
      <c r="A2464" t="s">
        <v>1111</v>
      </c>
      <c r="B2464" s="3">
        <v>42016</v>
      </c>
      <c r="C2464" t="s">
        <v>13</v>
      </c>
      <c r="D2464" t="s">
        <v>14</v>
      </c>
      <c r="E2464" t="s">
        <v>1112</v>
      </c>
      <c r="F2464" s="1">
        <v>2003.92</v>
      </c>
      <c r="G2464">
        <v>5</v>
      </c>
      <c r="H2464" s="1">
        <v>125.245</v>
      </c>
      <c r="I2464" s="4">
        <f>SalesData[[#This Row],[Profit]]/SalesData[[#This Row],[Sales]]</f>
        <v>6.25E-2</v>
      </c>
      <c r="J2464">
        <f>YEAR(SalesData[[#This Row],[Order Date]])</f>
        <v>2015</v>
      </c>
      <c r="K2464" t="str">
        <f>TEXT(SalesData[[#This Row],[Order Date]],"mmm")</f>
        <v>Jan</v>
      </c>
      <c r="L2464">
        <f>MONTH(SalesData[[#This Row],[Order Date]])</f>
        <v>1</v>
      </c>
      <c r="M2464">
        <f>SalesData[[#This Row],[Sales]]/SalesData[[#This Row],[Quantity]]</f>
        <v>400.78399999999999</v>
      </c>
      <c r="N2464" t="str">
        <f>IF(SalesData[[#This Row],[Profit]]&gt;0,"Profit","Loss")</f>
        <v>Profit</v>
      </c>
    </row>
    <row r="2465" spans="1:14" x14ac:dyDescent="0.3">
      <c r="A2465" t="s">
        <v>1111</v>
      </c>
      <c r="B2465" s="3">
        <v>42016</v>
      </c>
      <c r="C2465" t="s">
        <v>13</v>
      </c>
      <c r="D2465" t="s">
        <v>21</v>
      </c>
      <c r="E2465" t="s">
        <v>1113</v>
      </c>
      <c r="F2465" s="1">
        <v>32.4</v>
      </c>
      <c r="G2465">
        <v>5</v>
      </c>
      <c r="H2465" s="1">
        <v>15.552</v>
      </c>
      <c r="I2465" s="4">
        <f>SalesData[[#This Row],[Profit]]/SalesData[[#This Row],[Sales]]</f>
        <v>0.48</v>
      </c>
      <c r="J2465">
        <f>YEAR(SalesData[[#This Row],[Order Date]])</f>
        <v>2015</v>
      </c>
      <c r="K2465" t="str">
        <f>TEXT(SalesData[[#This Row],[Order Date]],"mmm")</f>
        <v>Jan</v>
      </c>
      <c r="L2465">
        <f>MONTH(SalesData[[#This Row],[Order Date]])</f>
        <v>1</v>
      </c>
      <c r="M2465">
        <f>SalesData[[#This Row],[Sales]]/SalesData[[#This Row],[Quantity]]</f>
        <v>6.4799999999999995</v>
      </c>
      <c r="N2465" t="str">
        <f>IF(SalesData[[#This Row],[Profit]]&gt;0,"Profit","Loss")</f>
        <v>Profit</v>
      </c>
    </row>
    <row r="2466" spans="1:14" x14ac:dyDescent="0.3">
      <c r="A2466" t="s">
        <v>1111</v>
      </c>
      <c r="B2466" s="3">
        <v>42016</v>
      </c>
      <c r="C2466" t="s">
        <v>13</v>
      </c>
      <c r="D2466" t="s">
        <v>14</v>
      </c>
      <c r="E2466" t="s">
        <v>1114</v>
      </c>
      <c r="F2466" s="1">
        <v>1913.4</v>
      </c>
      <c r="G2466">
        <v>9</v>
      </c>
      <c r="H2466" s="1">
        <v>401.81400000000002</v>
      </c>
      <c r="I2466" s="4">
        <f>SalesData[[#This Row],[Profit]]/SalesData[[#This Row],[Sales]]</f>
        <v>0.21</v>
      </c>
      <c r="J2466">
        <f>YEAR(SalesData[[#This Row],[Order Date]])</f>
        <v>2015</v>
      </c>
      <c r="K2466" t="str">
        <f>TEXT(SalesData[[#This Row],[Order Date]],"mmm")</f>
        <v>Jan</v>
      </c>
      <c r="L2466">
        <f>MONTH(SalesData[[#This Row],[Order Date]])</f>
        <v>1</v>
      </c>
      <c r="M2466">
        <f>SalesData[[#This Row],[Sales]]/SalesData[[#This Row],[Quantity]]</f>
        <v>212.60000000000002</v>
      </c>
      <c r="N2466" t="str">
        <f>IF(SalesData[[#This Row],[Profit]]&gt;0,"Profit","Loss")</f>
        <v>Profit</v>
      </c>
    </row>
    <row r="2467" spans="1:14" x14ac:dyDescent="0.3">
      <c r="A2467" t="s">
        <v>1111</v>
      </c>
      <c r="B2467" s="3">
        <v>42016</v>
      </c>
      <c r="C2467" t="s">
        <v>13</v>
      </c>
      <c r="D2467" t="s">
        <v>21</v>
      </c>
      <c r="E2467" t="s">
        <v>1115</v>
      </c>
      <c r="F2467" s="1">
        <v>146.72999999999999</v>
      </c>
      <c r="G2467">
        <v>3</v>
      </c>
      <c r="H2467" s="1">
        <v>2.9346000000000001</v>
      </c>
      <c r="I2467" s="4">
        <f>SalesData[[#This Row],[Profit]]/SalesData[[#This Row],[Sales]]</f>
        <v>0.02</v>
      </c>
      <c r="J2467">
        <f>YEAR(SalesData[[#This Row],[Order Date]])</f>
        <v>2015</v>
      </c>
      <c r="K2467" t="str">
        <f>TEXT(SalesData[[#This Row],[Order Date]],"mmm")</f>
        <v>Jan</v>
      </c>
      <c r="L2467">
        <f>MONTH(SalesData[[#This Row],[Order Date]])</f>
        <v>1</v>
      </c>
      <c r="M2467">
        <f>SalesData[[#This Row],[Sales]]/SalesData[[#This Row],[Quantity]]</f>
        <v>48.91</v>
      </c>
      <c r="N2467" t="str">
        <f>IF(SalesData[[#This Row],[Profit]]&gt;0,"Profit","Loss")</f>
        <v>Profit</v>
      </c>
    </row>
    <row r="2468" spans="1:14" x14ac:dyDescent="0.3">
      <c r="A2468" t="s">
        <v>1111</v>
      </c>
      <c r="B2468" s="3">
        <v>42016</v>
      </c>
      <c r="C2468" t="s">
        <v>13</v>
      </c>
      <c r="D2468" t="s">
        <v>21</v>
      </c>
      <c r="E2468" t="s">
        <v>873</v>
      </c>
      <c r="F2468" s="1">
        <v>114.2</v>
      </c>
      <c r="G2468">
        <v>5</v>
      </c>
      <c r="H2468" s="1">
        <v>52.531999999999996</v>
      </c>
      <c r="I2468" s="4">
        <f>SalesData[[#This Row],[Profit]]/SalesData[[#This Row],[Sales]]</f>
        <v>0.45999999999999996</v>
      </c>
      <c r="J2468">
        <f>YEAR(SalesData[[#This Row],[Order Date]])</f>
        <v>2015</v>
      </c>
      <c r="K2468" t="str">
        <f>TEXT(SalesData[[#This Row],[Order Date]],"mmm")</f>
        <v>Jan</v>
      </c>
      <c r="L2468">
        <f>MONTH(SalesData[[#This Row],[Order Date]])</f>
        <v>1</v>
      </c>
      <c r="M2468">
        <f>SalesData[[#This Row],[Sales]]/SalesData[[#This Row],[Quantity]]</f>
        <v>22.84</v>
      </c>
      <c r="N2468" t="str">
        <f>IF(SalesData[[#This Row],[Profit]]&gt;0,"Profit","Loss")</f>
        <v>Profit</v>
      </c>
    </row>
    <row r="2469" spans="1:14" x14ac:dyDescent="0.3">
      <c r="A2469" t="s">
        <v>1116</v>
      </c>
      <c r="B2469" s="3">
        <v>42016</v>
      </c>
      <c r="C2469" t="s">
        <v>13</v>
      </c>
      <c r="D2469" t="s">
        <v>14</v>
      </c>
      <c r="E2469" t="s">
        <v>841</v>
      </c>
      <c r="F2469" s="1">
        <v>2676.672</v>
      </c>
      <c r="G2469">
        <v>9</v>
      </c>
      <c r="H2469" s="1">
        <v>267.66719999999998</v>
      </c>
      <c r="I2469" s="4">
        <f>SalesData[[#This Row],[Profit]]/SalesData[[#This Row],[Sales]]</f>
        <v>9.9999999999999992E-2</v>
      </c>
      <c r="J2469">
        <f>YEAR(SalesData[[#This Row],[Order Date]])</f>
        <v>2015</v>
      </c>
      <c r="K2469" t="str">
        <f>TEXT(SalesData[[#This Row],[Order Date]],"mmm")</f>
        <v>Jan</v>
      </c>
      <c r="L2469">
        <f>MONTH(SalesData[[#This Row],[Order Date]])</f>
        <v>1</v>
      </c>
      <c r="M2469">
        <f>SalesData[[#This Row],[Sales]]/SalesData[[#This Row],[Quantity]]</f>
        <v>297.40800000000002</v>
      </c>
      <c r="N2469" t="str">
        <f>IF(SalesData[[#This Row],[Profit]]&gt;0,"Profit","Loss")</f>
        <v>Profit</v>
      </c>
    </row>
    <row r="2470" spans="1:14" x14ac:dyDescent="0.3">
      <c r="A2470" t="s">
        <v>1117</v>
      </c>
      <c r="B2470" s="3">
        <v>42016</v>
      </c>
      <c r="C2470" t="s">
        <v>9</v>
      </c>
      <c r="D2470" t="s">
        <v>21</v>
      </c>
      <c r="E2470" t="s">
        <v>1118</v>
      </c>
      <c r="F2470" s="1">
        <v>19.440000000000001</v>
      </c>
      <c r="G2470">
        <v>3</v>
      </c>
      <c r="H2470" s="1">
        <v>9.3312000000000008</v>
      </c>
      <c r="I2470" s="4">
        <f>SalesData[[#This Row],[Profit]]/SalesData[[#This Row],[Sales]]</f>
        <v>0.48000000000000004</v>
      </c>
      <c r="J2470">
        <f>YEAR(SalesData[[#This Row],[Order Date]])</f>
        <v>2015</v>
      </c>
      <c r="K2470" t="str">
        <f>TEXT(SalesData[[#This Row],[Order Date]],"mmm")</f>
        <v>Jan</v>
      </c>
      <c r="L2470">
        <f>MONTH(SalesData[[#This Row],[Order Date]])</f>
        <v>1</v>
      </c>
      <c r="M2470">
        <f>SalesData[[#This Row],[Sales]]/SalesData[[#This Row],[Quantity]]</f>
        <v>6.48</v>
      </c>
      <c r="N2470" t="str">
        <f>IF(SalesData[[#This Row],[Profit]]&gt;0,"Profit","Loss")</f>
        <v>Profit</v>
      </c>
    </row>
    <row r="2471" spans="1:14" x14ac:dyDescent="0.3">
      <c r="A2471" t="s">
        <v>1117</v>
      </c>
      <c r="B2471" s="3">
        <v>42016</v>
      </c>
      <c r="C2471" t="s">
        <v>9</v>
      </c>
      <c r="D2471" t="s">
        <v>21</v>
      </c>
      <c r="E2471" t="s">
        <v>1119</v>
      </c>
      <c r="F2471" s="1">
        <v>3.64</v>
      </c>
      <c r="G2471">
        <v>2</v>
      </c>
      <c r="H2471" s="1">
        <v>1.0192000000000001</v>
      </c>
      <c r="I2471" s="4">
        <f>SalesData[[#This Row],[Profit]]/SalesData[[#This Row],[Sales]]</f>
        <v>0.28000000000000003</v>
      </c>
      <c r="J2471">
        <f>YEAR(SalesData[[#This Row],[Order Date]])</f>
        <v>2015</v>
      </c>
      <c r="K2471" t="str">
        <f>TEXT(SalesData[[#This Row],[Order Date]],"mmm")</f>
        <v>Jan</v>
      </c>
      <c r="L2471">
        <f>MONTH(SalesData[[#This Row],[Order Date]])</f>
        <v>1</v>
      </c>
      <c r="M2471">
        <f>SalesData[[#This Row],[Sales]]/SalesData[[#This Row],[Quantity]]</f>
        <v>1.82</v>
      </c>
      <c r="N2471" t="str">
        <f>IF(SalesData[[#This Row],[Profit]]&gt;0,"Profit","Loss")</f>
        <v>Profit</v>
      </c>
    </row>
    <row r="2472" spans="1:14" x14ac:dyDescent="0.3">
      <c r="A2472" t="s">
        <v>1117</v>
      </c>
      <c r="B2472" s="3">
        <v>42016</v>
      </c>
      <c r="C2472" t="s">
        <v>9</v>
      </c>
      <c r="D2472" t="s">
        <v>21</v>
      </c>
      <c r="E2472" t="s">
        <v>969</v>
      </c>
      <c r="F2472" s="1">
        <v>18.54</v>
      </c>
      <c r="G2472">
        <v>2</v>
      </c>
      <c r="H2472" s="1">
        <v>8.7138000000000009</v>
      </c>
      <c r="I2472" s="4">
        <f>SalesData[[#This Row],[Profit]]/SalesData[[#This Row],[Sales]]</f>
        <v>0.47000000000000008</v>
      </c>
      <c r="J2472">
        <f>YEAR(SalesData[[#This Row],[Order Date]])</f>
        <v>2015</v>
      </c>
      <c r="K2472" t="str">
        <f>TEXT(SalesData[[#This Row],[Order Date]],"mmm")</f>
        <v>Jan</v>
      </c>
      <c r="L2472">
        <f>MONTH(SalesData[[#This Row],[Order Date]])</f>
        <v>1</v>
      </c>
      <c r="M2472">
        <f>SalesData[[#This Row],[Sales]]/SalesData[[#This Row],[Quantity]]</f>
        <v>9.27</v>
      </c>
      <c r="N2472" t="str">
        <f>IF(SalesData[[#This Row],[Profit]]&gt;0,"Profit","Loss")</f>
        <v>Profit</v>
      </c>
    </row>
    <row r="2473" spans="1:14" x14ac:dyDescent="0.3">
      <c r="A2473" t="s">
        <v>1120</v>
      </c>
      <c r="B2473" s="3">
        <v>42036</v>
      </c>
      <c r="C2473" t="s">
        <v>17</v>
      </c>
      <c r="D2473" t="s">
        <v>21</v>
      </c>
      <c r="E2473" t="s">
        <v>1121</v>
      </c>
      <c r="F2473" s="1">
        <v>23.68</v>
      </c>
      <c r="G2473">
        <v>2</v>
      </c>
      <c r="H2473" s="1">
        <v>8.8800000000000008</v>
      </c>
      <c r="I2473" s="4">
        <f>SalesData[[#This Row],[Profit]]/SalesData[[#This Row],[Sales]]</f>
        <v>0.37500000000000006</v>
      </c>
      <c r="J2473">
        <f>YEAR(SalesData[[#This Row],[Order Date]])</f>
        <v>2015</v>
      </c>
      <c r="K2473" t="str">
        <f>TEXT(SalesData[[#This Row],[Order Date]],"mmm")</f>
        <v>Feb</v>
      </c>
      <c r="L2473">
        <f>MONTH(SalesData[[#This Row],[Order Date]])</f>
        <v>2</v>
      </c>
      <c r="M2473">
        <f>SalesData[[#This Row],[Sales]]/SalesData[[#This Row],[Quantity]]</f>
        <v>11.84</v>
      </c>
      <c r="N2473" t="str">
        <f>IF(SalesData[[#This Row],[Profit]]&gt;0,"Profit","Loss")</f>
        <v>Profit</v>
      </c>
    </row>
    <row r="2474" spans="1:14" x14ac:dyDescent="0.3">
      <c r="A2474" t="s">
        <v>1120</v>
      </c>
      <c r="B2474" s="3">
        <v>42036</v>
      </c>
      <c r="C2474" t="s">
        <v>17</v>
      </c>
      <c r="D2474" t="s">
        <v>14</v>
      </c>
      <c r="E2474" t="s">
        <v>1122</v>
      </c>
      <c r="F2474" s="1">
        <v>452.45</v>
      </c>
      <c r="G2474">
        <v>5</v>
      </c>
      <c r="H2474" s="1">
        <v>-244.32300000000001</v>
      </c>
      <c r="I2474" s="4">
        <f>SalesData[[#This Row],[Profit]]/SalesData[[#This Row],[Sales]]</f>
        <v>-0.54</v>
      </c>
      <c r="J2474">
        <f>YEAR(SalesData[[#This Row],[Order Date]])</f>
        <v>2015</v>
      </c>
      <c r="K2474" t="str">
        <f>TEXT(SalesData[[#This Row],[Order Date]],"mmm")</f>
        <v>Feb</v>
      </c>
      <c r="L2474">
        <f>MONTH(SalesData[[#This Row],[Order Date]])</f>
        <v>2</v>
      </c>
      <c r="M2474">
        <f>SalesData[[#This Row],[Sales]]/SalesData[[#This Row],[Quantity]]</f>
        <v>90.49</v>
      </c>
      <c r="N2474" t="str">
        <f>IF(SalesData[[#This Row],[Profit]]&gt;0,"Profit","Loss")</f>
        <v>Loss</v>
      </c>
    </row>
    <row r="2475" spans="1:14" x14ac:dyDescent="0.3">
      <c r="A2475" t="s">
        <v>1120</v>
      </c>
      <c r="B2475" s="3">
        <v>42036</v>
      </c>
      <c r="C2475" t="s">
        <v>17</v>
      </c>
      <c r="D2475" t="s">
        <v>10</v>
      </c>
      <c r="E2475" t="s">
        <v>1123</v>
      </c>
      <c r="F2475" s="1">
        <v>62.981999999999999</v>
      </c>
      <c r="G2475">
        <v>3</v>
      </c>
      <c r="H2475" s="1">
        <v>-14.6958</v>
      </c>
      <c r="I2475" s="4">
        <f>SalesData[[#This Row],[Profit]]/SalesData[[#This Row],[Sales]]</f>
        <v>-0.23333333333333334</v>
      </c>
      <c r="J2475">
        <f>YEAR(SalesData[[#This Row],[Order Date]])</f>
        <v>2015</v>
      </c>
      <c r="K2475" t="str">
        <f>TEXT(SalesData[[#This Row],[Order Date]],"mmm")</f>
        <v>Feb</v>
      </c>
      <c r="L2475">
        <f>MONTH(SalesData[[#This Row],[Order Date]])</f>
        <v>2</v>
      </c>
      <c r="M2475">
        <f>SalesData[[#This Row],[Sales]]/SalesData[[#This Row],[Quantity]]</f>
        <v>20.994</v>
      </c>
      <c r="N2475" t="str">
        <f>IF(SalesData[[#This Row],[Profit]]&gt;0,"Profit","Loss")</f>
        <v>Loss</v>
      </c>
    </row>
    <row r="2476" spans="1:14" x14ac:dyDescent="0.3">
      <c r="A2476" t="s">
        <v>1120</v>
      </c>
      <c r="B2476" s="3">
        <v>42036</v>
      </c>
      <c r="C2476" t="s">
        <v>17</v>
      </c>
      <c r="D2476" t="s">
        <v>10</v>
      </c>
      <c r="E2476" t="s">
        <v>1124</v>
      </c>
      <c r="F2476" s="1">
        <v>1188</v>
      </c>
      <c r="G2476">
        <v>9</v>
      </c>
      <c r="H2476" s="1">
        <v>-950.4</v>
      </c>
      <c r="I2476" s="4">
        <f>SalesData[[#This Row],[Profit]]/SalesData[[#This Row],[Sales]]</f>
        <v>-0.79999999999999993</v>
      </c>
      <c r="J2476">
        <f>YEAR(SalesData[[#This Row],[Order Date]])</f>
        <v>2015</v>
      </c>
      <c r="K2476" t="str">
        <f>TEXT(SalesData[[#This Row],[Order Date]],"mmm")</f>
        <v>Feb</v>
      </c>
      <c r="L2476">
        <f>MONTH(SalesData[[#This Row],[Order Date]])</f>
        <v>2</v>
      </c>
      <c r="M2476">
        <f>SalesData[[#This Row],[Sales]]/SalesData[[#This Row],[Quantity]]</f>
        <v>132</v>
      </c>
      <c r="N2476" t="str">
        <f>IF(SalesData[[#This Row],[Profit]]&gt;0,"Profit","Loss")</f>
        <v>Loss</v>
      </c>
    </row>
    <row r="2477" spans="1:14" x14ac:dyDescent="0.3">
      <c r="A2477" t="s">
        <v>1120</v>
      </c>
      <c r="B2477" s="3">
        <v>42036</v>
      </c>
      <c r="C2477" t="s">
        <v>17</v>
      </c>
      <c r="D2477" t="s">
        <v>10</v>
      </c>
      <c r="E2477" t="s">
        <v>734</v>
      </c>
      <c r="F2477" s="1">
        <v>89.584000000000003</v>
      </c>
      <c r="G2477">
        <v>2</v>
      </c>
      <c r="H2477" s="1">
        <v>4.4791999999999996</v>
      </c>
      <c r="I2477" s="4">
        <f>SalesData[[#This Row],[Profit]]/SalesData[[#This Row],[Sales]]</f>
        <v>4.9999999999999996E-2</v>
      </c>
      <c r="J2477">
        <f>YEAR(SalesData[[#This Row],[Order Date]])</f>
        <v>2015</v>
      </c>
      <c r="K2477" t="str">
        <f>TEXT(SalesData[[#This Row],[Order Date]],"mmm")</f>
        <v>Feb</v>
      </c>
      <c r="L2477">
        <f>MONTH(SalesData[[#This Row],[Order Date]])</f>
        <v>2</v>
      </c>
      <c r="M2477">
        <f>SalesData[[#This Row],[Sales]]/SalesData[[#This Row],[Quantity]]</f>
        <v>44.792000000000002</v>
      </c>
      <c r="N2477" t="str">
        <f>IF(SalesData[[#This Row],[Profit]]&gt;0,"Profit","Loss")</f>
        <v>Profit</v>
      </c>
    </row>
    <row r="2478" spans="1:14" x14ac:dyDescent="0.3">
      <c r="A2478" t="s">
        <v>1125</v>
      </c>
      <c r="B2478" s="3">
        <v>42036</v>
      </c>
      <c r="C2478" t="s">
        <v>17</v>
      </c>
      <c r="D2478" t="s">
        <v>21</v>
      </c>
      <c r="E2478" t="s">
        <v>1126</v>
      </c>
      <c r="F2478" s="1">
        <v>85.52</v>
      </c>
      <c r="G2478">
        <v>2</v>
      </c>
      <c r="H2478" s="1">
        <v>22.235199999999999</v>
      </c>
      <c r="I2478" s="4">
        <f>SalesData[[#This Row],[Profit]]/SalesData[[#This Row],[Sales]]</f>
        <v>0.26</v>
      </c>
      <c r="J2478">
        <f>YEAR(SalesData[[#This Row],[Order Date]])</f>
        <v>2015</v>
      </c>
      <c r="K2478" t="str">
        <f>TEXT(SalesData[[#This Row],[Order Date]],"mmm")</f>
        <v>Feb</v>
      </c>
      <c r="L2478">
        <f>MONTH(SalesData[[#This Row],[Order Date]])</f>
        <v>2</v>
      </c>
      <c r="M2478">
        <f>SalesData[[#This Row],[Sales]]/SalesData[[#This Row],[Quantity]]</f>
        <v>42.76</v>
      </c>
      <c r="N2478" t="str">
        <f>IF(SalesData[[#This Row],[Profit]]&gt;0,"Profit","Loss")</f>
        <v>Profit</v>
      </c>
    </row>
    <row r="2479" spans="1:14" x14ac:dyDescent="0.3">
      <c r="A2479" t="s">
        <v>1125</v>
      </c>
      <c r="B2479" s="3">
        <v>42036</v>
      </c>
      <c r="C2479" t="s">
        <v>17</v>
      </c>
      <c r="D2479" t="s">
        <v>21</v>
      </c>
      <c r="E2479" t="s">
        <v>1127</v>
      </c>
      <c r="F2479" s="1">
        <v>9.84</v>
      </c>
      <c r="G2479">
        <v>3</v>
      </c>
      <c r="H2479" s="1">
        <v>2.6568000000000001</v>
      </c>
      <c r="I2479" s="4">
        <f>SalesData[[#This Row],[Profit]]/SalesData[[#This Row],[Sales]]</f>
        <v>0.27</v>
      </c>
      <c r="J2479">
        <f>YEAR(SalesData[[#This Row],[Order Date]])</f>
        <v>2015</v>
      </c>
      <c r="K2479" t="str">
        <f>TEXT(SalesData[[#This Row],[Order Date]],"mmm")</f>
        <v>Feb</v>
      </c>
      <c r="L2479">
        <f>MONTH(SalesData[[#This Row],[Order Date]])</f>
        <v>2</v>
      </c>
      <c r="M2479">
        <f>SalesData[[#This Row],[Sales]]/SalesData[[#This Row],[Quantity]]</f>
        <v>3.28</v>
      </c>
      <c r="N2479" t="str">
        <f>IF(SalesData[[#This Row],[Profit]]&gt;0,"Profit","Loss")</f>
        <v>Profit</v>
      </c>
    </row>
    <row r="2480" spans="1:14" x14ac:dyDescent="0.3">
      <c r="A2480" t="s">
        <v>1125</v>
      </c>
      <c r="B2480" s="3">
        <v>42036</v>
      </c>
      <c r="C2480" t="s">
        <v>17</v>
      </c>
      <c r="D2480" t="s">
        <v>21</v>
      </c>
      <c r="E2480" t="s">
        <v>1128</v>
      </c>
      <c r="F2480" s="1">
        <v>20.04</v>
      </c>
      <c r="G2480">
        <v>3</v>
      </c>
      <c r="H2480" s="1">
        <v>9.6191999999999993</v>
      </c>
      <c r="I2480" s="4">
        <f>SalesData[[#This Row],[Profit]]/SalesData[[#This Row],[Sales]]</f>
        <v>0.48</v>
      </c>
      <c r="J2480">
        <f>YEAR(SalesData[[#This Row],[Order Date]])</f>
        <v>2015</v>
      </c>
      <c r="K2480" t="str">
        <f>TEXT(SalesData[[#This Row],[Order Date]],"mmm")</f>
        <v>Feb</v>
      </c>
      <c r="L2480">
        <f>MONTH(SalesData[[#This Row],[Order Date]])</f>
        <v>2</v>
      </c>
      <c r="M2480">
        <f>SalesData[[#This Row],[Sales]]/SalesData[[#This Row],[Quantity]]</f>
        <v>6.68</v>
      </c>
      <c r="N2480" t="str">
        <f>IF(SalesData[[#This Row],[Profit]]&gt;0,"Profit","Loss")</f>
        <v>Profit</v>
      </c>
    </row>
    <row r="2481" spans="1:14" x14ac:dyDescent="0.3">
      <c r="A2481" t="s">
        <v>1129</v>
      </c>
      <c r="B2481" s="3">
        <v>42038</v>
      </c>
      <c r="C2481" t="s">
        <v>13</v>
      </c>
      <c r="D2481" t="s">
        <v>14</v>
      </c>
      <c r="E2481" t="s">
        <v>289</v>
      </c>
      <c r="F2481" s="1">
        <v>787.53</v>
      </c>
      <c r="G2481">
        <v>3</v>
      </c>
      <c r="H2481" s="1">
        <v>165.38130000000001</v>
      </c>
      <c r="I2481" s="4">
        <f>SalesData[[#This Row],[Profit]]/SalesData[[#This Row],[Sales]]</f>
        <v>0.21000000000000002</v>
      </c>
      <c r="J2481">
        <f>YEAR(SalesData[[#This Row],[Order Date]])</f>
        <v>2015</v>
      </c>
      <c r="K2481" t="str">
        <f>TEXT(SalesData[[#This Row],[Order Date]],"mmm")</f>
        <v>Feb</v>
      </c>
      <c r="L2481">
        <f>MONTH(SalesData[[#This Row],[Order Date]])</f>
        <v>2</v>
      </c>
      <c r="M2481">
        <f>SalesData[[#This Row],[Sales]]/SalesData[[#This Row],[Quantity]]</f>
        <v>262.51</v>
      </c>
      <c r="N2481" t="str">
        <f>IF(SalesData[[#This Row],[Profit]]&gt;0,"Profit","Loss")</f>
        <v>Profit</v>
      </c>
    </row>
    <row r="2482" spans="1:14" x14ac:dyDescent="0.3">
      <c r="A2482" t="s">
        <v>1130</v>
      </c>
      <c r="B2482" s="3">
        <v>42038</v>
      </c>
      <c r="C2482" t="s">
        <v>9</v>
      </c>
      <c r="D2482" t="s">
        <v>21</v>
      </c>
      <c r="E2482" t="s">
        <v>957</v>
      </c>
      <c r="F2482" s="1">
        <v>10.16</v>
      </c>
      <c r="G2482">
        <v>1</v>
      </c>
      <c r="H2482" s="1">
        <v>2.6415999999999999</v>
      </c>
      <c r="I2482" s="4">
        <f>SalesData[[#This Row],[Profit]]/SalesData[[#This Row],[Sales]]</f>
        <v>0.26</v>
      </c>
      <c r="J2482">
        <f>YEAR(SalesData[[#This Row],[Order Date]])</f>
        <v>2015</v>
      </c>
      <c r="K2482" t="str">
        <f>TEXT(SalesData[[#This Row],[Order Date]],"mmm")</f>
        <v>Feb</v>
      </c>
      <c r="L2482">
        <f>MONTH(SalesData[[#This Row],[Order Date]])</f>
        <v>2</v>
      </c>
      <c r="M2482">
        <f>SalesData[[#This Row],[Sales]]/SalesData[[#This Row],[Quantity]]</f>
        <v>10.16</v>
      </c>
      <c r="N2482" t="str">
        <f>IF(SalesData[[#This Row],[Profit]]&gt;0,"Profit","Loss")</f>
        <v>Profit</v>
      </c>
    </row>
    <row r="2483" spans="1:14" x14ac:dyDescent="0.3">
      <c r="A2483" t="s">
        <v>1130</v>
      </c>
      <c r="B2483" s="3">
        <v>42038</v>
      </c>
      <c r="C2483" t="s">
        <v>9</v>
      </c>
      <c r="D2483" t="s">
        <v>21</v>
      </c>
      <c r="E2483" t="s">
        <v>1131</v>
      </c>
      <c r="F2483" s="1">
        <v>101.88</v>
      </c>
      <c r="G2483">
        <v>6</v>
      </c>
      <c r="H2483" s="1">
        <v>50.94</v>
      </c>
      <c r="I2483" s="4">
        <f>SalesData[[#This Row],[Profit]]/SalesData[[#This Row],[Sales]]</f>
        <v>0.5</v>
      </c>
      <c r="J2483">
        <f>YEAR(SalesData[[#This Row],[Order Date]])</f>
        <v>2015</v>
      </c>
      <c r="K2483" t="str">
        <f>TEXT(SalesData[[#This Row],[Order Date]],"mmm")</f>
        <v>Feb</v>
      </c>
      <c r="L2483">
        <f>MONTH(SalesData[[#This Row],[Order Date]])</f>
        <v>2</v>
      </c>
      <c r="M2483">
        <f>SalesData[[#This Row],[Sales]]/SalesData[[#This Row],[Quantity]]</f>
        <v>16.98</v>
      </c>
      <c r="N2483" t="str">
        <f>IF(SalesData[[#This Row],[Profit]]&gt;0,"Profit","Loss")</f>
        <v>Profit</v>
      </c>
    </row>
    <row r="2484" spans="1:14" x14ac:dyDescent="0.3">
      <c r="A2484" t="s">
        <v>1132</v>
      </c>
      <c r="B2484" s="3">
        <v>42039</v>
      </c>
      <c r="C2484" t="s">
        <v>9</v>
      </c>
      <c r="D2484" t="s">
        <v>21</v>
      </c>
      <c r="E2484" t="s">
        <v>1133</v>
      </c>
      <c r="F2484" s="1">
        <v>32.192</v>
      </c>
      <c r="G2484">
        <v>2</v>
      </c>
      <c r="H2484" s="1">
        <v>-80.48</v>
      </c>
      <c r="I2484" s="4">
        <f>SalesData[[#This Row],[Profit]]/SalesData[[#This Row],[Sales]]</f>
        <v>-2.5</v>
      </c>
      <c r="J2484">
        <f>YEAR(SalesData[[#This Row],[Order Date]])</f>
        <v>2015</v>
      </c>
      <c r="K2484" t="str">
        <f>TEXT(SalesData[[#This Row],[Order Date]],"mmm")</f>
        <v>Feb</v>
      </c>
      <c r="L2484">
        <f>MONTH(SalesData[[#This Row],[Order Date]])</f>
        <v>2</v>
      </c>
      <c r="M2484">
        <f>SalesData[[#This Row],[Sales]]/SalesData[[#This Row],[Quantity]]</f>
        <v>16.096</v>
      </c>
      <c r="N2484" t="str">
        <f>IF(SalesData[[#This Row],[Profit]]&gt;0,"Profit","Loss")</f>
        <v>Loss</v>
      </c>
    </row>
    <row r="2485" spans="1:14" x14ac:dyDescent="0.3">
      <c r="A2485" t="s">
        <v>1132</v>
      </c>
      <c r="B2485" s="3">
        <v>42039</v>
      </c>
      <c r="C2485" t="s">
        <v>9</v>
      </c>
      <c r="D2485" t="s">
        <v>10</v>
      </c>
      <c r="E2485" t="s">
        <v>179</v>
      </c>
      <c r="F2485" s="1">
        <v>50.12</v>
      </c>
      <c r="G2485">
        <v>7</v>
      </c>
      <c r="H2485" s="1">
        <v>-0.62649999999999995</v>
      </c>
      <c r="I2485" s="4">
        <f>SalesData[[#This Row],[Profit]]/SalesData[[#This Row],[Sales]]</f>
        <v>-1.2499999999999999E-2</v>
      </c>
      <c r="J2485">
        <f>YEAR(SalesData[[#This Row],[Order Date]])</f>
        <v>2015</v>
      </c>
      <c r="K2485" t="str">
        <f>TEXT(SalesData[[#This Row],[Order Date]],"mmm")</f>
        <v>Feb</v>
      </c>
      <c r="L2485">
        <f>MONTH(SalesData[[#This Row],[Order Date]])</f>
        <v>2</v>
      </c>
      <c r="M2485">
        <f>SalesData[[#This Row],[Sales]]/SalesData[[#This Row],[Quantity]]</f>
        <v>7.1599999999999993</v>
      </c>
      <c r="N2485" t="str">
        <f>IF(SalesData[[#This Row],[Profit]]&gt;0,"Profit","Loss")</f>
        <v>Loss</v>
      </c>
    </row>
    <row r="2486" spans="1:14" x14ac:dyDescent="0.3">
      <c r="A2486" t="s">
        <v>1132</v>
      </c>
      <c r="B2486" s="3">
        <v>42039</v>
      </c>
      <c r="C2486" t="s">
        <v>9</v>
      </c>
      <c r="D2486" t="s">
        <v>10</v>
      </c>
      <c r="E2486" t="s">
        <v>1134</v>
      </c>
      <c r="F2486" s="1">
        <v>47.975999999999999</v>
      </c>
      <c r="G2486">
        <v>3</v>
      </c>
      <c r="H2486" s="1">
        <v>1.7990999999999999</v>
      </c>
      <c r="I2486" s="4">
        <f>SalesData[[#This Row],[Profit]]/SalesData[[#This Row],[Sales]]</f>
        <v>3.7499999999999999E-2</v>
      </c>
      <c r="J2486">
        <f>YEAR(SalesData[[#This Row],[Order Date]])</f>
        <v>2015</v>
      </c>
      <c r="K2486" t="str">
        <f>TEXT(SalesData[[#This Row],[Order Date]],"mmm")</f>
        <v>Feb</v>
      </c>
      <c r="L2486">
        <f>MONTH(SalesData[[#This Row],[Order Date]])</f>
        <v>2</v>
      </c>
      <c r="M2486">
        <f>SalesData[[#This Row],[Sales]]/SalesData[[#This Row],[Quantity]]</f>
        <v>15.991999999999999</v>
      </c>
      <c r="N2486" t="str">
        <f>IF(SalesData[[#This Row],[Profit]]&gt;0,"Profit","Loss")</f>
        <v>Profit</v>
      </c>
    </row>
    <row r="2487" spans="1:14" x14ac:dyDescent="0.3">
      <c r="A2487" t="s">
        <v>1135</v>
      </c>
      <c r="B2487" s="3">
        <v>42039</v>
      </c>
      <c r="C2487" t="s">
        <v>9</v>
      </c>
      <c r="D2487" t="s">
        <v>21</v>
      </c>
      <c r="E2487" t="s">
        <v>1136</v>
      </c>
      <c r="F2487" s="1">
        <v>9.1560000000000006</v>
      </c>
      <c r="G2487">
        <v>3</v>
      </c>
      <c r="H2487" s="1">
        <v>-13.734</v>
      </c>
      <c r="I2487" s="4">
        <f>SalesData[[#This Row],[Profit]]/SalesData[[#This Row],[Sales]]</f>
        <v>-1.5</v>
      </c>
      <c r="J2487">
        <f>YEAR(SalesData[[#This Row],[Order Date]])</f>
        <v>2015</v>
      </c>
      <c r="K2487" t="str">
        <f>TEXT(SalesData[[#This Row],[Order Date]],"mmm")</f>
        <v>Feb</v>
      </c>
      <c r="L2487">
        <f>MONTH(SalesData[[#This Row],[Order Date]])</f>
        <v>2</v>
      </c>
      <c r="M2487">
        <f>SalesData[[#This Row],[Sales]]/SalesData[[#This Row],[Quantity]]</f>
        <v>3.052</v>
      </c>
      <c r="N2487" t="str">
        <f>IF(SalesData[[#This Row],[Profit]]&gt;0,"Profit","Loss")</f>
        <v>Loss</v>
      </c>
    </row>
    <row r="2488" spans="1:14" x14ac:dyDescent="0.3">
      <c r="A2488" t="s">
        <v>1137</v>
      </c>
      <c r="B2488" s="3">
        <v>42039</v>
      </c>
      <c r="C2488" t="s">
        <v>13</v>
      </c>
      <c r="D2488" t="s">
        <v>10</v>
      </c>
      <c r="E2488" t="s">
        <v>1138</v>
      </c>
      <c r="F2488" s="1">
        <v>71.975999999999999</v>
      </c>
      <c r="G2488">
        <v>3</v>
      </c>
      <c r="H2488" s="1">
        <v>24.291899999999998</v>
      </c>
      <c r="I2488" s="4">
        <f>SalesData[[#This Row],[Profit]]/SalesData[[#This Row],[Sales]]</f>
        <v>0.33749999999999997</v>
      </c>
      <c r="J2488">
        <f>YEAR(SalesData[[#This Row],[Order Date]])</f>
        <v>2015</v>
      </c>
      <c r="K2488" t="str">
        <f>TEXT(SalesData[[#This Row],[Order Date]],"mmm")</f>
        <v>Feb</v>
      </c>
      <c r="L2488">
        <f>MONTH(SalesData[[#This Row],[Order Date]])</f>
        <v>2</v>
      </c>
      <c r="M2488">
        <f>SalesData[[#This Row],[Sales]]/SalesData[[#This Row],[Quantity]]</f>
        <v>23.992000000000001</v>
      </c>
      <c r="N2488" t="str">
        <f>IF(SalesData[[#This Row],[Profit]]&gt;0,"Profit","Loss")</f>
        <v>Profit</v>
      </c>
    </row>
    <row r="2489" spans="1:14" x14ac:dyDescent="0.3">
      <c r="A2489" t="s">
        <v>1139</v>
      </c>
      <c r="B2489" s="3">
        <v>42039</v>
      </c>
      <c r="C2489" t="s">
        <v>13</v>
      </c>
      <c r="D2489" t="s">
        <v>10</v>
      </c>
      <c r="E2489" t="s">
        <v>721</v>
      </c>
      <c r="F2489" s="1">
        <v>87.8</v>
      </c>
      <c r="G2489">
        <v>5</v>
      </c>
      <c r="H2489" s="1">
        <v>32.924999999999997</v>
      </c>
      <c r="I2489" s="4">
        <f>SalesData[[#This Row],[Profit]]/SalesData[[#This Row],[Sales]]</f>
        <v>0.375</v>
      </c>
      <c r="J2489">
        <f>YEAR(SalesData[[#This Row],[Order Date]])</f>
        <v>2015</v>
      </c>
      <c r="K2489" t="str">
        <f>TEXT(SalesData[[#This Row],[Order Date]],"mmm")</f>
        <v>Feb</v>
      </c>
      <c r="L2489">
        <f>MONTH(SalesData[[#This Row],[Order Date]])</f>
        <v>2</v>
      </c>
      <c r="M2489">
        <f>SalesData[[#This Row],[Sales]]/SalesData[[#This Row],[Quantity]]</f>
        <v>17.559999999999999</v>
      </c>
      <c r="N2489" t="str">
        <f>IF(SalesData[[#This Row],[Profit]]&gt;0,"Profit","Loss")</f>
        <v>Profit</v>
      </c>
    </row>
    <row r="2490" spans="1:14" x14ac:dyDescent="0.3">
      <c r="A2490" t="s">
        <v>1140</v>
      </c>
      <c r="B2490" s="3">
        <v>42040</v>
      </c>
      <c r="C2490" t="s">
        <v>9</v>
      </c>
      <c r="D2490" t="s">
        <v>21</v>
      </c>
      <c r="E2490" t="s">
        <v>1006</v>
      </c>
      <c r="F2490" s="1">
        <v>8.8559999999999999</v>
      </c>
      <c r="G2490">
        <v>3</v>
      </c>
      <c r="H2490" s="1">
        <v>2.9889000000000001</v>
      </c>
      <c r="I2490" s="4">
        <f>SalesData[[#This Row],[Profit]]/SalesData[[#This Row],[Sales]]</f>
        <v>0.33750000000000002</v>
      </c>
      <c r="J2490">
        <f>YEAR(SalesData[[#This Row],[Order Date]])</f>
        <v>2015</v>
      </c>
      <c r="K2490" t="str">
        <f>TEXT(SalesData[[#This Row],[Order Date]],"mmm")</f>
        <v>Feb</v>
      </c>
      <c r="L2490">
        <f>MONTH(SalesData[[#This Row],[Order Date]])</f>
        <v>2</v>
      </c>
      <c r="M2490">
        <f>SalesData[[#This Row],[Sales]]/SalesData[[#This Row],[Quantity]]</f>
        <v>2.952</v>
      </c>
      <c r="N2490" t="str">
        <f>IF(SalesData[[#This Row],[Profit]]&gt;0,"Profit","Loss")</f>
        <v>Profit</v>
      </c>
    </row>
    <row r="2491" spans="1:14" x14ac:dyDescent="0.3">
      <c r="A2491" t="s">
        <v>1140</v>
      </c>
      <c r="B2491" s="3">
        <v>42040</v>
      </c>
      <c r="C2491" t="s">
        <v>9</v>
      </c>
      <c r="D2491" t="s">
        <v>10</v>
      </c>
      <c r="E2491" t="s">
        <v>195</v>
      </c>
      <c r="F2491" s="1">
        <v>158.376</v>
      </c>
      <c r="G2491">
        <v>3</v>
      </c>
      <c r="H2491" s="1">
        <v>13.857900000000001</v>
      </c>
      <c r="I2491" s="4">
        <f>SalesData[[#This Row],[Profit]]/SalesData[[#This Row],[Sales]]</f>
        <v>8.7500000000000008E-2</v>
      </c>
      <c r="J2491">
        <f>YEAR(SalesData[[#This Row],[Order Date]])</f>
        <v>2015</v>
      </c>
      <c r="K2491" t="str">
        <f>TEXT(SalesData[[#This Row],[Order Date]],"mmm")</f>
        <v>Feb</v>
      </c>
      <c r="L2491">
        <f>MONTH(SalesData[[#This Row],[Order Date]])</f>
        <v>2</v>
      </c>
      <c r="M2491">
        <f>SalesData[[#This Row],[Sales]]/SalesData[[#This Row],[Quantity]]</f>
        <v>52.792000000000002</v>
      </c>
      <c r="N2491" t="str">
        <f>IF(SalesData[[#This Row],[Profit]]&gt;0,"Profit","Loss")</f>
        <v>Profit</v>
      </c>
    </row>
    <row r="2492" spans="1:14" x14ac:dyDescent="0.3">
      <c r="A2492" t="s">
        <v>1141</v>
      </c>
      <c r="B2492" s="3">
        <v>42042</v>
      </c>
      <c r="C2492" t="s">
        <v>9</v>
      </c>
      <c r="D2492" t="s">
        <v>21</v>
      </c>
      <c r="E2492" t="s">
        <v>628</v>
      </c>
      <c r="F2492" s="1">
        <v>32.783999999999999</v>
      </c>
      <c r="G2492">
        <v>4</v>
      </c>
      <c r="H2492" s="1">
        <v>-85.238399999999999</v>
      </c>
      <c r="I2492" s="4">
        <f>SalesData[[#This Row],[Profit]]/SalesData[[#This Row],[Sales]]</f>
        <v>-2.6</v>
      </c>
      <c r="J2492">
        <f>YEAR(SalesData[[#This Row],[Order Date]])</f>
        <v>2015</v>
      </c>
      <c r="K2492" t="str">
        <f>TEXT(SalesData[[#This Row],[Order Date]],"mmm")</f>
        <v>Feb</v>
      </c>
      <c r="L2492">
        <f>MONTH(SalesData[[#This Row],[Order Date]])</f>
        <v>2</v>
      </c>
      <c r="M2492">
        <f>SalesData[[#This Row],[Sales]]/SalesData[[#This Row],[Quantity]]</f>
        <v>8.1959999999999997</v>
      </c>
      <c r="N2492" t="str">
        <f>IF(SalesData[[#This Row],[Profit]]&gt;0,"Profit","Loss")</f>
        <v>Loss</v>
      </c>
    </row>
    <row r="2493" spans="1:14" x14ac:dyDescent="0.3">
      <c r="A2493" t="s">
        <v>1142</v>
      </c>
      <c r="B2493" s="3">
        <v>42042</v>
      </c>
      <c r="C2493" t="s">
        <v>9</v>
      </c>
      <c r="D2493" t="s">
        <v>14</v>
      </c>
      <c r="E2493" t="s">
        <v>1143</v>
      </c>
      <c r="F2493" s="1">
        <v>408.42200000000003</v>
      </c>
      <c r="G2493">
        <v>2</v>
      </c>
      <c r="H2493" s="1">
        <v>-5.8346</v>
      </c>
      <c r="I2493" s="4">
        <f>SalesData[[#This Row],[Profit]]/SalesData[[#This Row],[Sales]]</f>
        <v>-1.4285714285714285E-2</v>
      </c>
      <c r="J2493">
        <f>YEAR(SalesData[[#This Row],[Order Date]])</f>
        <v>2015</v>
      </c>
      <c r="K2493" t="str">
        <f>TEXT(SalesData[[#This Row],[Order Date]],"mmm")</f>
        <v>Feb</v>
      </c>
      <c r="L2493">
        <f>MONTH(SalesData[[#This Row],[Order Date]])</f>
        <v>2</v>
      </c>
      <c r="M2493">
        <f>SalesData[[#This Row],[Sales]]/SalesData[[#This Row],[Quantity]]</f>
        <v>204.21100000000001</v>
      </c>
      <c r="N2493" t="str">
        <f>IF(SalesData[[#This Row],[Profit]]&gt;0,"Profit","Loss")</f>
        <v>Loss</v>
      </c>
    </row>
    <row r="2494" spans="1:14" x14ac:dyDescent="0.3">
      <c r="A2494" t="s">
        <v>1142</v>
      </c>
      <c r="B2494" s="3">
        <v>42042</v>
      </c>
      <c r="C2494" t="s">
        <v>9</v>
      </c>
      <c r="D2494" t="s">
        <v>14</v>
      </c>
      <c r="E2494" t="s">
        <v>1144</v>
      </c>
      <c r="F2494" s="1">
        <v>382.11599999999999</v>
      </c>
      <c r="G2494">
        <v>6</v>
      </c>
      <c r="H2494" s="1">
        <v>-92.799599999999998</v>
      </c>
      <c r="I2494" s="4">
        <f>SalesData[[#This Row],[Profit]]/SalesData[[#This Row],[Sales]]</f>
        <v>-0.24285714285714285</v>
      </c>
      <c r="J2494">
        <f>YEAR(SalesData[[#This Row],[Order Date]])</f>
        <v>2015</v>
      </c>
      <c r="K2494" t="str">
        <f>TEXT(SalesData[[#This Row],[Order Date]],"mmm")</f>
        <v>Feb</v>
      </c>
      <c r="L2494">
        <f>MONTH(SalesData[[#This Row],[Order Date]])</f>
        <v>2</v>
      </c>
      <c r="M2494">
        <f>SalesData[[#This Row],[Sales]]/SalesData[[#This Row],[Quantity]]</f>
        <v>63.686</v>
      </c>
      <c r="N2494" t="str">
        <f>IF(SalesData[[#This Row],[Profit]]&gt;0,"Profit","Loss")</f>
        <v>Loss</v>
      </c>
    </row>
    <row r="2495" spans="1:14" x14ac:dyDescent="0.3">
      <c r="A2495" t="s">
        <v>1142</v>
      </c>
      <c r="B2495" s="3">
        <v>42042</v>
      </c>
      <c r="C2495" t="s">
        <v>9</v>
      </c>
      <c r="D2495" t="s">
        <v>21</v>
      </c>
      <c r="E2495" t="s">
        <v>1145</v>
      </c>
      <c r="F2495" s="1">
        <v>68.599999999999994</v>
      </c>
      <c r="G2495">
        <v>5</v>
      </c>
      <c r="H2495" s="1">
        <v>6.0025000000000004</v>
      </c>
      <c r="I2495" s="4">
        <f>SalesData[[#This Row],[Profit]]/SalesData[[#This Row],[Sales]]</f>
        <v>8.7500000000000008E-2</v>
      </c>
      <c r="J2495">
        <f>YEAR(SalesData[[#This Row],[Order Date]])</f>
        <v>2015</v>
      </c>
      <c r="K2495" t="str">
        <f>TEXT(SalesData[[#This Row],[Order Date]],"mmm")</f>
        <v>Feb</v>
      </c>
      <c r="L2495">
        <f>MONTH(SalesData[[#This Row],[Order Date]])</f>
        <v>2</v>
      </c>
      <c r="M2495">
        <f>SalesData[[#This Row],[Sales]]/SalesData[[#This Row],[Quantity]]</f>
        <v>13.719999999999999</v>
      </c>
      <c r="N2495" t="str">
        <f>IF(SalesData[[#This Row],[Profit]]&gt;0,"Profit","Loss")</f>
        <v>Profit</v>
      </c>
    </row>
    <row r="2496" spans="1:14" x14ac:dyDescent="0.3">
      <c r="A2496" t="s">
        <v>1142</v>
      </c>
      <c r="B2496" s="3">
        <v>42042</v>
      </c>
      <c r="C2496" t="s">
        <v>9</v>
      </c>
      <c r="D2496" t="s">
        <v>21</v>
      </c>
      <c r="E2496" t="s">
        <v>192</v>
      </c>
      <c r="F2496" s="1">
        <v>435.50400000000002</v>
      </c>
      <c r="G2496">
        <v>3</v>
      </c>
      <c r="H2496" s="1">
        <v>48.994199999999999</v>
      </c>
      <c r="I2496" s="4">
        <f>SalesData[[#This Row],[Profit]]/SalesData[[#This Row],[Sales]]</f>
        <v>0.11249999999999999</v>
      </c>
      <c r="J2496">
        <f>YEAR(SalesData[[#This Row],[Order Date]])</f>
        <v>2015</v>
      </c>
      <c r="K2496" t="str">
        <f>TEXT(SalesData[[#This Row],[Order Date]],"mmm")</f>
        <v>Feb</v>
      </c>
      <c r="L2496">
        <f>MONTH(SalesData[[#This Row],[Order Date]])</f>
        <v>2</v>
      </c>
      <c r="M2496">
        <f>SalesData[[#This Row],[Sales]]/SalesData[[#This Row],[Quantity]]</f>
        <v>145.16800000000001</v>
      </c>
      <c r="N2496" t="str">
        <f>IF(SalesData[[#This Row],[Profit]]&gt;0,"Profit","Loss")</f>
        <v>Profit</v>
      </c>
    </row>
    <row r="2497" spans="1:14" x14ac:dyDescent="0.3">
      <c r="A2497" t="s">
        <v>1142</v>
      </c>
      <c r="B2497" s="3">
        <v>42042</v>
      </c>
      <c r="C2497" t="s">
        <v>9</v>
      </c>
      <c r="D2497" t="s">
        <v>21</v>
      </c>
      <c r="E2497" t="s">
        <v>431</v>
      </c>
      <c r="F2497" s="1">
        <v>11.167999999999999</v>
      </c>
      <c r="G2497">
        <v>2</v>
      </c>
      <c r="H2497" s="1">
        <v>3.7692000000000001</v>
      </c>
      <c r="I2497" s="4">
        <f>SalesData[[#This Row],[Profit]]/SalesData[[#This Row],[Sales]]</f>
        <v>0.33750000000000002</v>
      </c>
      <c r="J2497">
        <f>YEAR(SalesData[[#This Row],[Order Date]])</f>
        <v>2015</v>
      </c>
      <c r="K2497" t="str">
        <f>TEXT(SalesData[[#This Row],[Order Date]],"mmm")</f>
        <v>Feb</v>
      </c>
      <c r="L2497">
        <f>MONTH(SalesData[[#This Row],[Order Date]])</f>
        <v>2</v>
      </c>
      <c r="M2497">
        <f>SalesData[[#This Row],[Sales]]/SalesData[[#This Row],[Quantity]]</f>
        <v>5.5839999999999996</v>
      </c>
      <c r="N2497" t="str">
        <f>IF(SalesData[[#This Row],[Profit]]&gt;0,"Profit","Loss")</f>
        <v>Profit</v>
      </c>
    </row>
    <row r="2498" spans="1:14" x14ac:dyDescent="0.3">
      <c r="A2498" t="s">
        <v>1146</v>
      </c>
      <c r="B2498" s="3">
        <v>42042</v>
      </c>
      <c r="C2498" t="s">
        <v>46</v>
      </c>
      <c r="D2498" t="s">
        <v>21</v>
      </c>
      <c r="E2498" t="s">
        <v>94</v>
      </c>
      <c r="F2498" s="1">
        <v>11.952</v>
      </c>
      <c r="G2498">
        <v>3</v>
      </c>
      <c r="H2498" s="1">
        <v>4.0338000000000003</v>
      </c>
      <c r="I2498" s="4">
        <f>SalesData[[#This Row],[Profit]]/SalesData[[#This Row],[Sales]]</f>
        <v>0.33750000000000002</v>
      </c>
      <c r="J2498">
        <f>YEAR(SalesData[[#This Row],[Order Date]])</f>
        <v>2015</v>
      </c>
      <c r="K2498" t="str">
        <f>TEXT(SalesData[[#This Row],[Order Date]],"mmm")</f>
        <v>Feb</v>
      </c>
      <c r="L2498">
        <f>MONTH(SalesData[[#This Row],[Order Date]])</f>
        <v>2</v>
      </c>
      <c r="M2498">
        <f>SalesData[[#This Row],[Sales]]/SalesData[[#This Row],[Quantity]]</f>
        <v>3.984</v>
      </c>
      <c r="N2498" t="str">
        <f>IF(SalesData[[#This Row],[Profit]]&gt;0,"Profit","Loss")</f>
        <v>Profit</v>
      </c>
    </row>
    <row r="2499" spans="1:14" x14ac:dyDescent="0.3">
      <c r="A2499" t="s">
        <v>1146</v>
      </c>
      <c r="B2499" s="3">
        <v>42042</v>
      </c>
      <c r="C2499" t="s">
        <v>46</v>
      </c>
      <c r="D2499" t="s">
        <v>21</v>
      </c>
      <c r="E2499" t="s">
        <v>394</v>
      </c>
      <c r="F2499" s="1">
        <v>15.552</v>
      </c>
      <c r="G2499">
        <v>3</v>
      </c>
      <c r="H2499" s="1">
        <v>5.6375999999999999</v>
      </c>
      <c r="I2499" s="4">
        <f>SalesData[[#This Row],[Profit]]/SalesData[[#This Row],[Sales]]</f>
        <v>0.36249999999999999</v>
      </c>
      <c r="J2499">
        <f>YEAR(SalesData[[#This Row],[Order Date]])</f>
        <v>2015</v>
      </c>
      <c r="K2499" t="str">
        <f>TEXT(SalesData[[#This Row],[Order Date]],"mmm")</f>
        <v>Feb</v>
      </c>
      <c r="L2499">
        <f>MONTH(SalesData[[#This Row],[Order Date]])</f>
        <v>2</v>
      </c>
      <c r="M2499">
        <f>SalesData[[#This Row],[Sales]]/SalesData[[#This Row],[Quantity]]</f>
        <v>5.1840000000000002</v>
      </c>
      <c r="N2499" t="str">
        <f>IF(SalesData[[#This Row],[Profit]]&gt;0,"Profit","Loss")</f>
        <v>Profit</v>
      </c>
    </row>
    <row r="2500" spans="1:14" x14ac:dyDescent="0.3">
      <c r="A2500" t="s">
        <v>1147</v>
      </c>
      <c r="B2500" s="3">
        <v>42042</v>
      </c>
      <c r="C2500" t="s">
        <v>17</v>
      </c>
      <c r="D2500" t="s">
        <v>21</v>
      </c>
      <c r="E2500" t="s">
        <v>323</v>
      </c>
      <c r="F2500" s="1">
        <v>19.440000000000001</v>
      </c>
      <c r="G2500">
        <v>3</v>
      </c>
      <c r="H2500" s="1">
        <v>9.3312000000000008</v>
      </c>
      <c r="I2500" s="4">
        <f>SalesData[[#This Row],[Profit]]/SalesData[[#This Row],[Sales]]</f>
        <v>0.48000000000000004</v>
      </c>
      <c r="J2500">
        <f>YEAR(SalesData[[#This Row],[Order Date]])</f>
        <v>2015</v>
      </c>
      <c r="K2500" t="str">
        <f>TEXT(SalesData[[#This Row],[Order Date]],"mmm")</f>
        <v>Feb</v>
      </c>
      <c r="L2500">
        <f>MONTH(SalesData[[#This Row],[Order Date]])</f>
        <v>2</v>
      </c>
      <c r="M2500">
        <f>SalesData[[#This Row],[Sales]]/SalesData[[#This Row],[Quantity]]</f>
        <v>6.48</v>
      </c>
      <c r="N2500" t="str">
        <f>IF(SalesData[[#This Row],[Profit]]&gt;0,"Profit","Loss")</f>
        <v>Profit</v>
      </c>
    </row>
    <row r="2501" spans="1:14" x14ac:dyDescent="0.3">
      <c r="A2501" t="s">
        <v>1148</v>
      </c>
      <c r="B2501" s="3">
        <v>42042</v>
      </c>
      <c r="C2501" t="s">
        <v>46</v>
      </c>
      <c r="D2501" t="s">
        <v>10</v>
      </c>
      <c r="E2501" t="s">
        <v>954</v>
      </c>
      <c r="F2501" s="1">
        <v>74.239999999999995</v>
      </c>
      <c r="G2501">
        <v>1</v>
      </c>
      <c r="H2501" s="1">
        <v>8.3520000000000003</v>
      </c>
      <c r="I2501" s="4">
        <f>SalesData[[#This Row],[Profit]]/SalesData[[#This Row],[Sales]]</f>
        <v>0.11250000000000002</v>
      </c>
      <c r="J2501">
        <f>YEAR(SalesData[[#This Row],[Order Date]])</f>
        <v>2015</v>
      </c>
      <c r="K2501" t="str">
        <f>TEXT(SalesData[[#This Row],[Order Date]],"mmm")</f>
        <v>Feb</v>
      </c>
      <c r="L2501">
        <f>MONTH(SalesData[[#This Row],[Order Date]])</f>
        <v>2</v>
      </c>
      <c r="M2501">
        <f>SalesData[[#This Row],[Sales]]/SalesData[[#This Row],[Quantity]]</f>
        <v>74.239999999999995</v>
      </c>
      <c r="N2501" t="str">
        <f>IF(SalesData[[#This Row],[Profit]]&gt;0,"Profit","Loss")</f>
        <v>Profit</v>
      </c>
    </row>
    <row r="2502" spans="1:14" x14ac:dyDescent="0.3">
      <c r="A2502" t="s">
        <v>1148</v>
      </c>
      <c r="B2502" s="3">
        <v>42042</v>
      </c>
      <c r="C2502" t="s">
        <v>46</v>
      </c>
      <c r="D2502" t="s">
        <v>14</v>
      </c>
      <c r="E2502" t="s">
        <v>1149</v>
      </c>
      <c r="F2502" s="1">
        <v>159.84</v>
      </c>
      <c r="G2502">
        <v>10</v>
      </c>
      <c r="H2502" s="1">
        <v>45.954000000000001</v>
      </c>
      <c r="I2502" s="4">
        <f>SalesData[[#This Row],[Profit]]/SalesData[[#This Row],[Sales]]</f>
        <v>0.28749999999999998</v>
      </c>
      <c r="J2502">
        <f>YEAR(SalesData[[#This Row],[Order Date]])</f>
        <v>2015</v>
      </c>
      <c r="K2502" t="str">
        <f>TEXT(SalesData[[#This Row],[Order Date]],"mmm")</f>
        <v>Feb</v>
      </c>
      <c r="L2502">
        <f>MONTH(SalesData[[#This Row],[Order Date]])</f>
        <v>2</v>
      </c>
      <c r="M2502">
        <f>SalesData[[#This Row],[Sales]]/SalesData[[#This Row],[Quantity]]</f>
        <v>15.984</v>
      </c>
      <c r="N2502" t="str">
        <f>IF(SalesData[[#This Row],[Profit]]&gt;0,"Profit","Loss")</f>
        <v>Profit</v>
      </c>
    </row>
    <row r="2503" spans="1:14" x14ac:dyDescent="0.3">
      <c r="A2503" t="s">
        <v>1148</v>
      </c>
      <c r="B2503" s="3">
        <v>42042</v>
      </c>
      <c r="C2503" t="s">
        <v>46</v>
      </c>
      <c r="D2503" t="s">
        <v>21</v>
      </c>
      <c r="E2503" t="s">
        <v>879</v>
      </c>
      <c r="F2503" s="1">
        <v>2.8919999999999999</v>
      </c>
      <c r="G2503">
        <v>2</v>
      </c>
      <c r="H2503" s="1">
        <v>-2.3136000000000001</v>
      </c>
      <c r="I2503" s="4">
        <f>SalesData[[#This Row],[Profit]]/SalesData[[#This Row],[Sales]]</f>
        <v>-0.8</v>
      </c>
      <c r="J2503">
        <f>YEAR(SalesData[[#This Row],[Order Date]])</f>
        <v>2015</v>
      </c>
      <c r="K2503" t="str">
        <f>TEXT(SalesData[[#This Row],[Order Date]],"mmm")</f>
        <v>Feb</v>
      </c>
      <c r="L2503">
        <f>MONTH(SalesData[[#This Row],[Order Date]])</f>
        <v>2</v>
      </c>
      <c r="M2503">
        <f>SalesData[[#This Row],[Sales]]/SalesData[[#This Row],[Quantity]]</f>
        <v>1.446</v>
      </c>
      <c r="N2503" t="str">
        <f>IF(SalesData[[#This Row],[Profit]]&gt;0,"Profit","Loss")</f>
        <v>Loss</v>
      </c>
    </row>
    <row r="2504" spans="1:14" x14ac:dyDescent="0.3">
      <c r="A2504" t="s">
        <v>1148</v>
      </c>
      <c r="B2504" s="3">
        <v>42042</v>
      </c>
      <c r="C2504" t="s">
        <v>46</v>
      </c>
      <c r="D2504" t="s">
        <v>21</v>
      </c>
      <c r="E2504" t="s">
        <v>1150</v>
      </c>
      <c r="F2504" s="1">
        <v>9.3919999999999995</v>
      </c>
      <c r="G2504">
        <v>2</v>
      </c>
      <c r="H2504" s="1">
        <v>3.2871999999999999</v>
      </c>
      <c r="I2504" s="4">
        <f>SalesData[[#This Row],[Profit]]/SalesData[[#This Row],[Sales]]</f>
        <v>0.35000000000000003</v>
      </c>
      <c r="J2504">
        <f>YEAR(SalesData[[#This Row],[Order Date]])</f>
        <v>2015</v>
      </c>
      <c r="K2504" t="str">
        <f>TEXT(SalesData[[#This Row],[Order Date]],"mmm")</f>
        <v>Feb</v>
      </c>
      <c r="L2504">
        <f>MONTH(SalesData[[#This Row],[Order Date]])</f>
        <v>2</v>
      </c>
      <c r="M2504">
        <f>SalesData[[#This Row],[Sales]]/SalesData[[#This Row],[Quantity]]</f>
        <v>4.6959999999999997</v>
      </c>
      <c r="N2504" t="str">
        <f>IF(SalesData[[#This Row],[Profit]]&gt;0,"Profit","Loss")</f>
        <v>Profit</v>
      </c>
    </row>
    <row r="2505" spans="1:14" x14ac:dyDescent="0.3">
      <c r="A2505" t="s">
        <v>1151</v>
      </c>
      <c r="B2505" s="3">
        <v>42043</v>
      </c>
      <c r="C2505" t="s">
        <v>13</v>
      </c>
      <c r="D2505" t="s">
        <v>21</v>
      </c>
      <c r="E2505" t="s">
        <v>1152</v>
      </c>
      <c r="F2505" s="1">
        <v>6.3680000000000003</v>
      </c>
      <c r="G2505">
        <v>2</v>
      </c>
      <c r="H2505" s="1">
        <v>2.1492</v>
      </c>
      <c r="I2505" s="4">
        <f>SalesData[[#This Row],[Profit]]/SalesData[[#This Row],[Sales]]</f>
        <v>0.33749999999999997</v>
      </c>
      <c r="J2505">
        <f>YEAR(SalesData[[#This Row],[Order Date]])</f>
        <v>2015</v>
      </c>
      <c r="K2505" t="str">
        <f>TEXT(SalesData[[#This Row],[Order Date]],"mmm")</f>
        <v>Feb</v>
      </c>
      <c r="L2505">
        <f>MONTH(SalesData[[#This Row],[Order Date]])</f>
        <v>2</v>
      </c>
      <c r="M2505">
        <f>SalesData[[#This Row],[Sales]]/SalesData[[#This Row],[Quantity]]</f>
        <v>3.1840000000000002</v>
      </c>
      <c r="N2505" t="str">
        <f>IF(SalesData[[#This Row],[Profit]]&gt;0,"Profit","Loss")</f>
        <v>Profit</v>
      </c>
    </row>
    <row r="2506" spans="1:14" x14ac:dyDescent="0.3">
      <c r="A2506" t="s">
        <v>1151</v>
      </c>
      <c r="B2506" s="3">
        <v>42043</v>
      </c>
      <c r="C2506" t="s">
        <v>13</v>
      </c>
      <c r="D2506" t="s">
        <v>10</v>
      </c>
      <c r="E2506" t="s">
        <v>1153</v>
      </c>
      <c r="F2506" s="1">
        <v>558.4</v>
      </c>
      <c r="G2506">
        <v>2</v>
      </c>
      <c r="H2506" s="1">
        <v>41.88</v>
      </c>
      <c r="I2506" s="4">
        <f>SalesData[[#This Row],[Profit]]/SalesData[[#This Row],[Sales]]</f>
        <v>7.5000000000000011E-2</v>
      </c>
      <c r="J2506">
        <f>YEAR(SalesData[[#This Row],[Order Date]])</f>
        <v>2015</v>
      </c>
      <c r="K2506" t="str">
        <f>TEXT(SalesData[[#This Row],[Order Date]],"mmm")</f>
        <v>Feb</v>
      </c>
      <c r="L2506">
        <f>MONTH(SalesData[[#This Row],[Order Date]])</f>
        <v>2</v>
      </c>
      <c r="M2506">
        <f>SalesData[[#This Row],[Sales]]/SalesData[[#This Row],[Quantity]]</f>
        <v>279.2</v>
      </c>
      <c r="N2506" t="str">
        <f>IF(SalesData[[#This Row],[Profit]]&gt;0,"Profit","Loss")</f>
        <v>Profit</v>
      </c>
    </row>
    <row r="2507" spans="1:14" x14ac:dyDescent="0.3">
      <c r="A2507" t="s">
        <v>1154</v>
      </c>
      <c r="B2507" s="3">
        <v>42043</v>
      </c>
      <c r="C2507" t="s">
        <v>17</v>
      </c>
      <c r="D2507" t="s">
        <v>10</v>
      </c>
      <c r="E2507" t="s">
        <v>1096</v>
      </c>
      <c r="F2507" s="1">
        <v>128.85</v>
      </c>
      <c r="G2507">
        <v>3</v>
      </c>
      <c r="H2507" s="1">
        <v>3.8654999999999999</v>
      </c>
      <c r="I2507" s="4">
        <f>SalesData[[#This Row],[Profit]]/SalesData[[#This Row],[Sales]]</f>
        <v>3.0000000000000002E-2</v>
      </c>
      <c r="J2507">
        <f>YEAR(SalesData[[#This Row],[Order Date]])</f>
        <v>2015</v>
      </c>
      <c r="K2507" t="str">
        <f>TEXT(SalesData[[#This Row],[Order Date]],"mmm")</f>
        <v>Feb</v>
      </c>
      <c r="L2507">
        <f>MONTH(SalesData[[#This Row],[Order Date]])</f>
        <v>2</v>
      </c>
      <c r="M2507">
        <f>SalesData[[#This Row],[Sales]]/SalesData[[#This Row],[Quantity]]</f>
        <v>42.949999999999996</v>
      </c>
      <c r="N2507" t="str">
        <f>IF(SalesData[[#This Row],[Profit]]&gt;0,"Profit","Loss")</f>
        <v>Profit</v>
      </c>
    </row>
    <row r="2508" spans="1:14" x14ac:dyDescent="0.3">
      <c r="A2508" t="s">
        <v>1154</v>
      </c>
      <c r="B2508" s="3">
        <v>42043</v>
      </c>
      <c r="C2508" t="s">
        <v>17</v>
      </c>
      <c r="D2508" t="s">
        <v>21</v>
      </c>
      <c r="E2508" t="s">
        <v>1155</v>
      </c>
      <c r="F2508" s="1">
        <v>8.4</v>
      </c>
      <c r="G2508">
        <v>2</v>
      </c>
      <c r="H2508" s="1">
        <v>4.1159999999999997</v>
      </c>
      <c r="I2508" s="4">
        <f>SalesData[[#This Row],[Profit]]/SalesData[[#This Row],[Sales]]</f>
        <v>0.48999999999999994</v>
      </c>
      <c r="J2508">
        <f>YEAR(SalesData[[#This Row],[Order Date]])</f>
        <v>2015</v>
      </c>
      <c r="K2508" t="str">
        <f>TEXT(SalesData[[#This Row],[Order Date]],"mmm")</f>
        <v>Feb</v>
      </c>
      <c r="L2508">
        <f>MONTH(SalesData[[#This Row],[Order Date]])</f>
        <v>2</v>
      </c>
      <c r="M2508">
        <f>SalesData[[#This Row],[Sales]]/SalesData[[#This Row],[Quantity]]</f>
        <v>4.2</v>
      </c>
      <c r="N2508" t="str">
        <f>IF(SalesData[[#This Row],[Profit]]&gt;0,"Profit","Loss")</f>
        <v>Profit</v>
      </c>
    </row>
    <row r="2509" spans="1:14" x14ac:dyDescent="0.3">
      <c r="A2509" t="s">
        <v>1154</v>
      </c>
      <c r="B2509" s="3">
        <v>42043</v>
      </c>
      <c r="C2509" t="s">
        <v>17</v>
      </c>
      <c r="D2509" t="s">
        <v>10</v>
      </c>
      <c r="E2509" t="s">
        <v>533</v>
      </c>
      <c r="F2509" s="1">
        <v>199.98</v>
      </c>
      <c r="G2509">
        <v>2</v>
      </c>
      <c r="H2509" s="1">
        <v>83.991600000000005</v>
      </c>
      <c r="I2509" s="4">
        <f>SalesData[[#This Row],[Profit]]/SalesData[[#This Row],[Sales]]</f>
        <v>0.42000000000000004</v>
      </c>
      <c r="J2509">
        <f>YEAR(SalesData[[#This Row],[Order Date]])</f>
        <v>2015</v>
      </c>
      <c r="K2509" t="str">
        <f>TEXT(SalesData[[#This Row],[Order Date]],"mmm")</f>
        <v>Feb</v>
      </c>
      <c r="L2509">
        <f>MONTH(SalesData[[#This Row],[Order Date]])</f>
        <v>2</v>
      </c>
      <c r="M2509">
        <f>SalesData[[#This Row],[Sales]]/SalesData[[#This Row],[Quantity]]</f>
        <v>99.99</v>
      </c>
      <c r="N2509" t="str">
        <f>IF(SalesData[[#This Row],[Profit]]&gt;0,"Profit","Loss")</f>
        <v>Profit</v>
      </c>
    </row>
    <row r="2510" spans="1:14" x14ac:dyDescent="0.3">
      <c r="A2510" t="s">
        <v>1154</v>
      </c>
      <c r="B2510" s="3">
        <v>42043</v>
      </c>
      <c r="C2510" t="s">
        <v>17</v>
      </c>
      <c r="D2510" t="s">
        <v>14</v>
      </c>
      <c r="E2510" t="s">
        <v>1156</v>
      </c>
      <c r="F2510" s="1">
        <v>110.98</v>
      </c>
      <c r="G2510">
        <v>1</v>
      </c>
      <c r="H2510" s="1">
        <v>15.5372</v>
      </c>
      <c r="I2510" s="4">
        <f>SalesData[[#This Row],[Profit]]/SalesData[[#This Row],[Sales]]</f>
        <v>0.13999999999999999</v>
      </c>
      <c r="J2510">
        <f>YEAR(SalesData[[#This Row],[Order Date]])</f>
        <v>2015</v>
      </c>
      <c r="K2510" t="str">
        <f>TEXT(SalesData[[#This Row],[Order Date]],"mmm")</f>
        <v>Feb</v>
      </c>
      <c r="L2510">
        <f>MONTH(SalesData[[#This Row],[Order Date]])</f>
        <v>2</v>
      </c>
      <c r="M2510">
        <f>SalesData[[#This Row],[Sales]]/SalesData[[#This Row],[Quantity]]</f>
        <v>110.98</v>
      </c>
      <c r="N2510" t="str">
        <f>IF(SalesData[[#This Row],[Profit]]&gt;0,"Profit","Loss")</f>
        <v>Profit</v>
      </c>
    </row>
    <row r="2511" spans="1:14" x14ac:dyDescent="0.3">
      <c r="A2511" t="s">
        <v>1157</v>
      </c>
      <c r="B2511" s="3">
        <v>42043</v>
      </c>
      <c r="C2511" t="s">
        <v>13</v>
      </c>
      <c r="D2511" t="s">
        <v>14</v>
      </c>
      <c r="E2511" t="s">
        <v>584</v>
      </c>
      <c r="F2511" s="1">
        <v>277.5</v>
      </c>
      <c r="G2511">
        <v>4</v>
      </c>
      <c r="H2511" s="1">
        <v>-188.7</v>
      </c>
      <c r="I2511" s="4">
        <f>SalesData[[#This Row],[Profit]]/SalesData[[#This Row],[Sales]]</f>
        <v>-0.67999999999999994</v>
      </c>
      <c r="J2511">
        <f>YEAR(SalesData[[#This Row],[Order Date]])</f>
        <v>2015</v>
      </c>
      <c r="K2511" t="str">
        <f>TEXT(SalesData[[#This Row],[Order Date]],"mmm")</f>
        <v>Feb</v>
      </c>
      <c r="L2511">
        <f>MONTH(SalesData[[#This Row],[Order Date]])</f>
        <v>2</v>
      </c>
      <c r="M2511">
        <f>SalesData[[#This Row],[Sales]]/SalesData[[#This Row],[Quantity]]</f>
        <v>69.375</v>
      </c>
      <c r="N2511" t="str">
        <f>IF(SalesData[[#This Row],[Profit]]&gt;0,"Profit","Loss")</f>
        <v>Loss</v>
      </c>
    </row>
    <row r="2512" spans="1:14" x14ac:dyDescent="0.3">
      <c r="A2512" t="s">
        <v>1158</v>
      </c>
      <c r="B2512" s="3">
        <v>42045</v>
      </c>
      <c r="C2512" t="s">
        <v>13</v>
      </c>
      <c r="D2512" t="s">
        <v>21</v>
      </c>
      <c r="E2512" t="s">
        <v>851</v>
      </c>
      <c r="F2512" s="1">
        <v>57.503999999999998</v>
      </c>
      <c r="G2512">
        <v>6</v>
      </c>
      <c r="H2512" s="1">
        <v>20.1264</v>
      </c>
      <c r="I2512" s="4">
        <f>SalesData[[#This Row],[Profit]]/SalesData[[#This Row],[Sales]]</f>
        <v>0.35000000000000003</v>
      </c>
      <c r="J2512">
        <f>YEAR(SalesData[[#This Row],[Order Date]])</f>
        <v>2015</v>
      </c>
      <c r="K2512" t="str">
        <f>TEXT(SalesData[[#This Row],[Order Date]],"mmm")</f>
        <v>Feb</v>
      </c>
      <c r="L2512">
        <f>MONTH(SalesData[[#This Row],[Order Date]])</f>
        <v>2</v>
      </c>
      <c r="M2512">
        <f>SalesData[[#This Row],[Sales]]/SalesData[[#This Row],[Quantity]]</f>
        <v>9.5839999999999996</v>
      </c>
      <c r="N2512" t="str">
        <f>IF(SalesData[[#This Row],[Profit]]&gt;0,"Profit","Loss")</f>
        <v>Profit</v>
      </c>
    </row>
    <row r="2513" spans="1:14" x14ac:dyDescent="0.3">
      <c r="A2513" t="s">
        <v>1159</v>
      </c>
      <c r="B2513" s="3">
        <v>42045</v>
      </c>
      <c r="C2513" t="s">
        <v>17</v>
      </c>
      <c r="D2513" t="s">
        <v>21</v>
      </c>
      <c r="E2513" t="s">
        <v>1160</v>
      </c>
      <c r="F2513" s="1">
        <v>94.85</v>
      </c>
      <c r="G2513">
        <v>5</v>
      </c>
      <c r="H2513" s="1">
        <v>45.527999999999999</v>
      </c>
      <c r="I2513" s="4">
        <f>SalesData[[#This Row],[Profit]]/SalesData[[#This Row],[Sales]]</f>
        <v>0.48000000000000004</v>
      </c>
      <c r="J2513">
        <f>YEAR(SalesData[[#This Row],[Order Date]])</f>
        <v>2015</v>
      </c>
      <c r="K2513" t="str">
        <f>TEXT(SalesData[[#This Row],[Order Date]],"mmm")</f>
        <v>Feb</v>
      </c>
      <c r="L2513">
        <f>MONTH(SalesData[[#This Row],[Order Date]])</f>
        <v>2</v>
      </c>
      <c r="M2513">
        <f>SalesData[[#This Row],[Sales]]/SalesData[[#This Row],[Quantity]]</f>
        <v>18.97</v>
      </c>
      <c r="N2513" t="str">
        <f>IF(SalesData[[#This Row],[Profit]]&gt;0,"Profit","Loss")</f>
        <v>Profit</v>
      </c>
    </row>
    <row r="2514" spans="1:14" x14ac:dyDescent="0.3">
      <c r="A2514" t="s">
        <v>1159</v>
      </c>
      <c r="B2514" s="3">
        <v>42045</v>
      </c>
      <c r="C2514" t="s">
        <v>17</v>
      </c>
      <c r="D2514" t="s">
        <v>21</v>
      </c>
      <c r="E2514" t="s">
        <v>677</v>
      </c>
      <c r="F2514" s="1">
        <v>51.12</v>
      </c>
      <c r="G2514">
        <v>4</v>
      </c>
      <c r="H2514" s="1">
        <v>23.004000000000001</v>
      </c>
      <c r="I2514" s="4">
        <f>SalesData[[#This Row],[Profit]]/SalesData[[#This Row],[Sales]]</f>
        <v>0.45000000000000007</v>
      </c>
      <c r="J2514">
        <f>YEAR(SalesData[[#This Row],[Order Date]])</f>
        <v>2015</v>
      </c>
      <c r="K2514" t="str">
        <f>TEXT(SalesData[[#This Row],[Order Date]],"mmm")</f>
        <v>Feb</v>
      </c>
      <c r="L2514">
        <f>MONTH(SalesData[[#This Row],[Order Date]])</f>
        <v>2</v>
      </c>
      <c r="M2514">
        <f>SalesData[[#This Row],[Sales]]/SalesData[[#This Row],[Quantity]]</f>
        <v>12.78</v>
      </c>
      <c r="N2514" t="str">
        <f>IF(SalesData[[#This Row],[Profit]]&gt;0,"Profit","Loss")</f>
        <v>Profit</v>
      </c>
    </row>
    <row r="2515" spans="1:14" x14ac:dyDescent="0.3">
      <c r="A2515" t="s">
        <v>1159</v>
      </c>
      <c r="B2515" s="3">
        <v>42045</v>
      </c>
      <c r="C2515" t="s">
        <v>17</v>
      </c>
      <c r="D2515" t="s">
        <v>10</v>
      </c>
      <c r="E2515" t="s">
        <v>366</v>
      </c>
      <c r="F2515" s="1">
        <v>90</v>
      </c>
      <c r="G2515">
        <v>1</v>
      </c>
      <c r="H2515" s="1">
        <v>32.4</v>
      </c>
      <c r="I2515" s="4">
        <f>SalesData[[#This Row],[Profit]]/SalesData[[#This Row],[Sales]]</f>
        <v>0.36</v>
      </c>
      <c r="J2515">
        <f>YEAR(SalesData[[#This Row],[Order Date]])</f>
        <v>2015</v>
      </c>
      <c r="K2515" t="str">
        <f>TEXT(SalesData[[#This Row],[Order Date]],"mmm")</f>
        <v>Feb</v>
      </c>
      <c r="L2515">
        <f>MONTH(SalesData[[#This Row],[Order Date]])</f>
        <v>2</v>
      </c>
      <c r="M2515">
        <f>SalesData[[#This Row],[Sales]]/SalesData[[#This Row],[Quantity]]</f>
        <v>90</v>
      </c>
      <c r="N2515" t="str">
        <f>IF(SalesData[[#This Row],[Profit]]&gt;0,"Profit","Loss")</f>
        <v>Profit</v>
      </c>
    </row>
    <row r="2516" spans="1:14" x14ac:dyDescent="0.3">
      <c r="A2516" t="s">
        <v>1161</v>
      </c>
      <c r="B2516" s="3">
        <v>42045</v>
      </c>
      <c r="C2516" t="s">
        <v>13</v>
      </c>
      <c r="D2516" t="s">
        <v>21</v>
      </c>
      <c r="E2516" t="s">
        <v>1162</v>
      </c>
      <c r="F2516" s="1">
        <v>270.33999999999997</v>
      </c>
      <c r="G2516">
        <v>14</v>
      </c>
      <c r="H2516" s="1">
        <v>75.6952</v>
      </c>
      <c r="I2516" s="4">
        <f>SalesData[[#This Row],[Profit]]/SalesData[[#This Row],[Sales]]</f>
        <v>0.28000000000000003</v>
      </c>
      <c r="J2516">
        <f>YEAR(SalesData[[#This Row],[Order Date]])</f>
        <v>2015</v>
      </c>
      <c r="K2516" t="str">
        <f>TEXT(SalesData[[#This Row],[Order Date]],"mmm")</f>
        <v>Feb</v>
      </c>
      <c r="L2516">
        <f>MONTH(SalesData[[#This Row],[Order Date]])</f>
        <v>2</v>
      </c>
      <c r="M2516">
        <f>SalesData[[#This Row],[Sales]]/SalesData[[#This Row],[Quantity]]</f>
        <v>19.309999999999999</v>
      </c>
      <c r="N2516" t="str">
        <f>IF(SalesData[[#This Row],[Profit]]&gt;0,"Profit","Loss")</f>
        <v>Profit</v>
      </c>
    </row>
    <row r="2517" spans="1:14" x14ac:dyDescent="0.3">
      <c r="A2517" t="s">
        <v>1163</v>
      </c>
      <c r="B2517" s="3">
        <v>42045</v>
      </c>
      <c r="C2517" t="s">
        <v>46</v>
      </c>
      <c r="D2517" t="s">
        <v>21</v>
      </c>
      <c r="E2517" t="s">
        <v>1164</v>
      </c>
      <c r="F2517" s="1">
        <v>7.38</v>
      </c>
      <c r="G2517">
        <v>5</v>
      </c>
      <c r="H2517" s="1">
        <v>-5.4119999999999999</v>
      </c>
      <c r="I2517" s="4">
        <f>SalesData[[#This Row],[Profit]]/SalesData[[#This Row],[Sales]]</f>
        <v>-0.73333333333333328</v>
      </c>
      <c r="J2517">
        <f>YEAR(SalesData[[#This Row],[Order Date]])</f>
        <v>2015</v>
      </c>
      <c r="K2517" t="str">
        <f>TEXT(SalesData[[#This Row],[Order Date]],"mmm")</f>
        <v>Feb</v>
      </c>
      <c r="L2517">
        <f>MONTH(SalesData[[#This Row],[Order Date]])</f>
        <v>2</v>
      </c>
      <c r="M2517">
        <f>SalesData[[#This Row],[Sales]]/SalesData[[#This Row],[Quantity]]</f>
        <v>1.476</v>
      </c>
      <c r="N2517" t="str">
        <f>IF(SalesData[[#This Row],[Profit]]&gt;0,"Profit","Loss")</f>
        <v>Loss</v>
      </c>
    </row>
    <row r="2518" spans="1:14" x14ac:dyDescent="0.3">
      <c r="A2518" t="s">
        <v>1165</v>
      </c>
      <c r="B2518" s="3">
        <v>42045</v>
      </c>
      <c r="C2518" t="s">
        <v>13</v>
      </c>
      <c r="D2518" t="s">
        <v>21</v>
      </c>
      <c r="E2518" t="s">
        <v>1164</v>
      </c>
      <c r="F2518" s="1">
        <v>11.808</v>
      </c>
      <c r="G2518">
        <v>3</v>
      </c>
      <c r="H2518" s="1">
        <v>4.1327999999999996</v>
      </c>
      <c r="I2518" s="4">
        <f>SalesData[[#This Row],[Profit]]/SalesData[[#This Row],[Sales]]</f>
        <v>0.35</v>
      </c>
      <c r="J2518">
        <f>YEAR(SalesData[[#This Row],[Order Date]])</f>
        <v>2015</v>
      </c>
      <c r="K2518" t="str">
        <f>TEXT(SalesData[[#This Row],[Order Date]],"mmm")</f>
        <v>Feb</v>
      </c>
      <c r="L2518">
        <f>MONTH(SalesData[[#This Row],[Order Date]])</f>
        <v>2</v>
      </c>
      <c r="M2518">
        <f>SalesData[[#This Row],[Sales]]/SalesData[[#This Row],[Quantity]]</f>
        <v>3.9359999999999999</v>
      </c>
      <c r="N2518" t="str">
        <f>IF(SalesData[[#This Row],[Profit]]&gt;0,"Profit","Loss")</f>
        <v>Profit</v>
      </c>
    </row>
    <row r="2519" spans="1:14" x14ac:dyDescent="0.3">
      <c r="A2519" t="s">
        <v>1165</v>
      </c>
      <c r="B2519" s="3">
        <v>42045</v>
      </c>
      <c r="C2519" t="s">
        <v>13</v>
      </c>
      <c r="D2519" t="s">
        <v>21</v>
      </c>
      <c r="E2519" t="s">
        <v>240</v>
      </c>
      <c r="F2519" s="1">
        <v>53.567999999999998</v>
      </c>
      <c r="G2519">
        <v>4</v>
      </c>
      <c r="H2519" s="1">
        <v>19.418399999999998</v>
      </c>
      <c r="I2519" s="4">
        <f>SalesData[[#This Row],[Profit]]/SalesData[[#This Row],[Sales]]</f>
        <v>0.36249999999999999</v>
      </c>
      <c r="J2519">
        <f>YEAR(SalesData[[#This Row],[Order Date]])</f>
        <v>2015</v>
      </c>
      <c r="K2519" t="str">
        <f>TEXT(SalesData[[#This Row],[Order Date]],"mmm")</f>
        <v>Feb</v>
      </c>
      <c r="L2519">
        <f>MONTH(SalesData[[#This Row],[Order Date]])</f>
        <v>2</v>
      </c>
      <c r="M2519">
        <f>SalesData[[#This Row],[Sales]]/SalesData[[#This Row],[Quantity]]</f>
        <v>13.391999999999999</v>
      </c>
      <c r="N2519" t="str">
        <f>IF(SalesData[[#This Row],[Profit]]&gt;0,"Profit","Loss")</f>
        <v>Profit</v>
      </c>
    </row>
    <row r="2520" spans="1:14" x14ac:dyDescent="0.3">
      <c r="A2520" t="s">
        <v>1165</v>
      </c>
      <c r="B2520" s="3">
        <v>42045</v>
      </c>
      <c r="C2520" t="s">
        <v>13</v>
      </c>
      <c r="D2520" t="s">
        <v>10</v>
      </c>
      <c r="E2520" t="s">
        <v>1166</v>
      </c>
      <c r="F2520" s="1">
        <v>503.96</v>
      </c>
      <c r="G2520">
        <v>5</v>
      </c>
      <c r="H2520" s="1">
        <v>50.396000000000001</v>
      </c>
      <c r="I2520" s="4">
        <f>SalesData[[#This Row],[Profit]]/SalesData[[#This Row],[Sales]]</f>
        <v>0.1</v>
      </c>
      <c r="J2520">
        <f>YEAR(SalesData[[#This Row],[Order Date]])</f>
        <v>2015</v>
      </c>
      <c r="K2520" t="str">
        <f>TEXT(SalesData[[#This Row],[Order Date]],"mmm")</f>
        <v>Feb</v>
      </c>
      <c r="L2520">
        <f>MONTH(SalesData[[#This Row],[Order Date]])</f>
        <v>2</v>
      </c>
      <c r="M2520">
        <f>SalesData[[#This Row],[Sales]]/SalesData[[#This Row],[Quantity]]</f>
        <v>100.792</v>
      </c>
      <c r="N2520" t="str">
        <f>IF(SalesData[[#This Row],[Profit]]&gt;0,"Profit","Loss")</f>
        <v>Profit</v>
      </c>
    </row>
    <row r="2521" spans="1:14" x14ac:dyDescent="0.3">
      <c r="A2521" t="s">
        <v>1167</v>
      </c>
      <c r="B2521" s="3">
        <v>42045</v>
      </c>
      <c r="C2521" t="s">
        <v>17</v>
      </c>
      <c r="D2521" t="s">
        <v>21</v>
      </c>
      <c r="E2521" t="s">
        <v>583</v>
      </c>
      <c r="F2521" s="1">
        <v>26.9</v>
      </c>
      <c r="G2521">
        <v>5</v>
      </c>
      <c r="H2521" s="1">
        <v>13.180999999999999</v>
      </c>
      <c r="I2521" s="4">
        <f>SalesData[[#This Row],[Profit]]/SalesData[[#This Row],[Sales]]</f>
        <v>0.49</v>
      </c>
      <c r="J2521">
        <f>YEAR(SalesData[[#This Row],[Order Date]])</f>
        <v>2015</v>
      </c>
      <c r="K2521" t="str">
        <f>TEXT(SalesData[[#This Row],[Order Date]],"mmm")</f>
        <v>Feb</v>
      </c>
      <c r="L2521">
        <f>MONTH(SalesData[[#This Row],[Order Date]])</f>
        <v>2</v>
      </c>
      <c r="M2521">
        <f>SalesData[[#This Row],[Sales]]/SalesData[[#This Row],[Quantity]]</f>
        <v>5.38</v>
      </c>
      <c r="N2521" t="str">
        <f>IF(SalesData[[#This Row],[Profit]]&gt;0,"Profit","Loss")</f>
        <v>Profit</v>
      </c>
    </row>
    <row r="2522" spans="1:14" x14ac:dyDescent="0.3">
      <c r="A2522" t="s">
        <v>1168</v>
      </c>
      <c r="B2522" s="3">
        <v>42045</v>
      </c>
      <c r="C2522" t="s">
        <v>17</v>
      </c>
      <c r="D2522" t="s">
        <v>21</v>
      </c>
      <c r="E2522" t="s">
        <v>1169</v>
      </c>
      <c r="F2522" s="1">
        <v>19.440000000000001</v>
      </c>
      <c r="G2522">
        <v>3</v>
      </c>
      <c r="H2522" s="1">
        <v>9.3312000000000008</v>
      </c>
      <c r="I2522" s="4">
        <f>SalesData[[#This Row],[Profit]]/SalesData[[#This Row],[Sales]]</f>
        <v>0.48000000000000004</v>
      </c>
      <c r="J2522">
        <f>YEAR(SalesData[[#This Row],[Order Date]])</f>
        <v>2015</v>
      </c>
      <c r="K2522" t="str">
        <f>TEXT(SalesData[[#This Row],[Order Date]],"mmm")</f>
        <v>Feb</v>
      </c>
      <c r="L2522">
        <f>MONTH(SalesData[[#This Row],[Order Date]])</f>
        <v>2</v>
      </c>
      <c r="M2522">
        <f>SalesData[[#This Row],[Sales]]/SalesData[[#This Row],[Quantity]]</f>
        <v>6.48</v>
      </c>
      <c r="N2522" t="str">
        <f>IF(SalesData[[#This Row],[Profit]]&gt;0,"Profit","Loss")</f>
        <v>Profit</v>
      </c>
    </row>
    <row r="2523" spans="1:14" x14ac:dyDescent="0.3">
      <c r="A2523" t="s">
        <v>1168</v>
      </c>
      <c r="B2523" s="3">
        <v>42045</v>
      </c>
      <c r="C2523" t="s">
        <v>17</v>
      </c>
      <c r="D2523" t="s">
        <v>21</v>
      </c>
      <c r="E2523" t="s">
        <v>1170</v>
      </c>
      <c r="F2523" s="1">
        <v>7.38</v>
      </c>
      <c r="G2523">
        <v>1</v>
      </c>
      <c r="H2523" s="1">
        <v>3.6162000000000001</v>
      </c>
      <c r="I2523" s="4">
        <f>SalesData[[#This Row],[Profit]]/SalesData[[#This Row],[Sales]]</f>
        <v>0.49</v>
      </c>
      <c r="J2523">
        <f>YEAR(SalesData[[#This Row],[Order Date]])</f>
        <v>2015</v>
      </c>
      <c r="K2523" t="str">
        <f>TEXT(SalesData[[#This Row],[Order Date]],"mmm")</f>
        <v>Feb</v>
      </c>
      <c r="L2523">
        <f>MONTH(SalesData[[#This Row],[Order Date]])</f>
        <v>2</v>
      </c>
      <c r="M2523">
        <f>SalesData[[#This Row],[Sales]]/SalesData[[#This Row],[Quantity]]</f>
        <v>7.38</v>
      </c>
      <c r="N2523" t="str">
        <f>IF(SalesData[[#This Row],[Profit]]&gt;0,"Profit","Loss")</f>
        <v>Profit</v>
      </c>
    </row>
    <row r="2524" spans="1:14" x14ac:dyDescent="0.3">
      <c r="A2524" t="s">
        <v>1171</v>
      </c>
      <c r="B2524" s="3">
        <v>42045</v>
      </c>
      <c r="C2524" t="s">
        <v>13</v>
      </c>
      <c r="D2524" t="s">
        <v>21</v>
      </c>
      <c r="E2524" t="s">
        <v>611</v>
      </c>
      <c r="F2524" s="1">
        <v>10.944000000000001</v>
      </c>
      <c r="G2524">
        <v>2</v>
      </c>
      <c r="H2524" s="1">
        <v>0.95760000000000001</v>
      </c>
      <c r="I2524" s="4">
        <f>SalesData[[#This Row],[Profit]]/SalesData[[#This Row],[Sales]]</f>
        <v>8.7499999999999994E-2</v>
      </c>
      <c r="J2524">
        <f>YEAR(SalesData[[#This Row],[Order Date]])</f>
        <v>2015</v>
      </c>
      <c r="K2524" t="str">
        <f>TEXT(SalesData[[#This Row],[Order Date]],"mmm")</f>
        <v>Feb</v>
      </c>
      <c r="L2524">
        <f>MONTH(SalesData[[#This Row],[Order Date]])</f>
        <v>2</v>
      </c>
      <c r="M2524">
        <f>SalesData[[#This Row],[Sales]]/SalesData[[#This Row],[Quantity]]</f>
        <v>5.4720000000000004</v>
      </c>
      <c r="N2524" t="str">
        <f>IF(SalesData[[#This Row],[Profit]]&gt;0,"Profit","Loss")</f>
        <v>Profit</v>
      </c>
    </row>
    <row r="2525" spans="1:14" x14ac:dyDescent="0.3">
      <c r="A2525" t="s">
        <v>1172</v>
      </c>
      <c r="B2525" s="3">
        <v>42045</v>
      </c>
      <c r="C2525" t="s">
        <v>13</v>
      </c>
      <c r="D2525" t="s">
        <v>14</v>
      </c>
      <c r="E2525" t="s">
        <v>59</v>
      </c>
      <c r="F2525" s="1">
        <v>11.032</v>
      </c>
      <c r="G2525">
        <v>1</v>
      </c>
      <c r="H2525" s="1">
        <v>3.0337999999999998</v>
      </c>
      <c r="I2525" s="4">
        <f>SalesData[[#This Row],[Profit]]/SalesData[[#This Row],[Sales]]</f>
        <v>0.27499999999999997</v>
      </c>
      <c r="J2525">
        <f>YEAR(SalesData[[#This Row],[Order Date]])</f>
        <v>2015</v>
      </c>
      <c r="K2525" t="str">
        <f>TEXT(SalesData[[#This Row],[Order Date]],"mmm")</f>
        <v>Feb</v>
      </c>
      <c r="L2525">
        <f>MONTH(SalesData[[#This Row],[Order Date]])</f>
        <v>2</v>
      </c>
      <c r="M2525">
        <f>SalesData[[#This Row],[Sales]]/SalesData[[#This Row],[Quantity]]</f>
        <v>11.032</v>
      </c>
      <c r="N2525" t="str">
        <f>IF(SalesData[[#This Row],[Profit]]&gt;0,"Profit","Loss")</f>
        <v>Profit</v>
      </c>
    </row>
    <row r="2526" spans="1:14" x14ac:dyDescent="0.3">
      <c r="A2526" t="s">
        <v>1172</v>
      </c>
      <c r="B2526" s="3">
        <v>42045</v>
      </c>
      <c r="C2526" t="s">
        <v>13</v>
      </c>
      <c r="D2526" t="s">
        <v>10</v>
      </c>
      <c r="E2526" t="s">
        <v>1090</v>
      </c>
      <c r="F2526" s="1">
        <v>53.04</v>
      </c>
      <c r="G2526">
        <v>3</v>
      </c>
      <c r="H2526" s="1">
        <v>-4.641</v>
      </c>
      <c r="I2526" s="4">
        <f>SalesData[[#This Row],[Profit]]/SalesData[[#This Row],[Sales]]</f>
        <v>-8.7500000000000008E-2</v>
      </c>
      <c r="J2526">
        <f>YEAR(SalesData[[#This Row],[Order Date]])</f>
        <v>2015</v>
      </c>
      <c r="K2526" t="str">
        <f>TEXT(SalesData[[#This Row],[Order Date]],"mmm")</f>
        <v>Feb</v>
      </c>
      <c r="L2526">
        <f>MONTH(SalesData[[#This Row],[Order Date]])</f>
        <v>2</v>
      </c>
      <c r="M2526">
        <f>SalesData[[#This Row],[Sales]]/SalesData[[#This Row],[Quantity]]</f>
        <v>17.68</v>
      </c>
      <c r="N2526" t="str">
        <f>IF(SalesData[[#This Row],[Profit]]&gt;0,"Profit","Loss")</f>
        <v>Loss</v>
      </c>
    </row>
    <row r="2527" spans="1:14" x14ac:dyDescent="0.3">
      <c r="A2527" t="s">
        <v>1173</v>
      </c>
      <c r="B2527" s="3">
        <v>42046</v>
      </c>
      <c r="C2527" t="s">
        <v>13</v>
      </c>
      <c r="D2527" t="s">
        <v>14</v>
      </c>
      <c r="E2527" t="s">
        <v>1174</v>
      </c>
      <c r="F2527" s="1">
        <v>1038.8399999999999</v>
      </c>
      <c r="G2527">
        <v>5</v>
      </c>
      <c r="H2527" s="1">
        <v>51.942</v>
      </c>
      <c r="I2527" s="4">
        <f>SalesData[[#This Row],[Profit]]/SalesData[[#This Row],[Sales]]</f>
        <v>0.05</v>
      </c>
      <c r="J2527">
        <f>YEAR(SalesData[[#This Row],[Order Date]])</f>
        <v>2015</v>
      </c>
      <c r="K2527" t="str">
        <f>TEXT(SalesData[[#This Row],[Order Date]],"mmm")</f>
        <v>Feb</v>
      </c>
      <c r="L2527">
        <f>MONTH(SalesData[[#This Row],[Order Date]])</f>
        <v>2</v>
      </c>
      <c r="M2527">
        <f>SalesData[[#This Row],[Sales]]/SalesData[[#This Row],[Quantity]]</f>
        <v>207.76799999999997</v>
      </c>
      <c r="N2527" t="str">
        <f>IF(SalesData[[#This Row],[Profit]]&gt;0,"Profit","Loss")</f>
        <v>Profit</v>
      </c>
    </row>
    <row r="2528" spans="1:14" x14ac:dyDescent="0.3">
      <c r="A2528" t="s">
        <v>1175</v>
      </c>
      <c r="B2528" s="3">
        <v>42046</v>
      </c>
      <c r="C2528" t="s">
        <v>13</v>
      </c>
      <c r="D2528" t="s">
        <v>10</v>
      </c>
      <c r="E2528" t="s">
        <v>1176</v>
      </c>
      <c r="F2528" s="1">
        <v>447.93</v>
      </c>
      <c r="G2528">
        <v>9</v>
      </c>
      <c r="H2528" s="1">
        <v>49.272300000000001</v>
      </c>
      <c r="I2528" s="4">
        <f>SalesData[[#This Row],[Profit]]/SalesData[[#This Row],[Sales]]</f>
        <v>0.11</v>
      </c>
      <c r="J2528">
        <f>YEAR(SalesData[[#This Row],[Order Date]])</f>
        <v>2015</v>
      </c>
      <c r="K2528" t="str">
        <f>TEXT(SalesData[[#This Row],[Order Date]],"mmm")</f>
        <v>Feb</v>
      </c>
      <c r="L2528">
        <f>MONTH(SalesData[[#This Row],[Order Date]])</f>
        <v>2</v>
      </c>
      <c r="M2528">
        <f>SalesData[[#This Row],[Sales]]/SalesData[[#This Row],[Quantity]]</f>
        <v>49.77</v>
      </c>
      <c r="N2528" t="str">
        <f>IF(SalesData[[#This Row],[Profit]]&gt;0,"Profit","Loss")</f>
        <v>Profit</v>
      </c>
    </row>
    <row r="2529" spans="1:14" x14ac:dyDescent="0.3">
      <c r="A2529" t="s">
        <v>1177</v>
      </c>
      <c r="B2529" s="3">
        <v>42046</v>
      </c>
      <c r="C2529" t="s">
        <v>17</v>
      </c>
      <c r="D2529" t="s">
        <v>14</v>
      </c>
      <c r="E2529" t="s">
        <v>1178</v>
      </c>
      <c r="F2529" s="1">
        <v>109.764</v>
      </c>
      <c r="G2529">
        <v>2</v>
      </c>
      <c r="H2529" s="1">
        <v>8.5372000000000003</v>
      </c>
      <c r="I2529" s="4">
        <f>SalesData[[#This Row],[Profit]]/SalesData[[#This Row],[Sales]]</f>
        <v>7.7777777777777779E-2</v>
      </c>
      <c r="J2529">
        <f>YEAR(SalesData[[#This Row],[Order Date]])</f>
        <v>2015</v>
      </c>
      <c r="K2529" t="str">
        <f>TEXT(SalesData[[#This Row],[Order Date]],"mmm")</f>
        <v>Feb</v>
      </c>
      <c r="L2529">
        <f>MONTH(SalesData[[#This Row],[Order Date]])</f>
        <v>2</v>
      </c>
      <c r="M2529">
        <f>SalesData[[#This Row],[Sales]]/SalesData[[#This Row],[Quantity]]</f>
        <v>54.881999999999998</v>
      </c>
      <c r="N2529" t="str">
        <f>IF(SalesData[[#This Row],[Profit]]&gt;0,"Profit","Loss")</f>
        <v>Profit</v>
      </c>
    </row>
    <row r="2530" spans="1:14" x14ac:dyDescent="0.3">
      <c r="A2530" t="s">
        <v>1179</v>
      </c>
      <c r="B2530" s="3">
        <v>42046</v>
      </c>
      <c r="C2530" t="s">
        <v>13</v>
      </c>
      <c r="D2530" t="s">
        <v>14</v>
      </c>
      <c r="E2530" t="s">
        <v>1180</v>
      </c>
      <c r="F2530" s="1">
        <v>96.96</v>
      </c>
      <c r="G2530">
        <v>6</v>
      </c>
      <c r="H2530" s="1">
        <v>33.936</v>
      </c>
      <c r="I2530" s="4">
        <f>SalesData[[#This Row],[Profit]]/SalesData[[#This Row],[Sales]]</f>
        <v>0.35000000000000003</v>
      </c>
      <c r="J2530">
        <f>YEAR(SalesData[[#This Row],[Order Date]])</f>
        <v>2015</v>
      </c>
      <c r="K2530" t="str">
        <f>TEXT(SalesData[[#This Row],[Order Date]],"mmm")</f>
        <v>Feb</v>
      </c>
      <c r="L2530">
        <f>MONTH(SalesData[[#This Row],[Order Date]])</f>
        <v>2</v>
      </c>
      <c r="M2530">
        <f>SalesData[[#This Row],[Sales]]/SalesData[[#This Row],[Quantity]]</f>
        <v>16.16</v>
      </c>
      <c r="N2530" t="str">
        <f>IF(SalesData[[#This Row],[Profit]]&gt;0,"Profit","Loss")</f>
        <v>Profit</v>
      </c>
    </row>
    <row r="2531" spans="1:14" x14ac:dyDescent="0.3">
      <c r="A2531" t="s">
        <v>1179</v>
      </c>
      <c r="B2531" s="3">
        <v>42046</v>
      </c>
      <c r="C2531" t="s">
        <v>13</v>
      </c>
      <c r="D2531" t="s">
        <v>21</v>
      </c>
      <c r="E2531" t="s">
        <v>1181</v>
      </c>
      <c r="F2531" s="1">
        <v>117.488</v>
      </c>
      <c r="G2531">
        <v>7</v>
      </c>
      <c r="H2531" s="1">
        <v>41.120800000000003</v>
      </c>
      <c r="I2531" s="4">
        <f>SalesData[[#This Row],[Profit]]/SalesData[[#This Row],[Sales]]</f>
        <v>0.35000000000000003</v>
      </c>
      <c r="J2531">
        <f>YEAR(SalesData[[#This Row],[Order Date]])</f>
        <v>2015</v>
      </c>
      <c r="K2531" t="str">
        <f>TEXT(SalesData[[#This Row],[Order Date]],"mmm")</f>
        <v>Feb</v>
      </c>
      <c r="L2531">
        <f>MONTH(SalesData[[#This Row],[Order Date]])</f>
        <v>2</v>
      </c>
      <c r="M2531">
        <f>SalesData[[#This Row],[Sales]]/SalesData[[#This Row],[Quantity]]</f>
        <v>16.783999999999999</v>
      </c>
      <c r="N2531" t="str">
        <f>IF(SalesData[[#This Row],[Profit]]&gt;0,"Profit","Loss")</f>
        <v>Profit</v>
      </c>
    </row>
    <row r="2532" spans="1:14" x14ac:dyDescent="0.3">
      <c r="A2532" t="s">
        <v>1179</v>
      </c>
      <c r="B2532" s="3">
        <v>42046</v>
      </c>
      <c r="C2532" t="s">
        <v>13</v>
      </c>
      <c r="D2532" t="s">
        <v>21</v>
      </c>
      <c r="E2532" t="s">
        <v>53</v>
      </c>
      <c r="F2532" s="1">
        <v>11.952</v>
      </c>
      <c r="G2532">
        <v>3</v>
      </c>
      <c r="H2532" s="1">
        <v>4.1832000000000003</v>
      </c>
      <c r="I2532" s="4">
        <f>SalesData[[#This Row],[Profit]]/SalesData[[#This Row],[Sales]]</f>
        <v>0.35000000000000003</v>
      </c>
      <c r="J2532">
        <f>YEAR(SalesData[[#This Row],[Order Date]])</f>
        <v>2015</v>
      </c>
      <c r="K2532" t="str">
        <f>TEXT(SalesData[[#This Row],[Order Date]],"mmm")</f>
        <v>Feb</v>
      </c>
      <c r="L2532">
        <f>MONTH(SalesData[[#This Row],[Order Date]])</f>
        <v>2</v>
      </c>
      <c r="M2532">
        <f>SalesData[[#This Row],[Sales]]/SalesData[[#This Row],[Quantity]]</f>
        <v>3.984</v>
      </c>
      <c r="N2532" t="str">
        <f>IF(SalesData[[#This Row],[Profit]]&gt;0,"Profit","Loss")</f>
        <v>Profit</v>
      </c>
    </row>
    <row r="2533" spans="1:14" x14ac:dyDescent="0.3">
      <c r="A2533" t="s">
        <v>1179</v>
      </c>
      <c r="B2533" s="3">
        <v>42046</v>
      </c>
      <c r="C2533" t="s">
        <v>13</v>
      </c>
      <c r="D2533" t="s">
        <v>14</v>
      </c>
      <c r="E2533" t="s">
        <v>1182</v>
      </c>
      <c r="F2533" s="1">
        <v>512.49900000000002</v>
      </c>
      <c r="G2533">
        <v>3</v>
      </c>
      <c r="H2533" s="1">
        <v>-30.146999999999998</v>
      </c>
      <c r="I2533" s="4">
        <f>SalesData[[#This Row],[Profit]]/SalesData[[#This Row],[Sales]]</f>
        <v>-5.8823529411764698E-2</v>
      </c>
      <c r="J2533">
        <f>YEAR(SalesData[[#This Row],[Order Date]])</f>
        <v>2015</v>
      </c>
      <c r="K2533" t="str">
        <f>TEXT(SalesData[[#This Row],[Order Date]],"mmm")</f>
        <v>Feb</v>
      </c>
      <c r="L2533">
        <f>MONTH(SalesData[[#This Row],[Order Date]])</f>
        <v>2</v>
      </c>
      <c r="M2533">
        <f>SalesData[[#This Row],[Sales]]/SalesData[[#This Row],[Quantity]]</f>
        <v>170.833</v>
      </c>
      <c r="N2533" t="str">
        <f>IF(SalesData[[#This Row],[Profit]]&gt;0,"Profit","Loss")</f>
        <v>Loss</v>
      </c>
    </row>
    <row r="2534" spans="1:14" x14ac:dyDescent="0.3">
      <c r="A2534" t="s">
        <v>1183</v>
      </c>
      <c r="B2534" s="3">
        <v>42046</v>
      </c>
      <c r="C2534" t="s">
        <v>17</v>
      </c>
      <c r="D2534" t="s">
        <v>14</v>
      </c>
      <c r="E2534" t="s">
        <v>1184</v>
      </c>
      <c r="F2534" s="1">
        <v>2621.3220000000001</v>
      </c>
      <c r="G2534">
        <v>11</v>
      </c>
      <c r="H2534" s="1">
        <v>553.39020000000005</v>
      </c>
      <c r="I2534" s="4">
        <f>SalesData[[#This Row],[Profit]]/SalesData[[#This Row],[Sales]]</f>
        <v>0.21111111111111111</v>
      </c>
      <c r="J2534">
        <f>YEAR(SalesData[[#This Row],[Order Date]])</f>
        <v>2015</v>
      </c>
      <c r="K2534" t="str">
        <f>TEXT(SalesData[[#This Row],[Order Date]],"mmm")</f>
        <v>Feb</v>
      </c>
      <c r="L2534">
        <f>MONTH(SalesData[[#This Row],[Order Date]])</f>
        <v>2</v>
      </c>
      <c r="M2534">
        <f>SalesData[[#This Row],[Sales]]/SalesData[[#This Row],[Quantity]]</f>
        <v>238.30200000000002</v>
      </c>
      <c r="N2534" t="str">
        <f>IF(SalesData[[#This Row],[Profit]]&gt;0,"Profit","Loss")</f>
        <v>Profit</v>
      </c>
    </row>
    <row r="2535" spans="1:14" x14ac:dyDescent="0.3">
      <c r="A2535" t="s">
        <v>1185</v>
      </c>
      <c r="B2535" s="3">
        <v>42046</v>
      </c>
      <c r="C2535" t="s">
        <v>9</v>
      </c>
      <c r="D2535" t="s">
        <v>21</v>
      </c>
      <c r="E2535" t="s">
        <v>1181</v>
      </c>
      <c r="F2535" s="1">
        <v>29.372</v>
      </c>
      <c r="G2535">
        <v>7</v>
      </c>
      <c r="H2535" s="1">
        <v>-46.995199999999997</v>
      </c>
      <c r="I2535" s="4">
        <f>SalesData[[#This Row],[Profit]]/SalesData[[#This Row],[Sales]]</f>
        <v>-1.5999999999999999</v>
      </c>
      <c r="J2535">
        <f>YEAR(SalesData[[#This Row],[Order Date]])</f>
        <v>2015</v>
      </c>
      <c r="K2535" t="str">
        <f>TEXT(SalesData[[#This Row],[Order Date]],"mmm")</f>
        <v>Feb</v>
      </c>
      <c r="L2535">
        <f>MONTH(SalesData[[#This Row],[Order Date]])</f>
        <v>2</v>
      </c>
      <c r="M2535">
        <f>SalesData[[#This Row],[Sales]]/SalesData[[#This Row],[Quantity]]</f>
        <v>4.1959999999999997</v>
      </c>
      <c r="N2535" t="str">
        <f>IF(SalesData[[#This Row],[Profit]]&gt;0,"Profit","Loss")</f>
        <v>Loss</v>
      </c>
    </row>
    <row r="2536" spans="1:14" x14ac:dyDescent="0.3">
      <c r="A2536" t="s">
        <v>1185</v>
      </c>
      <c r="B2536" s="3">
        <v>42046</v>
      </c>
      <c r="C2536" t="s">
        <v>9</v>
      </c>
      <c r="D2536" t="s">
        <v>10</v>
      </c>
      <c r="E2536" t="s">
        <v>1186</v>
      </c>
      <c r="F2536" s="1">
        <v>344.70400000000001</v>
      </c>
      <c r="G2536">
        <v>2</v>
      </c>
      <c r="H2536" s="1">
        <v>38.779200000000003</v>
      </c>
      <c r="I2536" s="4">
        <f>SalesData[[#This Row],[Profit]]/SalesData[[#This Row],[Sales]]</f>
        <v>0.1125</v>
      </c>
      <c r="J2536">
        <f>YEAR(SalesData[[#This Row],[Order Date]])</f>
        <v>2015</v>
      </c>
      <c r="K2536" t="str">
        <f>TEXT(SalesData[[#This Row],[Order Date]],"mmm")</f>
        <v>Feb</v>
      </c>
      <c r="L2536">
        <f>MONTH(SalesData[[#This Row],[Order Date]])</f>
        <v>2</v>
      </c>
      <c r="M2536">
        <f>SalesData[[#This Row],[Sales]]/SalesData[[#This Row],[Quantity]]</f>
        <v>172.352</v>
      </c>
      <c r="N2536" t="str">
        <f>IF(SalesData[[#This Row],[Profit]]&gt;0,"Profit","Loss")</f>
        <v>Profit</v>
      </c>
    </row>
    <row r="2537" spans="1:14" x14ac:dyDescent="0.3">
      <c r="A2537" t="s">
        <v>1187</v>
      </c>
      <c r="B2537" s="3">
        <v>42046</v>
      </c>
      <c r="C2537" t="s">
        <v>46</v>
      </c>
      <c r="D2537" t="s">
        <v>21</v>
      </c>
      <c r="E2537" t="s">
        <v>1188</v>
      </c>
      <c r="F2537" s="1">
        <v>197.72</v>
      </c>
      <c r="G2537">
        <v>4</v>
      </c>
      <c r="H2537" s="1">
        <v>55.361600000000003</v>
      </c>
      <c r="I2537" s="4">
        <f>SalesData[[#This Row],[Profit]]/SalesData[[#This Row],[Sales]]</f>
        <v>0.28000000000000003</v>
      </c>
      <c r="J2537">
        <f>YEAR(SalesData[[#This Row],[Order Date]])</f>
        <v>2015</v>
      </c>
      <c r="K2537" t="str">
        <f>TEXT(SalesData[[#This Row],[Order Date]],"mmm")</f>
        <v>Feb</v>
      </c>
      <c r="L2537">
        <f>MONTH(SalesData[[#This Row],[Order Date]])</f>
        <v>2</v>
      </c>
      <c r="M2537">
        <f>SalesData[[#This Row],[Sales]]/SalesData[[#This Row],[Quantity]]</f>
        <v>49.43</v>
      </c>
      <c r="N2537" t="str">
        <f>IF(SalesData[[#This Row],[Profit]]&gt;0,"Profit","Loss")</f>
        <v>Profit</v>
      </c>
    </row>
    <row r="2538" spans="1:14" x14ac:dyDescent="0.3">
      <c r="A2538" t="s">
        <v>1189</v>
      </c>
      <c r="B2538" s="3">
        <v>42064</v>
      </c>
      <c r="C2538" t="s">
        <v>9</v>
      </c>
      <c r="D2538" t="s">
        <v>21</v>
      </c>
      <c r="E2538" t="s">
        <v>767</v>
      </c>
      <c r="F2538" s="1">
        <v>10.368</v>
      </c>
      <c r="G2538">
        <v>2</v>
      </c>
      <c r="H2538" s="1">
        <v>3.6288</v>
      </c>
      <c r="I2538" s="4">
        <f>SalesData[[#This Row],[Profit]]/SalesData[[#This Row],[Sales]]</f>
        <v>0.35</v>
      </c>
      <c r="J2538">
        <f>YEAR(SalesData[[#This Row],[Order Date]])</f>
        <v>2015</v>
      </c>
      <c r="K2538" t="str">
        <f>TEXT(SalesData[[#This Row],[Order Date]],"mmm")</f>
        <v>Mar</v>
      </c>
      <c r="L2538">
        <f>MONTH(SalesData[[#This Row],[Order Date]])</f>
        <v>3</v>
      </c>
      <c r="M2538">
        <f>SalesData[[#This Row],[Sales]]/SalesData[[#This Row],[Quantity]]</f>
        <v>5.1840000000000002</v>
      </c>
      <c r="N2538" t="str">
        <f>IF(SalesData[[#This Row],[Profit]]&gt;0,"Profit","Loss")</f>
        <v>Profit</v>
      </c>
    </row>
    <row r="2539" spans="1:14" x14ac:dyDescent="0.3">
      <c r="A2539" t="s">
        <v>1190</v>
      </c>
      <c r="B2539" s="3">
        <v>42064</v>
      </c>
      <c r="C2539" t="s">
        <v>9</v>
      </c>
      <c r="D2539" t="s">
        <v>10</v>
      </c>
      <c r="E2539" t="s">
        <v>1191</v>
      </c>
      <c r="F2539" s="1">
        <v>398.4</v>
      </c>
      <c r="G2539">
        <v>5</v>
      </c>
      <c r="H2539" s="1">
        <v>84.66</v>
      </c>
      <c r="I2539" s="4">
        <f>SalesData[[#This Row],[Profit]]/SalesData[[#This Row],[Sales]]</f>
        <v>0.21249999999999999</v>
      </c>
      <c r="J2539">
        <f>YEAR(SalesData[[#This Row],[Order Date]])</f>
        <v>2015</v>
      </c>
      <c r="K2539" t="str">
        <f>TEXT(SalesData[[#This Row],[Order Date]],"mmm")</f>
        <v>Mar</v>
      </c>
      <c r="L2539">
        <f>MONTH(SalesData[[#This Row],[Order Date]])</f>
        <v>3</v>
      </c>
      <c r="M2539">
        <f>SalesData[[#This Row],[Sales]]/SalesData[[#This Row],[Quantity]]</f>
        <v>79.679999999999993</v>
      </c>
      <c r="N2539" t="str">
        <f>IF(SalesData[[#This Row],[Profit]]&gt;0,"Profit","Loss")</f>
        <v>Profit</v>
      </c>
    </row>
    <row r="2540" spans="1:14" x14ac:dyDescent="0.3">
      <c r="A2540" t="s">
        <v>1190</v>
      </c>
      <c r="B2540" s="3">
        <v>42064</v>
      </c>
      <c r="C2540" t="s">
        <v>9</v>
      </c>
      <c r="D2540" t="s">
        <v>21</v>
      </c>
      <c r="E2540" t="s">
        <v>1192</v>
      </c>
      <c r="F2540" s="1">
        <v>7.056</v>
      </c>
      <c r="G2540">
        <v>3</v>
      </c>
      <c r="H2540" s="1">
        <v>0.79379999999999995</v>
      </c>
      <c r="I2540" s="4">
        <f>SalesData[[#This Row],[Profit]]/SalesData[[#This Row],[Sales]]</f>
        <v>0.11249999999999999</v>
      </c>
      <c r="J2540">
        <f>YEAR(SalesData[[#This Row],[Order Date]])</f>
        <v>2015</v>
      </c>
      <c r="K2540" t="str">
        <f>TEXT(SalesData[[#This Row],[Order Date]],"mmm")</f>
        <v>Mar</v>
      </c>
      <c r="L2540">
        <f>MONTH(SalesData[[#This Row],[Order Date]])</f>
        <v>3</v>
      </c>
      <c r="M2540">
        <f>SalesData[[#This Row],[Sales]]/SalesData[[#This Row],[Quantity]]</f>
        <v>2.3519999999999999</v>
      </c>
      <c r="N2540" t="str">
        <f>IF(SalesData[[#This Row],[Profit]]&gt;0,"Profit","Loss")</f>
        <v>Profit</v>
      </c>
    </row>
    <row r="2541" spans="1:14" x14ac:dyDescent="0.3">
      <c r="A2541" t="s">
        <v>1190</v>
      </c>
      <c r="B2541" s="3">
        <v>42064</v>
      </c>
      <c r="C2541" t="s">
        <v>9</v>
      </c>
      <c r="D2541" t="s">
        <v>14</v>
      </c>
      <c r="E2541" t="s">
        <v>198</v>
      </c>
      <c r="F2541" s="1">
        <v>1352.3976</v>
      </c>
      <c r="G2541">
        <v>9</v>
      </c>
      <c r="H2541" s="1">
        <v>-437.54039999999998</v>
      </c>
      <c r="I2541" s="4">
        <f>SalesData[[#This Row],[Profit]]/SalesData[[#This Row],[Sales]]</f>
        <v>-0.32352941176470584</v>
      </c>
      <c r="J2541">
        <f>YEAR(SalesData[[#This Row],[Order Date]])</f>
        <v>2015</v>
      </c>
      <c r="K2541" t="str">
        <f>TEXT(SalesData[[#This Row],[Order Date]],"mmm")</f>
        <v>Mar</v>
      </c>
      <c r="L2541">
        <f>MONTH(SalesData[[#This Row],[Order Date]])</f>
        <v>3</v>
      </c>
      <c r="M2541">
        <f>SalesData[[#This Row],[Sales]]/SalesData[[#This Row],[Quantity]]</f>
        <v>150.2664</v>
      </c>
      <c r="N2541" t="str">
        <f>IF(SalesData[[#This Row],[Profit]]&gt;0,"Profit","Loss")</f>
        <v>Loss</v>
      </c>
    </row>
    <row r="2542" spans="1:14" x14ac:dyDescent="0.3">
      <c r="A2542" t="s">
        <v>1193</v>
      </c>
      <c r="B2542" s="3">
        <v>42065</v>
      </c>
      <c r="C2542" t="s">
        <v>9</v>
      </c>
      <c r="D2542" t="s">
        <v>14</v>
      </c>
      <c r="E2542" t="s">
        <v>1194</v>
      </c>
      <c r="F2542" s="1">
        <v>28.4</v>
      </c>
      <c r="G2542">
        <v>2</v>
      </c>
      <c r="H2542" s="1">
        <v>11.076000000000001</v>
      </c>
      <c r="I2542" s="4">
        <f>SalesData[[#This Row],[Profit]]/SalesData[[#This Row],[Sales]]</f>
        <v>0.39</v>
      </c>
      <c r="J2542">
        <f>YEAR(SalesData[[#This Row],[Order Date]])</f>
        <v>2015</v>
      </c>
      <c r="K2542" t="str">
        <f>TEXT(SalesData[[#This Row],[Order Date]],"mmm")</f>
        <v>Mar</v>
      </c>
      <c r="L2542">
        <f>MONTH(SalesData[[#This Row],[Order Date]])</f>
        <v>3</v>
      </c>
      <c r="M2542">
        <f>SalesData[[#This Row],[Sales]]/SalesData[[#This Row],[Quantity]]</f>
        <v>14.2</v>
      </c>
      <c r="N2542" t="str">
        <f>IF(SalesData[[#This Row],[Profit]]&gt;0,"Profit","Loss")</f>
        <v>Profit</v>
      </c>
    </row>
    <row r="2543" spans="1:14" x14ac:dyDescent="0.3">
      <c r="A2543" t="s">
        <v>1193</v>
      </c>
      <c r="B2543" s="3">
        <v>42065</v>
      </c>
      <c r="C2543" t="s">
        <v>9</v>
      </c>
      <c r="D2543" t="s">
        <v>10</v>
      </c>
      <c r="E2543" t="s">
        <v>1195</v>
      </c>
      <c r="F2543" s="1">
        <v>149.97</v>
      </c>
      <c r="G2543">
        <v>3</v>
      </c>
      <c r="H2543" s="1">
        <v>50.989800000000002</v>
      </c>
      <c r="I2543" s="4">
        <f>SalesData[[#This Row],[Profit]]/SalesData[[#This Row],[Sales]]</f>
        <v>0.34</v>
      </c>
      <c r="J2543">
        <f>YEAR(SalesData[[#This Row],[Order Date]])</f>
        <v>2015</v>
      </c>
      <c r="K2543" t="str">
        <f>TEXT(SalesData[[#This Row],[Order Date]],"mmm")</f>
        <v>Mar</v>
      </c>
      <c r="L2543">
        <f>MONTH(SalesData[[#This Row],[Order Date]])</f>
        <v>3</v>
      </c>
      <c r="M2543">
        <f>SalesData[[#This Row],[Sales]]/SalesData[[#This Row],[Quantity]]</f>
        <v>49.99</v>
      </c>
      <c r="N2543" t="str">
        <f>IF(SalesData[[#This Row],[Profit]]&gt;0,"Profit","Loss")</f>
        <v>Profit</v>
      </c>
    </row>
    <row r="2544" spans="1:14" x14ac:dyDescent="0.3">
      <c r="A2544" t="s">
        <v>1196</v>
      </c>
      <c r="B2544" s="3">
        <v>42065</v>
      </c>
      <c r="C2544" t="s">
        <v>13</v>
      </c>
      <c r="D2544" t="s">
        <v>14</v>
      </c>
      <c r="E2544" t="s">
        <v>1197</v>
      </c>
      <c r="F2544" s="1">
        <v>136.91999999999999</v>
      </c>
      <c r="G2544">
        <v>4</v>
      </c>
      <c r="H2544" s="1">
        <v>41.076000000000001</v>
      </c>
      <c r="I2544" s="4">
        <f>SalesData[[#This Row],[Profit]]/SalesData[[#This Row],[Sales]]</f>
        <v>0.30000000000000004</v>
      </c>
      <c r="J2544">
        <f>YEAR(SalesData[[#This Row],[Order Date]])</f>
        <v>2015</v>
      </c>
      <c r="K2544" t="str">
        <f>TEXT(SalesData[[#This Row],[Order Date]],"mmm")</f>
        <v>Mar</v>
      </c>
      <c r="L2544">
        <f>MONTH(SalesData[[#This Row],[Order Date]])</f>
        <v>3</v>
      </c>
      <c r="M2544">
        <f>SalesData[[#This Row],[Sales]]/SalesData[[#This Row],[Quantity]]</f>
        <v>34.229999999999997</v>
      </c>
      <c r="N2544" t="str">
        <f>IF(SalesData[[#This Row],[Profit]]&gt;0,"Profit","Loss")</f>
        <v>Profit</v>
      </c>
    </row>
    <row r="2545" spans="1:14" x14ac:dyDescent="0.3">
      <c r="A2545" t="s">
        <v>1198</v>
      </c>
      <c r="B2545" s="3">
        <v>42065</v>
      </c>
      <c r="C2545" t="s">
        <v>13</v>
      </c>
      <c r="D2545" t="s">
        <v>21</v>
      </c>
      <c r="E2545" t="s">
        <v>1199</v>
      </c>
      <c r="F2545" s="1">
        <v>12.144</v>
      </c>
      <c r="G2545">
        <v>3</v>
      </c>
      <c r="H2545" s="1">
        <v>4.0986000000000002</v>
      </c>
      <c r="I2545" s="4">
        <f>SalesData[[#This Row],[Profit]]/SalesData[[#This Row],[Sales]]</f>
        <v>0.33750000000000002</v>
      </c>
      <c r="J2545">
        <f>YEAR(SalesData[[#This Row],[Order Date]])</f>
        <v>2015</v>
      </c>
      <c r="K2545" t="str">
        <f>TEXT(SalesData[[#This Row],[Order Date]],"mmm")</f>
        <v>Mar</v>
      </c>
      <c r="L2545">
        <f>MONTH(SalesData[[#This Row],[Order Date]])</f>
        <v>3</v>
      </c>
      <c r="M2545">
        <f>SalesData[[#This Row],[Sales]]/SalesData[[#This Row],[Quantity]]</f>
        <v>4.048</v>
      </c>
      <c r="N2545" t="str">
        <f>IF(SalesData[[#This Row],[Profit]]&gt;0,"Profit","Loss")</f>
        <v>Profit</v>
      </c>
    </row>
    <row r="2546" spans="1:14" x14ac:dyDescent="0.3">
      <c r="A2546" t="s">
        <v>1200</v>
      </c>
      <c r="B2546" s="3">
        <v>42065</v>
      </c>
      <c r="C2546" t="s">
        <v>46</v>
      </c>
      <c r="D2546" t="s">
        <v>21</v>
      </c>
      <c r="E2546" t="s">
        <v>127</v>
      </c>
      <c r="F2546" s="1">
        <v>74.52</v>
      </c>
      <c r="G2546">
        <v>9</v>
      </c>
      <c r="H2546" s="1">
        <v>35.0244</v>
      </c>
      <c r="I2546" s="4">
        <f>SalesData[[#This Row],[Profit]]/SalesData[[#This Row],[Sales]]</f>
        <v>0.47000000000000003</v>
      </c>
      <c r="J2546">
        <f>YEAR(SalesData[[#This Row],[Order Date]])</f>
        <v>2015</v>
      </c>
      <c r="K2546" t="str">
        <f>TEXT(SalesData[[#This Row],[Order Date]],"mmm")</f>
        <v>Mar</v>
      </c>
      <c r="L2546">
        <f>MONTH(SalesData[[#This Row],[Order Date]])</f>
        <v>3</v>
      </c>
      <c r="M2546">
        <f>SalesData[[#This Row],[Sales]]/SalesData[[#This Row],[Quantity]]</f>
        <v>8.2799999999999994</v>
      </c>
      <c r="N2546" t="str">
        <f>IF(SalesData[[#This Row],[Profit]]&gt;0,"Profit","Loss")</f>
        <v>Profit</v>
      </c>
    </row>
    <row r="2547" spans="1:14" x14ac:dyDescent="0.3">
      <c r="A2547" t="s">
        <v>1201</v>
      </c>
      <c r="B2547" s="3">
        <v>42065</v>
      </c>
      <c r="C2547" t="s">
        <v>17</v>
      </c>
      <c r="D2547" t="s">
        <v>14</v>
      </c>
      <c r="E2547" t="s">
        <v>1202</v>
      </c>
      <c r="F2547" s="1">
        <v>90.882000000000005</v>
      </c>
      <c r="G2547">
        <v>1</v>
      </c>
      <c r="H2547" s="1">
        <v>15.147</v>
      </c>
      <c r="I2547" s="4">
        <f>SalesData[[#This Row],[Profit]]/SalesData[[#This Row],[Sales]]</f>
        <v>0.16666666666666666</v>
      </c>
      <c r="J2547">
        <f>YEAR(SalesData[[#This Row],[Order Date]])</f>
        <v>2015</v>
      </c>
      <c r="K2547" t="str">
        <f>TEXT(SalesData[[#This Row],[Order Date]],"mmm")</f>
        <v>Mar</v>
      </c>
      <c r="L2547">
        <f>MONTH(SalesData[[#This Row],[Order Date]])</f>
        <v>3</v>
      </c>
      <c r="M2547">
        <f>SalesData[[#This Row],[Sales]]/SalesData[[#This Row],[Quantity]]</f>
        <v>90.882000000000005</v>
      </c>
      <c r="N2547" t="str">
        <f>IF(SalesData[[#This Row],[Profit]]&gt;0,"Profit","Loss")</f>
        <v>Profit</v>
      </c>
    </row>
    <row r="2548" spans="1:14" x14ac:dyDescent="0.3">
      <c r="A2548" t="s">
        <v>1203</v>
      </c>
      <c r="B2548" s="3">
        <v>42068</v>
      </c>
      <c r="C2548" t="s">
        <v>13</v>
      </c>
      <c r="D2548" t="s">
        <v>14</v>
      </c>
      <c r="E2548" t="s">
        <v>880</v>
      </c>
      <c r="F2548" s="1">
        <v>665.88</v>
      </c>
      <c r="G2548">
        <v>6</v>
      </c>
      <c r="H2548" s="1">
        <v>106.5408</v>
      </c>
      <c r="I2548" s="4">
        <f>SalesData[[#This Row],[Profit]]/SalesData[[#This Row],[Sales]]</f>
        <v>0.16</v>
      </c>
      <c r="J2548">
        <f>YEAR(SalesData[[#This Row],[Order Date]])</f>
        <v>2015</v>
      </c>
      <c r="K2548" t="str">
        <f>TEXT(SalesData[[#This Row],[Order Date]],"mmm")</f>
        <v>Mar</v>
      </c>
      <c r="L2548">
        <f>MONTH(SalesData[[#This Row],[Order Date]])</f>
        <v>3</v>
      </c>
      <c r="M2548">
        <f>SalesData[[#This Row],[Sales]]/SalesData[[#This Row],[Quantity]]</f>
        <v>110.98</v>
      </c>
      <c r="N2548" t="str">
        <f>IF(SalesData[[#This Row],[Profit]]&gt;0,"Profit","Loss")</f>
        <v>Profit</v>
      </c>
    </row>
    <row r="2549" spans="1:14" x14ac:dyDescent="0.3">
      <c r="A2549" t="s">
        <v>1204</v>
      </c>
      <c r="B2549" s="3">
        <v>42068</v>
      </c>
      <c r="C2549" t="s">
        <v>17</v>
      </c>
      <c r="D2549" t="s">
        <v>21</v>
      </c>
      <c r="E2549" t="s">
        <v>1205</v>
      </c>
      <c r="F2549" s="1">
        <v>59.904000000000003</v>
      </c>
      <c r="G2549">
        <v>2</v>
      </c>
      <c r="H2549" s="1">
        <v>14.2272</v>
      </c>
      <c r="I2549" s="4">
        <f>SalesData[[#This Row],[Profit]]/SalesData[[#This Row],[Sales]]</f>
        <v>0.23749999999999999</v>
      </c>
      <c r="J2549">
        <f>YEAR(SalesData[[#This Row],[Order Date]])</f>
        <v>2015</v>
      </c>
      <c r="K2549" t="str">
        <f>TEXT(SalesData[[#This Row],[Order Date]],"mmm")</f>
        <v>Mar</v>
      </c>
      <c r="L2549">
        <f>MONTH(SalesData[[#This Row],[Order Date]])</f>
        <v>3</v>
      </c>
      <c r="M2549">
        <f>SalesData[[#This Row],[Sales]]/SalesData[[#This Row],[Quantity]]</f>
        <v>29.952000000000002</v>
      </c>
      <c r="N2549" t="str">
        <f>IF(SalesData[[#This Row],[Profit]]&gt;0,"Profit","Loss")</f>
        <v>Profit</v>
      </c>
    </row>
    <row r="2550" spans="1:14" x14ac:dyDescent="0.3">
      <c r="A2550" t="s">
        <v>1204</v>
      </c>
      <c r="B2550" s="3">
        <v>42068</v>
      </c>
      <c r="C2550" t="s">
        <v>17</v>
      </c>
      <c r="D2550" t="s">
        <v>21</v>
      </c>
      <c r="E2550" t="s">
        <v>1206</v>
      </c>
      <c r="F2550" s="1">
        <v>23.696000000000002</v>
      </c>
      <c r="G2550">
        <v>2</v>
      </c>
      <c r="H2550" s="1">
        <v>6.5164</v>
      </c>
      <c r="I2550" s="4">
        <f>SalesData[[#This Row],[Profit]]/SalesData[[#This Row],[Sales]]</f>
        <v>0.27499999999999997</v>
      </c>
      <c r="J2550">
        <f>YEAR(SalesData[[#This Row],[Order Date]])</f>
        <v>2015</v>
      </c>
      <c r="K2550" t="str">
        <f>TEXT(SalesData[[#This Row],[Order Date]],"mmm")</f>
        <v>Mar</v>
      </c>
      <c r="L2550">
        <f>MONTH(SalesData[[#This Row],[Order Date]])</f>
        <v>3</v>
      </c>
      <c r="M2550">
        <f>SalesData[[#This Row],[Sales]]/SalesData[[#This Row],[Quantity]]</f>
        <v>11.848000000000001</v>
      </c>
      <c r="N2550" t="str">
        <f>IF(SalesData[[#This Row],[Profit]]&gt;0,"Profit","Loss")</f>
        <v>Profit</v>
      </c>
    </row>
    <row r="2551" spans="1:14" x14ac:dyDescent="0.3">
      <c r="A2551" t="s">
        <v>1204</v>
      </c>
      <c r="B2551" s="3">
        <v>42068</v>
      </c>
      <c r="C2551" t="s">
        <v>17</v>
      </c>
      <c r="D2551" t="s">
        <v>21</v>
      </c>
      <c r="E2551" t="s">
        <v>1207</v>
      </c>
      <c r="F2551" s="1">
        <v>7.968</v>
      </c>
      <c r="G2551">
        <v>2</v>
      </c>
      <c r="H2551" s="1">
        <v>2.8883999999999999</v>
      </c>
      <c r="I2551" s="4">
        <f>SalesData[[#This Row],[Profit]]/SalesData[[#This Row],[Sales]]</f>
        <v>0.36249999999999999</v>
      </c>
      <c r="J2551">
        <f>YEAR(SalesData[[#This Row],[Order Date]])</f>
        <v>2015</v>
      </c>
      <c r="K2551" t="str">
        <f>TEXT(SalesData[[#This Row],[Order Date]],"mmm")</f>
        <v>Mar</v>
      </c>
      <c r="L2551">
        <f>MONTH(SalesData[[#This Row],[Order Date]])</f>
        <v>3</v>
      </c>
      <c r="M2551">
        <f>SalesData[[#This Row],[Sales]]/SalesData[[#This Row],[Quantity]]</f>
        <v>3.984</v>
      </c>
      <c r="N2551" t="str">
        <f>IF(SalesData[[#This Row],[Profit]]&gt;0,"Profit","Loss")</f>
        <v>Profit</v>
      </c>
    </row>
    <row r="2552" spans="1:14" x14ac:dyDescent="0.3">
      <c r="A2552" t="s">
        <v>1204</v>
      </c>
      <c r="B2552" s="3">
        <v>42068</v>
      </c>
      <c r="C2552" t="s">
        <v>17</v>
      </c>
      <c r="D2552" t="s">
        <v>21</v>
      </c>
      <c r="E2552" t="s">
        <v>251</v>
      </c>
      <c r="F2552" s="1">
        <v>18.2</v>
      </c>
      <c r="G2552">
        <v>7</v>
      </c>
      <c r="H2552" s="1">
        <v>2.0474999999999999</v>
      </c>
      <c r="I2552" s="4">
        <f>SalesData[[#This Row],[Profit]]/SalesData[[#This Row],[Sales]]</f>
        <v>0.1125</v>
      </c>
      <c r="J2552">
        <f>YEAR(SalesData[[#This Row],[Order Date]])</f>
        <v>2015</v>
      </c>
      <c r="K2552" t="str">
        <f>TEXT(SalesData[[#This Row],[Order Date]],"mmm")</f>
        <v>Mar</v>
      </c>
      <c r="L2552">
        <f>MONTH(SalesData[[#This Row],[Order Date]])</f>
        <v>3</v>
      </c>
      <c r="M2552">
        <f>SalesData[[#This Row],[Sales]]/SalesData[[#This Row],[Quantity]]</f>
        <v>2.6</v>
      </c>
      <c r="N2552" t="str">
        <f>IF(SalesData[[#This Row],[Profit]]&gt;0,"Profit","Loss")</f>
        <v>Profit</v>
      </c>
    </row>
    <row r="2553" spans="1:14" x14ac:dyDescent="0.3">
      <c r="A2553" t="s">
        <v>1204</v>
      </c>
      <c r="B2553" s="3">
        <v>42068</v>
      </c>
      <c r="C2553" t="s">
        <v>17</v>
      </c>
      <c r="D2553" t="s">
        <v>10</v>
      </c>
      <c r="E2553" t="s">
        <v>1017</v>
      </c>
      <c r="F2553" s="1">
        <v>27.552</v>
      </c>
      <c r="G2553">
        <v>3</v>
      </c>
      <c r="H2553" s="1">
        <v>-0.34439999999999998</v>
      </c>
      <c r="I2553" s="4">
        <f>SalesData[[#This Row],[Profit]]/SalesData[[#This Row],[Sales]]</f>
        <v>-1.2499999999999999E-2</v>
      </c>
      <c r="J2553">
        <f>YEAR(SalesData[[#This Row],[Order Date]])</f>
        <v>2015</v>
      </c>
      <c r="K2553" t="str">
        <f>TEXT(SalesData[[#This Row],[Order Date]],"mmm")</f>
        <v>Mar</v>
      </c>
      <c r="L2553">
        <f>MONTH(SalesData[[#This Row],[Order Date]])</f>
        <v>3</v>
      </c>
      <c r="M2553">
        <f>SalesData[[#This Row],[Sales]]/SalesData[[#This Row],[Quantity]]</f>
        <v>9.1839999999999993</v>
      </c>
      <c r="N2553" t="str">
        <f>IF(SalesData[[#This Row],[Profit]]&gt;0,"Profit","Loss")</f>
        <v>Loss</v>
      </c>
    </row>
    <row r="2554" spans="1:14" x14ac:dyDescent="0.3">
      <c r="A2554" t="s">
        <v>1204</v>
      </c>
      <c r="B2554" s="3">
        <v>42068</v>
      </c>
      <c r="C2554" t="s">
        <v>17</v>
      </c>
      <c r="D2554" t="s">
        <v>14</v>
      </c>
      <c r="E2554" t="s">
        <v>1208</v>
      </c>
      <c r="F2554" s="1">
        <v>844.11599999999999</v>
      </c>
      <c r="G2554">
        <v>6</v>
      </c>
      <c r="H2554" s="1">
        <v>-36.176400000000001</v>
      </c>
      <c r="I2554" s="4">
        <f>SalesData[[#This Row],[Profit]]/SalesData[[#This Row],[Sales]]</f>
        <v>-4.2857142857142858E-2</v>
      </c>
      <c r="J2554">
        <f>YEAR(SalesData[[#This Row],[Order Date]])</f>
        <v>2015</v>
      </c>
      <c r="K2554" t="str">
        <f>TEXT(SalesData[[#This Row],[Order Date]],"mmm")</f>
        <v>Mar</v>
      </c>
      <c r="L2554">
        <f>MONTH(SalesData[[#This Row],[Order Date]])</f>
        <v>3</v>
      </c>
      <c r="M2554">
        <f>SalesData[[#This Row],[Sales]]/SalesData[[#This Row],[Quantity]]</f>
        <v>140.68600000000001</v>
      </c>
      <c r="N2554" t="str">
        <f>IF(SalesData[[#This Row],[Profit]]&gt;0,"Profit","Loss")</f>
        <v>Loss</v>
      </c>
    </row>
    <row r="2555" spans="1:14" x14ac:dyDescent="0.3">
      <c r="A2555" t="s">
        <v>1204</v>
      </c>
      <c r="B2555" s="3">
        <v>42068</v>
      </c>
      <c r="C2555" t="s">
        <v>17</v>
      </c>
      <c r="D2555" t="s">
        <v>21</v>
      </c>
      <c r="E2555" t="s">
        <v>422</v>
      </c>
      <c r="F2555" s="1">
        <v>76.751999999999995</v>
      </c>
      <c r="G2555">
        <v>3</v>
      </c>
      <c r="H2555" s="1">
        <v>-9.5939999999999994</v>
      </c>
      <c r="I2555" s="4">
        <f>SalesData[[#This Row],[Profit]]/SalesData[[#This Row],[Sales]]</f>
        <v>-0.125</v>
      </c>
      <c r="J2555">
        <f>YEAR(SalesData[[#This Row],[Order Date]])</f>
        <v>2015</v>
      </c>
      <c r="K2555" t="str">
        <f>TEXT(SalesData[[#This Row],[Order Date]],"mmm")</f>
        <v>Mar</v>
      </c>
      <c r="L2555">
        <f>MONTH(SalesData[[#This Row],[Order Date]])</f>
        <v>3</v>
      </c>
      <c r="M2555">
        <f>SalesData[[#This Row],[Sales]]/SalesData[[#This Row],[Quantity]]</f>
        <v>25.584</v>
      </c>
      <c r="N2555" t="str">
        <f>IF(SalesData[[#This Row],[Profit]]&gt;0,"Profit","Loss")</f>
        <v>Loss</v>
      </c>
    </row>
    <row r="2556" spans="1:14" x14ac:dyDescent="0.3">
      <c r="A2556" t="s">
        <v>1209</v>
      </c>
      <c r="B2556" s="3">
        <v>42068</v>
      </c>
      <c r="C2556" t="s">
        <v>13</v>
      </c>
      <c r="D2556" t="s">
        <v>21</v>
      </c>
      <c r="E2556" t="s">
        <v>1192</v>
      </c>
      <c r="F2556" s="1">
        <v>8.82</v>
      </c>
      <c r="G2556">
        <v>3</v>
      </c>
      <c r="H2556" s="1">
        <v>2.5577999999999999</v>
      </c>
      <c r="I2556" s="4">
        <f>SalesData[[#This Row],[Profit]]/SalesData[[#This Row],[Sales]]</f>
        <v>0.28999999999999998</v>
      </c>
      <c r="J2556">
        <f>YEAR(SalesData[[#This Row],[Order Date]])</f>
        <v>2015</v>
      </c>
      <c r="K2556" t="str">
        <f>TEXT(SalesData[[#This Row],[Order Date]],"mmm")</f>
        <v>Mar</v>
      </c>
      <c r="L2556">
        <f>MONTH(SalesData[[#This Row],[Order Date]])</f>
        <v>3</v>
      </c>
      <c r="M2556">
        <f>SalesData[[#This Row],[Sales]]/SalesData[[#This Row],[Quantity]]</f>
        <v>2.94</v>
      </c>
      <c r="N2556" t="str">
        <f>IF(SalesData[[#This Row],[Profit]]&gt;0,"Profit","Loss")</f>
        <v>Profit</v>
      </c>
    </row>
    <row r="2557" spans="1:14" x14ac:dyDescent="0.3">
      <c r="A2557" t="s">
        <v>1209</v>
      </c>
      <c r="B2557" s="3">
        <v>42068</v>
      </c>
      <c r="C2557" t="s">
        <v>13</v>
      </c>
      <c r="D2557" t="s">
        <v>21</v>
      </c>
      <c r="E2557" t="s">
        <v>1210</v>
      </c>
      <c r="F2557" s="1">
        <v>62.496000000000002</v>
      </c>
      <c r="G2557">
        <v>2</v>
      </c>
      <c r="H2557" s="1">
        <v>21.8736</v>
      </c>
      <c r="I2557" s="4">
        <f>SalesData[[#This Row],[Profit]]/SalesData[[#This Row],[Sales]]</f>
        <v>0.35</v>
      </c>
      <c r="J2557">
        <f>YEAR(SalesData[[#This Row],[Order Date]])</f>
        <v>2015</v>
      </c>
      <c r="K2557" t="str">
        <f>TEXT(SalesData[[#This Row],[Order Date]],"mmm")</f>
        <v>Mar</v>
      </c>
      <c r="L2557">
        <f>MONTH(SalesData[[#This Row],[Order Date]])</f>
        <v>3</v>
      </c>
      <c r="M2557">
        <f>SalesData[[#This Row],[Sales]]/SalesData[[#This Row],[Quantity]]</f>
        <v>31.248000000000001</v>
      </c>
      <c r="N2557" t="str">
        <f>IF(SalesData[[#This Row],[Profit]]&gt;0,"Profit","Loss")</f>
        <v>Profit</v>
      </c>
    </row>
    <row r="2558" spans="1:14" x14ac:dyDescent="0.3">
      <c r="A2558" t="s">
        <v>1209</v>
      </c>
      <c r="B2558" s="3">
        <v>42068</v>
      </c>
      <c r="C2558" t="s">
        <v>13</v>
      </c>
      <c r="D2558" t="s">
        <v>10</v>
      </c>
      <c r="E2558" t="s">
        <v>172</v>
      </c>
      <c r="F2558" s="1">
        <v>339.96</v>
      </c>
      <c r="G2558">
        <v>4</v>
      </c>
      <c r="H2558" s="1">
        <v>122.3856</v>
      </c>
      <c r="I2558" s="4">
        <f>SalesData[[#This Row],[Profit]]/SalesData[[#This Row],[Sales]]</f>
        <v>0.36</v>
      </c>
      <c r="J2558">
        <f>YEAR(SalesData[[#This Row],[Order Date]])</f>
        <v>2015</v>
      </c>
      <c r="K2558" t="str">
        <f>TEXT(SalesData[[#This Row],[Order Date]],"mmm")</f>
        <v>Mar</v>
      </c>
      <c r="L2558">
        <f>MONTH(SalesData[[#This Row],[Order Date]])</f>
        <v>3</v>
      </c>
      <c r="M2558">
        <f>SalesData[[#This Row],[Sales]]/SalesData[[#This Row],[Quantity]]</f>
        <v>84.99</v>
      </c>
      <c r="N2558" t="str">
        <f>IF(SalesData[[#This Row],[Profit]]&gt;0,"Profit","Loss")</f>
        <v>Profit</v>
      </c>
    </row>
    <row r="2559" spans="1:14" x14ac:dyDescent="0.3">
      <c r="A2559" t="s">
        <v>1209</v>
      </c>
      <c r="B2559" s="3">
        <v>42068</v>
      </c>
      <c r="C2559" t="s">
        <v>13</v>
      </c>
      <c r="D2559" t="s">
        <v>21</v>
      </c>
      <c r="E2559" t="s">
        <v>1211</v>
      </c>
      <c r="F2559" s="1">
        <v>49.567999999999998</v>
      </c>
      <c r="G2559">
        <v>2</v>
      </c>
      <c r="H2559" s="1">
        <v>17.348800000000001</v>
      </c>
      <c r="I2559" s="4">
        <f>SalesData[[#This Row],[Profit]]/SalesData[[#This Row],[Sales]]</f>
        <v>0.35000000000000003</v>
      </c>
      <c r="J2559">
        <f>YEAR(SalesData[[#This Row],[Order Date]])</f>
        <v>2015</v>
      </c>
      <c r="K2559" t="str">
        <f>TEXT(SalesData[[#This Row],[Order Date]],"mmm")</f>
        <v>Mar</v>
      </c>
      <c r="L2559">
        <f>MONTH(SalesData[[#This Row],[Order Date]])</f>
        <v>3</v>
      </c>
      <c r="M2559">
        <f>SalesData[[#This Row],[Sales]]/SalesData[[#This Row],[Quantity]]</f>
        <v>24.783999999999999</v>
      </c>
      <c r="N2559" t="str">
        <f>IF(SalesData[[#This Row],[Profit]]&gt;0,"Profit","Loss")</f>
        <v>Profit</v>
      </c>
    </row>
    <row r="2560" spans="1:14" x14ac:dyDescent="0.3">
      <c r="A2560" t="s">
        <v>1212</v>
      </c>
      <c r="B2560" s="3">
        <v>42068</v>
      </c>
      <c r="C2560" t="s">
        <v>13</v>
      </c>
      <c r="D2560" t="s">
        <v>21</v>
      </c>
      <c r="E2560" t="s">
        <v>1213</v>
      </c>
      <c r="F2560" s="1">
        <v>13.848000000000001</v>
      </c>
      <c r="G2560">
        <v>3</v>
      </c>
      <c r="H2560" s="1">
        <v>5.1929999999999996</v>
      </c>
      <c r="I2560" s="4">
        <f>SalesData[[#This Row],[Profit]]/SalesData[[#This Row],[Sales]]</f>
        <v>0.37499999999999994</v>
      </c>
      <c r="J2560">
        <f>YEAR(SalesData[[#This Row],[Order Date]])</f>
        <v>2015</v>
      </c>
      <c r="K2560" t="str">
        <f>TEXT(SalesData[[#This Row],[Order Date]],"mmm")</f>
        <v>Mar</v>
      </c>
      <c r="L2560">
        <f>MONTH(SalesData[[#This Row],[Order Date]])</f>
        <v>3</v>
      </c>
      <c r="M2560">
        <f>SalesData[[#This Row],[Sales]]/SalesData[[#This Row],[Quantity]]</f>
        <v>4.6160000000000005</v>
      </c>
      <c r="N2560" t="str">
        <f>IF(SalesData[[#This Row],[Profit]]&gt;0,"Profit","Loss")</f>
        <v>Profit</v>
      </c>
    </row>
    <row r="2561" spans="1:14" x14ac:dyDescent="0.3">
      <c r="A2561" t="s">
        <v>1214</v>
      </c>
      <c r="B2561" s="3">
        <v>42070</v>
      </c>
      <c r="C2561" t="s">
        <v>46</v>
      </c>
      <c r="D2561" t="s">
        <v>14</v>
      </c>
      <c r="E2561" t="s">
        <v>1215</v>
      </c>
      <c r="F2561" s="1">
        <v>70.98</v>
      </c>
      <c r="G2561">
        <v>1</v>
      </c>
      <c r="H2561" s="1">
        <v>4.9686000000000003</v>
      </c>
      <c r="I2561" s="4">
        <f>SalesData[[#This Row],[Profit]]/SalesData[[#This Row],[Sales]]</f>
        <v>7.0000000000000007E-2</v>
      </c>
      <c r="J2561">
        <f>YEAR(SalesData[[#This Row],[Order Date]])</f>
        <v>2015</v>
      </c>
      <c r="K2561" t="str">
        <f>TEXT(SalesData[[#This Row],[Order Date]],"mmm")</f>
        <v>Mar</v>
      </c>
      <c r="L2561">
        <f>MONTH(SalesData[[#This Row],[Order Date]])</f>
        <v>3</v>
      </c>
      <c r="M2561">
        <f>SalesData[[#This Row],[Sales]]/SalesData[[#This Row],[Quantity]]</f>
        <v>70.98</v>
      </c>
      <c r="N2561" t="str">
        <f>IF(SalesData[[#This Row],[Profit]]&gt;0,"Profit","Loss")</f>
        <v>Profit</v>
      </c>
    </row>
    <row r="2562" spans="1:14" x14ac:dyDescent="0.3">
      <c r="A2562" t="s">
        <v>1214</v>
      </c>
      <c r="B2562" s="3">
        <v>42070</v>
      </c>
      <c r="C2562" t="s">
        <v>46</v>
      </c>
      <c r="D2562" t="s">
        <v>21</v>
      </c>
      <c r="E2562" t="s">
        <v>836</v>
      </c>
      <c r="F2562" s="1">
        <v>294.93</v>
      </c>
      <c r="G2562">
        <v>3</v>
      </c>
      <c r="H2562" s="1">
        <v>144.51570000000001</v>
      </c>
      <c r="I2562" s="4">
        <f>SalesData[[#This Row],[Profit]]/SalesData[[#This Row],[Sales]]</f>
        <v>0.49000000000000005</v>
      </c>
      <c r="J2562">
        <f>YEAR(SalesData[[#This Row],[Order Date]])</f>
        <v>2015</v>
      </c>
      <c r="K2562" t="str">
        <f>TEXT(SalesData[[#This Row],[Order Date]],"mmm")</f>
        <v>Mar</v>
      </c>
      <c r="L2562">
        <f>MONTH(SalesData[[#This Row],[Order Date]])</f>
        <v>3</v>
      </c>
      <c r="M2562">
        <f>SalesData[[#This Row],[Sales]]/SalesData[[#This Row],[Quantity]]</f>
        <v>98.31</v>
      </c>
      <c r="N2562" t="str">
        <f>IF(SalesData[[#This Row],[Profit]]&gt;0,"Profit","Loss")</f>
        <v>Profit</v>
      </c>
    </row>
    <row r="2563" spans="1:14" x14ac:dyDescent="0.3">
      <c r="A2563" t="s">
        <v>1216</v>
      </c>
      <c r="B2563" s="3">
        <v>42070</v>
      </c>
      <c r="C2563" t="s">
        <v>17</v>
      </c>
      <c r="D2563" t="s">
        <v>14</v>
      </c>
      <c r="E2563" t="s">
        <v>1217</v>
      </c>
      <c r="F2563" s="1">
        <v>168.464</v>
      </c>
      <c r="G2563">
        <v>2</v>
      </c>
      <c r="H2563" s="1">
        <v>-29.481200000000001</v>
      </c>
      <c r="I2563" s="4">
        <f>SalesData[[#This Row],[Profit]]/SalesData[[#This Row],[Sales]]</f>
        <v>-0.17500000000000002</v>
      </c>
      <c r="J2563">
        <f>YEAR(SalesData[[#This Row],[Order Date]])</f>
        <v>2015</v>
      </c>
      <c r="K2563" t="str">
        <f>TEXT(SalesData[[#This Row],[Order Date]],"mmm")</f>
        <v>Mar</v>
      </c>
      <c r="L2563">
        <f>MONTH(SalesData[[#This Row],[Order Date]])</f>
        <v>3</v>
      </c>
      <c r="M2563">
        <f>SalesData[[#This Row],[Sales]]/SalesData[[#This Row],[Quantity]]</f>
        <v>84.231999999999999</v>
      </c>
      <c r="N2563" t="str">
        <f>IF(SalesData[[#This Row],[Profit]]&gt;0,"Profit","Loss")</f>
        <v>Loss</v>
      </c>
    </row>
    <row r="2564" spans="1:14" x14ac:dyDescent="0.3">
      <c r="A2564" t="s">
        <v>1216</v>
      </c>
      <c r="B2564" s="3">
        <v>42070</v>
      </c>
      <c r="C2564" t="s">
        <v>17</v>
      </c>
      <c r="D2564" t="s">
        <v>21</v>
      </c>
      <c r="E2564" t="s">
        <v>1155</v>
      </c>
      <c r="F2564" s="1">
        <v>6.72</v>
      </c>
      <c r="G2564">
        <v>2</v>
      </c>
      <c r="H2564" s="1">
        <v>2.4359999999999999</v>
      </c>
      <c r="I2564" s="4">
        <f>SalesData[[#This Row],[Profit]]/SalesData[[#This Row],[Sales]]</f>
        <v>0.36249999999999999</v>
      </c>
      <c r="J2564">
        <f>YEAR(SalesData[[#This Row],[Order Date]])</f>
        <v>2015</v>
      </c>
      <c r="K2564" t="str">
        <f>TEXT(SalesData[[#This Row],[Order Date]],"mmm")</f>
        <v>Mar</v>
      </c>
      <c r="L2564">
        <f>MONTH(SalesData[[#This Row],[Order Date]])</f>
        <v>3</v>
      </c>
      <c r="M2564">
        <f>SalesData[[#This Row],[Sales]]/SalesData[[#This Row],[Quantity]]</f>
        <v>3.36</v>
      </c>
      <c r="N2564" t="str">
        <f>IF(SalesData[[#This Row],[Profit]]&gt;0,"Profit","Loss")</f>
        <v>Profit</v>
      </c>
    </row>
    <row r="2565" spans="1:14" x14ac:dyDescent="0.3">
      <c r="A2565" t="s">
        <v>1216</v>
      </c>
      <c r="B2565" s="3">
        <v>42070</v>
      </c>
      <c r="C2565" t="s">
        <v>17</v>
      </c>
      <c r="D2565" t="s">
        <v>14</v>
      </c>
      <c r="E2565" t="s">
        <v>1218</v>
      </c>
      <c r="F2565" s="1">
        <v>282.88799999999998</v>
      </c>
      <c r="G2565">
        <v>9</v>
      </c>
      <c r="H2565" s="1">
        <v>56.577599999999997</v>
      </c>
      <c r="I2565" s="4">
        <f>SalesData[[#This Row],[Profit]]/SalesData[[#This Row],[Sales]]</f>
        <v>0.2</v>
      </c>
      <c r="J2565">
        <f>YEAR(SalesData[[#This Row],[Order Date]])</f>
        <v>2015</v>
      </c>
      <c r="K2565" t="str">
        <f>TEXT(SalesData[[#This Row],[Order Date]],"mmm")</f>
        <v>Mar</v>
      </c>
      <c r="L2565">
        <f>MONTH(SalesData[[#This Row],[Order Date]])</f>
        <v>3</v>
      </c>
      <c r="M2565">
        <f>SalesData[[#This Row],[Sales]]/SalesData[[#This Row],[Quantity]]</f>
        <v>31.431999999999999</v>
      </c>
      <c r="N2565" t="str">
        <f>IF(SalesData[[#This Row],[Profit]]&gt;0,"Profit","Loss")</f>
        <v>Profit</v>
      </c>
    </row>
    <row r="2566" spans="1:14" x14ac:dyDescent="0.3">
      <c r="A2566" t="s">
        <v>1219</v>
      </c>
      <c r="B2566" s="3">
        <v>42072</v>
      </c>
      <c r="C2566" t="s">
        <v>46</v>
      </c>
      <c r="D2566" t="s">
        <v>21</v>
      </c>
      <c r="E2566" t="s">
        <v>1220</v>
      </c>
      <c r="F2566" s="1">
        <v>200.98400000000001</v>
      </c>
      <c r="G2566">
        <v>7</v>
      </c>
      <c r="H2566" s="1">
        <v>62.807499999999997</v>
      </c>
      <c r="I2566" s="4">
        <f>SalesData[[#This Row],[Profit]]/SalesData[[#This Row],[Sales]]</f>
        <v>0.3125</v>
      </c>
      <c r="J2566">
        <f>YEAR(SalesData[[#This Row],[Order Date]])</f>
        <v>2015</v>
      </c>
      <c r="K2566" t="str">
        <f>TEXT(SalesData[[#This Row],[Order Date]],"mmm")</f>
        <v>Mar</v>
      </c>
      <c r="L2566">
        <f>MONTH(SalesData[[#This Row],[Order Date]])</f>
        <v>3</v>
      </c>
      <c r="M2566">
        <f>SalesData[[#This Row],[Sales]]/SalesData[[#This Row],[Quantity]]</f>
        <v>28.712</v>
      </c>
      <c r="N2566" t="str">
        <f>IF(SalesData[[#This Row],[Profit]]&gt;0,"Profit","Loss")</f>
        <v>Profit</v>
      </c>
    </row>
    <row r="2567" spans="1:14" x14ac:dyDescent="0.3">
      <c r="A2567" t="s">
        <v>1221</v>
      </c>
      <c r="B2567" s="3">
        <v>42072</v>
      </c>
      <c r="C2567" t="s">
        <v>17</v>
      </c>
      <c r="D2567" t="s">
        <v>21</v>
      </c>
      <c r="E2567" t="s">
        <v>1222</v>
      </c>
      <c r="F2567" s="1">
        <v>36.335999999999999</v>
      </c>
      <c r="G2567">
        <v>3</v>
      </c>
      <c r="H2567" s="1">
        <v>-7.2671999999999999</v>
      </c>
      <c r="I2567" s="4">
        <f>SalesData[[#This Row],[Profit]]/SalesData[[#This Row],[Sales]]</f>
        <v>-0.2</v>
      </c>
      <c r="J2567">
        <f>YEAR(SalesData[[#This Row],[Order Date]])</f>
        <v>2015</v>
      </c>
      <c r="K2567" t="str">
        <f>TEXT(SalesData[[#This Row],[Order Date]],"mmm")</f>
        <v>Mar</v>
      </c>
      <c r="L2567">
        <f>MONTH(SalesData[[#This Row],[Order Date]])</f>
        <v>3</v>
      </c>
      <c r="M2567">
        <f>SalesData[[#This Row],[Sales]]/SalesData[[#This Row],[Quantity]]</f>
        <v>12.112</v>
      </c>
      <c r="N2567" t="str">
        <f>IF(SalesData[[#This Row],[Profit]]&gt;0,"Profit","Loss")</f>
        <v>Loss</v>
      </c>
    </row>
    <row r="2568" spans="1:14" x14ac:dyDescent="0.3">
      <c r="A2568" t="s">
        <v>1221</v>
      </c>
      <c r="B2568" s="3">
        <v>42072</v>
      </c>
      <c r="C2568" t="s">
        <v>17</v>
      </c>
      <c r="D2568" t="s">
        <v>21</v>
      </c>
      <c r="E2568" t="s">
        <v>396</v>
      </c>
      <c r="F2568" s="1">
        <v>666.24800000000005</v>
      </c>
      <c r="G2568">
        <v>1</v>
      </c>
      <c r="H2568" s="1">
        <v>-149.9058</v>
      </c>
      <c r="I2568" s="4">
        <f>SalesData[[#This Row],[Profit]]/SalesData[[#This Row],[Sales]]</f>
        <v>-0.22499999999999998</v>
      </c>
      <c r="J2568">
        <f>YEAR(SalesData[[#This Row],[Order Date]])</f>
        <v>2015</v>
      </c>
      <c r="K2568" t="str">
        <f>TEXT(SalesData[[#This Row],[Order Date]],"mmm")</f>
        <v>Mar</v>
      </c>
      <c r="L2568">
        <f>MONTH(SalesData[[#This Row],[Order Date]])</f>
        <v>3</v>
      </c>
      <c r="M2568">
        <f>SalesData[[#This Row],[Sales]]/SalesData[[#This Row],[Quantity]]</f>
        <v>666.24800000000005</v>
      </c>
      <c r="N2568" t="str">
        <f>IF(SalesData[[#This Row],[Profit]]&gt;0,"Profit","Loss")</f>
        <v>Loss</v>
      </c>
    </row>
    <row r="2569" spans="1:14" x14ac:dyDescent="0.3">
      <c r="A2569" t="s">
        <v>1221</v>
      </c>
      <c r="B2569" s="3">
        <v>42072</v>
      </c>
      <c r="C2569" t="s">
        <v>17</v>
      </c>
      <c r="D2569" t="s">
        <v>21</v>
      </c>
      <c r="E2569" t="s">
        <v>1223</v>
      </c>
      <c r="F2569" s="1">
        <v>52.512</v>
      </c>
      <c r="G2569">
        <v>6</v>
      </c>
      <c r="H2569" s="1">
        <v>19.692</v>
      </c>
      <c r="I2569" s="4">
        <f>SalesData[[#This Row],[Profit]]/SalesData[[#This Row],[Sales]]</f>
        <v>0.375</v>
      </c>
      <c r="J2569">
        <f>YEAR(SalesData[[#This Row],[Order Date]])</f>
        <v>2015</v>
      </c>
      <c r="K2569" t="str">
        <f>TEXT(SalesData[[#This Row],[Order Date]],"mmm")</f>
        <v>Mar</v>
      </c>
      <c r="L2569">
        <f>MONTH(SalesData[[#This Row],[Order Date]])</f>
        <v>3</v>
      </c>
      <c r="M2569">
        <f>SalesData[[#This Row],[Sales]]/SalesData[[#This Row],[Quantity]]</f>
        <v>8.7520000000000007</v>
      </c>
      <c r="N2569" t="str">
        <f>IF(SalesData[[#This Row],[Profit]]&gt;0,"Profit","Loss")</f>
        <v>Profit</v>
      </c>
    </row>
    <row r="2570" spans="1:14" x14ac:dyDescent="0.3">
      <c r="A2570" t="s">
        <v>1224</v>
      </c>
      <c r="B2570" s="3">
        <v>42072</v>
      </c>
      <c r="C2570" t="s">
        <v>13</v>
      </c>
      <c r="D2570" t="s">
        <v>21</v>
      </c>
      <c r="E2570" t="s">
        <v>1225</v>
      </c>
      <c r="F2570" s="1">
        <v>31.44</v>
      </c>
      <c r="G2570">
        <v>3</v>
      </c>
      <c r="H2570" s="1">
        <v>8.4887999999999995</v>
      </c>
      <c r="I2570" s="4">
        <f>SalesData[[#This Row],[Profit]]/SalesData[[#This Row],[Sales]]</f>
        <v>0.26999999999999996</v>
      </c>
      <c r="J2570">
        <f>YEAR(SalesData[[#This Row],[Order Date]])</f>
        <v>2015</v>
      </c>
      <c r="K2570" t="str">
        <f>TEXT(SalesData[[#This Row],[Order Date]],"mmm")</f>
        <v>Mar</v>
      </c>
      <c r="L2570">
        <f>MONTH(SalesData[[#This Row],[Order Date]])</f>
        <v>3</v>
      </c>
      <c r="M2570">
        <f>SalesData[[#This Row],[Sales]]/SalesData[[#This Row],[Quantity]]</f>
        <v>10.48</v>
      </c>
      <c r="N2570" t="str">
        <f>IF(SalesData[[#This Row],[Profit]]&gt;0,"Profit","Loss")</f>
        <v>Profit</v>
      </c>
    </row>
    <row r="2571" spans="1:14" x14ac:dyDescent="0.3">
      <c r="A2571" t="s">
        <v>1224</v>
      </c>
      <c r="B2571" s="3">
        <v>42072</v>
      </c>
      <c r="C2571" t="s">
        <v>13</v>
      </c>
      <c r="D2571" t="s">
        <v>10</v>
      </c>
      <c r="E2571" t="s">
        <v>179</v>
      </c>
      <c r="F2571" s="1">
        <v>17.899999999999999</v>
      </c>
      <c r="G2571">
        <v>2</v>
      </c>
      <c r="H2571" s="1">
        <v>3.4009999999999998</v>
      </c>
      <c r="I2571" s="4">
        <f>SalesData[[#This Row],[Profit]]/SalesData[[#This Row],[Sales]]</f>
        <v>0.19</v>
      </c>
      <c r="J2571">
        <f>YEAR(SalesData[[#This Row],[Order Date]])</f>
        <v>2015</v>
      </c>
      <c r="K2571" t="str">
        <f>TEXT(SalesData[[#This Row],[Order Date]],"mmm")</f>
        <v>Mar</v>
      </c>
      <c r="L2571">
        <f>MONTH(SalesData[[#This Row],[Order Date]])</f>
        <v>3</v>
      </c>
      <c r="M2571">
        <f>SalesData[[#This Row],[Sales]]/SalesData[[#This Row],[Quantity]]</f>
        <v>8.9499999999999993</v>
      </c>
      <c r="N2571" t="str">
        <f>IF(SalesData[[#This Row],[Profit]]&gt;0,"Profit","Loss")</f>
        <v>Profit</v>
      </c>
    </row>
    <row r="2572" spans="1:14" x14ac:dyDescent="0.3">
      <c r="A2572" t="s">
        <v>1224</v>
      </c>
      <c r="B2572" s="3">
        <v>42072</v>
      </c>
      <c r="C2572" t="s">
        <v>13</v>
      </c>
      <c r="D2572" t="s">
        <v>10</v>
      </c>
      <c r="E2572" t="s">
        <v>1226</v>
      </c>
      <c r="F2572" s="1">
        <v>129.44999999999999</v>
      </c>
      <c r="G2572">
        <v>5</v>
      </c>
      <c r="H2572" s="1">
        <v>46.601999999999997</v>
      </c>
      <c r="I2572" s="4">
        <f>SalesData[[#This Row],[Profit]]/SalesData[[#This Row],[Sales]]</f>
        <v>0.36</v>
      </c>
      <c r="J2572">
        <f>YEAR(SalesData[[#This Row],[Order Date]])</f>
        <v>2015</v>
      </c>
      <c r="K2572" t="str">
        <f>TEXT(SalesData[[#This Row],[Order Date]],"mmm")</f>
        <v>Mar</v>
      </c>
      <c r="L2572">
        <f>MONTH(SalesData[[#This Row],[Order Date]])</f>
        <v>3</v>
      </c>
      <c r="M2572">
        <f>SalesData[[#This Row],[Sales]]/SalesData[[#This Row],[Quantity]]</f>
        <v>25.889999999999997</v>
      </c>
      <c r="N2572" t="str">
        <f>IF(SalesData[[#This Row],[Profit]]&gt;0,"Profit","Loss")</f>
        <v>Profit</v>
      </c>
    </row>
    <row r="2573" spans="1:14" x14ac:dyDescent="0.3">
      <c r="A2573" t="s">
        <v>1227</v>
      </c>
      <c r="B2573" s="3">
        <v>42072</v>
      </c>
      <c r="C2573" t="s">
        <v>17</v>
      </c>
      <c r="D2573" t="s">
        <v>21</v>
      </c>
      <c r="E2573" t="s">
        <v>1228</v>
      </c>
      <c r="F2573" s="1">
        <v>137.62</v>
      </c>
      <c r="G2573">
        <v>2</v>
      </c>
      <c r="H2573" s="1">
        <v>60.552799999999998</v>
      </c>
      <c r="I2573" s="4">
        <f>SalesData[[#This Row],[Profit]]/SalesData[[#This Row],[Sales]]</f>
        <v>0.43999999999999995</v>
      </c>
      <c r="J2573">
        <f>YEAR(SalesData[[#This Row],[Order Date]])</f>
        <v>2015</v>
      </c>
      <c r="K2573" t="str">
        <f>TEXT(SalesData[[#This Row],[Order Date]],"mmm")</f>
        <v>Mar</v>
      </c>
      <c r="L2573">
        <f>MONTH(SalesData[[#This Row],[Order Date]])</f>
        <v>3</v>
      </c>
      <c r="M2573">
        <f>SalesData[[#This Row],[Sales]]/SalesData[[#This Row],[Quantity]]</f>
        <v>68.81</v>
      </c>
      <c r="N2573" t="str">
        <f>IF(SalesData[[#This Row],[Profit]]&gt;0,"Profit","Loss")</f>
        <v>Profit</v>
      </c>
    </row>
    <row r="2574" spans="1:14" x14ac:dyDescent="0.3">
      <c r="A2574" t="s">
        <v>1227</v>
      </c>
      <c r="B2574" s="3">
        <v>42072</v>
      </c>
      <c r="C2574" t="s">
        <v>17</v>
      </c>
      <c r="D2574" t="s">
        <v>10</v>
      </c>
      <c r="E2574" t="s">
        <v>955</v>
      </c>
      <c r="F2574" s="1">
        <v>100.49</v>
      </c>
      <c r="G2574">
        <v>1</v>
      </c>
      <c r="H2574" s="1">
        <v>25.122499999999999</v>
      </c>
      <c r="I2574" s="4">
        <f>SalesData[[#This Row],[Profit]]/SalesData[[#This Row],[Sales]]</f>
        <v>0.25</v>
      </c>
      <c r="J2574">
        <f>YEAR(SalesData[[#This Row],[Order Date]])</f>
        <v>2015</v>
      </c>
      <c r="K2574" t="str">
        <f>TEXT(SalesData[[#This Row],[Order Date]],"mmm")</f>
        <v>Mar</v>
      </c>
      <c r="L2574">
        <f>MONTH(SalesData[[#This Row],[Order Date]])</f>
        <v>3</v>
      </c>
      <c r="M2574">
        <f>SalesData[[#This Row],[Sales]]/SalesData[[#This Row],[Quantity]]</f>
        <v>100.49</v>
      </c>
      <c r="N2574" t="str">
        <f>IF(SalesData[[#This Row],[Profit]]&gt;0,"Profit","Loss")</f>
        <v>Profit</v>
      </c>
    </row>
    <row r="2575" spans="1:14" x14ac:dyDescent="0.3">
      <c r="A2575" t="s">
        <v>1229</v>
      </c>
      <c r="B2575" s="3">
        <v>42072</v>
      </c>
      <c r="C2575" t="s">
        <v>17</v>
      </c>
      <c r="D2575" t="s">
        <v>21</v>
      </c>
      <c r="E2575" t="s">
        <v>1230</v>
      </c>
      <c r="F2575" s="1">
        <v>120.33</v>
      </c>
      <c r="G2575">
        <v>1</v>
      </c>
      <c r="H2575" s="1">
        <v>31.285799999999998</v>
      </c>
      <c r="I2575" s="4">
        <f>SalesData[[#This Row],[Profit]]/SalesData[[#This Row],[Sales]]</f>
        <v>0.26</v>
      </c>
      <c r="J2575">
        <f>YEAR(SalesData[[#This Row],[Order Date]])</f>
        <v>2015</v>
      </c>
      <c r="K2575" t="str">
        <f>TEXT(SalesData[[#This Row],[Order Date]],"mmm")</f>
        <v>Mar</v>
      </c>
      <c r="L2575">
        <f>MONTH(SalesData[[#This Row],[Order Date]])</f>
        <v>3</v>
      </c>
      <c r="M2575">
        <f>SalesData[[#This Row],[Sales]]/SalesData[[#This Row],[Quantity]]</f>
        <v>120.33</v>
      </c>
      <c r="N2575" t="str">
        <f>IF(SalesData[[#This Row],[Profit]]&gt;0,"Profit","Loss")</f>
        <v>Profit</v>
      </c>
    </row>
    <row r="2576" spans="1:14" x14ac:dyDescent="0.3">
      <c r="A2576" t="s">
        <v>1231</v>
      </c>
      <c r="B2576" s="3">
        <v>42072</v>
      </c>
      <c r="C2576" t="s">
        <v>13</v>
      </c>
      <c r="D2576" t="s">
        <v>14</v>
      </c>
      <c r="E2576" t="s">
        <v>1232</v>
      </c>
      <c r="F2576" s="1">
        <v>129.56800000000001</v>
      </c>
      <c r="G2576">
        <v>2</v>
      </c>
      <c r="H2576" s="1">
        <v>-12.956799999999999</v>
      </c>
      <c r="I2576" s="4">
        <f>SalesData[[#This Row],[Profit]]/SalesData[[#This Row],[Sales]]</f>
        <v>-9.9999999999999992E-2</v>
      </c>
      <c r="J2576">
        <f>YEAR(SalesData[[#This Row],[Order Date]])</f>
        <v>2015</v>
      </c>
      <c r="K2576" t="str">
        <f>TEXT(SalesData[[#This Row],[Order Date]],"mmm")</f>
        <v>Mar</v>
      </c>
      <c r="L2576">
        <f>MONTH(SalesData[[#This Row],[Order Date]])</f>
        <v>3</v>
      </c>
      <c r="M2576">
        <f>SalesData[[#This Row],[Sales]]/SalesData[[#This Row],[Quantity]]</f>
        <v>64.784000000000006</v>
      </c>
      <c r="N2576" t="str">
        <f>IF(SalesData[[#This Row],[Profit]]&gt;0,"Profit","Loss")</f>
        <v>Loss</v>
      </c>
    </row>
    <row r="2577" spans="1:14" x14ac:dyDescent="0.3">
      <c r="A2577" t="s">
        <v>1231</v>
      </c>
      <c r="B2577" s="3">
        <v>42072</v>
      </c>
      <c r="C2577" t="s">
        <v>13</v>
      </c>
      <c r="D2577" t="s">
        <v>21</v>
      </c>
      <c r="E2577" t="s">
        <v>1233</v>
      </c>
      <c r="F2577" s="1">
        <v>6.3680000000000003</v>
      </c>
      <c r="G2577">
        <v>2</v>
      </c>
      <c r="H2577" s="1">
        <v>2.1492</v>
      </c>
      <c r="I2577" s="4">
        <f>SalesData[[#This Row],[Profit]]/SalesData[[#This Row],[Sales]]</f>
        <v>0.33749999999999997</v>
      </c>
      <c r="J2577">
        <f>YEAR(SalesData[[#This Row],[Order Date]])</f>
        <v>2015</v>
      </c>
      <c r="K2577" t="str">
        <f>TEXT(SalesData[[#This Row],[Order Date]],"mmm")</f>
        <v>Mar</v>
      </c>
      <c r="L2577">
        <f>MONTH(SalesData[[#This Row],[Order Date]])</f>
        <v>3</v>
      </c>
      <c r="M2577">
        <f>SalesData[[#This Row],[Sales]]/SalesData[[#This Row],[Quantity]]</f>
        <v>3.1840000000000002</v>
      </c>
      <c r="N2577" t="str">
        <f>IF(SalesData[[#This Row],[Profit]]&gt;0,"Profit","Loss")</f>
        <v>Profit</v>
      </c>
    </row>
    <row r="2578" spans="1:14" x14ac:dyDescent="0.3">
      <c r="A2578" t="s">
        <v>1234</v>
      </c>
      <c r="B2578" s="3">
        <v>42072</v>
      </c>
      <c r="C2578" t="s">
        <v>13</v>
      </c>
      <c r="D2578" t="s">
        <v>14</v>
      </c>
      <c r="E2578" t="s">
        <v>1235</v>
      </c>
      <c r="F2578" s="1">
        <v>238.15199999999999</v>
      </c>
      <c r="G2578">
        <v>3</v>
      </c>
      <c r="H2578" s="1">
        <v>89.307000000000002</v>
      </c>
      <c r="I2578" s="4">
        <f>SalesData[[#This Row],[Profit]]/SalesData[[#This Row],[Sales]]</f>
        <v>0.37500000000000006</v>
      </c>
      <c r="J2578">
        <f>YEAR(SalesData[[#This Row],[Order Date]])</f>
        <v>2015</v>
      </c>
      <c r="K2578" t="str">
        <f>TEXT(SalesData[[#This Row],[Order Date]],"mmm")</f>
        <v>Mar</v>
      </c>
      <c r="L2578">
        <f>MONTH(SalesData[[#This Row],[Order Date]])</f>
        <v>3</v>
      </c>
      <c r="M2578">
        <f>SalesData[[#This Row],[Sales]]/SalesData[[#This Row],[Quantity]]</f>
        <v>79.384</v>
      </c>
      <c r="N2578" t="str">
        <f>IF(SalesData[[#This Row],[Profit]]&gt;0,"Profit","Loss")</f>
        <v>Profit</v>
      </c>
    </row>
    <row r="2579" spans="1:14" x14ac:dyDescent="0.3">
      <c r="A2579" t="s">
        <v>1236</v>
      </c>
      <c r="B2579" s="3">
        <v>42072</v>
      </c>
      <c r="C2579" t="s">
        <v>9</v>
      </c>
      <c r="D2579" t="s">
        <v>21</v>
      </c>
      <c r="E2579" t="s">
        <v>1237</v>
      </c>
      <c r="F2579" s="1">
        <v>7.5</v>
      </c>
      <c r="G2579">
        <v>2</v>
      </c>
      <c r="H2579" s="1">
        <v>3.6</v>
      </c>
      <c r="I2579" s="4">
        <f>SalesData[[#This Row],[Profit]]/SalesData[[#This Row],[Sales]]</f>
        <v>0.48000000000000004</v>
      </c>
      <c r="J2579">
        <f>YEAR(SalesData[[#This Row],[Order Date]])</f>
        <v>2015</v>
      </c>
      <c r="K2579" t="str">
        <f>TEXT(SalesData[[#This Row],[Order Date]],"mmm")</f>
        <v>Mar</v>
      </c>
      <c r="L2579">
        <f>MONTH(SalesData[[#This Row],[Order Date]])</f>
        <v>3</v>
      </c>
      <c r="M2579">
        <f>SalesData[[#This Row],[Sales]]/SalesData[[#This Row],[Quantity]]</f>
        <v>3.75</v>
      </c>
      <c r="N2579" t="str">
        <f>IF(SalesData[[#This Row],[Profit]]&gt;0,"Profit","Loss")</f>
        <v>Profit</v>
      </c>
    </row>
    <row r="2580" spans="1:14" x14ac:dyDescent="0.3">
      <c r="A2580" t="s">
        <v>1238</v>
      </c>
      <c r="B2580" s="3">
        <v>42073</v>
      </c>
      <c r="C2580" t="s">
        <v>17</v>
      </c>
      <c r="D2580" t="s">
        <v>21</v>
      </c>
      <c r="E2580" t="s">
        <v>187</v>
      </c>
      <c r="F2580" s="1">
        <v>32.07</v>
      </c>
      <c r="G2580">
        <v>5</v>
      </c>
      <c r="H2580" s="1">
        <v>-22.449000000000002</v>
      </c>
      <c r="I2580" s="4">
        <f>SalesData[[#This Row],[Profit]]/SalesData[[#This Row],[Sales]]</f>
        <v>-0.70000000000000007</v>
      </c>
      <c r="J2580">
        <f>YEAR(SalesData[[#This Row],[Order Date]])</f>
        <v>2015</v>
      </c>
      <c r="K2580" t="str">
        <f>TEXT(SalesData[[#This Row],[Order Date]],"mmm")</f>
        <v>Mar</v>
      </c>
      <c r="L2580">
        <f>MONTH(SalesData[[#This Row],[Order Date]])</f>
        <v>3</v>
      </c>
      <c r="M2580">
        <f>SalesData[[#This Row],[Sales]]/SalesData[[#This Row],[Quantity]]</f>
        <v>6.4139999999999997</v>
      </c>
      <c r="N2580" t="str">
        <f>IF(SalesData[[#This Row],[Profit]]&gt;0,"Profit","Loss")</f>
        <v>Loss</v>
      </c>
    </row>
    <row r="2581" spans="1:14" x14ac:dyDescent="0.3">
      <c r="A2581" t="s">
        <v>1238</v>
      </c>
      <c r="B2581" s="3">
        <v>42073</v>
      </c>
      <c r="C2581" t="s">
        <v>17</v>
      </c>
      <c r="D2581" t="s">
        <v>10</v>
      </c>
      <c r="E2581" t="s">
        <v>1239</v>
      </c>
      <c r="F2581" s="1">
        <v>24</v>
      </c>
      <c r="G2581">
        <v>2</v>
      </c>
      <c r="H2581" s="1">
        <v>-2.7</v>
      </c>
      <c r="I2581" s="4">
        <f>SalesData[[#This Row],[Profit]]/SalesData[[#This Row],[Sales]]</f>
        <v>-0.1125</v>
      </c>
      <c r="J2581">
        <f>YEAR(SalesData[[#This Row],[Order Date]])</f>
        <v>2015</v>
      </c>
      <c r="K2581" t="str">
        <f>TEXT(SalesData[[#This Row],[Order Date]],"mmm")</f>
        <v>Mar</v>
      </c>
      <c r="L2581">
        <f>MONTH(SalesData[[#This Row],[Order Date]])</f>
        <v>3</v>
      </c>
      <c r="M2581">
        <f>SalesData[[#This Row],[Sales]]/SalesData[[#This Row],[Quantity]]</f>
        <v>12</v>
      </c>
      <c r="N2581" t="str">
        <f>IF(SalesData[[#This Row],[Profit]]&gt;0,"Profit","Loss")</f>
        <v>Loss</v>
      </c>
    </row>
    <row r="2582" spans="1:14" x14ac:dyDescent="0.3">
      <c r="A2582" t="s">
        <v>1238</v>
      </c>
      <c r="B2582" s="3">
        <v>42073</v>
      </c>
      <c r="C2582" t="s">
        <v>17</v>
      </c>
      <c r="D2582" t="s">
        <v>14</v>
      </c>
      <c r="E2582" t="s">
        <v>1240</v>
      </c>
      <c r="F2582" s="1">
        <v>35.49</v>
      </c>
      <c r="G2582">
        <v>1</v>
      </c>
      <c r="H2582" s="1">
        <v>-15.615600000000001</v>
      </c>
      <c r="I2582" s="4">
        <f>SalesData[[#This Row],[Profit]]/SalesData[[#This Row],[Sales]]</f>
        <v>-0.44</v>
      </c>
      <c r="J2582">
        <f>YEAR(SalesData[[#This Row],[Order Date]])</f>
        <v>2015</v>
      </c>
      <c r="K2582" t="str">
        <f>TEXT(SalesData[[#This Row],[Order Date]],"mmm")</f>
        <v>Mar</v>
      </c>
      <c r="L2582">
        <f>MONTH(SalesData[[#This Row],[Order Date]])</f>
        <v>3</v>
      </c>
      <c r="M2582">
        <f>SalesData[[#This Row],[Sales]]/SalesData[[#This Row],[Quantity]]</f>
        <v>35.49</v>
      </c>
      <c r="N2582" t="str">
        <f>IF(SalesData[[#This Row],[Profit]]&gt;0,"Profit","Loss")</f>
        <v>Loss</v>
      </c>
    </row>
    <row r="2583" spans="1:14" x14ac:dyDescent="0.3">
      <c r="A2583" t="s">
        <v>1238</v>
      </c>
      <c r="B2583" s="3">
        <v>42073</v>
      </c>
      <c r="C2583" t="s">
        <v>17</v>
      </c>
      <c r="D2583" t="s">
        <v>10</v>
      </c>
      <c r="E2583" t="s">
        <v>1241</v>
      </c>
      <c r="F2583" s="1">
        <v>47.984000000000002</v>
      </c>
      <c r="G2583">
        <v>2</v>
      </c>
      <c r="H2583" s="1">
        <v>0.5998</v>
      </c>
      <c r="I2583" s="4">
        <f>SalesData[[#This Row],[Profit]]/SalesData[[#This Row],[Sales]]</f>
        <v>1.2499999999999999E-2</v>
      </c>
      <c r="J2583">
        <f>YEAR(SalesData[[#This Row],[Order Date]])</f>
        <v>2015</v>
      </c>
      <c r="K2583" t="str">
        <f>TEXT(SalesData[[#This Row],[Order Date]],"mmm")</f>
        <v>Mar</v>
      </c>
      <c r="L2583">
        <f>MONTH(SalesData[[#This Row],[Order Date]])</f>
        <v>3</v>
      </c>
      <c r="M2583">
        <f>SalesData[[#This Row],[Sales]]/SalesData[[#This Row],[Quantity]]</f>
        <v>23.992000000000001</v>
      </c>
      <c r="N2583" t="str">
        <f>IF(SalesData[[#This Row],[Profit]]&gt;0,"Profit","Loss")</f>
        <v>Profit</v>
      </c>
    </row>
    <row r="2584" spans="1:14" x14ac:dyDescent="0.3">
      <c r="A2584" t="s">
        <v>1242</v>
      </c>
      <c r="B2584" s="3">
        <v>42073</v>
      </c>
      <c r="C2584" t="s">
        <v>17</v>
      </c>
      <c r="D2584" t="s">
        <v>21</v>
      </c>
      <c r="E2584" t="s">
        <v>255</v>
      </c>
      <c r="F2584" s="1">
        <v>15.007999999999999</v>
      </c>
      <c r="G2584">
        <v>2</v>
      </c>
      <c r="H2584" s="1">
        <v>1.5007999999999999</v>
      </c>
      <c r="I2584" s="4">
        <f>SalesData[[#This Row],[Profit]]/SalesData[[#This Row],[Sales]]</f>
        <v>0.1</v>
      </c>
      <c r="J2584">
        <f>YEAR(SalesData[[#This Row],[Order Date]])</f>
        <v>2015</v>
      </c>
      <c r="K2584" t="str">
        <f>TEXT(SalesData[[#This Row],[Order Date]],"mmm")</f>
        <v>Mar</v>
      </c>
      <c r="L2584">
        <f>MONTH(SalesData[[#This Row],[Order Date]])</f>
        <v>3</v>
      </c>
      <c r="M2584">
        <f>SalesData[[#This Row],[Sales]]/SalesData[[#This Row],[Quantity]]</f>
        <v>7.5039999999999996</v>
      </c>
      <c r="N2584" t="str">
        <f>IF(SalesData[[#This Row],[Profit]]&gt;0,"Profit","Loss")</f>
        <v>Profit</v>
      </c>
    </row>
    <row r="2585" spans="1:14" x14ac:dyDescent="0.3">
      <c r="A2585" t="s">
        <v>1243</v>
      </c>
      <c r="B2585" s="3">
        <v>42073</v>
      </c>
      <c r="C2585" t="s">
        <v>13</v>
      </c>
      <c r="D2585" t="s">
        <v>14</v>
      </c>
      <c r="E2585" t="s">
        <v>1240</v>
      </c>
      <c r="F2585" s="1">
        <v>120.666</v>
      </c>
      <c r="G2585">
        <v>2</v>
      </c>
      <c r="H2585" s="1">
        <v>18.454799999999999</v>
      </c>
      <c r="I2585" s="4">
        <f>SalesData[[#This Row],[Profit]]/SalesData[[#This Row],[Sales]]</f>
        <v>0.15294117647058822</v>
      </c>
      <c r="J2585">
        <f>YEAR(SalesData[[#This Row],[Order Date]])</f>
        <v>2015</v>
      </c>
      <c r="K2585" t="str">
        <f>TEXT(SalesData[[#This Row],[Order Date]],"mmm")</f>
        <v>Mar</v>
      </c>
      <c r="L2585">
        <f>MONTH(SalesData[[#This Row],[Order Date]])</f>
        <v>3</v>
      </c>
      <c r="M2585">
        <f>SalesData[[#This Row],[Sales]]/SalesData[[#This Row],[Quantity]]</f>
        <v>60.332999999999998</v>
      </c>
      <c r="N2585" t="str">
        <f>IF(SalesData[[#This Row],[Profit]]&gt;0,"Profit","Loss")</f>
        <v>Profit</v>
      </c>
    </row>
    <row r="2586" spans="1:14" x14ac:dyDescent="0.3">
      <c r="A2586" t="s">
        <v>1244</v>
      </c>
      <c r="B2586" s="3">
        <v>42074</v>
      </c>
      <c r="C2586" t="s">
        <v>13</v>
      </c>
      <c r="D2586" t="s">
        <v>10</v>
      </c>
      <c r="E2586" t="s">
        <v>1245</v>
      </c>
      <c r="F2586" s="1">
        <v>1212.848</v>
      </c>
      <c r="G2586">
        <v>7</v>
      </c>
      <c r="H2586" s="1">
        <v>106.1242</v>
      </c>
      <c r="I2586" s="4">
        <f>SalesData[[#This Row],[Profit]]/SalesData[[#This Row],[Sales]]</f>
        <v>8.7500000000000008E-2</v>
      </c>
      <c r="J2586">
        <f>YEAR(SalesData[[#This Row],[Order Date]])</f>
        <v>2015</v>
      </c>
      <c r="K2586" t="str">
        <f>TEXT(SalesData[[#This Row],[Order Date]],"mmm")</f>
        <v>Mar</v>
      </c>
      <c r="L2586">
        <f>MONTH(SalesData[[#This Row],[Order Date]])</f>
        <v>3</v>
      </c>
      <c r="M2586">
        <f>SalesData[[#This Row],[Sales]]/SalesData[[#This Row],[Quantity]]</f>
        <v>173.26399999999998</v>
      </c>
      <c r="N2586" t="str">
        <f>IF(SalesData[[#This Row],[Profit]]&gt;0,"Profit","Loss")</f>
        <v>Profit</v>
      </c>
    </row>
    <row r="2587" spans="1:14" x14ac:dyDescent="0.3">
      <c r="A2587" t="s">
        <v>1244</v>
      </c>
      <c r="B2587" s="3">
        <v>42074</v>
      </c>
      <c r="C2587" t="s">
        <v>13</v>
      </c>
      <c r="D2587" t="s">
        <v>10</v>
      </c>
      <c r="E2587" t="s">
        <v>1246</v>
      </c>
      <c r="F2587" s="1">
        <v>89.97</v>
      </c>
      <c r="G2587">
        <v>3</v>
      </c>
      <c r="H2587" s="1">
        <v>37.787399999999998</v>
      </c>
      <c r="I2587" s="4">
        <f>SalesData[[#This Row],[Profit]]/SalesData[[#This Row],[Sales]]</f>
        <v>0.42</v>
      </c>
      <c r="J2587">
        <f>YEAR(SalesData[[#This Row],[Order Date]])</f>
        <v>2015</v>
      </c>
      <c r="K2587" t="str">
        <f>TEXT(SalesData[[#This Row],[Order Date]],"mmm")</f>
        <v>Mar</v>
      </c>
      <c r="L2587">
        <f>MONTH(SalesData[[#This Row],[Order Date]])</f>
        <v>3</v>
      </c>
      <c r="M2587">
        <f>SalesData[[#This Row],[Sales]]/SalesData[[#This Row],[Quantity]]</f>
        <v>29.99</v>
      </c>
      <c r="N2587" t="str">
        <f>IF(SalesData[[#This Row],[Profit]]&gt;0,"Profit","Loss")</f>
        <v>Profit</v>
      </c>
    </row>
    <row r="2588" spans="1:14" x14ac:dyDescent="0.3">
      <c r="A2588" t="s">
        <v>1244</v>
      </c>
      <c r="B2588" s="3">
        <v>42074</v>
      </c>
      <c r="C2588" t="s">
        <v>13</v>
      </c>
      <c r="D2588" t="s">
        <v>14</v>
      </c>
      <c r="E2588" t="s">
        <v>1194</v>
      </c>
      <c r="F2588" s="1">
        <v>42.6</v>
      </c>
      <c r="G2588">
        <v>3</v>
      </c>
      <c r="H2588" s="1">
        <v>16.614000000000001</v>
      </c>
      <c r="I2588" s="4">
        <f>SalesData[[#This Row],[Profit]]/SalesData[[#This Row],[Sales]]</f>
        <v>0.39</v>
      </c>
      <c r="J2588">
        <f>YEAR(SalesData[[#This Row],[Order Date]])</f>
        <v>2015</v>
      </c>
      <c r="K2588" t="str">
        <f>TEXT(SalesData[[#This Row],[Order Date]],"mmm")</f>
        <v>Mar</v>
      </c>
      <c r="L2588">
        <f>MONTH(SalesData[[#This Row],[Order Date]])</f>
        <v>3</v>
      </c>
      <c r="M2588">
        <f>SalesData[[#This Row],[Sales]]/SalesData[[#This Row],[Quantity]]</f>
        <v>14.200000000000001</v>
      </c>
      <c r="N2588" t="str">
        <f>IF(SalesData[[#This Row],[Profit]]&gt;0,"Profit","Loss")</f>
        <v>Profit</v>
      </c>
    </row>
    <row r="2589" spans="1:14" x14ac:dyDescent="0.3">
      <c r="A2589" t="s">
        <v>1247</v>
      </c>
      <c r="B2589" s="3">
        <v>42074</v>
      </c>
      <c r="C2589" t="s">
        <v>9</v>
      </c>
      <c r="D2589" t="s">
        <v>21</v>
      </c>
      <c r="E2589" t="s">
        <v>1248</v>
      </c>
      <c r="F2589" s="1">
        <v>6.6079999999999997</v>
      </c>
      <c r="G2589">
        <v>2</v>
      </c>
      <c r="H2589" s="1">
        <v>2.1476000000000002</v>
      </c>
      <c r="I2589" s="4">
        <f>SalesData[[#This Row],[Profit]]/SalesData[[#This Row],[Sales]]</f>
        <v>0.32500000000000007</v>
      </c>
      <c r="J2589">
        <f>YEAR(SalesData[[#This Row],[Order Date]])</f>
        <v>2015</v>
      </c>
      <c r="K2589" t="str">
        <f>TEXT(SalesData[[#This Row],[Order Date]],"mmm")</f>
        <v>Mar</v>
      </c>
      <c r="L2589">
        <f>MONTH(SalesData[[#This Row],[Order Date]])</f>
        <v>3</v>
      </c>
      <c r="M2589">
        <f>SalesData[[#This Row],[Sales]]/SalesData[[#This Row],[Quantity]]</f>
        <v>3.3039999999999998</v>
      </c>
      <c r="N2589" t="str">
        <f>IF(SalesData[[#This Row],[Profit]]&gt;0,"Profit","Loss")</f>
        <v>Profit</v>
      </c>
    </row>
    <row r="2590" spans="1:14" x14ac:dyDescent="0.3">
      <c r="A2590" t="s">
        <v>1249</v>
      </c>
      <c r="B2590" s="3">
        <v>42074</v>
      </c>
      <c r="C2590" t="s">
        <v>17</v>
      </c>
      <c r="D2590" t="s">
        <v>14</v>
      </c>
      <c r="E2590" t="s">
        <v>1250</v>
      </c>
      <c r="F2590" s="1">
        <v>1448.82</v>
      </c>
      <c r="G2590">
        <v>10</v>
      </c>
      <c r="H2590" s="1">
        <v>209.274</v>
      </c>
      <c r="I2590" s="4">
        <f>SalesData[[#This Row],[Profit]]/SalesData[[#This Row],[Sales]]</f>
        <v>0.14444444444444446</v>
      </c>
      <c r="J2590">
        <f>YEAR(SalesData[[#This Row],[Order Date]])</f>
        <v>2015</v>
      </c>
      <c r="K2590" t="str">
        <f>TEXT(SalesData[[#This Row],[Order Date]],"mmm")</f>
        <v>Mar</v>
      </c>
      <c r="L2590">
        <f>MONTH(SalesData[[#This Row],[Order Date]])</f>
        <v>3</v>
      </c>
      <c r="M2590">
        <f>SalesData[[#This Row],[Sales]]/SalesData[[#This Row],[Quantity]]</f>
        <v>144.88200000000001</v>
      </c>
      <c r="N2590" t="str">
        <f>IF(SalesData[[#This Row],[Profit]]&gt;0,"Profit","Loss")</f>
        <v>Profit</v>
      </c>
    </row>
    <row r="2591" spans="1:14" x14ac:dyDescent="0.3">
      <c r="A2591" t="s">
        <v>1251</v>
      </c>
      <c r="B2591" s="3">
        <v>42075</v>
      </c>
      <c r="C2591" t="s">
        <v>17</v>
      </c>
      <c r="D2591" t="s">
        <v>10</v>
      </c>
      <c r="E2591" t="s">
        <v>1252</v>
      </c>
      <c r="F2591" s="1">
        <v>482.34</v>
      </c>
      <c r="G2591">
        <v>4</v>
      </c>
      <c r="H2591" s="1">
        <v>-337.63799999999998</v>
      </c>
      <c r="I2591" s="4">
        <f>SalesData[[#This Row],[Profit]]/SalesData[[#This Row],[Sales]]</f>
        <v>-0.7</v>
      </c>
      <c r="J2591">
        <f>YEAR(SalesData[[#This Row],[Order Date]])</f>
        <v>2015</v>
      </c>
      <c r="K2591" t="str">
        <f>TEXT(SalesData[[#This Row],[Order Date]],"mmm")</f>
        <v>Mar</v>
      </c>
      <c r="L2591">
        <f>MONTH(SalesData[[#This Row],[Order Date]])</f>
        <v>3</v>
      </c>
      <c r="M2591">
        <f>SalesData[[#This Row],[Sales]]/SalesData[[#This Row],[Quantity]]</f>
        <v>120.58499999999999</v>
      </c>
      <c r="N2591" t="str">
        <f>IF(SalesData[[#This Row],[Profit]]&gt;0,"Profit","Loss")</f>
        <v>Loss</v>
      </c>
    </row>
    <row r="2592" spans="1:14" x14ac:dyDescent="0.3">
      <c r="A2592" t="s">
        <v>1251</v>
      </c>
      <c r="B2592" s="3">
        <v>42075</v>
      </c>
      <c r="C2592" t="s">
        <v>17</v>
      </c>
      <c r="D2592" t="s">
        <v>14</v>
      </c>
      <c r="E2592" t="s">
        <v>47</v>
      </c>
      <c r="F2592" s="1">
        <v>2.96</v>
      </c>
      <c r="G2592">
        <v>1</v>
      </c>
      <c r="H2592" s="1">
        <v>0.77700000000000002</v>
      </c>
      <c r="I2592" s="4">
        <f>SalesData[[#This Row],[Profit]]/SalesData[[#This Row],[Sales]]</f>
        <v>0.26250000000000001</v>
      </c>
      <c r="J2592">
        <f>YEAR(SalesData[[#This Row],[Order Date]])</f>
        <v>2015</v>
      </c>
      <c r="K2592" t="str">
        <f>TEXT(SalesData[[#This Row],[Order Date]],"mmm")</f>
        <v>Mar</v>
      </c>
      <c r="L2592">
        <f>MONTH(SalesData[[#This Row],[Order Date]])</f>
        <v>3</v>
      </c>
      <c r="M2592">
        <f>SalesData[[#This Row],[Sales]]/SalesData[[#This Row],[Quantity]]</f>
        <v>2.96</v>
      </c>
      <c r="N2592" t="str">
        <f>IF(SalesData[[#This Row],[Profit]]&gt;0,"Profit","Loss")</f>
        <v>Profit</v>
      </c>
    </row>
    <row r="2593" spans="1:14" x14ac:dyDescent="0.3">
      <c r="A2593" t="s">
        <v>1253</v>
      </c>
      <c r="B2593" s="3">
        <v>42075</v>
      </c>
      <c r="C2593" t="s">
        <v>17</v>
      </c>
      <c r="D2593" t="s">
        <v>21</v>
      </c>
      <c r="E2593" t="s">
        <v>1254</v>
      </c>
      <c r="F2593" s="1">
        <v>10.752000000000001</v>
      </c>
      <c r="G2593">
        <v>4</v>
      </c>
      <c r="H2593" s="1">
        <v>3.36</v>
      </c>
      <c r="I2593" s="4">
        <f>SalesData[[#This Row],[Profit]]/SalesData[[#This Row],[Sales]]</f>
        <v>0.31249999999999994</v>
      </c>
      <c r="J2593">
        <f>YEAR(SalesData[[#This Row],[Order Date]])</f>
        <v>2015</v>
      </c>
      <c r="K2593" t="str">
        <f>TEXT(SalesData[[#This Row],[Order Date]],"mmm")</f>
        <v>Mar</v>
      </c>
      <c r="L2593">
        <f>MONTH(SalesData[[#This Row],[Order Date]])</f>
        <v>3</v>
      </c>
      <c r="M2593">
        <f>SalesData[[#This Row],[Sales]]/SalesData[[#This Row],[Quantity]]</f>
        <v>2.6880000000000002</v>
      </c>
      <c r="N2593" t="str">
        <f>IF(SalesData[[#This Row],[Profit]]&gt;0,"Profit","Loss")</f>
        <v>Profit</v>
      </c>
    </row>
    <row r="2594" spans="1:14" x14ac:dyDescent="0.3">
      <c r="A2594" t="s">
        <v>1255</v>
      </c>
      <c r="B2594" s="3">
        <v>42075</v>
      </c>
      <c r="C2594" t="s">
        <v>17</v>
      </c>
      <c r="D2594" t="s">
        <v>21</v>
      </c>
      <c r="E2594" t="s">
        <v>217</v>
      </c>
      <c r="F2594" s="1">
        <v>16.448</v>
      </c>
      <c r="G2594">
        <v>2</v>
      </c>
      <c r="H2594" s="1">
        <v>5.5511999999999997</v>
      </c>
      <c r="I2594" s="4">
        <f>SalesData[[#This Row],[Profit]]/SalesData[[#This Row],[Sales]]</f>
        <v>0.33749999999999997</v>
      </c>
      <c r="J2594">
        <f>YEAR(SalesData[[#This Row],[Order Date]])</f>
        <v>2015</v>
      </c>
      <c r="K2594" t="str">
        <f>TEXT(SalesData[[#This Row],[Order Date]],"mmm")</f>
        <v>Mar</v>
      </c>
      <c r="L2594">
        <f>MONTH(SalesData[[#This Row],[Order Date]])</f>
        <v>3</v>
      </c>
      <c r="M2594">
        <f>SalesData[[#This Row],[Sales]]/SalesData[[#This Row],[Quantity]]</f>
        <v>8.2240000000000002</v>
      </c>
      <c r="N2594" t="str">
        <f>IF(SalesData[[#This Row],[Profit]]&gt;0,"Profit","Loss")</f>
        <v>Profit</v>
      </c>
    </row>
    <row r="2595" spans="1:14" x14ac:dyDescent="0.3">
      <c r="A2595" t="s">
        <v>1255</v>
      </c>
      <c r="B2595" s="3">
        <v>42075</v>
      </c>
      <c r="C2595" t="s">
        <v>17</v>
      </c>
      <c r="D2595" t="s">
        <v>10</v>
      </c>
      <c r="E2595" t="s">
        <v>1256</v>
      </c>
      <c r="F2595" s="1">
        <v>36.783999999999999</v>
      </c>
      <c r="G2595">
        <v>2</v>
      </c>
      <c r="H2595" s="1">
        <v>10.5754</v>
      </c>
      <c r="I2595" s="4">
        <f>SalesData[[#This Row],[Profit]]/SalesData[[#This Row],[Sales]]</f>
        <v>0.28750000000000003</v>
      </c>
      <c r="J2595">
        <f>YEAR(SalesData[[#This Row],[Order Date]])</f>
        <v>2015</v>
      </c>
      <c r="K2595" t="str">
        <f>TEXT(SalesData[[#This Row],[Order Date]],"mmm")</f>
        <v>Mar</v>
      </c>
      <c r="L2595">
        <f>MONTH(SalesData[[#This Row],[Order Date]])</f>
        <v>3</v>
      </c>
      <c r="M2595">
        <f>SalesData[[#This Row],[Sales]]/SalesData[[#This Row],[Quantity]]</f>
        <v>18.391999999999999</v>
      </c>
      <c r="N2595" t="str">
        <f>IF(SalesData[[#This Row],[Profit]]&gt;0,"Profit","Loss")</f>
        <v>Profit</v>
      </c>
    </row>
    <row r="2596" spans="1:14" x14ac:dyDescent="0.3">
      <c r="A2596" t="s">
        <v>1257</v>
      </c>
      <c r="B2596" s="3">
        <v>42075</v>
      </c>
      <c r="C2596" t="s">
        <v>17</v>
      </c>
      <c r="D2596" t="s">
        <v>21</v>
      </c>
      <c r="E2596" t="s">
        <v>1258</v>
      </c>
      <c r="F2596" s="1">
        <v>590.35199999999998</v>
      </c>
      <c r="G2596">
        <v>6</v>
      </c>
      <c r="H2596" s="1">
        <v>206.6232</v>
      </c>
      <c r="I2596" s="4">
        <f>SalesData[[#This Row],[Profit]]/SalesData[[#This Row],[Sales]]</f>
        <v>0.35000000000000003</v>
      </c>
      <c r="J2596">
        <f>YEAR(SalesData[[#This Row],[Order Date]])</f>
        <v>2015</v>
      </c>
      <c r="K2596" t="str">
        <f>TEXT(SalesData[[#This Row],[Order Date]],"mmm")</f>
        <v>Mar</v>
      </c>
      <c r="L2596">
        <f>MONTH(SalesData[[#This Row],[Order Date]])</f>
        <v>3</v>
      </c>
      <c r="M2596">
        <f>SalesData[[#This Row],[Sales]]/SalesData[[#This Row],[Quantity]]</f>
        <v>98.391999999999996</v>
      </c>
      <c r="N2596" t="str">
        <f>IF(SalesData[[#This Row],[Profit]]&gt;0,"Profit","Loss")</f>
        <v>Profit</v>
      </c>
    </row>
    <row r="2597" spans="1:14" x14ac:dyDescent="0.3">
      <c r="A2597" t="s">
        <v>1259</v>
      </c>
      <c r="B2597" s="3">
        <v>42075</v>
      </c>
      <c r="C2597" t="s">
        <v>13</v>
      </c>
      <c r="D2597" t="s">
        <v>14</v>
      </c>
      <c r="E2597" t="s">
        <v>1260</v>
      </c>
      <c r="F2597" s="1">
        <v>359.49900000000002</v>
      </c>
      <c r="G2597">
        <v>3</v>
      </c>
      <c r="H2597" s="1">
        <v>-29.605799999999999</v>
      </c>
      <c r="I2597" s="4">
        <f>SalesData[[#This Row],[Profit]]/SalesData[[#This Row],[Sales]]</f>
        <v>-8.2352941176470573E-2</v>
      </c>
      <c r="J2597">
        <f>YEAR(SalesData[[#This Row],[Order Date]])</f>
        <v>2015</v>
      </c>
      <c r="K2597" t="str">
        <f>TEXT(SalesData[[#This Row],[Order Date]],"mmm")</f>
        <v>Mar</v>
      </c>
      <c r="L2597">
        <f>MONTH(SalesData[[#This Row],[Order Date]])</f>
        <v>3</v>
      </c>
      <c r="M2597">
        <f>SalesData[[#This Row],[Sales]]/SalesData[[#This Row],[Quantity]]</f>
        <v>119.83300000000001</v>
      </c>
      <c r="N2597" t="str">
        <f>IF(SalesData[[#This Row],[Profit]]&gt;0,"Profit","Loss")</f>
        <v>Loss</v>
      </c>
    </row>
    <row r="2598" spans="1:14" x14ac:dyDescent="0.3">
      <c r="A2598" t="s">
        <v>1261</v>
      </c>
      <c r="B2598" s="3">
        <v>42075</v>
      </c>
      <c r="C2598" t="s">
        <v>46</v>
      </c>
      <c r="D2598" t="s">
        <v>14</v>
      </c>
      <c r="E2598" t="s">
        <v>617</v>
      </c>
      <c r="F2598" s="1">
        <v>77.951999999999998</v>
      </c>
      <c r="G2598">
        <v>3</v>
      </c>
      <c r="H2598" s="1">
        <v>12.667199999999999</v>
      </c>
      <c r="I2598" s="4">
        <f>SalesData[[#This Row],[Profit]]/SalesData[[#This Row],[Sales]]</f>
        <v>0.16250000000000001</v>
      </c>
      <c r="J2598">
        <f>YEAR(SalesData[[#This Row],[Order Date]])</f>
        <v>2015</v>
      </c>
      <c r="K2598" t="str">
        <f>TEXT(SalesData[[#This Row],[Order Date]],"mmm")</f>
        <v>Mar</v>
      </c>
      <c r="L2598">
        <f>MONTH(SalesData[[#This Row],[Order Date]])</f>
        <v>3</v>
      </c>
      <c r="M2598">
        <f>SalesData[[#This Row],[Sales]]/SalesData[[#This Row],[Quantity]]</f>
        <v>25.983999999999998</v>
      </c>
      <c r="N2598" t="str">
        <f>IF(SalesData[[#This Row],[Profit]]&gt;0,"Profit","Loss")</f>
        <v>Profit</v>
      </c>
    </row>
    <row r="2599" spans="1:14" x14ac:dyDescent="0.3">
      <c r="A2599" t="s">
        <v>1261</v>
      </c>
      <c r="B2599" s="3">
        <v>42075</v>
      </c>
      <c r="C2599" t="s">
        <v>46</v>
      </c>
      <c r="D2599" t="s">
        <v>21</v>
      </c>
      <c r="E2599" t="s">
        <v>1262</v>
      </c>
      <c r="F2599" s="1">
        <v>95.97</v>
      </c>
      <c r="G2599">
        <v>5</v>
      </c>
      <c r="H2599" s="1">
        <v>-73.576999999999998</v>
      </c>
      <c r="I2599" s="4">
        <f>SalesData[[#This Row],[Profit]]/SalesData[[#This Row],[Sales]]</f>
        <v>-0.76666666666666661</v>
      </c>
      <c r="J2599">
        <f>YEAR(SalesData[[#This Row],[Order Date]])</f>
        <v>2015</v>
      </c>
      <c r="K2599" t="str">
        <f>TEXT(SalesData[[#This Row],[Order Date]],"mmm")</f>
        <v>Mar</v>
      </c>
      <c r="L2599">
        <f>MONTH(SalesData[[#This Row],[Order Date]])</f>
        <v>3</v>
      </c>
      <c r="M2599">
        <f>SalesData[[#This Row],[Sales]]/SalesData[[#This Row],[Quantity]]</f>
        <v>19.193999999999999</v>
      </c>
      <c r="N2599" t="str">
        <f>IF(SalesData[[#This Row],[Profit]]&gt;0,"Profit","Loss")</f>
        <v>Loss</v>
      </c>
    </row>
    <row r="2600" spans="1:14" x14ac:dyDescent="0.3">
      <c r="A2600" t="s">
        <v>1261</v>
      </c>
      <c r="B2600" s="3">
        <v>42075</v>
      </c>
      <c r="C2600" t="s">
        <v>46</v>
      </c>
      <c r="D2600" t="s">
        <v>10</v>
      </c>
      <c r="E2600" t="s">
        <v>1263</v>
      </c>
      <c r="F2600" s="1">
        <v>105.584</v>
      </c>
      <c r="G2600">
        <v>2</v>
      </c>
      <c r="H2600" s="1">
        <v>9.2385999999999999</v>
      </c>
      <c r="I2600" s="4">
        <f>SalesData[[#This Row],[Profit]]/SalesData[[#This Row],[Sales]]</f>
        <v>8.7499999999999994E-2</v>
      </c>
      <c r="J2600">
        <f>YEAR(SalesData[[#This Row],[Order Date]])</f>
        <v>2015</v>
      </c>
      <c r="K2600" t="str">
        <f>TEXT(SalesData[[#This Row],[Order Date]],"mmm")</f>
        <v>Mar</v>
      </c>
      <c r="L2600">
        <f>MONTH(SalesData[[#This Row],[Order Date]])</f>
        <v>3</v>
      </c>
      <c r="M2600">
        <f>SalesData[[#This Row],[Sales]]/SalesData[[#This Row],[Quantity]]</f>
        <v>52.792000000000002</v>
      </c>
      <c r="N2600" t="str">
        <f>IF(SalesData[[#This Row],[Profit]]&gt;0,"Profit","Loss")</f>
        <v>Profit</v>
      </c>
    </row>
    <row r="2601" spans="1:14" x14ac:dyDescent="0.3">
      <c r="A2601" t="s">
        <v>1261</v>
      </c>
      <c r="B2601" s="3">
        <v>42075</v>
      </c>
      <c r="C2601" t="s">
        <v>46</v>
      </c>
      <c r="D2601" t="s">
        <v>21</v>
      </c>
      <c r="E2601" t="s">
        <v>731</v>
      </c>
      <c r="F2601" s="1">
        <v>9.3439999999999994</v>
      </c>
      <c r="G2601">
        <v>2</v>
      </c>
      <c r="H2601" s="1">
        <v>1.1679999999999999</v>
      </c>
      <c r="I2601" s="4">
        <f>SalesData[[#This Row],[Profit]]/SalesData[[#This Row],[Sales]]</f>
        <v>0.125</v>
      </c>
      <c r="J2601">
        <f>YEAR(SalesData[[#This Row],[Order Date]])</f>
        <v>2015</v>
      </c>
      <c r="K2601" t="str">
        <f>TEXT(SalesData[[#This Row],[Order Date]],"mmm")</f>
        <v>Mar</v>
      </c>
      <c r="L2601">
        <f>MONTH(SalesData[[#This Row],[Order Date]])</f>
        <v>3</v>
      </c>
      <c r="M2601">
        <f>SalesData[[#This Row],[Sales]]/SalesData[[#This Row],[Quantity]]</f>
        <v>4.6719999999999997</v>
      </c>
      <c r="N2601" t="str">
        <f>IF(SalesData[[#This Row],[Profit]]&gt;0,"Profit","Loss")</f>
        <v>Profit</v>
      </c>
    </row>
    <row r="2602" spans="1:14" x14ac:dyDescent="0.3">
      <c r="A2602" t="s">
        <v>1264</v>
      </c>
      <c r="B2602" s="3">
        <v>42075</v>
      </c>
      <c r="C2602" t="s">
        <v>17</v>
      </c>
      <c r="D2602" t="s">
        <v>21</v>
      </c>
      <c r="E2602" t="s">
        <v>1265</v>
      </c>
      <c r="F2602" s="1">
        <v>184.66</v>
      </c>
      <c r="G2602">
        <v>7</v>
      </c>
      <c r="H2602" s="1">
        <v>84.943600000000004</v>
      </c>
      <c r="I2602" s="4">
        <f>SalesData[[#This Row],[Profit]]/SalesData[[#This Row],[Sales]]</f>
        <v>0.46</v>
      </c>
      <c r="J2602">
        <f>YEAR(SalesData[[#This Row],[Order Date]])</f>
        <v>2015</v>
      </c>
      <c r="K2602" t="str">
        <f>TEXT(SalesData[[#This Row],[Order Date]],"mmm")</f>
        <v>Mar</v>
      </c>
      <c r="L2602">
        <f>MONTH(SalesData[[#This Row],[Order Date]])</f>
        <v>3</v>
      </c>
      <c r="M2602">
        <f>SalesData[[#This Row],[Sales]]/SalesData[[#This Row],[Quantity]]</f>
        <v>26.38</v>
      </c>
      <c r="N2602" t="str">
        <f>IF(SalesData[[#This Row],[Profit]]&gt;0,"Profit","Loss")</f>
        <v>Profit</v>
      </c>
    </row>
    <row r="2603" spans="1:14" x14ac:dyDescent="0.3">
      <c r="A2603" t="s">
        <v>1266</v>
      </c>
      <c r="B2603" s="3">
        <v>42095</v>
      </c>
      <c r="C2603" t="s">
        <v>9</v>
      </c>
      <c r="D2603" t="s">
        <v>21</v>
      </c>
      <c r="E2603" t="s">
        <v>308</v>
      </c>
      <c r="F2603" s="1">
        <v>32.340000000000003</v>
      </c>
      <c r="G2603">
        <v>3</v>
      </c>
      <c r="H2603" s="1">
        <v>15.523199999999999</v>
      </c>
      <c r="I2603" s="4">
        <f>SalesData[[#This Row],[Profit]]/SalesData[[#This Row],[Sales]]</f>
        <v>0.47999999999999993</v>
      </c>
      <c r="J2603">
        <f>YEAR(SalesData[[#This Row],[Order Date]])</f>
        <v>2015</v>
      </c>
      <c r="K2603" t="str">
        <f>TEXT(SalesData[[#This Row],[Order Date]],"mmm")</f>
        <v>Apr</v>
      </c>
      <c r="L2603">
        <f>MONTH(SalesData[[#This Row],[Order Date]])</f>
        <v>4</v>
      </c>
      <c r="M2603">
        <f>SalesData[[#This Row],[Sales]]/SalesData[[#This Row],[Quantity]]</f>
        <v>10.780000000000001</v>
      </c>
      <c r="N2603" t="str">
        <f>IF(SalesData[[#This Row],[Profit]]&gt;0,"Profit","Loss")</f>
        <v>Profit</v>
      </c>
    </row>
    <row r="2604" spans="1:14" x14ac:dyDescent="0.3">
      <c r="A2604" t="s">
        <v>1266</v>
      </c>
      <c r="B2604" s="3">
        <v>42095</v>
      </c>
      <c r="C2604" t="s">
        <v>9</v>
      </c>
      <c r="D2604" t="s">
        <v>21</v>
      </c>
      <c r="E2604" t="s">
        <v>39</v>
      </c>
      <c r="F2604" s="1">
        <v>39.9</v>
      </c>
      <c r="G2604">
        <v>5</v>
      </c>
      <c r="H2604" s="1">
        <v>19.95</v>
      </c>
      <c r="I2604" s="4">
        <f>SalesData[[#This Row],[Profit]]/SalesData[[#This Row],[Sales]]</f>
        <v>0.5</v>
      </c>
      <c r="J2604">
        <f>YEAR(SalesData[[#This Row],[Order Date]])</f>
        <v>2015</v>
      </c>
      <c r="K2604" t="str">
        <f>TEXT(SalesData[[#This Row],[Order Date]],"mmm")</f>
        <v>Apr</v>
      </c>
      <c r="L2604">
        <f>MONTH(SalesData[[#This Row],[Order Date]])</f>
        <v>4</v>
      </c>
      <c r="M2604">
        <f>SalesData[[#This Row],[Sales]]/SalesData[[#This Row],[Quantity]]</f>
        <v>7.9799999999999995</v>
      </c>
      <c r="N2604" t="str">
        <f>IF(SalesData[[#This Row],[Profit]]&gt;0,"Profit","Loss")</f>
        <v>Profit</v>
      </c>
    </row>
    <row r="2605" spans="1:14" x14ac:dyDescent="0.3">
      <c r="A2605" t="s">
        <v>1267</v>
      </c>
      <c r="B2605" s="3">
        <v>42095</v>
      </c>
      <c r="C2605" t="s">
        <v>46</v>
      </c>
      <c r="D2605" t="s">
        <v>14</v>
      </c>
      <c r="E2605" t="s">
        <v>328</v>
      </c>
      <c r="F2605" s="1">
        <v>192.22</v>
      </c>
      <c r="G2605">
        <v>14</v>
      </c>
      <c r="H2605" s="1">
        <v>69.199200000000005</v>
      </c>
      <c r="I2605" s="4">
        <f>SalesData[[#This Row],[Profit]]/SalesData[[#This Row],[Sales]]</f>
        <v>0.36000000000000004</v>
      </c>
      <c r="J2605">
        <f>YEAR(SalesData[[#This Row],[Order Date]])</f>
        <v>2015</v>
      </c>
      <c r="K2605" t="str">
        <f>TEXT(SalesData[[#This Row],[Order Date]],"mmm")</f>
        <v>Apr</v>
      </c>
      <c r="L2605">
        <f>MONTH(SalesData[[#This Row],[Order Date]])</f>
        <v>4</v>
      </c>
      <c r="M2605">
        <f>SalesData[[#This Row],[Sales]]/SalesData[[#This Row],[Quantity]]</f>
        <v>13.73</v>
      </c>
      <c r="N2605" t="str">
        <f>IF(SalesData[[#This Row],[Profit]]&gt;0,"Profit","Loss")</f>
        <v>Profit</v>
      </c>
    </row>
    <row r="2606" spans="1:14" x14ac:dyDescent="0.3">
      <c r="A2606" t="s">
        <v>1268</v>
      </c>
      <c r="B2606" s="3">
        <v>42098</v>
      </c>
      <c r="C2606" t="s">
        <v>17</v>
      </c>
      <c r="D2606" t="s">
        <v>21</v>
      </c>
      <c r="E2606" t="s">
        <v>153</v>
      </c>
      <c r="F2606" s="1">
        <v>11.16</v>
      </c>
      <c r="G2606">
        <v>2</v>
      </c>
      <c r="H2606" s="1">
        <v>4.3524000000000003</v>
      </c>
      <c r="I2606" s="4">
        <f>SalesData[[#This Row],[Profit]]/SalesData[[#This Row],[Sales]]</f>
        <v>0.39</v>
      </c>
      <c r="J2606">
        <f>YEAR(SalesData[[#This Row],[Order Date]])</f>
        <v>2015</v>
      </c>
      <c r="K2606" t="str">
        <f>TEXT(SalesData[[#This Row],[Order Date]],"mmm")</f>
        <v>Apr</v>
      </c>
      <c r="L2606">
        <f>MONTH(SalesData[[#This Row],[Order Date]])</f>
        <v>4</v>
      </c>
      <c r="M2606">
        <f>SalesData[[#This Row],[Sales]]/SalesData[[#This Row],[Quantity]]</f>
        <v>5.58</v>
      </c>
      <c r="N2606" t="str">
        <f>IF(SalesData[[#This Row],[Profit]]&gt;0,"Profit","Loss")</f>
        <v>Profit</v>
      </c>
    </row>
    <row r="2607" spans="1:14" x14ac:dyDescent="0.3">
      <c r="A2607" t="s">
        <v>1268</v>
      </c>
      <c r="B2607" s="3">
        <v>42098</v>
      </c>
      <c r="C2607" t="s">
        <v>17</v>
      </c>
      <c r="D2607" t="s">
        <v>14</v>
      </c>
      <c r="E2607" t="s">
        <v>1269</v>
      </c>
      <c r="F2607" s="1">
        <v>108.4</v>
      </c>
      <c r="G2607">
        <v>2</v>
      </c>
      <c r="H2607" s="1">
        <v>22.763999999999999</v>
      </c>
      <c r="I2607" s="4">
        <f>SalesData[[#This Row],[Profit]]/SalesData[[#This Row],[Sales]]</f>
        <v>0.21</v>
      </c>
      <c r="J2607">
        <f>YEAR(SalesData[[#This Row],[Order Date]])</f>
        <v>2015</v>
      </c>
      <c r="K2607" t="str">
        <f>TEXT(SalesData[[#This Row],[Order Date]],"mmm")</f>
        <v>Apr</v>
      </c>
      <c r="L2607">
        <f>MONTH(SalesData[[#This Row],[Order Date]])</f>
        <v>4</v>
      </c>
      <c r="M2607">
        <f>SalesData[[#This Row],[Sales]]/SalesData[[#This Row],[Quantity]]</f>
        <v>54.2</v>
      </c>
      <c r="N2607" t="str">
        <f>IF(SalesData[[#This Row],[Profit]]&gt;0,"Profit","Loss")</f>
        <v>Profit</v>
      </c>
    </row>
    <row r="2608" spans="1:14" x14ac:dyDescent="0.3">
      <c r="A2608" t="s">
        <v>1268</v>
      </c>
      <c r="B2608" s="3">
        <v>42098</v>
      </c>
      <c r="C2608" t="s">
        <v>17</v>
      </c>
      <c r="D2608" t="s">
        <v>21</v>
      </c>
      <c r="E2608" t="s">
        <v>1270</v>
      </c>
      <c r="F2608" s="1">
        <v>82.343999999999994</v>
      </c>
      <c r="G2608">
        <v>3</v>
      </c>
      <c r="H2608" s="1">
        <v>27.7911</v>
      </c>
      <c r="I2608" s="4">
        <f>SalesData[[#This Row],[Profit]]/SalesData[[#This Row],[Sales]]</f>
        <v>0.33750000000000002</v>
      </c>
      <c r="J2608">
        <f>YEAR(SalesData[[#This Row],[Order Date]])</f>
        <v>2015</v>
      </c>
      <c r="K2608" t="str">
        <f>TEXT(SalesData[[#This Row],[Order Date]],"mmm")</f>
        <v>Apr</v>
      </c>
      <c r="L2608">
        <f>MONTH(SalesData[[#This Row],[Order Date]])</f>
        <v>4</v>
      </c>
      <c r="M2608">
        <f>SalesData[[#This Row],[Sales]]/SalesData[[#This Row],[Quantity]]</f>
        <v>27.447999999999997</v>
      </c>
      <c r="N2608" t="str">
        <f>IF(SalesData[[#This Row],[Profit]]&gt;0,"Profit","Loss")</f>
        <v>Profit</v>
      </c>
    </row>
    <row r="2609" spans="1:14" x14ac:dyDescent="0.3">
      <c r="A2609" t="s">
        <v>1268</v>
      </c>
      <c r="B2609" s="3">
        <v>42098</v>
      </c>
      <c r="C2609" t="s">
        <v>17</v>
      </c>
      <c r="D2609" t="s">
        <v>21</v>
      </c>
      <c r="E2609" t="s">
        <v>1271</v>
      </c>
      <c r="F2609" s="1">
        <v>9.0879999999999992</v>
      </c>
      <c r="G2609">
        <v>4</v>
      </c>
      <c r="H2609" s="1">
        <v>3.2944</v>
      </c>
      <c r="I2609" s="4">
        <f>SalesData[[#This Row],[Profit]]/SalesData[[#This Row],[Sales]]</f>
        <v>0.36250000000000004</v>
      </c>
      <c r="J2609">
        <f>YEAR(SalesData[[#This Row],[Order Date]])</f>
        <v>2015</v>
      </c>
      <c r="K2609" t="str">
        <f>TEXT(SalesData[[#This Row],[Order Date]],"mmm")</f>
        <v>Apr</v>
      </c>
      <c r="L2609">
        <f>MONTH(SalesData[[#This Row],[Order Date]])</f>
        <v>4</v>
      </c>
      <c r="M2609">
        <f>SalesData[[#This Row],[Sales]]/SalesData[[#This Row],[Quantity]]</f>
        <v>2.2719999999999998</v>
      </c>
      <c r="N2609" t="str">
        <f>IF(SalesData[[#This Row],[Profit]]&gt;0,"Profit","Loss")</f>
        <v>Profit</v>
      </c>
    </row>
    <row r="2610" spans="1:14" x14ac:dyDescent="0.3">
      <c r="A2610" t="s">
        <v>1272</v>
      </c>
      <c r="B2610" s="3">
        <v>42098</v>
      </c>
      <c r="C2610" t="s">
        <v>9</v>
      </c>
      <c r="D2610" t="s">
        <v>21</v>
      </c>
      <c r="E2610" t="s">
        <v>1273</v>
      </c>
      <c r="F2610" s="1">
        <v>644.07600000000002</v>
      </c>
      <c r="G2610">
        <v>2</v>
      </c>
      <c r="H2610" s="1">
        <v>107.346</v>
      </c>
      <c r="I2610" s="4">
        <f>SalesData[[#This Row],[Profit]]/SalesData[[#This Row],[Sales]]</f>
        <v>0.16666666666666666</v>
      </c>
      <c r="J2610">
        <f>YEAR(SalesData[[#This Row],[Order Date]])</f>
        <v>2015</v>
      </c>
      <c r="K2610" t="str">
        <f>TEXT(SalesData[[#This Row],[Order Date]],"mmm")</f>
        <v>Apr</v>
      </c>
      <c r="L2610">
        <f>MONTH(SalesData[[#This Row],[Order Date]])</f>
        <v>4</v>
      </c>
      <c r="M2610">
        <f>SalesData[[#This Row],[Sales]]/SalesData[[#This Row],[Quantity]]</f>
        <v>322.03800000000001</v>
      </c>
      <c r="N2610" t="str">
        <f>IF(SalesData[[#This Row],[Profit]]&gt;0,"Profit","Loss")</f>
        <v>Profit</v>
      </c>
    </row>
    <row r="2611" spans="1:14" x14ac:dyDescent="0.3">
      <c r="A2611" t="s">
        <v>1272</v>
      </c>
      <c r="B2611" s="3">
        <v>42098</v>
      </c>
      <c r="C2611" t="s">
        <v>9</v>
      </c>
      <c r="D2611" t="s">
        <v>21</v>
      </c>
      <c r="E2611" t="s">
        <v>83</v>
      </c>
      <c r="F2611" s="1">
        <v>5.84</v>
      </c>
      <c r="G2611">
        <v>2</v>
      </c>
      <c r="H2611" s="1">
        <v>2.6280000000000001</v>
      </c>
      <c r="I2611" s="4">
        <f>SalesData[[#This Row],[Profit]]/SalesData[[#This Row],[Sales]]</f>
        <v>0.45</v>
      </c>
      <c r="J2611">
        <f>YEAR(SalesData[[#This Row],[Order Date]])</f>
        <v>2015</v>
      </c>
      <c r="K2611" t="str">
        <f>TEXT(SalesData[[#This Row],[Order Date]],"mmm")</f>
        <v>Apr</v>
      </c>
      <c r="L2611">
        <f>MONTH(SalesData[[#This Row],[Order Date]])</f>
        <v>4</v>
      </c>
      <c r="M2611">
        <f>SalesData[[#This Row],[Sales]]/SalesData[[#This Row],[Quantity]]</f>
        <v>2.92</v>
      </c>
      <c r="N2611" t="str">
        <f>IF(SalesData[[#This Row],[Profit]]&gt;0,"Profit","Loss")</f>
        <v>Profit</v>
      </c>
    </row>
    <row r="2612" spans="1:14" x14ac:dyDescent="0.3">
      <c r="A2612" t="s">
        <v>1272</v>
      </c>
      <c r="B2612" s="3">
        <v>42098</v>
      </c>
      <c r="C2612" t="s">
        <v>9</v>
      </c>
      <c r="D2612" t="s">
        <v>21</v>
      </c>
      <c r="E2612" t="s">
        <v>1274</v>
      </c>
      <c r="F2612" s="1">
        <v>12.76</v>
      </c>
      <c r="G2612">
        <v>2</v>
      </c>
      <c r="H2612" s="1">
        <v>5.8696000000000002</v>
      </c>
      <c r="I2612" s="4">
        <f>SalesData[[#This Row],[Profit]]/SalesData[[#This Row],[Sales]]</f>
        <v>0.46</v>
      </c>
      <c r="J2612">
        <f>YEAR(SalesData[[#This Row],[Order Date]])</f>
        <v>2015</v>
      </c>
      <c r="K2612" t="str">
        <f>TEXT(SalesData[[#This Row],[Order Date]],"mmm")</f>
        <v>Apr</v>
      </c>
      <c r="L2612">
        <f>MONTH(SalesData[[#This Row],[Order Date]])</f>
        <v>4</v>
      </c>
      <c r="M2612">
        <f>SalesData[[#This Row],[Sales]]/SalesData[[#This Row],[Quantity]]</f>
        <v>6.38</v>
      </c>
      <c r="N2612" t="str">
        <f>IF(SalesData[[#This Row],[Profit]]&gt;0,"Profit","Loss")</f>
        <v>Profit</v>
      </c>
    </row>
    <row r="2613" spans="1:14" x14ac:dyDescent="0.3">
      <c r="A2613" t="s">
        <v>1272</v>
      </c>
      <c r="B2613" s="3">
        <v>42098</v>
      </c>
      <c r="C2613" t="s">
        <v>9</v>
      </c>
      <c r="D2613" t="s">
        <v>10</v>
      </c>
      <c r="E2613" t="s">
        <v>549</v>
      </c>
      <c r="F2613" s="1">
        <v>10.95</v>
      </c>
      <c r="G2613">
        <v>1</v>
      </c>
      <c r="H2613" s="1">
        <v>0.438</v>
      </c>
      <c r="I2613" s="4">
        <f>SalesData[[#This Row],[Profit]]/SalesData[[#This Row],[Sales]]</f>
        <v>0.04</v>
      </c>
      <c r="J2613">
        <f>YEAR(SalesData[[#This Row],[Order Date]])</f>
        <v>2015</v>
      </c>
      <c r="K2613" t="str">
        <f>TEXT(SalesData[[#This Row],[Order Date]],"mmm")</f>
        <v>Apr</v>
      </c>
      <c r="L2613">
        <f>MONTH(SalesData[[#This Row],[Order Date]])</f>
        <v>4</v>
      </c>
      <c r="M2613">
        <f>SalesData[[#This Row],[Sales]]/SalesData[[#This Row],[Quantity]]</f>
        <v>10.95</v>
      </c>
      <c r="N2613" t="str">
        <f>IF(SalesData[[#This Row],[Profit]]&gt;0,"Profit","Loss")</f>
        <v>Profit</v>
      </c>
    </row>
    <row r="2614" spans="1:14" x14ac:dyDescent="0.3">
      <c r="A2614" t="s">
        <v>1272</v>
      </c>
      <c r="B2614" s="3">
        <v>42098</v>
      </c>
      <c r="C2614" t="s">
        <v>9</v>
      </c>
      <c r="D2614" t="s">
        <v>10</v>
      </c>
      <c r="E2614" t="s">
        <v>144</v>
      </c>
      <c r="F2614" s="1">
        <v>599.98</v>
      </c>
      <c r="G2614">
        <v>2</v>
      </c>
      <c r="H2614" s="1">
        <v>209.99299999999999</v>
      </c>
      <c r="I2614" s="4">
        <f>SalesData[[#This Row],[Profit]]/SalesData[[#This Row],[Sales]]</f>
        <v>0.35</v>
      </c>
      <c r="J2614">
        <f>YEAR(SalesData[[#This Row],[Order Date]])</f>
        <v>2015</v>
      </c>
      <c r="K2614" t="str">
        <f>TEXT(SalesData[[#This Row],[Order Date]],"mmm")</f>
        <v>Apr</v>
      </c>
      <c r="L2614">
        <f>MONTH(SalesData[[#This Row],[Order Date]])</f>
        <v>4</v>
      </c>
      <c r="M2614">
        <f>SalesData[[#This Row],[Sales]]/SalesData[[#This Row],[Quantity]]</f>
        <v>299.99</v>
      </c>
      <c r="N2614" t="str">
        <f>IF(SalesData[[#This Row],[Profit]]&gt;0,"Profit","Loss")</f>
        <v>Profit</v>
      </c>
    </row>
    <row r="2615" spans="1:14" x14ac:dyDescent="0.3">
      <c r="A2615" t="s">
        <v>1275</v>
      </c>
      <c r="B2615" s="3">
        <v>42099</v>
      </c>
      <c r="C2615" t="s">
        <v>17</v>
      </c>
      <c r="D2615" t="s">
        <v>14</v>
      </c>
      <c r="E2615" t="s">
        <v>1276</v>
      </c>
      <c r="F2615" s="1">
        <v>26.8</v>
      </c>
      <c r="G2615">
        <v>2</v>
      </c>
      <c r="H2615" s="1">
        <v>12.864000000000001</v>
      </c>
      <c r="I2615" s="4">
        <f>SalesData[[#This Row],[Profit]]/SalesData[[#This Row],[Sales]]</f>
        <v>0.48000000000000004</v>
      </c>
      <c r="J2615">
        <f>YEAR(SalesData[[#This Row],[Order Date]])</f>
        <v>2015</v>
      </c>
      <c r="K2615" t="str">
        <f>TEXT(SalesData[[#This Row],[Order Date]],"mmm")</f>
        <v>Apr</v>
      </c>
      <c r="L2615">
        <f>MONTH(SalesData[[#This Row],[Order Date]])</f>
        <v>4</v>
      </c>
      <c r="M2615">
        <f>SalesData[[#This Row],[Sales]]/SalesData[[#This Row],[Quantity]]</f>
        <v>13.4</v>
      </c>
      <c r="N2615" t="str">
        <f>IF(SalesData[[#This Row],[Profit]]&gt;0,"Profit","Loss")</f>
        <v>Profit</v>
      </c>
    </row>
    <row r="2616" spans="1:14" x14ac:dyDescent="0.3">
      <c r="A2616" t="s">
        <v>1277</v>
      </c>
      <c r="B2616" s="3">
        <v>42099</v>
      </c>
      <c r="C2616" t="s">
        <v>9</v>
      </c>
      <c r="D2616" t="s">
        <v>14</v>
      </c>
      <c r="E2616" t="s">
        <v>1278</v>
      </c>
      <c r="F2616" s="1">
        <v>22.288</v>
      </c>
      <c r="G2616">
        <v>7</v>
      </c>
      <c r="H2616" s="1">
        <v>-8.9152000000000005</v>
      </c>
      <c r="I2616" s="4">
        <f>SalesData[[#This Row],[Profit]]/SalesData[[#This Row],[Sales]]</f>
        <v>-0.4</v>
      </c>
      <c r="J2616">
        <f>YEAR(SalesData[[#This Row],[Order Date]])</f>
        <v>2015</v>
      </c>
      <c r="K2616" t="str">
        <f>TEXT(SalesData[[#This Row],[Order Date]],"mmm")</f>
        <v>Apr</v>
      </c>
      <c r="L2616">
        <f>MONTH(SalesData[[#This Row],[Order Date]])</f>
        <v>4</v>
      </c>
      <c r="M2616">
        <f>SalesData[[#This Row],[Sales]]/SalesData[[#This Row],[Quantity]]</f>
        <v>3.1840000000000002</v>
      </c>
      <c r="N2616" t="str">
        <f>IF(SalesData[[#This Row],[Profit]]&gt;0,"Profit","Loss")</f>
        <v>Loss</v>
      </c>
    </row>
    <row r="2617" spans="1:14" x14ac:dyDescent="0.3">
      <c r="A2617" t="s">
        <v>1279</v>
      </c>
      <c r="B2617" s="3">
        <v>42099</v>
      </c>
      <c r="C2617" t="s">
        <v>9</v>
      </c>
      <c r="D2617" t="s">
        <v>10</v>
      </c>
      <c r="E2617" t="s">
        <v>1280</v>
      </c>
      <c r="F2617" s="1">
        <v>946.34400000000005</v>
      </c>
      <c r="G2617">
        <v>7</v>
      </c>
      <c r="H2617" s="1">
        <v>118.29300000000001</v>
      </c>
      <c r="I2617" s="4">
        <f>SalesData[[#This Row],[Profit]]/SalesData[[#This Row],[Sales]]</f>
        <v>0.125</v>
      </c>
      <c r="J2617">
        <f>YEAR(SalesData[[#This Row],[Order Date]])</f>
        <v>2015</v>
      </c>
      <c r="K2617" t="str">
        <f>TEXT(SalesData[[#This Row],[Order Date]],"mmm")</f>
        <v>Apr</v>
      </c>
      <c r="L2617">
        <f>MONTH(SalesData[[#This Row],[Order Date]])</f>
        <v>4</v>
      </c>
      <c r="M2617">
        <f>SalesData[[#This Row],[Sales]]/SalesData[[#This Row],[Quantity]]</f>
        <v>135.19200000000001</v>
      </c>
      <c r="N2617" t="str">
        <f>IF(SalesData[[#This Row],[Profit]]&gt;0,"Profit","Loss")</f>
        <v>Profit</v>
      </c>
    </row>
    <row r="2618" spans="1:14" x14ac:dyDescent="0.3">
      <c r="A2618" t="s">
        <v>1281</v>
      </c>
      <c r="B2618" s="3">
        <v>42099</v>
      </c>
      <c r="C2618" t="s">
        <v>9</v>
      </c>
      <c r="D2618" t="s">
        <v>21</v>
      </c>
      <c r="E2618" t="s">
        <v>77</v>
      </c>
      <c r="F2618" s="1">
        <v>125.93</v>
      </c>
      <c r="G2618">
        <v>7</v>
      </c>
      <c r="H2618" s="1">
        <v>35.260399999999997</v>
      </c>
      <c r="I2618" s="4">
        <f>SalesData[[#This Row],[Profit]]/SalesData[[#This Row],[Sales]]</f>
        <v>0.27999999999999997</v>
      </c>
      <c r="J2618">
        <f>YEAR(SalesData[[#This Row],[Order Date]])</f>
        <v>2015</v>
      </c>
      <c r="K2618" t="str">
        <f>TEXT(SalesData[[#This Row],[Order Date]],"mmm")</f>
        <v>Apr</v>
      </c>
      <c r="L2618">
        <f>MONTH(SalesData[[#This Row],[Order Date]])</f>
        <v>4</v>
      </c>
      <c r="M2618">
        <f>SalesData[[#This Row],[Sales]]/SalesData[[#This Row],[Quantity]]</f>
        <v>17.990000000000002</v>
      </c>
      <c r="N2618" t="str">
        <f>IF(SalesData[[#This Row],[Profit]]&gt;0,"Profit","Loss")</f>
        <v>Profit</v>
      </c>
    </row>
    <row r="2619" spans="1:14" x14ac:dyDescent="0.3">
      <c r="A2619" t="s">
        <v>1282</v>
      </c>
      <c r="B2619" s="3">
        <v>42100</v>
      </c>
      <c r="C2619" t="s">
        <v>13</v>
      </c>
      <c r="D2619" t="s">
        <v>21</v>
      </c>
      <c r="E2619" t="s">
        <v>1006</v>
      </c>
      <c r="F2619" s="1">
        <v>7.38</v>
      </c>
      <c r="G2619">
        <v>2</v>
      </c>
      <c r="H2619" s="1">
        <v>3.4685999999999999</v>
      </c>
      <c r="I2619" s="4">
        <f>SalesData[[#This Row],[Profit]]/SalesData[[#This Row],[Sales]]</f>
        <v>0.47</v>
      </c>
      <c r="J2619">
        <f>YEAR(SalesData[[#This Row],[Order Date]])</f>
        <v>2015</v>
      </c>
      <c r="K2619" t="str">
        <f>TEXT(SalesData[[#This Row],[Order Date]],"mmm")</f>
        <v>Apr</v>
      </c>
      <c r="L2619">
        <f>MONTH(SalesData[[#This Row],[Order Date]])</f>
        <v>4</v>
      </c>
      <c r="M2619">
        <f>SalesData[[#This Row],[Sales]]/SalesData[[#This Row],[Quantity]]</f>
        <v>3.69</v>
      </c>
      <c r="N2619" t="str">
        <f>IF(SalesData[[#This Row],[Profit]]&gt;0,"Profit","Loss")</f>
        <v>Profit</v>
      </c>
    </row>
    <row r="2620" spans="1:14" x14ac:dyDescent="0.3">
      <c r="A2620" t="s">
        <v>1282</v>
      </c>
      <c r="B2620" s="3">
        <v>42100</v>
      </c>
      <c r="C2620" t="s">
        <v>13</v>
      </c>
      <c r="D2620" t="s">
        <v>21</v>
      </c>
      <c r="E2620" t="s">
        <v>403</v>
      </c>
      <c r="F2620" s="1">
        <v>9.26</v>
      </c>
      <c r="G2620">
        <v>2</v>
      </c>
      <c r="H2620" s="1">
        <v>3.0558000000000001</v>
      </c>
      <c r="I2620" s="4">
        <f>SalesData[[#This Row],[Profit]]/SalesData[[#This Row],[Sales]]</f>
        <v>0.33</v>
      </c>
      <c r="J2620">
        <f>YEAR(SalesData[[#This Row],[Order Date]])</f>
        <v>2015</v>
      </c>
      <c r="K2620" t="str">
        <f>TEXT(SalesData[[#This Row],[Order Date]],"mmm")</f>
        <v>Apr</v>
      </c>
      <c r="L2620">
        <f>MONTH(SalesData[[#This Row],[Order Date]])</f>
        <v>4</v>
      </c>
      <c r="M2620">
        <f>SalesData[[#This Row],[Sales]]/SalesData[[#This Row],[Quantity]]</f>
        <v>4.63</v>
      </c>
      <c r="N2620" t="str">
        <f>IF(SalesData[[#This Row],[Profit]]&gt;0,"Profit","Loss")</f>
        <v>Profit</v>
      </c>
    </row>
    <row r="2621" spans="1:14" x14ac:dyDescent="0.3">
      <c r="A2621" t="s">
        <v>1283</v>
      </c>
      <c r="B2621" s="3">
        <v>42100</v>
      </c>
      <c r="C2621" t="s">
        <v>17</v>
      </c>
      <c r="D2621" t="s">
        <v>21</v>
      </c>
      <c r="E2621" t="s">
        <v>1284</v>
      </c>
      <c r="F2621" s="1">
        <v>30.44</v>
      </c>
      <c r="G2621">
        <v>4</v>
      </c>
      <c r="H2621" s="1">
        <v>14.306800000000001</v>
      </c>
      <c r="I2621" s="4">
        <f>SalesData[[#This Row],[Profit]]/SalesData[[#This Row],[Sales]]</f>
        <v>0.47000000000000003</v>
      </c>
      <c r="J2621">
        <f>YEAR(SalesData[[#This Row],[Order Date]])</f>
        <v>2015</v>
      </c>
      <c r="K2621" t="str">
        <f>TEXT(SalesData[[#This Row],[Order Date]],"mmm")</f>
        <v>Apr</v>
      </c>
      <c r="L2621">
        <f>MONTH(SalesData[[#This Row],[Order Date]])</f>
        <v>4</v>
      </c>
      <c r="M2621">
        <f>SalesData[[#This Row],[Sales]]/SalesData[[#This Row],[Quantity]]</f>
        <v>7.61</v>
      </c>
      <c r="N2621" t="str">
        <f>IF(SalesData[[#This Row],[Profit]]&gt;0,"Profit","Loss")</f>
        <v>Profit</v>
      </c>
    </row>
    <row r="2622" spans="1:14" x14ac:dyDescent="0.3">
      <c r="A2622" t="s">
        <v>1283</v>
      </c>
      <c r="B2622" s="3">
        <v>42100</v>
      </c>
      <c r="C2622" t="s">
        <v>17</v>
      </c>
      <c r="D2622" t="s">
        <v>14</v>
      </c>
      <c r="E2622" t="s">
        <v>1285</v>
      </c>
      <c r="F2622" s="1">
        <v>35.28</v>
      </c>
      <c r="G2622">
        <v>3</v>
      </c>
      <c r="H2622" s="1">
        <v>11.995200000000001</v>
      </c>
      <c r="I2622" s="4">
        <f>SalesData[[#This Row],[Profit]]/SalesData[[#This Row],[Sales]]</f>
        <v>0.34</v>
      </c>
      <c r="J2622">
        <f>YEAR(SalesData[[#This Row],[Order Date]])</f>
        <v>2015</v>
      </c>
      <c r="K2622" t="str">
        <f>TEXT(SalesData[[#This Row],[Order Date]],"mmm")</f>
        <v>Apr</v>
      </c>
      <c r="L2622">
        <f>MONTH(SalesData[[#This Row],[Order Date]])</f>
        <v>4</v>
      </c>
      <c r="M2622">
        <f>SalesData[[#This Row],[Sales]]/SalesData[[#This Row],[Quantity]]</f>
        <v>11.76</v>
      </c>
      <c r="N2622" t="str">
        <f>IF(SalesData[[#This Row],[Profit]]&gt;0,"Profit","Loss")</f>
        <v>Profit</v>
      </c>
    </row>
    <row r="2623" spans="1:14" x14ac:dyDescent="0.3">
      <c r="A2623" t="s">
        <v>1286</v>
      </c>
      <c r="B2623" s="3">
        <v>42100</v>
      </c>
      <c r="C2623" t="s">
        <v>13</v>
      </c>
      <c r="D2623" t="s">
        <v>10</v>
      </c>
      <c r="E2623" t="s">
        <v>895</v>
      </c>
      <c r="F2623" s="1">
        <v>119.98</v>
      </c>
      <c r="G2623">
        <v>2</v>
      </c>
      <c r="H2623" s="1">
        <v>35.994</v>
      </c>
      <c r="I2623" s="4">
        <f>SalesData[[#This Row],[Profit]]/SalesData[[#This Row],[Sales]]</f>
        <v>0.3</v>
      </c>
      <c r="J2623">
        <f>YEAR(SalesData[[#This Row],[Order Date]])</f>
        <v>2015</v>
      </c>
      <c r="K2623" t="str">
        <f>TEXT(SalesData[[#This Row],[Order Date]],"mmm")</f>
        <v>Apr</v>
      </c>
      <c r="L2623">
        <f>MONTH(SalesData[[#This Row],[Order Date]])</f>
        <v>4</v>
      </c>
      <c r="M2623">
        <f>SalesData[[#This Row],[Sales]]/SalesData[[#This Row],[Quantity]]</f>
        <v>59.99</v>
      </c>
      <c r="N2623" t="str">
        <f>IF(SalesData[[#This Row],[Profit]]&gt;0,"Profit","Loss")</f>
        <v>Profit</v>
      </c>
    </row>
    <row r="2624" spans="1:14" x14ac:dyDescent="0.3">
      <c r="A2624" t="s">
        <v>1286</v>
      </c>
      <c r="B2624" s="3">
        <v>42100</v>
      </c>
      <c r="C2624" t="s">
        <v>13</v>
      </c>
      <c r="D2624" t="s">
        <v>10</v>
      </c>
      <c r="E2624" t="s">
        <v>1287</v>
      </c>
      <c r="F2624" s="1">
        <v>989.97</v>
      </c>
      <c r="G2624">
        <v>3</v>
      </c>
      <c r="H2624" s="1">
        <v>395.988</v>
      </c>
      <c r="I2624" s="4">
        <f>SalesData[[#This Row],[Profit]]/SalesData[[#This Row],[Sales]]</f>
        <v>0.39999999999999997</v>
      </c>
      <c r="J2624">
        <f>YEAR(SalesData[[#This Row],[Order Date]])</f>
        <v>2015</v>
      </c>
      <c r="K2624" t="str">
        <f>TEXT(SalesData[[#This Row],[Order Date]],"mmm")</f>
        <v>Apr</v>
      </c>
      <c r="L2624">
        <f>MONTH(SalesData[[#This Row],[Order Date]])</f>
        <v>4</v>
      </c>
      <c r="M2624">
        <f>SalesData[[#This Row],[Sales]]/SalesData[[#This Row],[Quantity]]</f>
        <v>329.99</v>
      </c>
      <c r="N2624" t="str">
        <f>IF(SalesData[[#This Row],[Profit]]&gt;0,"Profit","Loss")</f>
        <v>Profit</v>
      </c>
    </row>
    <row r="2625" spans="1:14" x14ac:dyDescent="0.3">
      <c r="A2625" t="s">
        <v>1288</v>
      </c>
      <c r="B2625" s="3">
        <v>42101</v>
      </c>
      <c r="C2625" t="s">
        <v>9</v>
      </c>
      <c r="D2625" t="s">
        <v>10</v>
      </c>
      <c r="E2625" t="s">
        <v>1289</v>
      </c>
      <c r="F2625" s="1">
        <v>1099.96</v>
      </c>
      <c r="G2625">
        <v>4</v>
      </c>
      <c r="H2625" s="1">
        <v>285.9896</v>
      </c>
      <c r="I2625" s="4">
        <f>SalesData[[#This Row],[Profit]]/SalesData[[#This Row],[Sales]]</f>
        <v>0.26</v>
      </c>
      <c r="J2625">
        <f>YEAR(SalesData[[#This Row],[Order Date]])</f>
        <v>2015</v>
      </c>
      <c r="K2625" t="str">
        <f>TEXT(SalesData[[#This Row],[Order Date]],"mmm")</f>
        <v>Apr</v>
      </c>
      <c r="L2625">
        <f>MONTH(SalesData[[#This Row],[Order Date]])</f>
        <v>4</v>
      </c>
      <c r="M2625">
        <f>SalesData[[#This Row],[Sales]]/SalesData[[#This Row],[Quantity]]</f>
        <v>274.99</v>
      </c>
      <c r="N2625" t="str">
        <f>IF(SalesData[[#This Row],[Profit]]&gt;0,"Profit","Loss")</f>
        <v>Profit</v>
      </c>
    </row>
    <row r="2626" spans="1:14" x14ac:dyDescent="0.3">
      <c r="A2626" t="s">
        <v>1290</v>
      </c>
      <c r="B2626" s="3">
        <v>42101</v>
      </c>
      <c r="C2626" t="s">
        <v>17</v>
      </c>
      <c r="D2626" t="s">
        <v>21</v>
      </c>
      <c r="E2626" t="s">
        <v>1291</v>
      </c>
      <c r="F2626" s="1">
        <v>15.48</v>
      </c>
      <c r="G2626">
        <v>3</v>
      </c>
      <c r="H2626" s="1">
        <v>4.4892000000000003</v>
      </c>
      <c r="I2626" s="4">
        <f>SalesData[[#This Row],[Profit]]/SalesData[[#This Row],[Sales]]</f>
        <v>0.29000000000000004</v>
      </c>
      <c r="J2626">
        <f>YEAR(SalesData[[#This Row],[Order Date]])</f>
        <v>2015</v>
      </c>
      <c r="K2626" t="str">
        <f>TEXT(SalesData[[#This Row],[Order Date]],"mmm")</f>
        <v>Apr</v>
      </c>
      <c r="L2626">
        <f>MONTH(SalesData[[#This Row],[Order Date]])</f>
        <v>4</v>
      </c>
      <c r="M2626">
        <f>SalesData[[#This Row],[Sales]]/SalesData[[#This Row],[Quantity]]</f>
        <v>5.16</v>
      </c>
      <c r="N2626" t="str">
        <f>IF(SalesData[[#This Row],[Profit]]&gt;0,"Profit","Loss")</f>
        <v>Profit</v>
      </c>
    </row>
    <row r="2627" spans="1:14" x14ac:dyDescent="0.3">
      <c r="A2627" t="s">
        <v>1292</v>
      </c>
      <c r="B2627" s="3">
        <v>42101</v>
      </c>
      <c r="C2627" t="s">
        <v>13</v>
      </c>
      <c r="D2627" t="s">
        <v>21</v>
      </c>
      <c r="E2627" t="s">
        <v>1293</v>
      </c>
      <c r="F2627" s="1">
        <v>22.847999999999999</v>
      </c>
      <c r="G2627">
        <v>2</v>
      </c>
      <c r="H2627" s="1">
        <v>7.4256000000000002</v>
      </c>
      <c r="I2627" s="4">
        <f>SalesData[[#This Row],[Profit]]/SalesData[[#This Row],[Sales]]</f>
        <v>0.32500000000000001</v>
      </c>
      <c r="J2627">
        <f>YEAR(SalesData[[#This Row],[Order Date]])</f>
        <v>2015</v>
      </c>
      <c r="K2627" t="str">
        <f>TEXT(SalesData[[#This Row],[Order Date]],"mmm")</f>
        <v>Apr</v>
      </c>
      <c r="L2627">
        <f>MONTH(SalesData[[#This Row],[Order Date]])</f>
        <v>4</v>
      </c>
      <c r="M2627">
        <f>SalesData[[#This Row],[Sales]]/SalesData[[#This Row],[Quantity]]</f>
        <v>11.423999999999999</v>
      </c>
      <c r="N2627" t="str">
        <f>IF(SalesData[[#This Row],[Profit]]&gt;0,"Profit","Loss")</f>
        <v>Profit</v>
      </c>
    </row>
    <row r="2628" spans="1:14" x14ac:dyDescent="0.3">
      <c r="A2628" t="s">
        <v>1294</v>
      </c>
      <c r="B2628" s="3">
        <v>42103</v>
      </c>
      <c r="C2628" t="s">
        <v>46</v>
      </c>
      <c r="D2628" t="s">
        <v>21</v>
      </c>
      <c r="E2628" t="s">
        <v>1295</v>
      </c>
      <c r="F2628" s="1">
        <v>279.89999999999998</v>
      </c>
      <c r="G2628">
        <v>5</v>
      </c>
      <c r="H2628" s="1">
        <v>137.15100000000001</v>
      </c>
      <c r="I2628" s="4">
        <f>SalesData[[#This Row],[Profit]]/SalesData[[#This Row],[Sales]]</f>
        <v>0.4900000000000001</v>
      </c>
      <c r="J2628">
        <f>YEAR(SalesData[[#This Row],[Order Date]])</f>
        <v>2015</v>
      </c>
      <c r="K2628" t="str">
        <f>TEXT(SalesData[[#This Row],[Order Date]],"mmm")</f>
        <v>Apr</v>
      </c>
      <c r="L2628">
        <f>MONTH(SalesData[[#This Row],[Order Date]])</f>
        <v>4</v>
      </c>
      <c r="M2628">
        <f>SalesData[[#This Row],[Sales]]/SalesData[[#This Row],[Quantity]]</f>
        <v>55.98</v>
      </c>
      <c r="N2628" t="str">
        <f>IF(SalesData[[#This Row],[Profit]]&gt;0,"Profit","Loss")</f>
        <v>Profit</v>
      </c>
    </row>
    <row r="2629" spans="1:14" x14ac:dyDescent="0.3">
      <c r="A2629" t="s">
        <v>1294</v>
      </c>
      <c r="B2629" s="3">
        <v>42103</v>
      </c>
      <c r="C2629" t="s">
        <v>46</v>
      </c>
      <c r="D2629" t="s">
        <v>10</v>
      </c>
      <c r="E2629" t="s">
        <v>1296</v>
      </c>
      <c r="F2629" s="1">
        <v>619.95000000000005</v>
      </c>
      <c r="G2629">
        <v>5</v>
      </c>
      <c r="H2629" s="1">
        <v>111.59099999999999</v>
      </c>
      <c r="I2629" s="4">
        <f>SalesData[[#This Row],[Profit]]/SalesData[[#This Row],[Sales]]</f>
        <v>0.17999999999999997</v>
      </c>
      <c r="J2629">
        <f>YEAR(SalesData[[#This Row],[Order Date]])</f>
        <v>2015</v>
      </c>
      <c r="K2629" t="str">
        <f>TEXT(SalesData[[#This Row],[Order Date]],"mmm")</f>
        <v>Apr</v>
      </c>
      <c r="L2629">
        <f>MONTH(SalesData[[#This Row],[Order Date]])</f>
        <v>4</v>
      </c>
      <c r="M2629">
        <f>SalesData[[#This Row],[Sales]]/SalesData[[#This Row],[Quantity]]</f>
        <v>123.99000000000001</v>
      </c>
      <c r="N2629" t="str">
        <f>IF(SalesData[[#This Row],[Profit]]&gt;0,"Profit","Loss")</f>
        <v>Profit</v>
      </c>
    </row>
    <row r="2630" spans="1:14" x14ac:dyDescent="0.3">
      <c r="A2630" t="s">
        <v>1294</v>
      </c>
      <c r="B2630" s="3">
        <v>42103</v>
      </c>
      <c r="C2630" t="s">
        <v>46</v>
      </c>
      <c r="D2630" t="s">
        <v>21</v>
      </c>
      <c r="E2630" t="s">
        <v>286</v>
      </c>
      <c r="F2630" s="1">
        <v>4.3600000000000003</v>
      </c>
      <c r="G2630">
        <v>2</v>
      </c>
      <c r="H2630" s="1">
        <v>2.0491999999999999</v>
      </c>
      <c r="I2630" s="4">
        <f>SalesData[[#This Row],[Profit]]/SalesData[[#This Row],[Sales]]</f>
        <v>0.46999999999999992</v>
      </c>
      <c r="J2630">
        <f>YEAR(SalesData[[#This Row],[Order Date]])</f>
        <v>2015</v>
      </c>
      <c r="K2630" t="str">
        <f>TEXT(SalesData[[#This Row],[Order Date]],"mmm")</f>
        <v>Apr</v>
      </c>
      <c r="L2630">
        <f>MONTH(SalesData[[#This Row],[Order Date]])</f>
        <v>4</v>
      </c>
      <c r="M2630">
        <f>SalesData[[#This Row],[Sales]]/SalesData[[#This Row],[Quantity]]</f>
        <v>2.1800000000000002</v>
      </c>
      <c r="N2630" t="str">
        <f>IF(SalesData[[#This Row],[Profit]]&gt;0,"Profit","Loss")</f>
        <v>Profit</v>
      </c>
    </row>
    <row r="2631" spans="1:14" x14ac:dyDescent="0.3">
      <c r="A2631" t="s">
        <v>1294</v>
      </c>
      <c r="B2631" s="3">
        <v>42103</v>
      </c>
      <c r="C2631" t="s">
        <v>46</v>
      </c>
      <c r="D2631" t="s">
        <v>21</v>
      </c>
      <c r="E2631" t="s">
        <v>245</v>
      </c>
      <c r="F2631" s="1">
        <v>15.28</v>
      </c>
      <c r="G2631">
        <v>2</v>
      </c>
      <c r="H2631" s="1">
        <v>7.4871999999999996</v>
      </c>
      <c r="I2631" s="4">
        <f>SalesData[[#This Row],[Profit]]/SalesData[[#This Row],[Sales]]</f>
        <v>0.49</v>
      </c>
      <c r="J2631">
        <f>YEAR(SalesData[[#This Row],[Order Date]])</f>
        <v>2015</v>
      </c>
      <c r="K2631" t="str">
        <f>TEXT(SalesData[[#This Row],[Order Date]],"mmm")</f>
        <v>Apr</v>
      </c>
      <c r="L2631">
        <f>MONTH(SalesData[[#This Row],[Order Date]])</f>
        <v>4</v>
      </c>
      <c r="M2631">
        <f>SalesData[[#This Row],[Sales]]/SalesData[[#This Row],[Quantity]]</f>
        <v>7.64</v>
      </c>
      <c r="N2631" t="str">
        <f>IF(SalesData[[#This Row],[Profit]]&gt;0,"Profit","Loss")</f>
        <v>Profit</v>
      </c>
    </row>
    <row r="2632" spans="1:14" x14ac:dyDescent="0.3">
      <c r="A2632" t="s">
        <v>1297</v>
      </c>
      <c r="B2632" s="3">
        <v>42103</v>
      </c>
      <c r="C2632" t="s">
        <v>13</v>
      </c>
      <c r="D2632" t="s">
        <v>21</v>
      </c>
      <c r="E2632" t="s">
        <v>379</v>
      </c>
      <c r="F2632" s="1">
        <v>9.7620000000000005</v>
      </c>
      <c r="G2632">
        <v>2</v>
      </c>
      <c r="H2632" s="1">
        <v>-6.8334000000000001</v>
      </c>
      <c r="I2632" s="4">
        <f>SalesData[[#This Row],[Profit]]/SalesData[[#This Row],[Sales]]</f>
        <v>-0.7</v>
      </c>
      <c r="J2632">
        <f>YEAR(SalesData[[#This Row],[Order Date]])</f>
        <v>2015</v>
      </c>
      <c r="K2632" t="str">
        <f>TEXT(SalesData[[#This Row],[Order Date]],"mmm")</f>
        <v>Apr</v>
      </c>
      <c r="L2632">
        <f>MONTH(SalesData[[#This Row],[Order Date]])</f>
        <v>4</v>
      </c>
      <c r="M2632">
        <f>SalesData[[#This Row],[Sales]]/SalesData[[#This Row],[Quantity]]</f>
        <v>4.8810000000000002</v>
      </c>
      <c r="N2632" t="str">
        <f>IF(SalesData[[#This Row],[Profit]]&gt;0,"Profit","Loss")</f>
        <v>Loss</v>
      </c>
    </row>
    <row r="2633" spans="1:14" x14ac:dyDescent="0.3">
      <c r="A2633" t="s">
        <v>1298</v>
      </c>
      <c r="B2633" s="3">
        <v>42103</v>
      </c>
      <c r="C2633" t="s">
        <v>9</v>
      </c>
      <c r="D2633" t="s">
        <v>10</v>
      </c>
      <c r="E2633" t="s">
        <v>734</v>
      </c>
      <c r="F2633" s="1">
        <v>134.376</v>
      </c>
      <c r="G2633">
        <v>3</v>
      </c>
      <c r="H2633" s="1">
        <v>6.7187999999999999</v>
      </c>
      <c r="I2633" s="4">
        <f>SalesData[[#This Row],[Profit]]/SalesData[[#This Row],[Sales]]</f>
        <v>4.9999999999999996E-2</v>
      </c>
      <c r="J2633">
        <f>YEAR(SalesData[[#This Row],[Order Date]])</f>
        <v>2015</v>
      </c>
      <c r="K2633" t="str">
        <f>TEXT(SalesData[[#This Row],[Order Date]],"mmm")</f>
        <v>Apr</v>
      </c>
      <c r="L2633">
        <f>MONTH(SalesData[[#This Row],[Order Date]])</f>
        <v>4</v>
      </c>
      <c r="M2633">
        <f>SalesData[[#This Row],[Sales]]/SalesData[[#This Row],[Quantity]]</f>
        <v>44.792000000000002</v>
      </c>
      <c r="N2633" t="str">
        <f>IF(SalesData[[#This Row],[Profit]]&gt;0,"Profit","Loss")</f>
        <v>Profit</v>
      </c>
    </row>
    <row r="2634" spans="1:14" x14ac:dyDescent="0.3">
      <c r="A2634" t="s">
        <v>1299</v>
      </c>
      <c r="B2634" s="3">
        <v>42103</v>
      </c>
      <c r="C2634" t="s">
        <v>17</v>
      </c>
      <c r="D2634" t="s">
        <v>21</v>
      </c>
      <c r="E2634" t="s">
        <v>615</v>
      </c>
      <c r="F2634" s="1">
        <v>7.6559999999999997</v>
      </c>
      <c r="G2634">
        <v>4</v>
      </c>
      <c r="H2634" s="1">
        <v>-6.1247999999999996</v>
      </c>
      <c r="I2634" s="4">
        <f>SalesData[[#This Row],[Profit]]/SalesData[[#This Row],[Sales]]</f>
        <v>-0.79999999999999993</v>
      </c>
      <c r="J2634">
        <f>YEAR(SalesData[[#This Row],[Order Date]])</f>
        <v>2015</v>
      </c>
      <c r="K2634" t="str">
        <f>TEXT(SalesData[[#This Row],[Order Date]],"mmm")</f>
        <v>Apr</v>
      </c>
      <c r="L2634">
        <f>MONTH(SalesData[[#This Row],[Order Date]])</f>
        <v>4</v>
      </c>
      <c r="M2634">
        <f>SalesData[[#This Row],[Sales]]/SalesData[[#This Row],[Quantity]]</f>
        <v>1.9139999999999999</v>
      </c>
      <c r="N2634" t="str">
        <f>IF(SalesData[[#This Row],[Profit]]&gt;0,"Profit","Loss")</f>
        <v>Loss</v>
      </c>
    </row>
    <row r="2635" spans="1:14" x14ac:dyDescent="0.3">
      <c r="A2635" t="s">
        <v>1300</v>
      </c>
      <c r="B2635" s="3">
        <v>42104</v>
      </c>
      <c r="C2635" t="s">
        <v>46</v>
      </c>
      <c r="D2635" t="s">
        <v>14</v>
      </c>
      <c r="E2635" t="s">
        <v>1301</v>
      </c>
      <c r="F2635" s="1">
        <v>392.94</v>
      </c>
      <c r="G2635">
        <v>3</v>
      </c>
      <c r="H2635" s="1">
        <v>43.223399999999998</v>
      </c>
      <c r="I2635" s="4">
        <f>SalesData[[#This Row],[Profit]]/SalesData[[#This Row],[Sales]]</f>
        <v>0.11</v>
      </c>
      <c r="J2635">
        <f>YEAR(SalesData[[#This Row],[Order Date]])</f>
        <v>2015</v>
      </c>
      <c r="K2635" t="str">
        <f>TEXT(SalesData[[#This Row],[Order Date]],"mmm")</f>
        <v>Apr</v>
      </c>
      <c r="L2635">
        <f>MONTH(SalesData[[#This Row],[Order Date]])</f>
        <v>4</v>
      </c>
      <c r="M2635">
        <f>SalesData[[#This Row],[Sales]]/SalesData[[#This Row],[Quantity]]</f>
        <v>130.97999999999999</v>
      </c>
      <c r="N2635" t="str">
        <f>IF(SalesData[[#This Row],[Profit]]&gt;0,"Profit","Loss")</f>
        <v>Profit</v>
      </c>
    </row>
    <row r="2636" spans="1:14" x14ac:dyDescent="0.3">
      <c r="A2636" t="s">
        <v>1302</v>
      </c>
      <c r="B2636" s="3">
        <v>42104</v>
      </c>
      <c r="C2636" t="s">
        <v>13</v>
      </c>
      <c r="D2636" t="s">
        <v>21</v>
      </c>
      <c r="E2636" t="s">
        <v>1303</v>
      </c>
      <c r="F2636" s="1">
        <v>26.96</v>
      </c>
      <c r="G2636">
        <v>2</v>
      </c>
      <c r="H2636" s="1">
        <v>7.0095999999999998</v>
      </c>
      <c r="I2636" s="4">
        <f>SalesData[[#This Row],[Profit]]/SalesData[[#This Row],[Sales]]</f>
        <v>0.26</v>
      </c>
      <c r="J2636">
        <f>YEAR(SalesData[[#This Row],[Order Date]])</f>
        <v>2015</v>
      </c>
      <c r="K2636" t="str">
        <f>TEXT(SalesData[[#This Row],[Order Date]],"mmm")</f>
        <v>Apr</v>
      </c>
      <c r="L2636">
        <f>MONTH(SalesData[[#This Row],[Order Date]])</f>
        <v>4</v>
      </c>
      <c r="M2636">
        <f>SalesData[[#This Row],[Sales]]/SalesData[[#This Row],[Quantity]]</f>
        <v>13.48</v>
      </c>
      <c r="N2636" t="str">
        <f>IF(SalesData[[#This Row],[Profit]]&gt;0,"Profit","Loss")</f>
        <v>Profit</v>
      </c>
    </row>
    <row r="2637" spans="1:14" x14ac:dyDescent="0.3">
      <c r="A2637" t="s">
        <v>1304</v>
      </c>
      <c r="B2637" s="3">
        <v>42104</v>
      </c>
      <c r="C2637" t="s">
        <v>17</v>
      </c>
      <c r="D2637" t="s">
        <v>14</v>
      </c>
      <c r="E2637" t="s">
        <v>1305</v>
      </c>
      <c r="F2637" s="1">
        <v>64.944000000000003</v>
      </c>
      <c r="G2637">
        <v>3</v>
      </c>
      <c r="H2637" s="1">
        <v>6.4943999999999997</v>
      </c>
      <c r="I2637" s="4">
        <f>SalesData[[#This Row],[Profit]]/SalesData[[#This Row],[Sales]]</f>
        <v>9.9999999999999992E-2</v>
      </c>
      <c r="J2637">
        <f>YEAR(SalesData[[#This Row],[Order Date]])</f>
        <v>2015</v>
      </c>
      <c r="K2637" t="str">
        <f>TEXT(SalesData[[#This Row],[Order Date]],"mmm")</f>
        <v>Apr</v>
      </c>
      <c r="L2637">
        <f>MONTH(SalesData[[#This Row],[Order Date]])</f>
        <v>4</v>
      </c>
      <c r="M2637">
        <f>SalesData[[#This Row],[Sales]]/SalesData[[#This Row],[Quantity]]</f>
        <v>21.648</v>
      </c>
      <c r="N2637" t="str">
        <f>IF(SalesData[[#This Row],[Profit]]&gt;0,"Profit","Loss")</f>
        <v>Profit</v>
      </c>
    </row>
    <row r="2638" spans="1:14" x14ac:dyDescent="0.3">
      <c r="A2638" t="s">
        <v>1304</v>
      </c>
      <c r="B2638" s="3">
        <v>42104</v>
      </c>
      <c r="C2638" t="s">
        <v>17</v>
      </c>
      <c r="D2638" t="s">
        <v>21</v>
      </c>
      <c r="E2638" t="s">
        <v>1306</v>
      </c>
      <c r="F2638" s="1">
        <v>20.736000000000001</v>
      </c>
      <c r="G2638">
        <v>4</v>
      </c>
      <c r="H2638" s="1">
        <v>7.2576000000000001</v>
      </c>
      <c r="I2638" s="4">
        <f>SalesData[[#This Row],[Profit]]/SalesData[[#This Row],[Sales]]</f>
        <v>0.35</v>
      </c>
      <c r="J2638">
        <f>YEAR(SalesData[[#This Row],[Order Date]])</f>
        <v>2015</v>
      </c>
      <c r="K2638" t="str">
        <f>TEXT(SalesData[[#This Row],[Order Date]],"mmm")</f>
        <v>Apr</v>
      </c>
      <c r="L2638">
        <f>MONTH(SalesData[[#This Row],[Order Date]])</f>
        <v>4</v>
      </c>
      <c r="M2638">
        <f>SalesData[[#This Row],[Sales]]/SalesData[[#This Row],[Quantity]]</f>
        <v>5.1840000000000002</v>
      </c>
      <c r="N2638" t="str">
        <f>IF(SalesData[[#This Row],[Profit]]&gt;0,"Profit","Loss")</f>
        <v>Profit</v>
      </c>
    </row>
    <row r="2639" spans="1:14" x14ac:dyDescent="0.3">
      <c r="A2639" t="s">
        <v>1307</v>
      </c>
      <c r="B2639" s="3">
        <v>42106</v>
      </c>
      <c r="C2639" t="s">
        <v>46</v>
      </c>
      <c r="D2639" t="s">
        <v>21</v>
      </c>
      <c r="E2639" t="s">
        <v>1308</v>
      </c>
      <c r="F2639" s="1">
        <v>8.2260000000000009</v>
      </c>
      <c r="G2639">
        <v>3</v>
      </c>
      <c r="H2639" s="1">
        <v>-6.0324</v>
      </c>
      <c r="I2639" s="4">
        <f>SalesData[[#This Row],[Profit]]/SalesData[[#This Row],[Sales]]</f>
        <v>-0.73333333333333328</v>
      </c>
      <c r="J2639">
        <f>YEAR(SalesData[[#This Row],[Order Date]])</f>
        <v>2015</v>
      </c>
      <c r="K2639" t="str">
        <f>TEXT(SalesData[[#This Row],[Order Date]],"mmm")</f>
        <v>Apr</v>
      </c>
      <c r="L2639">
        <f>MONTH(SalesData[[#This Row],[Order Date]])</f>
        <v>4</v>
      </c>
      <c r="M2639">
        <f>SalesData[[#This Row],[Sales]]/SalesData[[#This Row],[Quantity]]</f>
        <v>2.7420000000000004</v>
      </c>
      <c r="N2639" t="str">
        <f>IF(SalesData[[#This Row],[Profit]]&gt;0,"Profit","Loss")</f>
        <v>Loss</v>
      </c>
    </row>
    <row r="2640" spans="1:14" x14ac:dyDescent="0.3">
      <c r="A2640" t="s">
        <v>1309</v>
      </c>
      <c r="B2640" s="3">
        <v>42106</v>
      </c>
      <c r="C2640" t="s">
        <v>17</v>
      </c>
      <c r="D2640" t="s">
        <v>14</v>
      </c>
      <c r="E2640" t="s">
        <v>1310</v>
      </c>
      <c r="F2640" s="1">
        <v>28.44</v>
      </c>
      <c r="G2640">
        <v>3</v>
      </c>
      <c r="H2640" s="1">
        <v>11.375999999999999</v>
      </c>
      <c r="I2640" s="4">
        <f>SalesData[[#This Row],[Profit]]/SalesData[[#This Row],[Sales]]</f>
        <v>0.39999999999999997</v>
      </c>
      <c r="J2640">
        <f>YEAR(SalesData[[#This Row],[Order Date]])</f>
        <v>2015</v>
      </c>
      <c r="K2640" t="str">
        <f>TEXT(SalesData[[#This Row],[Order Date]],"mmm")</f>
        <v>Apr</v>
      </c>
      <c r="L2640">
        <f>MONTH(SalesData[[#This Row],[Order Date]])</f>
        <v>4</v>
      </c>
      <c r="M2640">
        <f>SalesData[[#This Row],[Sales]]/SalesData[[#This Row],[Quantity]]</f>
        <v>9.48</v>
      </c>
      <c r="N2640" t="str">
        <f>IF(SalesData[[#This Row],[Profit]]&gt;0,"Profit","Loss")</f>
        <v>Profit</v>
      </c>
    </row>
    <row r="2641" spans="1:14" x14ac:dyDescent="0.3">
      <c r="A2641" t="s">
        <v>1309</v>
      </c>
      <c r="B2641" s="3">
        <v>42106</v>
      </c>
      <c r="C2641" t="s">
        <v>17</v>
      </c>
      <c r="D2641" t="s">
        <v>14</v>
      </c>
      <c r="E2641" t="s">
        <v>1232</v>
      </c>
      <c r="F2641" s="1">
        <v>364.41</v>
      </c>
      <c r="G2641">
        <v>5</v>
      </c>
      <c r="H2641" s="1">
        <v>8.0980000000000008</v>
      </c>
      <c r="I2641" s="4">
        <f>SalesData[[#This Row],[Profit]]/SalesData[[#This Row],[Sales]]</f>
        <v>2.2222222222222223E-2</v>
      </c>
      <c r="J2641">
        <f>YEAR(SalesData[[#This Row],[Order Date]])</f>
        <v>2015</v>
      </c>
      <c r="K2641" t="str">
        <f>TEXT(SalesData[[#This Row],[Order Date]],"mmm")</f>
        <v>Apr</v>
      </c>
      <c r="L2641">
        <f>MONTH(SalesData[[#This Row],[Order Date]])</f>
        <v>4</v>
      </c>
      <c r="M2641">
        <f>SalesData[[#This Row],[Sales]]/SalesData[[#This Row],[Quantity]]</f>
        <v>72.882000000000005</v>
      </c>
      <c r="N2641" t="str">
        <f>IF(SalesData[[#This Row],[Profit]]&gt;0,"Profit","Loss")</f>
        <v>Profit</v>
      </c>
    </row>
    <row r="2642" spans="1:14" x14ac:dyDescent="0.3">
      <c r="A2642" t="s">
        <v>1309</v>
      </c>
      <c r="B2642" s="3">
        <v>42106</v>
      </c>
      <c r="C2642" t="s">
        <v>17</v>
      </c>
      <c r="D2642" t="s">
        <v>10</v>
      </c>
      <c r="E2642" t="s">
        <v>745</v>
      </c>
      <c r="F2642" s="1">
        <v>39.96</v>
      </c>
      <c r="G2642">
        <v>4</v>
      </c>
      <c r="H2642" s="1">
        <v>10.3896</v>
      </c>
      <c r="I2642" s="4">
        <f>SalesData[[#This Row],[Profit]]/SalesData[[#This Row],[Sales]]</f>
        <v>0.26</v>
      </c>
      <c r="J2642">
        <f>YEAR(SalesData[[#This Row],[Order Date]])</f>
        <v>2015</v>
      </c>
      <c r="K2642" t="str">
        <f>TEXT(SalesData[[#This Row],[Order Date]],"mmm")</f>
        <v>Apr</v>
      </c>
      <c r="L2642">
        <f>MONTH(SalesData[[#This Row],[Order Date]])</f>
        <v>4</v>
      </c>
      <c r="M2642">
        <f>SalesData[[#This Row],[Sales]]/SalesData[[#This Row],[Quantity]]</f>
        <v>9.99</v>
      </c>
      <c r="N2642" t="str">
        <f>IF(SalesData[[#This Row],[Profit]]&gt;0,"Profit","Loss")</f>
        <v>Profit</v>
      </c>
    </row>
    <row r="2643" spans="1:14" x14ac:dyDescent="0.3">
      <c r="A2643" t="s">
        <v>1309</v>
      </c>
      <c r="B2643" s="3">
        <v>42106</v>
      </c>
      <c r="C2643" t="s">
        <v>17</v>
      </c>
      <c r="D2643" t="s">
        <v>14</v>
      </c>
      <c r="E2643" t="s">
        <v>1208</v>
      </c>
      <c r="F2643" s="1">
        <v>361.76400000000001</v>
      </c>
      <c r="G2643">
        <v>2</v>
      </c>
      <c r="H2643" s="1">
        <v>68.333200000000005</v>
      </c>
      <c r="I2643" s="4">
        <f>SalesData[[#This Row],[Profit]]/SalesData[[#This Row],[Sales]]</f>
        <v>0.18888888888888888</v>
      </c>
      <c r="J2643">
        <f>YEAR(SalesData[[#This Row],[Order Date]])</f>
        <v>2015</v>
      </c>
      <c r="K2643" t="str">
        <f>TEXT(SalesData[[#This Row],[Order Date]],"mmm")</f>
        <v>Apr</v>
      </c>
      <c r="L2643">
        <f>MONTH(SalesData[[#This Row],[Order Date]])</f>
        <v>4</v>
      </c>
      <c r="M2643">
        <f>SalesData[[#This Row],[Sales]]/SalesData[[#This Row],[Quantity]]</f>
        <v>180.88200000000001</v>
      </c>
      <c r="N2643" t="str">
        <f>IF(SalesData[[#This Row],[Profit]]&gt;0,"Profit","Loss")</f>
        <v>Profit</v>
      </c>
    </row>
    <row r="2644" spans="1:14" x14ac:dyDescent="0.3">
      <c r="A2644" t="s">
        <v>1311</v>
      </c>
      <c r="B2644" s="3">
        <v>42106</v>
      </c>
      <c r="C2644" t="s">
        <v>17</v>
      </c>
      <c r="D2644" t="s">
        <v>21</v>
      </c>
      <c r="E2644" t="s">
        <v>1312</v>
      </c>
      <c r="F2644" s="1">
        <v>17.940000000000001</v>
      </c>
      <c r="G2644">
        <v>3</v>
      </c>
      <c r="H2644" s="1">
        <v>8.7905999999999995</v>
      </c>
      <c r="I2644" s="4">
        <f>SalesData[[#This Row],[Profit]]/SalesData[[#This Row],[Sales]]</f>
        <v>0.48999999999999994</v>
      </c>
      <c r="J2644">
        <f>YEAR(SalesData[[#This Row],[Order Date]])</f>
        <v>2015</v>
      </c>
      <c r="K2644" t="str">
        <f>TEXT(SalesData[[#This Row],[Order Date]],"mmm")</f>
        <v>Apr</v>
      </c>
      <c r="L2644">
        <f>MONTH(SalesData[[#This Row],[Order Date]])</f>
        <v>4</v>
      </c>
      <c r="M2644">
        <f>SalesData[[#This Row],[Sales]]/SalesData[[#This Row],[Quantity]]</f>
        <v>5.98</v>
      </c>
      <c r="N2644" t="str">
        <f>IF(SalesData[[#This Row],[Profit]]&gt;0,"Profit","Loss")</f>
        <v>Profit</v>
      </c>
    </row>
    <row r="2645" spans="1:14" x14ac:dyDescent="0.3">
      <c r="A2645" t="s">
        <v>1311</v>
      </c>
      <c r="B2645" s="3">
        <v>42106</v>
      </c>
      <c r="C2645" t="s">
        <v>17</v>
      </c>
      <c r="D2645" t="s">
        <v>14</v>
      </c>
      <c r="E2645" t="s">
        <v>1178</v>
      </c>
      <c r="F2645" s="1">
        <v>384.17399999999998</v>
      </c>
      <c r="G2645">
        <v>7</v>
      </c>
      <c r="H2645" s="1">
        <v>29.880199999999999</v>
      </c>
      <c r="I2645" s="4">
        <f>SalesData[[#This Row],[Profit]]/SalesData[[#This Row],[Sales]]</f>
        <v>7.7777777777777779E-2</v>
      </c>
      <c r="J2645">
        <f>YEAR(SalesData[[#This Row],[Order Date]])</f>
        <v>2015</v>
      </c>
      <c r="K2645" t="str">
        <f>TEXT(SalesData[[#This Row],[Order Date]],"mmm")</f>
        <v>Apr</v>
      </c>
      <c r="L2645">
        <f>MONTH(SalesData[[#This Row],[Order Date]])</f>
        <v>4</v>
      </c>
      <c r="M2645">
        <f>SalesData[[#This Row],[Sales]]/SalesData[[#This Row],[Quantity]]</f>
        <v>54.881999999999998</v>
      </c>
      <c r="N2645" t="str">
        <f>IF(SalesData[[#This Row],[Profit]]&gt;0,"Profit","Loss")</f>
        <v>Profit</v>
      </c>
    </row>
    <row r="2646" spans="1:14" x14ac:dyDescent="0.3">
      <c r="A2646" t="s">
        <v>1311</v>
      </c>
      <c r="B2646" s="3">
        <v>42106</v>
      </c>
      <c r="C2646" t="s">
        <v>17</v>
      </c>
      <c r="D2646" t="s">
        <v>10</v>
      </c>
      <c r="E2646" t="s">
        <v>55</v>
      </c>
      <c r="F2646" s="1">
        <v>1799.75</v>
      </c>
      <c r="G2646">
        <v>5</v>
      </c>
      <c r="H2646" s="1">
        <v>539.92499999999995</v>
      </c>
      <c r="I2646" s="4">
        <f>SalesData[[#This Row],[Profit]]/SalesData[[#This Row],[Sales]]</f>
        <v>0.3</v>
      </c>
      <c r="J2646">
        <f>YEAR(SalesData[[#This Row],[Order Date]])</f>
        <v>2015</v>
      </c>
      <c r="K2646" t="str">
        <f>TEXT(SalesData[[#This Row],[Order Date]],"mmm")</f>
        <v>Apr</v>
      </c>
      <c r="L2646">
        <f>MONTH(SalesData[[#This Row],[Order Date]])</f>
        <v>4</v>
      </c>
      <c r="M2646">
        <f>SalesData[[#This Row],[Sales]]/SalesData[[#This Row],[Quantity]]</f>
        <v>359.95</v>
      </c>
      <c r="N2646" t="str">
        <f>IF(SalesData[[#This Row],[Profit]]&gt;0,"Profit","Loss")</f>
        <v>Profit</v>
      </c>
    </row>
    <row r="2647" spans="1:14" x14ac:dyDescent="0.3">
      <c r="A2647" t="s">
        <v>1313</v>
      </c>
      <c r="B2647" s="3">
        <v>42106</v>
      </c>
      <c r="C2647" t="s">
        <v>9</v>
      </c>
      <c r="D2647" t="s">
        <v>21</v>
      </c>
      <c r="E2647" t="s">
        <v>920</v>
      </c>
      <c r="F2647" s="1">
        <v>85.96</v>
      </c>
      <c r="G2647">
        <v>7</v>
      </c>
      <c r="H2647" s="1">
        <v>40.401200000000003</v>
      </c>
      <c r="I2647" s="4">
        <f>SalesData[[#This Row],[Profit]]/SalesData[[#This Row],[Sales]]</f>
        <v>0.47000000000000008</v>
      </c>
      <c r="J2647">
        <f>YEAR(SalesData[[#This Row],[Order Date]])</f>
        <v>2015</v>
      </c>
      <c r="K2647" t="str">
        <f>TEXT(SalesData[[#This Row],[Order Date]],"mmm")</f>
        <v>Apr</v>
      </c>
      <c r="L2647">
        <f>MONTH(SalesData[[#This Row],[Order Date]])</f>
        <v>4</v>
      </c>
      <c r="M2647">
        <f>SalesData[[#This Row],[Sales]]/SalesData[[#This Row],[Quantity]]</f>
        <v>12.28</v>
      </c>
      <c r="N2647" t="str">
        <f>IF(SalesData[[#This Row],[Profit]]&gt;0,"Profit","Loss")</f>
        <v>Profit</v>
      </c>
    </row>
    <row r="2648" spans="1:14" x14ac:dyDescent="0.3">
      <c r="A2648" t="s">
        <v>1314</v>
      </c>
      <c r="B2648" s="3">
        <v>42106</v>
      </c>
      <c r="C2648" t="s">
        <v>46</v>
      </c>
      <c r="D2648" t="s">
        <v>21</v>
      </c>
      <c r="E2648" t="s">
        <v>1315</v>
      </c>
      <c r="F2648" s="1">
        <v>1598.058</v>
      </c>
      <c r="G2648">
        <v>7</v>
      </c>
      <c r="H2648" s="1">
        <v>-1065.3720000000001</v>
      </c>
      <c r="I2648" s="4">
        <f>SalesData[[#This Row],[Profit]]/SalesData[[#This Row],[Sales]]</f>
        <v>-0.66666666666666674</v>
      </c>
      <c r="J2648">
        <f>YEAR(SalesData[[#This Row],[Order Date]])</f>
        <v>2015</v>
      </c>
      <c r="K2648" t="str">
        <f>TEXT(SalesData[[#This Row],[Order Date]],"mmm")</f>
        <v>Apr</v>
      </c>
      <c r="L2648">
        <f>MONTH(SalesData[[#This Row],[Order Date]])</f>
        <v>4</v>
      </c>
      <c r="M2648">
        <f>SalesData[[#This Row],[Sales]]/SalesData[[#This Row],[Quantity]]</f>
        <v>228.29400000000001</v>
      </c>
      <c r="N2648" t="str">
        <f>IF(SalesData[[#This Row],[Profit]]&gt;0,"Profit","Loss")</f>
        <v>Loss</v>
      </c>
    </row>
    <row r="2649" spans="1:14" x14ac:dyDescent="0.3">
      <c r="A2649" t="s">
        <v>1314</v>
      </c>
      <c r="B2649" s="3">
        <v>42106</v>
      </c>
      <c r="C2649" t="s">
        <v>46</v>
      </c>
      <c r="D2649" t="s">
        <v>21</v>
      </c>
      <c r="E2649" t="s">
        <v>750</v>
      </c>
      <c r="F2649" s="1">
        <v>36.96</v>
      </c>
      <c r="G2649">
        <v>4</v>
      </c>
      <c r="H2649" s="1">
        <v>12.012</v>
      </c>
      <c r="I2649" s="4">
        <f>SalesData[[#This Row],[Profit]]/SalesData[[#This Row],[Sales]]</f>
        <v>0.32500000000000001</v>
      </c>
      <c r="J2649">
        <f>YEAR(SalesData[[#This Row],[Order Date]])</f>
        <v>2015</v>
      </c>
      <c r="K2649" t="str">
        <f>TEXT(SalesData[[#This Row],[Order Date]],"mmm")</f>
        <v>Apr</v>
      </c>
      <c r="L2649">
        <f>MONTH(SalesData[[#This Row],[Order Date]])</f>
        <v>4</v>
      </c>
      <c r="M2649">
        <f>SalesData[[#This Row],[Sales]]/SalesData[[#This Row],[Quantity]]</f>
        <v>9.24</v>
      </c>
      <c r="N2649" t="str">
        <f>IF(SalesData[[#This Row],[Profit]]&gt;0,"Profit","Loss")</f>
        <v>Profit</v>
      </c>
    </row>
    <row r="2650" spans="1:14" x14ac:dyDescent="0.3">
      <c r="A2650" t="s">
        <v>1316</v>
      </c>
      <c r="B2650" s="3">
        <v>42106</v>
      </c>
      <c r="C2650" t="s">
        <v>13</v>
      </c>
      <c r="D2650" t="s">
        <v>21</v>
      </c>
      <c r="E2650" t="s">
        <v>1317</v>
      </c>
      <c r="F2650" s="1">
        <v>271.44</v>
      </c>
      <c r="G2650">
        <v>3</v>
      </c>
      <c r="H2650" s="1">
        <v>122.148</v>
      </c>
      <c r="I2650" s="4">
        <f>SalesData[[#This Row],[Profit]]/SalesData[[#This Row],[Sales]]</f>
        <v>0.45</v>
      </c>
      <c r="J2650">
        <f>YEAR(SalesData[[#This Row],[Order Date]])</f>
        <v>2015</v>
      </c>
      <c r="K2650" t="str">
        <f>TEXT(SalesData[[#This Row],[Order Date]],"mmm")</f>
        <v>Apr</v>
      </c>
      <c r="L2650">
        <f>MONTH(SalesData[[#This Row],[Order Date]])</f>
        <v>4</v>
      </c>
      <c r="M2650">
        <f>SalesData[[#This Row],[Sales]]/SalesData[[#This Row],[Quantity]]</f>
        <v>90.48</v>
      </c>
      <c r="N2650" t="str">
        <f>IF(SalesData[[#This Row],[Profit]]&gt;0,"Profit","Loss")</f>
        <v>Profit</v>
      </c>
    </row>
    <row r="2651" spans="1:14" x14ac:dyDescent="0.3">
      <c r="A2651" t="s">
        <v>1316</v>
      </c>
      <c r="B2651" s="3">
        <v>42106</v>
      </c>
      <c r="C2651" t="s">
        <v>13</v>
      </c>
      <c r="D2651" t="s">
        <v>10</v>
      </c>
      <c r="E2651" t="s">
        <v>1318</v>
      </c>
      <c r="F2651" s="1">
        <v>110.352</v>
      </c>
      <c r="G2651">
        <v>3</v>
      </c>
      <c r="H2651" s="1">
        <v>8.2764000000000006</v>
      </c>
      <c r="I2651" s="4">
        <f>SalesData[[#This Row],[Profit]]/SalesData[[#This Row],[Sales]]</f>
        <v>7.4999999999999997E-2</v>
      </c>
      <c r="J2651">
        <f>YEAR(SalesData[[#This Row],[Order Date]])</f>
        <v>2015</v>
      </c>
      <c r="K2651" t="str">
        <f>TEXT(SalesData[[#This Row],[Order Date]],"mmm")</f>
        <v>Apr</v>
      </c>
      <c r="L2651">
        <f>MONTH(SalesData[[#This Row],[Order Date]])</f>
        <v>4</v>
      </c>
      <c r="M2651">
        <f>SalesData[[#This Row],[Sales]]/SalesData[[#This Row],[Quantity]]</f>
        <v>36.783999999999999</v>
      </c>
      <c r="N2651" t="str">
        <f>IF(SalesData[[#This Row],[Profit]]&gt;0,"Profit","Loss")</f>
        <v>Profit</v>
      </c>
    </row>
    <row r="2652" spans="1:14" x14ac:dyDescent="0.3">
      <c r="A2652" t="s">
        <v>1316</v>
      </c>
      <c r="B2652" s="3">
        <v>42106</v>
      </c>
      <c r="C2652" t="s">
        <v>13</v>
      </c>
      <c r="D2652" t="s">
        <v>14</v>
      </c>
      <c r="E2652" t="s">
        <v>644</v>
      </c>
      <c r="F2652" s="1">
        <v>36.4</v>
      </c>
      <c r="G2652">
        <v>5</v>
      </c>
      <c r="H2652" s="1">
        <v>13.832000000000001</v>
      </c>
      <c r="I2652" s="4">
        <f>SalesData[[#This Row],[Profit]]/SalesData[[#This Row],[Sales]]</f>
        <v>0.38000000000000006</v>
      </c>
      <c r="J2652">
        <f>YEAR(SalesData[[#This Row],[Order Date]])</f>
        <v>2015</v>
      </c>
      <c r="K2652" t="str">
        <f>TEXT(SalesData[[#This Row],[Order Date]],"mmm")</f>
        <v>Apr</v>
      </c>
      <c r="L2652">
        <f>MONTH(SalesData[[#This Row],[Order Date]])</f>
        <v>4</v>
      </c>
      <c r="M2652">
        <f>SalesData[[#This Row],[Sales]]/SalesData[[#This Row],[Quantity]]</f>
        <v>7.2799999999999994</v>
      </c>
      <c r="N2652" t="str">
        <f>IF(SalesData[[#This Row],[Profit]]&gt;0,"Profit","Loss")</f>
        <v>Profit</v>
      </c>
    </row>
    <row r="2653" spans="1:14" x14ac:dyDescent="0.3">
      <c r="A2653" t="s">
        <v>1319</v>
      </c>
      <c r="B2653" s="3">
        <v>42106</v>
      </c>
      <c r="C2653" t="s">
        <v>13</v>
      </c>
      <c r="D2653" t="s">
        <v>21</v>
      </c>
      <c r="E2653" t="s">
        <v>1320</v>
      </c>
      <c r="F2653" s="1">
        <v>16.899999999999999</v>
      </c>
      <c r="G2653">
        <v>5</v>
      </c>
      <c r="H2653" s="1">
        <v>6.2530000000000001</v>
      </c>
      <c r="I2653" s="4">
        <f>SalesData[[#This Row],[Profit]]/SalesData[[#This Row],[Sales]]</f>
        <v>0.37000000000000005</v>
      </c>
      <c r="J2653">
        <f>YEAR(SalesData[[#This Row],[Order Date]])</f>
        <v>2015</v>
      </c>
      <c r="K2653" t="str">
        <f>TEXT(SalesData[[#This Row],[Order Date]],"mmm")</f>
        <v>Apr</v>
      </c>
      <c r="L2653">
        <f>MONTH(SalesData[[#This Row],[Order Date]])</f>
        <v>4</v>
      </c>
      <c r="M2653">
        <f>SalesData[[#This Row],[Sales]]/SalesData[[#This Row],[Quantity]]</f>
        <v>3.38</v>
      </c>
      <c r="N2653" t="str">
        <f>IF(SalesData[[#This Row],[Profit]]&gt;0,"Profit","Loss")</f>
        <v>Profit</v>
      </c>
    </row>
    <row r="2654" spans="1:14" x14ac:dyDescent="0.3">
      <c r="A2654" t="s">
        <v>1319</v>
      </c>
      <c r="B2654" s="3">
        <v>42106</v>
      </c>
      <c r="C2654" t="s">
        <v>13</v>
      </c>
      <c r="D2654" t="s">
        <v>14</v>
      </c>
      <c r="E2654" t="s">
        <v>1047</v>
      </c>
      <c r="F2654" s="1">
        <v>25.08</v>
      </c>
      <c r="G2654">
        <v>6</v>
      </c>
      <c r="H2654" s="1">
        <v>9.0288000000000004</v>
      </c>
      <c r="I2654" s="4">
        <f>SalesData[[#This Row],[Profit]]/SalesData[[#This Row],[Sales]]</f>
        <v>0.36000000000000004</v>
      </c>
      <c r="J2654">
        <f>YEAR(SalesData[[#This Row],[Order Date]])</f>
        <v>2015</v>
      </c>
      <c r="K2654" t="str">
        <f>TEXT(SalesData[[#This Row],[Order Date]],"mmm")</f>
        <v>Apr</v>
      </c>
      <c r="L2654">
        <f>MONTH(SalesData[[#This Row],[Order Date]])</f>
        <v>4</v>
      </c>
      <c r="M2654">
        <f>SalesData[[#This Row],[Sales]]/SalesData[[#This Row],[Quantity]]</f>
        <v>4.18</v>
      </c>
      <c r="N2654" t="str">
        <f>IF(SalesData[[#This Row],[Profit]]&gt;0,"Profit","Loss")</f>
        <v>Profit</v>
      </c>
    </row>
    <row r="2655" spans="1:14" x14ac:dyDescent="0.3">
      <c r="A2655" t="s">
        <v>1321</v>
      </c>
      <c r="B2655" s="3">
        <v>42125</v>
      </c>
      <c r="C2655" t="s">
        <v>13</v>
      </c>
      <c r="D2655" t="s">
        <v>14</v>
      </c>
      <c r="E2655" t="s">
        <v>1054</v>
      </c>
      <c r="F2655" s="1">
        <v>61.584000000000003</v>
      </c>
      <c r="G2655">
        <v>1</v>
      </c>
      <c r="H2655" s="1">
        <v>-6.9282000000000004</v>
      </c>
      <c r="I2655" s="4">
        <f>SalesData[[#This Row],[Profit]]/SalesData[[#This Row],[Sales]]</f>
        <v>-0.1125</v>
      </c>
      <c r="J2655">
        <f>YEAR(SalesData[[#This Row],[Order Date]])</f>
        <v>2015</v>
      </c>
      <c r="K2655" t="str">
        <f>TEXT(SalesData[[#This Row],[Order Date]],"mmm")</f>
        <v>May</v>
      </c>
      <c r="L2655">
        <f>MONTH(SalesData[[#This Row],[Order Date]])</f>
        <v>5</v>
      </c>
      <c r="M2655">
        <f>SalesData[[#This Row],[Sales]]/SalesData[[#This Row],[Quantity]]</f>
        <v>61.584000000000003</v>
      </c>
      <c r="N2655" t="str">
        <f>IF(SalesData[[#This Row],[Profit]]&gt;0,"Profit","Loss")</f>
        <v>Loss</v>
      </c>
    </row>
    <row r="2656" spans="1:14" x14ac:dyDescent="0.3">
      <c r="A2656" t="s">
        <v>1322</v>
      </c>
      <c r="B2656" s="3">
        <v>42125</v>
      </c>
      <c r="C2656" t="s">
        <v>17</v>
      </c>
      <c r="D2656" t="s">
        <v>21</v>
      </c>
      <c r="E2656" t="s">
        <v>1323</v>
      </c>
      <c r="F2656" s="1">
        <v>59.52</v>
      </c>
      <c r="G2656">
        <v>3</v>
      </c>
      <c r="H2656" s="1">
        <v>15.475199999999999</v>
      </c>
      <c r="I2656" s="4">
        <f>SalesData[[#This Row],[Profit]]/SalesData[[#This Row],[Sales]]</f>
        <v>0.25999999999999995</v>
      </c>
      <c r="J2656">
        <f>YEAR(SalesData[[#This Row],[Order Date]])</f>
        <v>2015</v>
      </c>
      <c r="K2656" t="str">
        <f>TEXT(SalesData[[#This Row],[Order Date]],"mmm")</f>
        <v>May</v>
      </c>
      <c r="L2656">
        <f>MONTH(SalesData[[#This Row],[Order Date]])</f>
        <v>5</v>
      </c>
      <c r="M2656">
        <f>SalesData[[#This Row],[Sales]]/SalesData[[#This Row],[Quantity]]</f>
        <v>19.84</v>
      </c>
      <c r="N2656" t="str">
        <f>IF(SalesData[[#This Row],[Profit]]&gt;0,"Profit","Loss")</f>
        <v>Profit</v>
      </c>
    </row>
    <row r="2657" spans="1:14" x14ac:dyDescent="0.3">
      <c r="A2657" t="s">
        <v>1322</v>
      </c>
      <c r="B2657" s="3">
        <v>42125</v>
      </c>
      <c r="C2657" t="s">
        <v>17</v>
      </c>
      <c r="D2657" t="s">
        <v>21</v>
      </c>
      <c r="E2657" t="s">
        <v>521</v>
      </c>
      <c r="F2657" s="1">
        <v>17.48</v>
      </c>
      <c r="G2657">
        <v>2</v>
      </c>
      <c r="H2657" s="1">
        <v>8.2156000000000002</v>
      </c>
      <c r="I2657" s="4">
        <f>SalesData[[#This Row],[Profit]]/SalesData[[#This Row],[Sales]]</f>
        <v>0.47000000000000003</v>
      </c>
      <c r="J2657">
        <f>YEAR(SalesData[[#This Row],[Order Date]])</f>
        <v>2015</v>
      </c>
      <c r="K2657" t="str">
        <f>TEXT(SalesData[[#This Row],[Order Date]],"mmm")</f>
        <v>May</v>
      </c>
      <c r="L2657">
        <f>MONTH(SalesData[[#This Row],[Order Date]])</f>
        <v>5</v>
      </c>
      <c r="M2657">
        <f>SalesData[[#This Row],[Sales]]/SalesData[[#This Row],[Quantity]]</f>
        <v>8.74</v>
      </c>
      <c r="N2657" t="str">
        <f>IF(SalesData[[#This Row],[Profit]]&gt;0,"Profit","Loss")</f>
        <v>Profit</v>
      </c>
    </row>
    <row r="2658" spans="1:14" x14ac:dyDescent="0.3">
      <c r="A2658" t="s">
        <v>1322</v>
      </c>
      <c r="B2658" s="3">
        <v>42125</v>
      </c>
      <c r="C2658" t="s">
        <v>17</v>
      </c>
      <c r="D2658" t="s">
        <v>21</v>
      </c>
      <c r="E2658" t="s">
        <v>63</v>
      </c>
      <c r="F2658" s="1">
        <v>13.167999999999999</v>
      </c>
      <c r="G2658">
        <v>2</v>
      </c>
      <c r="H2658" s="1">
        <v>4.6087999999999996</v>
      </c>
      <c r="I2658" s="4">
        <f>SalesData[[#This Row],[Profit]]/SalesData[[#This Row],[Sales]]</f>
        <v>0.35</v>
      </c>
      <c r="J2658">
        <f>YEAR(SalesData[[#This Row],[Order Date]])</f>
        <v>2015</v>
      </c>
      <c r="K2658" t="str">
        <f>TEXT(SalesData[[#This Row],[Order Date]],"mmm")</f>
        <v>May</v>
      </c>
      <c r="L2658">
        <f>MONTH(SalesData[[#This Row],[Order Date]])</f>
        <v>5</v>
      </c>
      <c r="M2658">
        <f>SalesData[[#This Row],[Sales]]/SalesData[[#This Row],[Quantity]]</f>
        <v>6.5839999999999996</v>
      </c>
      <c r="N2658" t="str">
        <f>IF(SalesData[[#This Row],[Profit]]&gt;0,"Profit","Loss")</f>
        <v>Profit</v>
      </c>
    </row>
    <row r="2659" spans="1:14" x14ac:dyDescent="0.3">
      <c r="A2659" t="s">
        <v>1324</v>
      </c>
      <c r="B2659" s="3">
        <v>42125</v>
      </c>
      <c r="C2659" t="s">
        <v>13</v>
      </c>
      <c r="D2659" t="s">
        <v>21</v>
      </c>
      <c r="E2659" t="s">
        <v>51</v>
      </c>
      <c r="F2659" s="1">
        <v>87.36</v>
      </c>
      <c r="G2659">
        <v>6</v>
      </c>
      <c r="H2659" s="1">
        <v>23.587199999999999</v>
      </c>
      <c r="I2659" s="4">
        <f>SalesData[[#This Row],[Profit]]/SalesData[[#This Row],[Sales]]</f>
        <v>0.27</v>
      </c>
      <c r="J2659">
        <f>YEAR(SalesData[[#This Row],[Order Date]])</f>
        <v>2015</v>
      </c>
      <c r="K2659" t="str">
        <f>TEXT(SalesData[[#This Row],[Order Date]],"mmm")</f>
        <v>May</v>
      </c>
      <c r="L2659">
        <f>MONTH(SalesData[[#This Row],[Order Date]])</f>
        <v>5</v>
      </c>
      <c r="M2659">
        <f>SalesData[[#This Row],[Sales]]/SalesData[[#This Row],[Quantity]]</f>
        <v>14.56</v>
      </c>
      <c r="N2659" t="str">
        <f>IF(SalesData[[#This Row],[Profit]]&gt;0,"Profit","Loss")</f>
        <v>Profit</v>
      </c>
    </row>
    <row r="2660" spans="1:14" x14ac:dyDescent="0.3">
      <c r="A2660" t="s">
        <v>1324</v>
      </c>
      <c r="B2660" s="3">
        <v>42125</v>
      </c>
      <c r="C2660" t="s">
        <v>13</v>
      </c>
      <c r="D2660" t="s">
        <v>21</v>
      </c>
      <c r="E2660" t="s">
        <v>326</v>
      </c>
      <c r="F2660" s="1">
        <v>56.16</v>
      </c>
      <c r="G2660">
        <v>6</v>
      </c>
      <c r="H2660" s="1">
        <v>17.55</v>
      </c>
      <c r="I2660" s="4">
        <f>SalesData[[#This Row],[Profit]]/SalesData[[#This Row],[Sales]]</f>
        <v>0.31250000000000006</v>
      </c>
      <c r="J2660">
        <f>YEAR(SalesData[[#This Row],[Order Date]])</f>
        <v>2015</v>
      </c>
      <c r="K2660" t="str">
        <f>TEXT(SalesData[[#This Row],[Order Date]],"mmm")</f>
        <v>May</v>
      </c>
      <c r="L2660">
        <f>MONTH(SalesData[[#This Row],[Order Date]])</f>
        <v>5</v>
      </c>
      <c r="M2660">
        <f>SalesData[[#This Row],[Sales]]/SalesData[[#This Row],[Quantity]]</f>
        <v>9.36</v>
      </c>
      <c r="N2660" t="str">
        <f>IF(SalesData[[#This Row],[Profit]]&gt;0,"Profit","Loss")</f>
        <v>Profit</v>
      </c>
    </row>
    <row r="2661" spans="1:14" x14ac:dyDescent="0.3">
      <c r="A2661" t="s">
        <v>1325</v>
      </c>
      <c r="B2661" s="3">
        <v>42127</v>
      </c>
      <c r="C2661" t="s">
        <v>17</v>
      </c>
      <c r="D2661" t="s">
        <v>21</v>
      </c>
      <c r="E2661" t="s">
        <v>127</v>
      </c>
      <c r="F2661" s="1">
        <v>29.34</v>
      </c>
      <c r="G2661">
        <v>3</v>
      </c>
      <c r="H2661" s="1">
        <v>14.67</v>
      </c>
      <c r="I2661" s="4">
        <f>SalesData[[#This Row],[Profit]]/SalesData[[#This Row],[Sales]]</f>
        <v>0.5</v>
      </c>
      <c r="J2661">
        <f>YEAR(SalesData[[#This Row],[Order Date]])</f>
        <v>2015</v>
      </c>
      <c r="K2661" t="str">
        <f>TEXT(SalesData[[#This Row],[Order Date]],"mmm")</f>
        <v>May</v>
      </c>
      <c r="L2661">
        <f>MONTH(SalesData[[#This Row],[Order Date]])</f>
        <v>5</v>
      </c>
      <c r="M2661">
        <f>SalesData[[#This Row],[Sales]]/SalesData[[#This Row],[Quantity]]</f>
        <v>9.7799999999999994</v>
      </c>
      <c r="N2661" t="str">
        <f>IF(SalesData[[#This Row],[Profit]]&gt;0,"Profit","Loss")</f>
        <v>Profit</v>
      </c>
    </row>
    <row r="2662" spans="1:14" x14ac:dyDescent="0.3">
      <c r="A2662" t="s">
        <v>1325</v>
      </c>
      <c r="B2662" s="3">
        <v>42127</v>
      </c>
      <c r="C2662" t="s">
        <v>17</v>
      </c>
      <c r="D2662" t="s">
        <v>14</v>
      </c>
      <c r="E2662" t="s">
        <v>411</v>
      </c>
      <c r="F2662" s="1">
        <v>383.60700000000003</v>
      </c>
      <c r="G2662">
        <v>7</v>
      </c>
      <c r="H2662" s="1">
        <v>63.9345</v>
      </c>
      <c r="I2662" s="4">
        <f>SalesData[[#This Row],[Profit]]/SalesData[[#This Row],[Sales]]</f>
        <v>0.16666666666666666</v>
      </c>
      <c r="J2662">
        <f>YEAR(SalesData[[#This Row],[Order Date]])</f>
        <v>2015</v>
      </c>
      <c r="K2662" t="str">
        <f>TEXT(SalesData[[#This Row],[Order Date]],"mmm")</f>
        <v>May</v>
      </c>
      <c r="L2662">
        <f>MONTH(SalesData[[#This Row],[Order Date]])</f>
        <v>5</v>
      </c>
      <c r="M2662">
        <f>SalesData[[#This Row],[Sales]]/SalesData[[#This Row],[Quantity]]</f>
        <v>54.801000000000002</v>
      </c>
      <c r="N2662" t="str">
        <f>IF(SalesData[[#This Row],[Profit]]&gt;0,"Profit","Loss")</f>
        <v>Profit</v>
      </c>
    </row>
    <row r="2663" spans="1:14" x14ac:dyDescent="0.3">
      <c r="A2663" t="s">
        <v>1325</v>
      </c>
      <c r="B2663" s="3">
        <v>42127</v>
      </c>
      <c r="C2663" t="s">
        <v>17</v>
      </c>
      <c r="D2663" t="s">
        <v>21</v>
      </c>
      <c r="E2663" t="s">
        <v>1326</v>
      </c>
      <c r="F2663" s="1">
        <v>563.4</v>
      </c>
      <c r="G2663">
        <v>4</v>
      </c>
      <c r="H2663" s="1">
        <v>67.608000000000004</v>
      </c>
      <c r="I2663" s="4">
        <f>SalesData[[#This Row],[Profit]]/SalesData[[#This Row],[Sales]]</f>
        <v>0.12000000000000001</v>
      </c>
      <c r="J2663">
        <f>YEAR(SalesData[[#This Row],[Order Date]])</f>
        <v>2015</v>
      </c>
      <c r="K2663" t="str">
        <f>TEXT(SalesData[[#This Row],[Order Date]],"mmm")</f>
        <v>May</v>
      </c>
      <c r="L2663">
        <f>MONTH(SalesData[[#This Row],[Order Date]])</f>
        <v>5</v>
      </c>
      <c r="M2663">
        <f>SalesData[[#This Row],[Sales]]/SalesData[[#This Row],[Quantity]]</f>
        <v>140.85</v>
      </c>
      <c r="N2663" t="str">
        <f>IF(SalesData[[#This Row],[Profit]]&gt;0,"Profit","Loss")</f>
        <v>Profit</v>
      </c>
    </row>
    <row r="2664" spans="1:14" x14ac:dyDescent="0.3">
      <c r="A2664" t="s">
        <v>1327</v>
      </c>
      <c r="B2664" s="3">
        <v>42127</v>
      </c>
      <c r="C2664" t="s">
        <v>9</v>
      </c>
      <c r="D2664" t="s">
        <v>10</v>
      </c>
      <c r="E2664" t="s">
        <v>186</v>
      </c>
      <c r="F2664" s="1">
        <v>23.92</v>
      </c>
      <c r="G2664">
        <v>2</v>
      </c>
      <c r="H2664" s="1">
        <v>6.6976000000000004</v>
      </c>
      <c r="I2664" s="4">
        <f>SalesData[[#This Row],[Profit]]/SalesData[[#This Row],[Sales]]</f>
        <v>0.27999999999999997</v>
      </c>
      <c r="J2664">
        <f>YEAR(SalesData[[#This Row],[Order Date]])</f>
        <v>2015</v>
      </c>
      <c r="K2664" t="str">
        <f>TEXT(SalesData[[#This Row],[Order Date]],"mmm")</f>
        <v>May</v>
      </c>
      <c r="L2664">
        <f>MONTH(SalesData[[#This Row],[Order Date]])</f>
        <v>5</v>
      </c>
      <c r="M2664">
        <f>SalesData[[#This Row],[Sales]]/SalesData[[#This Row],[Quantity]]</f>
        <v>11.96</v>
      </c>
      <c r="N2664" t="str">
        <f>IF(SalesData[[#This Row],[Profit]]&gt;0,"Profit","Loss")</f>
        <v>Profit</v>
      </c>
    </row>
    <row r="2665" spans="1:14" x14ac:dyDescent="0.3">
      <c r="A2665" t="s">
        <v>1327</v>
      </c>
      <c r="B2665" s="3">
        <v>42127</v>
      </c>
      <c r="C2665" t="s">
        <v>9</v>
      </c>
      <c r="D2665" t="s">
        <v>21</v>
      </c>
      <c r="E2665" t="s">
        <v>207</v>
      </c>
      <c r="F2665" s="1">
        <v>60.69</v>
      </c>
      <c r="G2665">
        <v>7</v>
      </c>
      <c r="H2665" s="1">
        <v>16.386299999999999</v>
      </c>
      <c r="I2665" s="4">
        <f>SalesData[[#This Row],[Profit]]/SalesData[[#This Row],[Sales]]</f>
        <v>0.26999999999999996</v>
      </c>
      <c r="J2665">
        <f>YEAR(SalesData[[#This Row],[Order Date]])</f>
        <v>2015</v>
      </c>
      <c r="K2665" t="str">
        <f>TEXT(SalesData[[#This Row],[Order Date]],"mmm")</f>
        <v>May</v>
      </c>
      <c r="L2665">
        <f>MONTH(SalesData[[#This Row],[Order Date]])</f>
        <v>5</v>
      </c>
      <c r="M2665">
        <f>SalesData[[#This Row],[Sales]]/SalesData[[#This Row],[Quantity]]</f>
        <v>8.67</v>
      </c>
      <c r="N2665" t="str">
        <f>IF(SalesData[[#This Row],[Profit]]&gt;0,"Profit","Loss")</f>
        <v>Profit</v>
      </c>
    </row>
    <row r="2666" spans="1:14" x14ac:dyDescent="0.3">
      <c r="A2666" t="s">
        <v>1328</v>
      </c>
      <c r="B2666" s="3">
        <v>42127</v>
      </c>
      <c r="C2666" t="s">
        <v>17</v>
      </c>
      <c r="D2666" t="s">
        <v>10</v>
      </c>
      <c r="E2666" t="s">
        <v>1329</v>
      </c>
      <c r="F2666" s="1">
        <v>466.15800000000002</v>
      </c>
      <c r="G2666">
        <v>7</v>
      </c>
      <c r="H2666" s="1">
        <v>-93.2316</v>
      </c>
      <c r="I2666" s="4">
        <f>SalesData[[#This Row],[Profit]]/SalesData[[#This Row],[Sales]]</f>
        <v>-0.19999999999999998</v>
      </c>
      <c r="J2666">
        <f>YEAR(SalesData[[#This Row],[Order Date]])</f>
        <v>2015</v>
      </c>
      <c r="K2666" t="str">
        <f>TEXT(SalesData[[#This Row],[Order Date]],"mmm")</f>
        <v>May</v>
      </c>
      <c r="L2666">
        <f>MONTH(SalesData[[#This Row],[Order Date]])</f>
        <v>5</v>
      </c>
      <c r="M2666">
        <f>SalesData[[#This Row],[Sales]]/SalesData[[#This Row],[Quantity]]</f>
        <v>66.594000000000008</v>
      </c>
      <c r="N2666" t="str">
        <f>IF(SalesData[[#This Row],[Profit]]&gt;0,"Profit","Loss")</f>
        <v>Loss</v>
      </c>
    </row>
    <row r="2667" spans="1:14" x14ac:dyDescent="0.3">
      <c r="A2667" t="s">
        <v>1328</v>
      </c>
      <c r="B2667" s="3">
        <v>42127</v>
      </c>
      <c r="C2667" t="s">
        <v>17</v>
      </c>
      <c r="D2667" t="s">
        <v>10</v>
      </c>
      <c r="E2667" t="s">
        <v>461</v>
      </c>
      <c r="F2667" s="1">
        <v>10.311999999999999</v>
      </c>
      <c r="G2667">
        <v>1</v>
      </c>
      <c r="H2667" s="1">
        <v>-1.2889999999999999</v>
      </c>
      <c r="I2667" s="4">
        <f>SalesData[[#This Row],[Profit]]/SalesData[[#This Row],[Sales]]</f>
        <v>-0.125</v>
      </c>
      <c r="J2667">
        <f>YEAR(SalesData[[#This Row],[Order Date]])</f>
        <v>2015</v>
      </c>
      <c r="K2667" t="str">
        <f>TEXT(SalesData[[#This Row],[Order Date]],"mmm")</f>
        <v>May</v>
      </c>
      <c r="L2667">
        <f>MONTH(SalesData[[#This Row],[Order Date]])</f>
        <v>5</v>
      </c>
      <c r="M2667">
        <f>SalesData[[#This Row],[Sales]]/SalesData[[#This Row],[Quantity]]</f>
        <v>10.311999999999999</v>
      </c>
      <c r="N2667" t="str">
        <f>IF(SalesData[[#This Row],[Profit]]&gt;0,"Profit","Loss")</f>
        <v>Loss</v>
      </c>
    </row>
    <row r="2668" spans="1:14" x14ac:dyDescent="0.3">
      <c r="A2668" t="s">
        <v>1328</v>
      </c>
      <c r="B2668" s="3">
        <v>42127</v>
      </c>
      <c r="C2668" t="s">
        <v>17</v>
      </c>
      <c r="D2668" t="s">
        <v>21</v>
      </c>
      <c r="E2668" t="s">
        <v>1271</v>
      </c>
      <c r="F2668" s="1">
        <v>2.556</v>
      </c>
      <c r="G2668">
        <v>3</v>
      </c>
      <c r="H2668" s="1">
        <v>-1.7891999999999999</v>
      </c>
      <c r="I2668" s="4">
        <f>SalesData[[#This Row],[Profit]]/SalesData[[#This Row],[Sales]]</f>
        <v>-0.7</v>
      </c>
      <c r="J2668">
        <f>YEAR(SalesData[[#This Row],[Order Date]])</f>
        <v>2015</v>
      </c>
      <c r="K2668" t="str">
        <f>TEXT(SalesData[[#This Row],[Order Date]],"mmm")</f>
        <v>May</v>
      </c>
      <c r="L2668">
        <f>MONTH(SalesData[[#This Row],[Order Date]])</f>
        <v>5</v>
      </c>
      <c r="M2668">
        <f>SalesData[[#This Row],[Sales]]/SalesData[[#This Row],[Quantity]]</f>
        <v>0.85199999999999998</v>
      </c>
      <c r="N2668" t="str">
        <f>IF(SalesData[[#This Row],[Profit]]&gt;0,"Profit","Loss")</f>
        <v>Loss</v>
      </c>
    </row>
    <row r="2669" spans="1:14" x14ac:dyDescent="0.3">
      <c r="A2669" t="s">
        <v>1330</v>
      </c>
      <c r="B2669" s="3">
        <v>42127</v>
      </c>
      <c r="C2669" t="s">
        <v>17</v>
      </c>
      <c r="D2669" t="s">
        <v>14</v>
      </c>
      <c r="E2669" t="s">
        <v>659</v>
      </c>
      <c r="F2669" s="1">
        <v>99.372</v>
      </c>
      <c r="G2669">
        <v>2</v>
      </c>
      <c r="H2669" s="1">
        <v>-7.0979999999999999</v>
      </c>
      <c r="I2669" s="4">
        <f>SalesData[[#This Row],[Profit]]/SalesData[[#This Row],[Sales]]</f>
        <v>-7.1428571428571425E-2</v>
      </c>
      <c r="J2669">
        <f>YEAR(SalesData[[#This Row],[Order Date]])</f>
        <v>2015</v>
      </c>
      <c r="K2669" t="str">
        <f>TEXT(SalesData[[#This Row],[Order Date]],"mmm")</f>
        <v>May</v>
      </c>
      <c r="L2669">
        <f>MONTH(SalesData[[#This Row],[Order Date]])</f>
        <v>5</v>
      </c>
      <c r="M2669">
        <f>SalesData[[#This Row],[Sales]]/SalesData[[#This Row],[Quantity]]</f>
        <v>49.686</v>
      </c>
      <c r="N2669" t="str">
        <f>IF(SalesData[[#This Row],[Profit]]&gt;0,"Profit","Loss")</f>
        <v>Loss</v>
      </c>
    </row>
    <row r="2670" spans="1:14" x14ac:dyDescent="0.3">
      <c r="A2670" t="s">
        <v>1330</v>
      </c>
      <c r="B2670" s="3">
        <v>42127</v>
      </c>
      <c r="C2670" t="s">
        <v>17</v>
      </c>
      <c r="D2670" t="s">
        <v>14</v>
      </c>
      <c r="E2670" t="s">
        <v>1331</v>
      </c>
      <c r="F2670" s="1">
        <v>33.567999999999998</v>
      </c>
      <c r="G2670">
        <v>2</v>
      </c>
      <c r="H2670" s="1">
        <v>-5.4547999999999996</v>
      </c>
      <c r="I2670" s="4">
        <f>SalesData[[#This Row],[Profit]]/SalesData[[#This Row],[Sales]]</f>
        <v>-0.16250000000000001</v>
      </c>
      <c r="J2670">
        <f>YEAR(SalesData[[#This Row],[Order Date]])</f>
        <v>2015</v>
      </c>
      <c r="K2670" t="str">
        <f>TEXT(SalesData[[#This Row],[Order Date]],"mmm")</f>
        <v>May</v>
      </c>
      <c r="L2670">
        <f>MONTH(SalesData[[#This Row],[Order Date]])</f>
        <v>5</v>
      </c>
      <c r="M2670">
        <f>SalesData[[#This Row],[Sales]]/SalesData[[#This Row],[Quantity]]</f>
        <v>16.783999999999999</v>
      </c>
      <c r="N2670" t="str">
        <f>IF(SalesData[[#This Row],[Profit]]&gt;0,"Profit","Loss")</f>
        <v>Loss</v>
      </c>
    </row>
    <row r="2671" spans="1:14" x14ac:dyDescent="0.3">
      <c r="A2671" t="s">
        <v>1332</v>
      </c>
      <c r="B2671" s="3">
        <v>42127</v>
      </c>
      <c r="C2671" t="s">
        <v>9</v>
      </c>
      <c r="D2671" t="s">
        <v>10</v>
      </c>
      <c r="E2671" t="s">
        <v>1333</v>
      </c>
      <c r="F2671" s="1">
        <v>31.92</v>
      </c>
      <c r="G2671">
        <v>2</v>
      </c>
      <c r="H2671" s="1">
        <v>2.3940000000000001</v>
      </c>
      <c r="I2671" s="4">
        <f>SalesData[[#This Row],[Profit]]/SalesData[[#This Row],[Sales]]</f>
        <v>7.4999999999999997E-2</v>
      </c>
      <c r="J2671">
        <f>YEAR(SalesData[[#This Row],[Order Date]])</f>
        <v>2015</v>
      </c>
      <c r="K2671" t="str">
        <f>TEXT(SalesData[[#This Row],[Order Date]],"mmm")</f>
        <v>May</v>
      </c>
      <c r="L2671">
        <f>MONTH(SalesData[[#This Row],[Order Date]])</f>
        <v>5</v>
      </c>
      <c r="M2671">
        <f>SalesData[[#This Row],[Sales]]/SalesData[[#This Row],[Quantity]]</f>
        <v>15.96</v>
      </c>
      <c r="N2671" t="str">
        <f>IF(SalesData[[#This Row],[Profit]]&gt;0,"Profit","Loss")</f>
        <v>Profit</v>
      </c>
    </row>
    <row r="2672" spans="1:14" x14ac:dyDescent="0.3">
      <c r="A2672" t="s">
        <v>1334</v>
      </c>
      <c r="B2672" s="3">
        <v>42127</v>
      </c>
      <c r="C2672" t="s">
        <v>9</v>
      </c>
      <c r="D2672" t="s">
        <v>21</v>
      </c>
      <c r="E2672" t="s">
        <v>633</v>
      </c>
      <c r="F2672" s="1">
        <v>7.1040000000000001</v>
      </c>
      <c r="G2672">
        <v>6</v>
      </c>
      <c r="H2672" s="1">
        <v>2.4864000000000002</v>
      </c>
      <c r="I2672" s="4">
        <f>SalesData[[#This Row],[Profit]]/SalesData[[#This Row],[Sales]]</f>
        <v>0.35000000000000003</v>
      </c>
      <c r="J2672">
        <f>YEAR(SalesData[[#This Row],[Order Date]])</f>
        <v>2015</v>
      </c>
      <c r="K2672" t="str">
        <f>TEXT(SalesData[[#This Row],[Order Date]],"mmm")</f>
        <v>May</v>
      </c>
      <c r="L2672">
        <f>MONTH(SalesData[[#This Row],[Order Date]])</f>
        <v>5</v>
      </c>
      <c r="M2672">
        <f>SalesData[[#This Row],[Sales]]/SalesData[[#This Row],[Quantity]]</f>
        <v>1.1839999999999999</v>
      </c>
      <c r="N2672" t="str">
        <f>IF(SalesData[[#This Row],[Profit]]&gt;0,"Profit","Loss")</f>
        <v>Profit</v>
      </c>
    </row>
    <row r="2673" spans="1:14" x14ac:dyDescent="0.3">
      <c r="A2673" t="s">
        <v>1335</v>
      </c>
      <c r="B2673" s="3">
        <v>42127</v>
      </c>
      <c r="C2673" t="s">
        <v>9</v>
      </c>
      <c r="D2673" t="s">
        <v>21</v>
      </c>
      <c r="E2673" t="s">
        <v>999</v>
      </c>
      <c r="F2673" s="1">
        <v>11.212</v>
      </c>
      <c r="G2673">
        <v>2</v>
      </c>
      <c r="H2673" s="1">
        <v>-16.818000000000001</v>
      </c>
      <c r="I2673" s="4">
        <f>SalesData[[#This Row],[Profit]]/SalesData[[#This Row],[Sales]]</f>
        <v>-1.5000000000000002</v>
      </c>
      <c r="J2673">
        <f>YEAR(SalesData[[#This Row],[Order Date]])</f>
        <v>2015</v>
      </c>
      <c r="K2673" t="str">
        <f>TEXT(SalesData[[#This Row],[Order Date]],"mmm")</f>
        <v>May</v>
      </c>
      <c r="L2673">
        <f>MONTH(SalesData[[#This Row],[Order Date]])</f>
        <v>5</v>
      </c>
      <c r="M2673">
        <f>SalesData[[#This Row],[Sales]]/SalesData[[#This Row],[Quantity]]</f>
        <v>5.6059999999999999</v>
      </c>
      <c r="N2673" t="str">
        <f>IF(SalesData[[#This Row],[Profit]]&gt;0,"Profit","Loss")</f>
        <v>Loss</v>
      </c>
    </row>
    <row r="2674" spans="1:14" x14ac:dyDescent="0.3">
      <c r="A2674" t="s">
        <v>1335</v>
      </c>
      <c r="B2674" s="3">
        <v>42127</v>
      </c>
      <c r="C2674" t="s">
        <v>9</v>
      </c>
      <c r="D2674" t="s">
        <v>14</v>
      </c>
      <c r="E2674" t="s">
        <v>884</v>
      </c>
      <c r="F2674" s="1">
        <v>4.7119999999999997</v>
      </c>
      <c r="G2674">
        <v>2</v>
      </c>
      <c r="H2674" s="1">
        <v>-1.8848</v>
      </c>
      <c r="I2674" s="4">
        <f>SalesData[[#This Row],[Profit]]/SalesData[[#This Row],[Sales]]</f>
        <v>-0.4</v>
      </c>
      <c r="J2674">
        <f>YEAR(SalesData[[#This Row],[Order Date]])</f>
        <v>2015</v>
      </c>
      <c r="K2674" t="str">
        <f>TEXT(SalesData[[#This Row],[Order Date]],"mmm")</f>
        <v>May</v>
      </c>
      <c r="L2674">
        <f>MONTH(SalesData[[#This Row],[Order Date]])</f>
        <v>5</v>
      </c>
      <c r="M2674">
        <f>SalesData[[#This Row],[Sales]]/SalesData[[#This Row],[Quantity]]</f>
        <v>2.3559999999999999</v>
      </c>
      <c r="N2674" t="str">
        <f>IF(SalesData[[#This Row],[Profit]]&gt;0,"Profit","Loss")</f>
        <v>Loss</v>
      </c>
    </row>
    <row r="2675" spans="1:14" x14ac:dyDescent="0.3">
      <c r="A2675" t="s">
        <v>1335</v>
      </c>
      <c r="B2675" s="3">
        <v>42127</v>
      </c>
      <c r="C2675" t="s">
        <v>9</v>
      </c>
      <c r="D2675" t="s">
        <v>21</v>
      </c>
      <c r="E2675" t="s">
        <v>1336</v>
      </c>
      <c r="F2675" s="1">
        <v>180.98</v>
      </c>
      <c r="G2675">
        <v>5</v>
      </c>
      <c r="H2675" s="1">
        <v>-470.548</v>
      </c>
      <c r="I2675" s="4">
        <f>SalesData[[#This Row],[Profit]]/SalesData[[#This Row],[Sales]]</f>
        <v>-2.6</v>
      </c>
      <c r="J2675">
        <f>YEAR(SalesData[[#This Row],[Order Date]])</f>
        <v>2015</v>
      </c>
      <c r="K2675" t="str">
        <f>TEXT(SalesData[[#This Row],[Order Date]],"mmm")</f>
        <v>May</v>
      </c>
      <c r="L2675">
        <f>MONTH(SalesData[[#This Row],[Order Date]])</f>
        <v>5</v>
      </c>
      <c r="M2675">
        <f>SalesData[[#This Row],[Sales]]/SalesData[[#This Row],[Quantity]]</f>
        <v>36.195999999999998</v>
      </c>
      <c r="N2675" t="str">
        <f>IF(SalesData[[#This Row],[Profit]]&gt;0,"Profit","Loss")</f>
        <v>Loss</v>
      </c>
    </row>
    <row r="2676" spans="1:14" x14ac:dyDescent="0.3">
      <c r="A2676" t="s">
        <v>1335</v>
      </c>
      <c r="B2676" s="3">
        <v>42127</v>
      </c>
      <c r="C2676" t="s">
        <v>9</v>
      </c>
      <c r="D2676" t="s">
        <v>21</v>
      </c>
      <c r="E2676" t="s">
        <v>718</v>
      </c>
      <c r="F2676" s="1">
        <v>60.415999999999997</v>
      </c>
      <c r="G2676">
        <v>2</v>
      </c>
      <c r="H2676" s="1">
        <v>6.0415999999999999</v>
      </c>
      <c r="I2676" s="4">
        <f>SalesData[[#This Row],[Profit]]/SalesData[[#This Row],[Sales]]</f>
        <v>0.1</v>
      </c>
      <c r="J2676">
        <f>YEAR(SalesData[[#This Row],[Order Date]])</f>
        <v>2015</v>
      </c>
      <c r="K2676" t="str">
        <f>TEXT(SalesData[[#This Row],[Order Date]],"mmm")</f>
        <v>May</v>
      </c>
      <c r="L2676">
        <f>MONTH(SalesData[[#This Row],[Order Date]])</f>
        <v>5</v>
      </c>
      <c r="M2676">
        <f>SalesData[[#This Row],[Sales]]/SalesData[[#This Row],[Quantity]]</f>
        <v>30.207999999999998</v>
      </c>
      <c r="N2676" t="str">
        <f>IF(SalesData[[#This Row],[Profit]]&gt;0,"Profit","Loss")</f>
        <v>Profit</v>
      </c>
    </row>
    <row r="2677" spans="1:14" x14ac:dyDescent="0.3">
      <c r="A2677" t="s">
        <v>1337</v>
      </c>
      <c r="B2677" s="3">
        <v>42128</v>
      </c>
      <c r="C2677" t="s">
        <v>46</v>
      </c>
      <c r="D2677" t="s">
        <v>21</v>
      </c>
      <c r="E2677" t="s">
        <v>1045</v>
      </c>
      <c r="F2677" s="1">
        <v>157.79400000000001</v>
      </c>
      <c r="G2677">
        <v>1</v>
      </c>
      <c r="H2677" s="1">
        <v>-115.71559999999999</v>
      </c>
      <c r="I2677" s="4">
        <f>SalesData[[#This Row],[Profit]]/SalesData[[#This Row],[Sales]]</f>
        <v>-0.73333333333333328</v>
      </c>
      <c r="J2677">
        <f>YEAR(SalesData[[#This Row],[Order Date]])</f>
        <v>2015</v>
      </c>
      <c r="K2677" t="str">
        <f>TEXT(SalesData[[#This Row],[Order Date]],"mmm")</f>
        <v>May</v>
      </c>
      <c r="L2677">
        <f>MONTH(SalesData[[#This Row],[Order Date]])</f>
        <v>5</v>
      </c>
      <c r="M2677">
        <f>SalesData[[#This Row],[Sales]]/SalesData[[#This Row],[Quantity]]</f>
        <v>157.79400000000001</v>
      </c>
      <c r="N2677" t="str">
        <f>IF(SalesData[[#This Row],[Profit]]&gt;0,"Profit","Loss")</f>
        <v>Loss</v>
      </c>
    </row>
    <row r="2678" spans="1:14" x14ac:dyDescent="0.3">
      <c r="A2678" t="s">
        <v>1338</v>
      </c>
      <c r="B2678" s="3">
        <v>42128</v>
      </c>
      <c r="C2678" t="s">
        <v>17</v>
      </c>
      <c r="D2678" t="s">
        <v>21</v>
      </c>
      <c r="E2678" t="s">
        <v>548</v>
      </c>
      <c r="F2678" s="1">
        <v>98.111999999999995</v>
      </c>
      <c r="G2678">
        <v>7</v>
      </c>
      <c r="H2678" s="1">
        <v>18.396000000000001</v>
      </c>
      <c r="I2678" s="4">
        <f>SalesData[[#This Row],[Profit]]/SalesData[[#This Row],[Sales]]</f>
        <v>0.18750000000000003</v>
      </c>
      <c r="J2678">
        <f>YEAR(SalesData[[#This Row],[Order Date]])</f>
        <v>2015</v>
      </c>
      <c r="K2678" t="str">
        <f>TEXT(SalesData[[#This Row],[Order Date]],"mmm")</f>
        <v>May</v>
      </c>
      <c r="L2678">
        <f>MONTH(SalesData[[#This Row],[Order Date]])</f>
        <v>5</v>
      </c>
      <c r="M2678">
        <f>SalesData[[#This Row],[Sales]]/SalesData[[#This Row],[Quantity]]</f>
        <v>14.016</v>
      </c>
      <c r="N2678" t="str">
        <f>IF(SalesData[[#This Row],[Profit]]&gt;0,"Profit","Loss")</f>
        <v>Profit</v>
      </c>
    </row>
    <row r="2679" spans="1:14" x14ac:dyDescent="0.3">
      <c r="A2679" t="s">
        <v>1338</v>
      </c>
      <c r="B2679" s="3">
        <v>42128</v>
      </c>
      <c r="C2679" t="s">
        <v>17</v>
      </c>
      <c r="D2679" t="s">
        <v>21</v>
      </c>
      <c r="E2679" t="s">
        <v>933</v>
      </c>
      <c r="F2679" s="1">
        <v>563.80799999999999</v>
      </c>
      <c r="G2679">
        <v>4</v>
      </c>
      <c r="H2679" s="1">
        <v>21.142800000000001</v>
      </c>
      <c r="I2679" s="4">
        <f>SalesData[[#This Row],[Profit]]/SalesData[[#This Row],[Sales]]</f>
        <v>3.7500000000000006E-2</v>
      </c>
      <c r="J2679">
        <f>YEAR(SalesData[[#This Row],[Order Date]])</f>
        <v>2015</v>
      </c>
      <c r="K2679" t="str">
        <f>TEXT(SalesData[[#This Row],[Order Date]],"mmm")</f>
        <v>May</v>
      </c>
      <c r="L2679">
        <f>MONTH(SalesData[[#This Row],[Order Date]])</f>
        <v>5</v>
      </c>
      <c r="M2679">
        <f>SalesData[[#This Row],[Sales]]/SalesData[[#This Row],[Quantity]]</f>
        <v>140.952</v>
      </c>
      <c r="N2679" t="str">
        <f>IF(SalesData[[#This Row],[Profit]]&gt;0,"Profit","Loss")</f>
        <v>Profit</v>
      </c>
    </row>
    <row r="2680" spans="1:14" x14ac:dyDescent="0.3">
      <c r="A2680" t="s">
        <v>1338</v>
      </c>
      <c r="B2680" s="3">
        <v>42128</v>
      </c>
      <c r="C2680" t="s">
        <v>17</v>
      </c>
      <c r="D2680" t="s">
        <v>21</v>
      </c>
      <c r="E2680" t="s">
        <v>1339</v>
      </c>
      <c r="F2680" s="1">
        <v>10.428000000000001</v>
      </c>
      <c r="G2680">
        <v>4</v>
      </c>
      <c r="H2680" s="1">
        <v>-6.952</v>
      </c>
      <c r="I2680" s="4">
        <f>SalesData[[#This Row],[Profit]]/SalesData[[#This Row],[Sales]]</f>
        <v>-0.66666666666666663</v>
      </c>
      <c r="J2680">
        <f>YEAR(SalesData[[#This Row],[Order Date]])</f>
        <v>2015</v>
      </c>
      <c r="K2680" t="str">
        <f>TEXT(SalesData[[#This Row],[Order Date]],"mmm")</f>
        <v>May</v>
      </c>
      <c r="L2680">
        <f>MONTH(SalesData[[#This Row],[Order Date]])</f>
        <v>5</v>
      </c>
      <c r="M2680">
        <f>SalesData[[#This Row],[Sales]]/SalesData[[#This Row],[Quantity]]</f>
        <v>2.6070000000000002</v>
      </c>
      <c r="N2680" t="str">
        <f>IF(SalesData[[#This Row],[Profit]]&gt;0,"Profit","Loss")</f>
        <v>Loss</v>
      </c>
    </row>
    <row r="2681" spans="1:14" x14ac:dyDescent="0.3">
      <c r="A2681" t="s">
        <v>1338</v>
      </c>
      <c r="B2681" s="3">
        <v>42128</v>
      </c>
      <c r="C2681" t="s">
        <v>17</v>
      </c>
      <c r="D2681" t="s">
        <v>14</v>
      </c>
      <c r="E2681" t="s">
        <v>291</v>
      </c>
      <c r="F2681" s="1">
        <v>547.13599999999997</v>
      </c>
      <c r="G2681">
        <v>4</v>
      </c>
      <c r="H2681" s="1">
        <v>-68.391999999999996</v>
      </c>
      <c r="I2681" s="4">
        <f>SalesData[[#This Row],[Profit]]/SalesData[[#This Row],[Sales]]</f>
        <v>-0.125</v>
      </c>
      <c r="J2681">
        <f>YEAR(SalesData[[#This Row],[Order Date]])</f>
        <v>2015</v>
      </c>
      <c r="K2681" t="str">
        <f>TEXT(SalesData[[#This Row],[Order Date]],"mmm")</f>
        <v>May</v>
      </c>
      <c r="L2681">
        <f>MONTH(SalesData[[#This Row],[Order Date]])</f>
        <v>5</v>
      </c>
      <c r="M2681">
        <f>SalesData[[#This Row],[Sales]]/SalesData[[#This Row],[Quantity]]</f>
        <v>136.78399999999999</v>
      </c>
      <c r="N2681" t="str">
        <f>IF(SalesData[[#This Row],[Profit]]&gt;0,"Profit","Loss")</f>
        <v>Loss</v>
      </c>
    </row>
    <row r="2682" spans="1:14" x14ac:dyDescent="0.3">
      <c r="A2682" t="s">
        <v>1338</v>
      </c>
      <c r="B2682" s="3">
        <v>42128</v>
      </c>
      <c r="C2682" t="s">
        <v>17</v>
      </c>
      <c r="D2682" t="s">
        <v>10</v>
      </c>
      <c r="E2682" t="s">
        <v>1093</v>
      </c>
      <c r="F2682" s="1">
        <v>14.85</v>
      </c>
      <c r="G2682">
        <v>5</v>
      </c>
      <c r="H2682" s="1">
        <v>-3.2174999999999998</v>
      </c>
      <c r="I2682" s="4">
        <f>SalesData[[#This Row],[Profit]]/SalesData[[#This Row],[Sales]]</f>
        <v>-0.21666666666666665</v>
      </c>
      <c r="J2682">
        <f>YEAR(SalesData[[#This Row],[Order Date]])</f>
        <v>2015</v>
      </c>
      <c r="K2682" t="str">
        <f>TEXT(SalesData[[#This Row],[Order Date]],"mmm")</f>
        <v>May</v>
      </c>
      <c r="L2682">
        <f>MONTH(SalesData[[#This Row],[Order Date]])</f>
        <v>5</v>
      </c>
      <c r="M2682">
        <f>SalesData[[#This Row],[Sales]]/SalesData[[#This Row],[Quantity]]</f>
        <v>2.9699999999999998</v>
      </c>
      <c r="N2682" t="str">
        <f>IF(SalesData[[#This Row],[Profit]]&gt;0,"Profit","Loss")</f>
        <v>Loss</v>
      </c>
    </row>
    <row r="2683" spans="1:14" x14ac:dyDescent="0.3">
      <c r="A2683" t="s">
        <v>1338</v>
      </c>
      <c r="B2683" s="3">
        <v>42128</v>
      </c>
      <c r="C2683" t="s">
        <v>17</v>
      </c>
      <c r="D2683" t="s">
        <v>10</v>
      </c>
      <c r="E2683" t="s">
        <v>1123</v>
      </c>
      <c r="F2683" s="1">
        <v>41.988</v>
      </c>
      <c r="G2683">
        <v>2</v>
      </c>
      <c r="H2683" s="1">
        <v>-9.7972000000000001</v>
      </c>
      <c r="I2683" s="4">
        <f>SalesData[[#This Row],[Profit]]/SalesData[[#This Row],[Sales]]</f>
        <v>-0.23333333333333334</v>
      </c>
      <c r="J2683">
        <f>YEAR(SalesData[[#This Row],[Order Date]])</f>
        <v>2015</v>
      </c>
      <c r="K2683" t="str">
        <f>TEXT(SalesData[[#This Row],[Order Date]],"mmm")</f>
        <v>May</v>
      </c>
      <c r="L2683">
        <f>MONTH(SalesData[[#This Row],[Order Date]])</f>
        <v>5</v>
      </c>
      <c r="M2683">
        <f>SalesData[[#This Row],[Sales]]/SalesData[[#This Row],[Quantity]]</f>
        <v>20.994</v>
      </c>
      <c r="N2683" t="str">
        <f>IF(SalesData[[#This Row],[Profit]]&gt;0,"Profit","Loss")</f>
        <v>Loss</v>
      </c>
    </row>
    <row r="2684" spans="1:14" x14ac:dyDescent="0.3">
      <c r="A2684" t="s">
        <v>1338</v>
      </c>
      <c r="B2684" s="3">
        <v>42128</v>
      </c>
      <c r="C2684" t="s">
        <v>17</v>
      </c>
      <c r="D2684" t="s">
        <v>14</v>
      </c>
      <c r="E2684" t="s">
        <v>1340</v>
      </c>
      <c r="F2684" s="1">
        <v>7.5839999999999996</v>
      </c>
      <c r="G2684">
        <v>1</v>
      </c>
      <c r="H2684" s="1">
        <v>2.37</v>
      </c>
      <c r="I2684" s="4">
        <f>SalesData[[#This Row],[Profit]]/SalesData[[#This Row],[Sales]]</f>
        <v>0.31250000000000006</v>
      </c>
      <c r="J2684">
        <f>YEAR(SalesData[[#This Row],[Order Date]])</f>
        <v>2015</v>
      </c>
      <c r="K2684" t="str">
        <f>TEXT(SalesData[[#This Row],[Order Date]],"mmm")</f>
        <v>May</v>
      </c>
      <c r="L2684">
        <f>MONTH(SalesData[[#This Row],[Order Date]])</f>
        <v>5</v>
      </c>
      <c r="M2684">
        <f>SalesData[[#This Row],[Sales]]/SalesData[[#This Row],[Quantity]]</f>
        <v>7.5839999999999996</v>
      </c>
      <c r="N2684" t="str">
        <f>IF(SalesData[[#This Row],[Profit]]&gt;0,"Profit","Loss")</f>
        <v>Profit</v>
      </c>
    </row>
    <row r="2685" spans="1:14" x14ac:dyDescent="0.3">
      <c r="A2685" t="s">
        <v>1338</v>
      </c>
      <c r="B2685" s="3">
        <v>42128</v>
      </c>
      <c r="C2685" t="s">
        <v>17</v>
      </c>
      <c r="D2685" t="s">
        <v>14</v>
      </c>
      <c r="E2685" t="s">
        <v>763</v>
      </c>
      <c r="F2685" s="1">
        <v>352.45</v>
      </c>
      <c r="G2685">
        <v>5</v>
      </c>
      <c r="H2685" s="1">
        <v>-211.47</v>
      </c>
      <c r="I2685" s="4">
        <f>SalesData[[#This Row],[Profit]]/SalesData[[#This Row],[Sales]]</f>
        <v>-0.6</v>
      </c>
      <c r="J2685">
        <f>YEAR(SalesData[[#This Row],[Order Date]])</f>
        <v>2015</v>
      </c>
      <c r="K2685" t="str">
        <f>TEXT(SalesData[[#This Row],[Order Date]],"mmm")</f>
        <v>May</v>
      </c>
      <c r="L2685">
        <f>MONTH(SalesData[[#This Row],[Order Date]])</f>
        <v>5</v>
      </c>
      <c r="M2685">
        <f>SalesData[[#This Row],[Sales]]/SalesData[[#This Row],[Quantity]]</f>
        <v>70.489999999999995</v>
      </c>
      <c r="N2685" t="str">
        <f>IF(SalesData[[#This Row],[Profit]]&gt;0,"Profit","Loss")</f>
        <v>Loss</v>
      </c>
    </row>
    <row r="2686" spans="1:14" x14ac:dyDescent="0.3">
      <c r="A2686" t="s">
        <v>1341</v>
      </c>
      <c r="B2686" s="3">
        <v>42128</v>
      </c>
      <c r="C2686" t="s">
        <v>17</v>
      </c>
      <c r="D2686" t="s">
        <v>21</v>
      </c>
      <c r="E2686" t="s">
        <v>181</v>
      </c>
      <c r="F2686" s="1">
        <v>23.904</v>
      </c>
      <c r="G2686">
        <v>6</v>
      </c>
      <c r="H2686" s="1">
        <v>7.7687999999999997</v>
      </c>
      <c r="I2686" s="4">
        <f>SalesData[[#This Row],[Profit]]/SalesData[[#This Row],[Sales]]</f>
        <v>0.32500000000000001</v>
      </c>
      <c r="J2686">
        <f>YEAR(SalesData[[#This Row],[Order Date]])</f>
        <v>2015</v>
      </c>
      <c r="K2686" t="str">
        <f>TEXT(SalesData[[#This Row],[Order Date]],"mmm")</f>
        <v>May</v>
      </c>
      <c r="L2686">
        <f>MONTH(SalesData[[#This Row],[Order Date]])</f>
        <v>5</v>
      </c>
      <c r="M2686">
        <f>SalesData[[#This Row],[Sales]]/SalesData[[#This Row],[Quantity]]</f>
        <v>3.984</v>
      </c>
      <c r="N2686" t="str">
        <f>IF(SalesData[[#This Row],[Profit]]&gt;0,"Profit","Loss")</f>
        <v>Profit</v>
      </c>
    </row>
    <row r="2687" spans="1:14" x14ac:dyDescent="0.3">
      <c r="A2687" t="s">
        <v>1342</v>
      </c>
      <c r="B2687" s="3">
        <v>42128</v>
      </c>
      <c r="C2687" t="s">
        <v>13</v>
      </c>
      <c r="D2687" t="s">
        <v>14</v>
      </c>
      <c r="E2687" t="s">
        <v>841</v>
      </c>
      <c r="F2687" s="1">
        <v>892.22400000000005</v>
      </c>
      <c r="G2687">
        <v>3</v>
      </c>
      <c r="H2687" s="1">
        <v>89.222399999999993</v>
      </c>
      <c r="I2687" s="4">
        <f>SalesData[[#This Row],[Profit]]/SalesData[[#This Row],[Sales]]</f>
        <v>9.9999999999999992E-2</v>
      </c>
      <c r="J2687">
        <f>YEAR(SalesData[[#This Row],[Order Date]])</f>
        <v>2015</v>
      </c>
      <c r="K2687" t="str">
        <f>TEXT(SalesData[[#This Row],[Order Date]],"mmm")</f>
        <v>May</v>
      </c>
      <c r="L2687">
        <f>MONTH(SalesData[[#This Row],[Order Date]])</f>
        <v>5</v>
      </c>
      <c r="M2687">
        <f>SalesData[[#This Row],[Sales]]/SalesData[[#This Row],[Quantity]]</f>
        <v>297.40800000000002</v>
      </c>
      <c r="N2687" t="str">
        <f>IF(SalesData[[#This Row],[Profit]]&gt;0,"Profit","Loss")</f>
        <v>Profit</v>
      </c>
    </row>
    <row r="2688" spans="1:14" x14ac:dyDescent="0.3">
      <c r="A2688" t="s">
        <v>1343</v>
      </c>
      <c r="B2688" s="3">
        <v>42128</v>
      </c>
      <c r="C2688" t="s">
        <v>13</v>
      </c>
      <c r="D2688" t="s">
        <v>10</v>
      </c>
      <c r="E2688" t="s">
        <v>673</v>
      </c>
      <c r="F2688" s="1">
        <v>239.94</v>
      </c>
      <c r="G2688">
        <v>6</v>
      </c>
      <c r="H2688" s="1">
        <v>26.3934</v>
      </c>
      <c r="I2688" s="4">
        <f>SalesData[[#This Row],[Profit]]/SalesData[[#This Row],[Sales]]</f>
        <v>0.11</v>
      </c>
      <c r="J2688">
        <f>YEAR(SalesData[[#This Row],[Order Date]])</f>
        <v>2015</v>
      </c>
      <c r="K2688" t="str">
        <f>TEXT(SalesData[[#This Row],[Order Date]],"mmm")</f>
        <v>May</v>
      </c>
      <c r="L2688">
        <f>MONTH(SalesData[[#This Row],[Order Date]])</f>
        <v>5</v>
      </c>
      <c r="M2688">
        <f>SalesData[[#This Row],[Sales]]/SalesData[[#This Row],[Quantity]]</f>
        <v>39.99</v>
      </c>
      <c r="N2688" t="str">
        <f>IF(SalesData[[#This Row],[Profit]]&gt;0,"Profit","Loss")</f>
        <v>Profit</v>
      </c>
    </row>
    <row r="2689" spans="1:14" x14ac:dyDescent="0.3">
      <c r="A2689" t="s">
        <v>1343</v>
      </c>
      <c r="B2689" s="3">
        <v>42128</v>
      </c>
      <c r="C2689" t="s">
        <v>13</v>
      </c>
      <c r="D2689" t="s">
        <v>21</v>
      </c>
      <c r="E2689" t="s">
        <v>1344</v>
      </c>
      <c r="F2689" s="1">
        <v>23.84</v>
      </c>
      <c r="G2689">
        <v>8</v>
      </c>
      <c r="H2689" s="1">
        <v>6.4367999999999999</v>
      </c>
      <c r="I2689" s="4">
        <f>SalesData[[#This Row],[Profit]]/SalesData[[#This Row],[Sales]]</f>
        <v>0.27</v>
      </c>
      <c r="J2689">
        <f>YEAR(SalesData[[#This Row],[Order Date]])</f>
        <v>2015</v>
      </c>
      <c r="K2689" t="str">
        <f>TEXT(SalesData[[#This Row],[Order Date]],"mmm")</f>
        <v>May</v>
      </c>
      <c r="L2689">
        <f>MONTH(SalesData[[#This Row],[Order Date]])</f>
        <v>5</v>
      </c>
      <c r="M2689">
        <f>SalesData[[#This Row],[Sales]]/SalesData[[#This Row],[Quantity]]</f>
        <v>2.98</v>
      </c>
      <c r="N2689" t="str">
        <f>IF(SalesData[[#This Row],[Profit]]&gt;0,"Profit","Loss")</f>
        <v>Profit</v>
      </c>
    </row>
    <row r="2690" spans="1:14" x14ac:dyDescent="0.3">
      <c r="A2690" t="s">
        <v>1345</v>
      </c>
      <c r="B2690" s="3">
        <v>42130</v>
      </c>
      <c r="C2690" t="s">
        <v>17</v>
      </c>
      <c r="D2690" t="s">
        <v>14</v>
      </c>
      <c r="E2690" t="s">
        <v>866</v>
      </c>
      <c r="F2690" s="1">
        <v>1522.6379999999999</v>
      </c>
      <c r="G2690">
        <v>9</v>
      </c>
      <c r="H2690" s="1">
        <v>169.18199999999999</v>
      </c>
      <c r="I2690" s="4">
        <f>SalesData[[#This Row],[Profit]]/SalesData[[#This Row],[Sales]]</f>
        <v>0.1111111111111111</v>
      </c>
      <c r="J2690">
        <f>YEAR(SalesData[[#This Row],[Order Date]])</f>
        <v>2015</v>
      </c>
      <c r="K2690" t="str">
        <f>TEXT(SalesData[[#This Row],[Order Date]],"mmm")</f>
        <v>May</v>
      </c>
      <c r="L2690">
        <f>MONTH(SalesData[[#This Row],[Order Date]])</f>
        <v>5</v>
      </c>
      <c r="M2690">
        <f>SalesData[[#This Row],[Sales]]/SalesData[[#This Row],[Quantity]]</f>
        <v>169.18199999999999</v>
      </c>
      <c r="N2690" t="str">
        <f>IF(SalesData[[#This Row],[Profit]]&gt;0,"Profit","Loss")</f>
        <v>Profit</v>
      </c>
    </row>
    <row r="2691" spans="1:14" x14ac:dyDescent="0.3">
      <c r="A2691" t="s">
        <v>1346</v>
      </c>
      <c r="B2691" s="3">
        <v>42130</v>
      </c>
      <c r="C2691" t="s">
        <v>9</v>
      </c>
      <c r="D2691" t="s">
        <v>21</v>
      </c>
      <c r="E2691" t="s">
        <v>1347</v>
      </c>
      <c r="F2691" s="1">
        <v>10.56</v>
      </c>
      <c r="G2691">
        <v>2</v>
      </c>
      <c r="H2691" s="1">
        <v>4.7519999999999998</v>
      </c>
      <c r="I2691" s="4">
        <f>SalesData[[#This Row],[Profit]]/SalesData[[#This Row],[Sales]]</f>
        <v>0.44999999999999996</v>
      </c>
      <c r="J2691">
        <f>YEAR(SalesData[[#This Row],[Order Date]])</f>
        <v>2015</v>
      </c>
      <c r="K2691" t="str">
        <f>TEXT(SalesData[[#This Row],[Order Date]],"mmm")</f>
        <v>May</v>
      </c>
      <c r="L2691">
        <f>MONTH(SalesData[[#This Row],[Order Date]])</f>
        <v>5</v>
      </c>
      <c r="M2691">
        <f>SalesData[[#This Row],[Sales]]/SalesData[[#This Row],[Quantity]]</f>
        <v>5.28</v>
      </c>
      <c r="N2691" t="str">
        <f>IF(SalesData[[#This Row],[Profit]]&gt;0,"Profit","Loss")</f>
        <v>Profit</v>
      </c>
    </row>
    <row r="2692" spans="1:14" x14ac:dyDescent="0.3">
      <c r="A2692" t="s">
        <v>1348</v>
      </c>
      <c r="B2692" s="3">
        <v>42131</v>
      </c>
      <c r="C2692" t="s">
        <v>46</v>
      </c>
      <c r="D2692" t="s">
        <v>14</v>
      </c>
      <c r="E2692" t="s">
        <v>1349</v>
      </c>
      <c r="F2692" s="1">
        <v>4.9279999999999999</v>
      </c>
      <c r="G2692">
        <v>2</v>
      </c>
      <c r="H2692" s="1">
        <v>0.73919999999999997</v>
      </c>
      <c r="I2692" s="4">
        <f>SalesData[[#This Row],[Profit]]/SalesData[[#This Row],[Sales]]</f>
        <v>0.15</v>
      </c>
      <c r="J2692">
        <f>YEAR(SalesData[[#This Row],[Order Date]])</f>
        <v>2015</v>
      </c>
      <c r="K2692" t="str">
        <f>TEXT(SalesData[[#This Row],[Order Date]],"mmm")</f>
        <v>May</v>
      </c>
      <c r="L2692">
        <f>MONTH(SalesData[[#This Row],[Order Date]])</f>
        <v>5</v>
      </c>
      <c r="M2692">
        <f>SalesData[[#This Row],[Sales]]/SalesData[[#This Row],[Quantity]]</f>
        <v>2.464</v>
      </c>
      <c r="N2692" t="str">
        <f>IF(SalesData[[#This Row],[Profit]]&gt;0,"Profit","Loss")</f>
        <v>Profit</v>
      </c>
    </row>
    <row r="2693" spans="1:14" x14ac:dyDescent="0.3">
      <c r="A2693" t="s">
        <v>1348</v>
      </c>
      <c r="B2693" s="3">
        <v>42131</v>
      </c>
      <c r="C2693" t="s">
        <v>46</v>
      </c>
      <c r="D2693" t="s">
        <v>21</v>
      </c>
      <c r="E2693" t="s">
        <v>879</v>
      </c>
      <c r="F2693" s="1">
        <v>7.23</v>
      </c>
      <c r="G2693">
        <v>5</v>
      </c>
      <c r="H2693" s="1">
        <v>-5.7839999999999998</v>
      </c>
      <c r="I2693" s="4">
        <f>SalesData[[#This Row],[Profit]]/SalesData[[#This Row],[Sales]]</f>
        <v>-0.79999999999999993</v>
      </c>
      <c r="J2693">
        <f>YEAR(SalesData[[#This Row],[Order Date]])</f>
        <v>2015</v>
      </c>
      <c r="K2693" t="str">
        <f>TEXT(SalesData[[#This Row],[Order Date]],"mmm")</f>
        <v>May</v>
      </c>
      <c r="L2693">
        <f>MONTH(SalesData[[#This Row],[Order Date]])</f>
        <v>5</v>
      </c>
      <c r="M2693">
        <f>SalesData[[#This Row],[Sales]]/SalesData[[#This Row],[Quantity]]</f>
        <v>1.4460000000000002</v>
      </c>
      <c r="N2693" t="str">
        <f>IF(SalesData[[#This Row],[Profit]]&gt;0,"Profit","Loss")</f>
        <v>Loss</v>
      </c>
    </row>
    <row r="2694" spans="1:14" x14ac:dyDescent="0.3">
      <c r="A2694" t="s">
        <v>1350</v>
      </c>
      <c r="B2694" s="3">
        <v>42131</v>
      </c>
      <c r="C2694" t="s">
        <v>9</v>
      </c>
      <c r="D2694" t="s">
        <v>21</v>
      </c>
      <c r="E2694" t="s">
        <v>1351</v>
      </c>
      <c r="F2694" s="1">
        <v>19</v>
      </c>
      <c r="G2694">
        <v>5</v>
      </c>
      <c r="H2694" s="1">
        <v>8.93</v>
      </c>
      <c r="I2694" s="4">
        <f>SalesData[[#This Row],[Profit]]/SalesData[[#This Row],[Sales]]</f>
        <v>0.47</v>
      </c>
      <c r="J2694">
        <f>YEAR(SalesData[[#This Row],[Order Date]])</f>
        <v>2015</v>
      </c>
      <c r="K2694" t="str">
        <f>TEXT(SalesData[[#This Row],[Order Date]],"mmm")</f>
        <v>May</v>
      </c>
      <c r="L2694">
        <f>MONTH(SalesData[[#This Row],[Order Date]])</f>
        <v>5</v>
      </c>
      <c r="M2694">
        <f>SalesData[[#This Row],[Sales]]/SalesData[[#This Row],[Quantity]]</f>
        <v>3.8</v>
      </c>
      <c r="N2694" t="str">
        <f>IF(SalesData[[#This Row],[Profit]]&gt;0,"Profit","Loss")</f>
        <v>Profit</v>
      </c>
    </row>
    <row r="2695" spans="1:14" x14ac:dyDescent="0.3">
      <c r="A2695" t="s">
        <v>1352</v>
      </c>
      <c r="B2695" s="3">
        <v>42131</v>
      </c>
      <c r="C2695" t="s">
        <v>17</v>
      </c>
      <c r="D2695" t="s">
        <v>10</v>
      </c>
      <c r="E2695" t="s">
        <v>1353</v>
      </c>
      <c r="F2695" s="1">
        <v>34.799999999999997</v>
      </c>
      <c r="G2695">
        <v>3</v>
      </c>
      <c r="H2695" s="1">
        <v>2.1749999999999998</v>
      </c>
      <c r="I2695" s="4">
        <f>SalesData[[#This Row],[Profit]]/SalesData[[#This Row],[Sales]]</f>
        <v>6.25E-2</v>
      </c>
      <c r="J2695">
        <f>YEAR(SalesData[[#This Row],[Order Date]])</f>
        <v>2015</v>
      </c>
      <c r="K2695" t="str">
        <f>TEXT(SalesData[[#This Row],[Order Date]],"mmm")</f>
        <v>May</v>
      </c>
      <c r="L2695">
        <f>MONTH(SalesData[[#This Row],[Order Date]])</f>
        <v>5</v>
      </c>
      <c r="M2695">
        <f>SalesData[[#This Row],[Sales]]/SalesData[[#This Row],[Quantity]]</f>
        <v>11.6</v>
      </c>
      <c r="N2695" t="str">
        <f>IF(SalesData[[#This Row],[Profit]]&gt;0,"Profit","Loss")</f>
        <v>Profit</v>
      </c>
    </row>
    <row r="2696" spans="1:14" x14ac:dyDescent="0.3">
      <c r="A2696" t="s">
        <v>1352</v>
      </c>
      <c r="B2696" s="3">
        <v>42131</v>
      </c>
      <c r="C2696" t="s">
        <v>17</v>
      </c>
      <c r="D2696" t="s">
        <v>21</v>
      </c>
      <c r="E2696" t="s">
        <v>288</v>
      </c>
      <c r="F2696" s="1">
        <v>38.975999999999999</v>
      </c>
      <c r="G2696">
        <v>3</v>
      </c>
      <c r="H2696" s="1">
        <v>-2.4359999999999999</v>
      </c>
      <c r="I2696" s="4">
        <f>SalesData[[#This Row],[Profit]]/SalesData[[#This Row],[Sales]]</f>
        <v>-6.25E-2</v>
      </c>
      <c r="J2696">
        <f>YEAR(SalesData[[#This Row],[Order Date]])</f>
        <v>2015</v>
      </c>
      <c r="K2696" t="str">
        <f>TEXT(SalesData[[#This Row],[Order Date]],"mmm")</f>
        <v>May</v>
      </c>
      <c r="L2696">
        <f>MONTH(SalesData[[#This Row],[Order Date]])</f>
        <v>5</v>
      </c>
      <c r="M2696">
        <f>SalesData[[#This Row],[Sales]]/SalesData[[#This Row],[Quantity]]</f>
        <v>12.991999999999999</v>
      </c>
      <c r="N2696" t="str">
        <f>IF(SalesData[[#This Row],[Profit]]&gt;0,"Profit","Loss")</f>
        <v>Loss</v>
      </c>
    </row>
    <row r="2697" spans="1:14" x14ac:dyDescent="0.3">
      <c r="A2697" t="s">
        <v>1354</v>
      </c>
      <c r="B2697" s="3">
        <v>42131</v>
      </c>
      <c r="C2697" t="s">
        <v>46</v>
      </c>
      <c r="D2697" t="s">
        <v>14</v>
      </c>
      <c r="E2697" t="s">
        <v>1349</v>
      </c>
      <c r="F2697" s="1">
        <v>4.9279999999999999</v>
      </c>
      <c r="G2697">
        <v>2</v>
      </c>
      <c r="H2697" s="1">
        <v>0.73919999999999997</v>
      </c>
      <c r="I2697" s="4">
        <f>SalesData[[#This Row],[Profit]]/SalesData[[#This Row],[Sales]]</f>
        <v>0.15</v>
      </c>
      <c r="J2697">
        <f>YEAR(SalesData[[#This Row],[Order Date]])</f>
        <v>2015</v>
      </c>
      <c r="K2697" t="str">
        <f>TEXT(SalesData[[#This Row],[Order Date]],"mmm")</f>
        <v>May</v>
      </c>
      <c r="L2697">
        <f>MONTH(SalesData[[#This Row],[Order Date]])</f>
        <v>5</v>
      </c>
      <c r="M2697">
        <f>SalesData[[#This Row],[Sales]]/SalesData[[#This Row],[Quantity]]</f>
        <v>2.464</v>
      </c>
      <c r="N2697" t="str">
        <f>IF(SalesData[[#This Row],[Profit]]&gt;0,"Profit","Loss")</f>
        <v>Profit</v>
      </c>
    </row>
    <row r="2698" spans="1:14" x14ac:dyDescent="0.3">
      <c r="A2698" t="s">
        <v>1354</v>
      </c>
      <c r="B2698" s="3">
        <v>42131</v>
      </c>
      <c r="C2698" t="s">
        <v>46</v>
      </c>
      <c r="D2698" t="s">
        <v>21</v>
      </c>
      <c r="E2698" t="s">
        <v>301</v>
      </c>
      <c r="F2698" s="1">
        <v>11.784000000000001</v>
      </c>
      <c r="G2698">
        <v>3</v>
      </c>
      <c r="H2698" s="1">
        <v>4.2717000000000001</v>
      </c>
      <c r="I2698" s="4">
        <f>SalesData[[#This Row],[Profit]]/SalesData[[#This Row],[Sales]]</f>
        <v>0.36249999999999999</v>
      </c>
      <c r="J2698">
        <f>YEAR(SalesData[[#This Row],[Order Date]])</f>
        <v>2015</v>
      </c>
      <c r="K2698" t="str">
        <f>TEXT(SalesData[[#This Row],[Order Date]],"mmm")</f>
        <v>May</v>
      </c>
      <c r="L2698">
        <f>MONTH(SalesData[[#This Row],[Order Date]])</f>
        <v>5</v>
      </c>
      <c r="M2698">
        <f>SalesData[[#This Row],[Sales]]/SalesData[[#This Row],[Quantity]]</f>
        <v>3.9280000000000004</v>
      </c>
      <c r="N2698" t="str">
        <f>IF(SalesData[[#This Row],[Profit]]&gt;0,"Profit","Loss")</f>
        <v>Profit</v>
      </c>
    </row>
    <row r="2699" spans="1:14" x14ac:dyDescent="0.3">
      <c r="A2699" t="s">
        <v>1355</v>
      </c>
      <c r="B2699" s="3">
        <v>42132</v>
      </c>
      <c r="C2699" t="s">
        <v>9</v>
      </c>
      <c r="D2699" t="s">
        <v>21</v>
      </c>
      <c r="E2699" t="s">
        <v>761</v>
      </c>
      <c r="F2699" s="1">
        <v>33.488</v>
      </c>
      <c r="G2699">
        <v>7</v>
      </c>
      <c r="H2699" s="1">
        <v>-1.2558</v>
      </c>
      <c r="I2699" s="4">
        <f>SalesData[[#This Row],[Profit]]/SalesData[[#This Row],[Sales]]</f>
        <v>-3.7499999999999999E-2</v>
      </c>
      <c r="J2699">
        <f>YEAR(SalesData[[#This Row],[Order Date]])</f>
        <v>2015</v>
      </c>
      <c r="K2699" t="str">
        <f>TEXT(SalesData[[#This Row],[Order Date]],"mmm")</f>
        <v>May</v>
      </c>
      <c r="L2699">
        <f>MONTH(SalesData[[#This Row],[Order Date]])</f>
        <v>5</v>
      </c>
      <c r="M2699">
        <f>SalesData[[#This Row],[Sales]]/SalesData[[#This Row],[Quantity]]</f>
        <v>4.7839999999999998</v>
      </c>
      <c r="N2699" t="str">
        <f>IF(SalesData[[#This Row],[Profit]]&gt;0,"Profit","Loss")</f>
        <v>Loss</v>
      </c>
    </row>
    <row r="2700" spans="1:14" x14ac:dyDescent="0.3">
      <c r="A2700" t="s">
        <v>1355</v>
      </c>
      <c r="B2700" s="3">
        <v>42132</v>
      </c>
      <c r="C2700" t="s">
        <v>9</v>
      </c>
      <c r="D2700" t="s">
        <v>21</v>
      </c>
      <c r="E2700" t="s">
        <v>177</v>
      </c>
      <c r="F2700" s="1">
        <v>23.04</v>
      </c>
      <c r="G2700">
        <v>3</v>
      </c>
      <c r="H2700" s="1">
        <v>-4.8959999999999999</v>
      </c>
      <c r="I2700" s="4">
        <f>SalesData[[#This Row],[Profit]]/SalesData[[#This Row],[Sales]]</f>
        <v>-0.21249999999999999</v>
      </c>
      <c r="J2700">
        <f>YEAR(SalesData[[#This Row],[Order Date]])</f>
        <v>2015</v>
      </c>
      <c r="K2700" t="str">
        <f>TEXT(SalesData[[#This Row],[Order Date]],"mmm")</f>
        <v>May</v>
      </c>
      <c r="L2700">
        <f>MONTH(SalesData[[#This Row],[Order Date]])</f>
        <v>5</v>
      </c>
      <c r="M2700">
        <f>SalesData[[#This Row],[Sales]]/SalesData[[#This Row],[Quantity]]</f>
        <v>7.68</v>
      </c>
      <c r="N2700" t="str">
        <f>IF(SalesData[[#This Row],[Profit]]&gt;0,"Profit","Loss")</f>
        <v>Loss</v>
      </c>
    </row>
    <row r="2701" spans="1:14" x14ac:dyDescent="0.3">
      <c r="A2701" t="s">
        <v>1355</v>
      </c>
      <c r="B2701" s="3">
        <v>42132</v>
      </c>
      <c r="C2701" t="s">
        <v>9</v>
      </c>
      <c r="D2701" t="s">
        <v>21</v>
      </c>
      <c r="E2701" t="s">
        <v>290</v>
      </c>
      <c r="F2701" s="1">
        <v>1.3620000000000001</v>
      </c>
      <c r="G2701">
        <v>1</v>
      </c>
      <c r="H2701" s="1">
        <v>-2.1791999999999998</v>
      </c>
      <c r="I2701" s="4">
        <f>SalesData[[#This Row],[Profit]]/SalesData[[#This Row],[Sales]]</f>
        <v>-1.5999999999999996</v>
      </c>
      <c r="J2701">
        <f>YEAR(SalesData[[#This Row],[Order Date]])</f>
        <v>2015</v>
      </c>
      <c r="K2701" t="str">
        <f>TEXT(SalesData[[#This Row],[Order Date]],"mmm")</f>
        <v>May</v>
      </c>
      <c r="L2701">
        <f>MONTH(SalesData[[#This Row],[Order Date]])</f>
        <v>5</v>
      </c>
      <c r="M2701">
        <f>SalesData[[#This Row],[Sales]]/SalesData[[#This Row],[Quantity]]</f>
        <v>1.3620000000000001</v>
      </c>
      <c r="N2701" t="str">
        <f>IF(SalesData[[#This Row],[Profit]]&gt;0,"Profit","Loss")</f>
        <v>Loss</v>
      </c>
    </row>
    <row r="2702" spans="1:14" x14ac:dyDescent="0.3">
      <c r="A2702" t="s">
        <v>1355</v>
      </c>
      <c r="B2702" s="3">
        <v>42132</v>
      </c>
      <c r="C2702" t="s">
        <v>9</v>
      </c>
      <c r="D2702" t="s">
        <v>14</v>
      </c>
      <c r="E2702" t="s">
        <v>1356</v>
      </c>
      <c r="F2702" s="1">
        <v>14.76</v>
      </c>
      <c r="G2702">
        <v>5</v>
      </c>
      <c r="H2702" s="1">
        <v>-11.439</v>
      </c>
      <c r="I2702" s="4">
        <f>SalesData[[#This Row],[Profit]]/SalesData[[#This Row],[Sales]]</f>
        <v>-0.77500000000000002</v>
      </c>
      <c r="J2702">
        <f>YEAR(SalesData[[#This Row],[Order Date]])</f>
        <v>2015</v>
      </c>
      <c r="K2702" t="str">
        <f>TEXT(SalesData[[#This Row],[Order Date]],"mmm")</f>
        <v>May</v>
      </c>
      <c r="L2702">
        <f>MONTH(SalesData[[#This Row],[Order Date]])</f>
        <v>5</v>
      </c>
      <c r="M2702">
        <f>SalesData[[#This Row],[Sales]]/SalesData[[#This Row],[Quantity]]</f>
        <v>2.952</v>
      </c>
      <c r="N2702" t="str">
        <f>IF(SalesData[[#This Row],[Profit]]&gt;0,"Profit","Loss")</f>
        <v>Loss</v>
      </c>
    </row>
    <row r="2703" spans="1:14" x14ac:dyDescent="0.3">
      <c r="A2703" t="s">
        <v>1357</v>
      </c>
      <c r="B2703" s="3">
        <v>42133</v>
      </c>
      <c r="C2703" t="s">
        <v>13</v>
      </c>
      <c r="D2703" t="s">
        <v>14</v>
      </c>
      <c r="E2703" t="s">
        <v>1358</v>
      </c>
      <c r="F2703" s="1">
        <v>411.33199999999999</v>
      </c>
      <c r="G2703">
        <v>4</v>
      </c>
      <c r="H2703" s="1">
        <v>-4.8391999999999999</v>
      </c>
      <c r="I2703" s="4">
        <f>SalesData[[#This Row],[Profit]]/SalesData[[#This Row],[Sales]]</f>
        <v>-1.1764705882352941E-2</v>
      </c>
      <c r="J2703">
        <f>YEAR(SalesData[[#This Row],[Order Date]])</f>
        <v>2015</v>
      </c>
      <c r="K2703" t="str">
        <f>TEXT(SalesData[[#This Row],[Order Date]],"mmm")</f>
        <v>May</v>
      </c>
      <c r="L2703">
        <f>MONTH(SalesData[[#This Row],[Order Date]])</f>
        <v>5</v>
      </c>
      <c r="M2703">
        <f>SalesData[[#This Row],[Sales]]/SalesData[[#This Row],[Quantity]]</f>
        <v>102.833</v>
      </c>
      <c r="N2703" t="str">
        <f>IF(SalesData[[#This Row],[Profit]]&gt;0,"Profit","Loss")</f>
        <v>Loss</v>
      </c>
    </row>
    <row r="2704" spans="1:14" x14ac:dyDescent="0.3">
      <c r="A2704" t="s">
        <v>1357</v>
      </c>
      <c r="B2704" s="3">
        <v>42133</v>
      </c>
      <c r="C2704" t="s">
        <v>13</v>
      </c>
      <c r="D2704" t="s">
        <v>21</v>
      </c>
      <c r="E2704" t="s">
        <v>1359</v>
      </c>
      <c r="F2704" s="1">
        <v>28.751999999999999</v>
      </c>
      <c r="G2704">
        <v>6</v>
      </c>
      <c r="H2704" s="1">
        <v>9.7037999999999993</v>
      </c>
      <c r="I2704" s="4">
        <f>SalesData[[#This Row],[Profit]]/SalesData[[#This Row],[Sales]]</f>
        <v>0.33749999999999997</v>
      </c>
      <c r="J2704">
        <f>YEAR(SalesData[[#This Row],[Order Date]])</f>
        <v>2015</v>
      </c>
      <c r="K2704" t="str">
        <f>TEXT(SalesData[[#This Row],[Order Date]],"mmm")</f>
        <v>May</v>
      </c>
      <c r="L2704">
        <f>MONTH(SalesData[[#This Row],[Order Date]])</f>
        <v>5</v>
      </c>
      <c r="M2704">
        <f>SalesData[[#This Row],[Sales]]/SalesData[[#This Row],[Quantity]]</f>
        <v>4.7919999999999998</v>
      </c>
      <c r="N2704" t="str">
        <f>IF(SalesData[[#This Row],[Profit]]&gt;0,"Profit","Loss")</f>
        <v>Profit</v>
      </c>
    </row>
    <row r="2705" spans="1:14" x14ac:dyDescent="0.3">
      <c r="A2705" t="s">
        <v>1357</v>
      </c>
      <c r="B2705" s="3">
        <v>42133</v>
      </c>
      <c r="C2705" t="s">
        <v>13</v>
      </c>
      <c r="D2705" t="s">
        <v>14</v>
      </c>
      <c r="E2705" t="s">
        <v>1360</v>
      </c>
      <c r="F2705" s="1">
        <v>293.19900000000001</v>
      </c>
      <c r="G2705">
        <v>3</v>
      </c>
      <c r="H2705" s="1">
        <v>-20.696400000000001</v>
      </c>
      <c r="I2705" s="4">
        <f>SalesData[[#This Row],[Profit]]/SalesData[[#This Row],[Sales]]</f>
        <v>-7.0588235294117646E-2</v>
      </c>
      <c r="J2705">
        <f>YEAR(SalesData[[#This Row],[Order Date]])</f>
        <v>2015</v>
      </c>
      <c r="K2705" t="str">
        <f>TEXT(SalesData[[#This Row],[Order Date]],"mmm")</f>
        <v>May</v>
      </c>
      <c r="L2705">
        <f>MONTH(SalesData[[#This Row],[Order Date]])</f>
        <v>5</v>
      </c>
      <c r="M2705">
        <f>SalesData[[#This Row],[Sales]]/SalesData[[#This Row],[Quantity]]</f>
        <v>97.733000000000004</v>
      </c>
      <c r="N2705" t="str">
        <f>IF(SalesData[[#This Row],[Profit]]&gt;0,"Profit","Loss")</f>
        <v>Loss</v>
      </c>
    </row>
    <row r="2706" spans="1:14" x14ac:dyDescent="0.3">
      <c r="A2706" t="s">
        <v>1361</v>
      </c>
      <c r="B2706" s="3">
        <v>42133</v>
      </c>
      <c r="C2706" t="s">
        <v>9</v>
      </c>
      <c r="D2706" t="s">
        <v>21</v>
      </c>
      <c r="E2706" t="s">
        <v>379</v>
      </c>
      <c r="F2706" s="1">
        <v>16.27</v>
      </c>
      <c r="G2706">
        <v>5</v>
      </c>
      <c r="H2706" s="1">
        <v>-25.218499999999999</v>
      </c>
      <c r="I2706" s="4">
        <f>SalesData[[#This Row],[Profit]]/SalesData[[#This Row],[Sales]]</f>
        <v>-1.55</v>
      </c>
      <c r="J2706">
        <f>YEAR(SalesData[[#This Row],[Order Date]])</f>
        <v>2015</v>
      </c>
      <c r="K2706" t="str">
        <f>TEXT(SalesData[[#This Row],[Order Date]],"mmm")</f>
        <v>May</v>
      </c>
      <c r="L2706">
        <f>MONTH(SalesData[[#This Row],[Order Date]])</f>
        <v>5</v>
      </c>
      <c r="M2706">
        <f>SalesData[[#This Row],[Sales]]/SalesData[[#This Row],[Quantity]]</f>
        <v>3.254</v>
      </c>
      <c r="N2706" t="str">
        <f>IF(SalesData[[#This Row],[Profit]]&gt;0,"Profit","Loss")</f>
        <v>Loss</v>
      </c>
    </row>
    <row r="2707" spans="1:14" x14ac:dyDescent="0.3">
      <c r="A2707" t="s">
        <v>1361</v>
      </c>
      <c r="B2707" s="3">
        <v>42133</v>
      </c>
      <c r="C2707" t="s">
        <v>9</v>
      </c>
      <c r="D2707" t="s">
        <v>21</v>
      </c>
      <c r="E2707" t="s">
        <v>177</v>
      </c>
      <c r="F2707" s="1">
        <v>69.12</v>
      </c>
      <c r="G2707">
        <v>9</v>
      </c>
      <c r="H2707" s="1">
        <v>-14.688000000000001</v>
      </c>
      <c r="I2707" s="4">
        <f>SalesData[[#This Row],[Profit]]/SalesData[[#This Row],[Sales]]</f>
        <v>-0.21249999999999999</v>
      </c>
      <c r="J2707">
        <f>YEAR(SalesData[[#This Row],[Order Date]])</f>
        <v>2015</v>
      </c>
      <c r="K2707" t="str">
        <f>TEXT(SalesData[[#This Row],[Order Date]],"mmm")</f>
        <v>May</v>
      </c>
      <c r="L2707">
        <f>MONTH(SalesData[[#This Row],[Order Date]])</f>
        <v>5</v>
      </c>
      <c r="M2707">
        <f>SalesData[[#This Row],[Sales]]/SalesData[[#This Row],[Quantity]]</f>
        <v>7.6800000000000006</v>
      </c>
      <c r="N2707" t="str">
        <f>IF(SalesData[[#This Row],[Profit]]&gt;0,"Profit","Loss")</f>
        <v>Loss</v>
      </c>
    </row>
    <row r="2708" spans="1:14" x14ac:dyDescent="0.3">
      <c r="A2708" t="s">
        <v>1361</v>
      </c>
      <c r="B2708" s="3">
        <v>42133</v>
      </c>
      <c r="C2708" t="s">
        <v>9</v>
      </c>
      <c r="D2708" t="s">
        <v>21</v>
      </c>
      <c r="E2708" t="s">
        <v>559</v>
      </c>
      <c r="F2708" s="1">
        <v>4.47</v>
      </c>
      <c r="G2708">
        <v>3</v>
      </c>
      <c r="H2708" s="1">
        <v>-7.8224999999999998</v>
      </c>
      <c r="I2708" s="4">
        <f>SalesData[[#This Row],[Profit]]/SalesData[[#This Row],[Sales]]</f>
        <v>-1.75</v>
      </c>
      <c r="J2708">
        <f>YEAR(SalesData[[#This Row],[Order Date]])</f>
        <v>2015</v>
      </c>
      <c r="K2708" t="str">
        <f>TEXT(SalesData[[#This Row],[Order Date]],"mmm")</f>
        <v>May</v>
      </c>
      <c r="L2708">
        <f>MONTH(SalesData[[#This Row],[Order Date]])</f>
        <v>5</v>
      </c>
      <c r="M2708">
        <f>SalesData[[#This Row],[Sales]]/SalesData[[#This Row],[Quantity]]</f>
        <v>1.49</v>
      </c>
      <c r="N2708" t="str">
        <f>IF(SalesData[[#This Row],[Profit]]&gt;0,"Profit","Loss")</f>
        <v>Loss</v>
      </c>
    </row>
    <row r="2709" spans="1:14" x14ac:dyDescent="0.3">
      <c r="A2709" t="s">
        <v>1362</v>
      </c>
      <c r="B2709" s="3">
        <v>42133</v>
      </c>
      <c r="C2709" t="s">
        <v>9</v>
      </c>
      <c r="D2709" t="s">
        <v>14</v>
      </c>
      <c r="E2709" t="s">
        <v>1049</v>
      </c>
      <c r="F2709" s="1">
        <v>6.16</v>
      </c>
      <c r="G2709">
        <v>2</v>
      </c>
      <c r="H2709" s="1">
        <v>2.9567999999999999</v>
      </c>
      <c r="I2709" s="4">
        <f>SalesData[[#This Row],[Profit]]/SalesData[[#This Row],[Sales]]</f>
        <v>0.48</v>
      </c>
      <c r="J2709">
        <f>YEAR(SalesData[[#This Row],[Order Date]])</f>
        <v>2015</v>
      </c>
      <c r="K2709" t="str">
        <f>TEXT(SalesData[[#This Row],[Order Date]],"mmm")</f>
        <v>May</v>
      </c>
      <c r="L2709">
        <f>MONTH(SalesData[[#This Row],[Order Date]])</f>
        <v>5</v>
      </c>
      <c r="M2709">
        <f>SalesData[[#This Row],[Sales]]/SalesData[[#This Row],[Quantity]]</f>
        <v>3.08</v>
      </c>
      <c r="N2709" t="str">
        <f>IF(SalesData[[#This Row],[Profit]]&gt;0,"Profit","Loss")</f>
        <v>Profit</v>
      </c>
    </row>
    <row r="2710" spans="1:14" x14ac:dyDescent="0.3">
      <c r="A2710" t="s">
        <v>1362</v>
      </c>
      <c r="B2710" s="3">
        <v>42133</v>
      </c>
      <c r="C2710" t="s">
        <v>9</v>
      </c>
      <c r="D2710" t="s">
        <v>21</v>
      </c>
      <c r="E2710" t="s">
        <v>920</v>
      </c>
      <c r="F2710" s="1">
        <v>36.840000000000003</v>
      </c>
      <c r="G2710">
        <v>3</v>
      </c>
      <c r="H2710" s="1">
        <v>17.314800000000002</v>
      </c>
      <c r="I2710" s="4">
        <f>SalesData[[#This Row],[Profit]]/SalesData[[#This Row],[Sales]]</f>
        <v>0.47000000000000003</v>
      </c>
      <c r="J2710">
        <f>YEAR(SalesData[[#This Row],[Order Date]])</f>
        <v>2015</v>
      </c>
      <c r="K2710" t="str">
        <f>TEXT(SalesData[[#This Row],[Order Date]],"mmm")</f>
        <v>May</v>
      </c>
      <c r="L2710">
        <f>MONTH(SalesData[[#This Row],[Order Date]])</f>
        <v>5</v>
      </c>
      <c r="M2710">
        <f>SalesData[[#This Row],[Sales]]/SalesData[[#This Row],[Quantity]]</f>
        <v>12.280000000000001</v>
      </c>
      <c r="N2710" t="str">
        <f>IF(SalesData[[#This Row],[Profit]]&gt;0,"Profit","Loss")</f>
        <v>Profit</v>
      </c>
    </row>
    <row r="2711" spans="1:14" x14ac:dyDescent="0.3">
      <c r="A2711" t="s">
        <v>1363</v>
      </c>
      <c r="B2711" s="3">
        <v>42133</v>
      </c>
      <c r="C2711" t="s">
        <v>46</v>
      </c>
      <c r="D2711" t="s">
        <v>14</v>
      </c>
      <c r="E2711" t="s">
        <v>1364</v>
      </c>
      <c r="F2711" s="1">
        <v>67.959999999999994</v>
      </c>
      <c r="G2711">
        <v>4</v>
      </c>
      <c r="H2711" s="1">
        <v>12.232799999999999</v>
      </c>
      <c r="I2711" s="4">
        <f>SalesData[[#This Row],[Profit]]/SalesData[[#This Row],[Sales]]</f>
        <v>0.18</v>
      </c>
      <c r="J2711">
        <f>YEAR(SalesData[[#This Row],[Order Date]])</f>
        <v>2015</v>
      </c>
      <c r="K2711" t="str">
        <f>TEXT(SalesData[[#This Row],[Order Date]],"mmm")</f>
        <v>May</v>
      </c>
      <c r="L2711">
        <f>MONTH(SalesData[[#This Row],[Order Date]])</f>
        <v>5</v>
      </c>
      <c r="M2711">
        <f>SalesData[[#This Row],[Sales]]/SalesData[[#This Row],[Quantity]]</f>
        <v>16.989999999999998</v>
      </c>
      <c r="N2711" t="str">
        <f>IF(SalesData[[#This Row],[Profit]]&gt;0,"Profit","Loss")</f>
        <v>Profit</v>
      </c>
    </row>
    <row r="2712" spans="1:14" x14ac:dyDescent="0.3">
      <c r="A2712" t="s">
        <v>1365</v>
      </c>
      <c r="B2712" s="3">
        <v>42134</v>
      </c>
      <c r="C2712" t="s">
        <v>46</v>
      </c>
      <c r="D2712" t="s">
        <v>21</v>
      </c>
      <c r="E2712" t="s">
        <v>164</v>
      </c>
      <c r="F2712" s="1">
        <v>46.2</v>
      </c>
      <c r="G2712">
        <v>4</v>
      </c>
      <c r="H2712" s="1">
        <v>12.936</v>
      </c>
      <c r="I2712" s="4">
        <f>SalesData[[#This Row],[Profit]]/SalesData[[#This Row],[Sales]]</f>
        <v>0.27999999999999997</v>
      </c>
      <c r="J2712">
        <f>YEAR(SalesData[[#This Row],[Order Date]])</f>
        <v>2015</v>
      </c>
      <c r="K2712" t="str">
        <f>TEXT(SalesData[[#This Row],[Order Date]],"mmm")</f>
        <v>May</v>
      </c>
      <c r="L2712">
        <f>MONTH(SalesData[[#This Row],[Order Date]])</f>
        <v>5</v>
      </c>
      <c r="M2712">
        <f>SalesData[[#This Row],[Sales]]/SalesData[[#This Row],[Quantity]]</f>
        <v>11.55</v>
      </c>
      <c r="N2712" t="str">
        <f>IF(SalesData[[#This Row],[Profit]]&gt;0,"Profit","Loss")</f>
        <v>Profit</v>
      </c>
    </row>
    <row r="2713" spans="1:14" x14ac:dyDescent="0.3">
      <c r="A2713" t="s">
        <v>1365</v>
      </c>
      <c r="B2713" s="3">
        <v>42134</v>
      </c>
      <c r="C2713" t="s">
        <v>46</v>
      </c>
      <c r="D2713" t="s">
        <v>21</v>
      </c>
      <c r="E2713" t="s">
        <v>334</v>
      </c>
      <c r="F2713" s="1">
        <v>28.84</v>
      </c>
      <c r="G2713">
        <v>2</v>
      </c>
      <c r="H2713" s="1">
        <v>9.5172000000000008</v>
      </c>
      <c r="I2713" s="4">
        <f>SalesData[[#This Row],[Profit]]/SalesData[[#This Row],[Sales]]</f>
        <v>0.33</v>
      </c>
      <c r="J2713">
        <f>YEAR(SalesData[[#This Row],[Order Date]])</f>
        <v>2015</v>
      </c>
      <c r="K2713" t="str">
        <f>TEXT(SalesData[[#This Row],[Order Date]],"mmm")</f>
        <v>May</v>
      </c>
      <c r="L2713">
        <f>MONTH(SalesData[[#This Row],[Order Date]])</f>
        <v>5</v>
      </c>
      <c r="M2713">
        <f>SalesData[[#This Row],[Sales]]/SalesData[[#This Row],[Quantity]]</f>
        <v>14.42</v>
      </c>
      <c r="N2713" t="str">
        <f>IF(SalesData[[#This Row],[Profit]]&gt;0,"Profit","Loss")</f>
        <v>Profit</v>
      </c>
    </row>
    <row r="2714" spans="1:14" x14ac:dyDescent="0.3">
      <c r="A2714" t="s">
        <v>1366</v>
      </c>
      <c r="B2714" s="3">
        <v>42134</v>
      </c>
      <c r="C2714" t="s">
        <v>17</v>
      </c>
      <c r="D2714" t="s">
        <v>21</v>
      </c>
      <c r="E2714" t="s">
        <v>1028</v>
      </c>
      <c r="F2714" s="1">
        <v>77.55</v>
      </c>
      <c r="G2714">
        <v>5</v>
      </c>
      <c r="H2714" s="1">
        <v>21.713999999999999</v>
      </c>
      <c r="I2714" s="4">
        <f>SalesData[[#This Row],[Profit]]/SalesData[[#This Row],[Sales]]</f>
        <v>0.27999999999999997</v>
      </c>
      <c r="J2714">
        <f>YEAR(SalesData[[#This Row],[Order Date]])</f>
        <v>2015</v>
      </c>
      <c r="K2714" t="str">
        <f>TEXT(SalesData[[#This Row],[Order Date]],"mmm")</f>
        <v>May</v>
      </c>
      <c r="L2714">
        <f>MONTH(SalesData[[#This Row],[Order Date]])</f>
        <v>5</v>
      </c>
      <c r="M2714">
        <f>SalesData[[#This Row],[Sales]]/SalesData[[#This Row],[Quantity]]</f>
        <v>15.51</v>
      </c>
      <c r="N2714" t="str">
        <f>IF(SalesData[[#This Row],[Profit]]&gt;0,"Profit","Loss")</f>
        <v>Profit</v>
      </c>
    </row>
    <row r="2715" spans="1:14" x14ac:dyDescent="0.3">
      <c r="A2715" t="s">
        <v>1367</v>
      </c>
      <c r="B2715" s="3">
        <v>42134</v>
      </c>
      <c r="C2715" t="s">
        <v>17</v>
      </c>
      <c r="D2715" t="s">
        <v>10</v>
      </c>
      <c r="E2715" t="s">
        <v>1090</v>
      </c>
      <c r="F2715" s="1">
        <v>53.04</v>
      </c>
      <c r="G2715">
        <v>3</v>
      </c>
      <c r="H2715" s="1">
        <v>-4.641</v>
      </c>
      <c r="I2715" s="4">
        <f>SalesData[[#This Row],[Profit]]/SalesData[[#This Row],[Sales]]</f>
        <v>-8.7500000000000008E-2</v>
      </c>
      <c r="J2715">
        <f>YEAR(SalesData[[#This Row],[Order Date]])</f>
        <v>2015</v>
      </c>
      <c r="K2715" t="str">
        <f>TEXT(SalesData[[#This Row],[Order Date]],"mmm")</f>
        <v>May</v>
      </c>
      <c r="L2715">
        <f>MONTH(SalesData[[#This Row],[Order Date]])</f>
        <v>5</v>
      </c>
      <c r="M2715">
        <f>SalesData[[#This Row],[Sales]]/SalesData[[#This Row],[Quantity]]</f>
        <v>17.68</v>
      </c>
      <c r="N2715" t="str">
        <f>IF(SalesData[[#This Row],[Profit]]&gt;0,"Profit","Loss")</f>
        <v>Loss</v>
      </c>
    </row>
    <row r="2716" spans="1:14" x14ac:dyDescent="0.3">
      <c r="A2716" t="s">
        <v>1368</v>
      </c>
      <c r="B2716" s="3">
        <v>42134</v>
      </c>
      <c r="C2716" t="s">
        <v>13</v>
      </c>
      <c r="D2716" t="s">
        <v>14</v>
      </c>
      <c r="E2716" t="s">
        <v>1369</v>
      </c>
      <c r="F2716" s="1">
        <v>66.293999999999997</v>
      </c>
      <c r="G2716">
        <v>1</v>
      </c>
      <c r="H2716" s="1">
        <v>-103.86060000000001</v>
      </c>
      <c r="I2716" s="4">
        <f>SalesData[[#This Row],[Profit]]/SalesData[[#This Row],[Sales]]</f>
        <v>-1.5666666666666669</v>
      </c>
      <c r="J2716">
        <f>YEAR(SalesData[[#This Row],[Order Date]])</f>
        <v>2015</v>
      </c>
      <c r="K2716" t="str">
        <f>TEXT(SalesData[[#This Row],[Order Date]],"mmm")</f>
        <v>May</v>
      </c>
      <c r="L2716">
        <f>MONTH(SalesData[[#This Row],[Order Date]])</f>
        <v>5</v>
      </c>
      <c r="M2716">
        <f>SalesData[[#This Row],[Sales]]/SalesData[[#This Row],[Quantity]]</f>
        <v>66.293999999999997</v>
      </c>
      <c r="N2716" t="str">
        <f>IF(SalesData[[#This Row],[Profit]]&gt;0,"Profit","Loss")</f>
        <v>Loss</v>
      </c>
    </row>
    <row r="2717" spans="1:14" x14ac:dyDescent="0.3">
      <c r="A2717" t="s">
        <v>1368</v>
      </c>
      <c r="B2717" s="3">
        <v>42134</v>
      </c>
      <c r="C2717" t="s">
        <v>13</v>
      </c>
      <c r="D2717" t="s">
        <v>14</v>
      </c>
      <c r="E2717" t="s">
        <v>1103</v>
      </c>
      <c r="F2717" s="1">
        <v>291.16800000000001</v>
      </c>
      <c r="G2717">
        <v>4</v>
      </c>
      <c r="H2717" s="1">
        <v>-14.558400000000001</v>
      </c>
      <c r="I2717" s="4">
        <f>SalesData[[#This Row],[Profit]]/SalesData[[#This Row],[Sales]]</f>
        <v>-0.05</v>
      </c>
      <c r="J2717">
        <f>YEAR(SalesData[[#This Row],[Order Date]])</f>
        <v>2015</v>
      </c>
      <c r="K2717" t="str">
        <f>TEXT(SalesData[[#This Row],[Order Date]],"mmm")</f>
        <v>May</v>
      </c>
      <c r="L2717">
        <f>MONTH(SalesData[[#This Row],[Order Date]])</f>
        <v>5</v>
      </c>
      <c r="M2717">
        <f>SalesData[[#This Row],[Sales]]/SalesData[[#This Row],[Quantity]]</f>
        <v>72.792000000000002</v>
      </c>
      <c r="N2717" t="str">
        <f>IF(SalesData[[#This Row],[Profit]]&gt;0,"Profit","Loss")</f>
        <v>Loss</v>
      </c>
    </row>
    <row r="2718" spans="1:14" x14ac:dyDescent="0.3">
      <c r="A2718" t="s">
        <v>1370</v>
      </c>
      <c r="B2718" s="3">
        <v>42134</v>
      </c>
      <c r="C2718" t="s">
        <v>17</v>
      </c>
      <c r="D2718" t="s">
        <v>10</v>
      </c>
      <c r="E2718" t="s">
        <v>366</v>
      </c>
      <c r="F2718" s="1">
        <v>288</v>
      </c>
      <c r="G2718">
        <v>4</v>
      </c>
      <c r="H2718" s="1">
        <v>57.6</v>
      </c>
      <c r="I2718" s="4">
        <f>SalesData[[#This Row],[Profit]]/SalesData[[#This Row],[Sales]]</f>
        <v>0.2</v>
      </c>
      <c r="J2718">
        <f>YEAR(SalesData[[#This Row],[Order Date]])</f>
        <v>2015</v>
      </c>
      <c r="K2718" t="str">
        <f>TEXT(SalesData[[#This Row],[Order Date]],"mmm")</f>
        <v>May</v>
      </c>
      <c r="L2718">
        <f>MONTH(SalesData[[#This Row],[Order Date]])</f>
        <v>5</v>
      </c>
      <c r="M2718">
        <f>SalesData[[#This Row],[Sales]]/SalesData[[#This Row],[Quantity]]</f>
        <v>72</v>
      </c>
      <c r="N2718" t="str">
        <f>IF(SalesData[[#This Row],[Profit]]&gt;0,"Profit","Loss")</f>
        <v>Profit</v>
      </c>
    </row>
    <row r="2719" spans="1:14" x14ac:dyDescent="0.3">
      <c r="A2719" t="s">
        <v>1371</v>
      </c>
      <c r="B2719" s="3">
        <v>42135</v>
      </c>
      <c r="C2719" t="s">
        <v>46</v>
      </c>
      <c r="D2719" t="s">
        <v>14</v>
      </c>
      <c r="E2719" t="s">
        <v>25</v>
      </c>
      <c r="F2719" s="1">
        <v>207</v>
      </c>
      <c r="G2719">
        <v>3</v>
      </c>
      <c r="H2719" s="1">
        <v>25.875</v>
      </c>
      <c r="I2719" s="4">
        <f>SalesData[[#This Row],[Profit]]/SalesData[[#This Row],[Sales]]</f>
        <v>0.125</v>
      </c>
      <c r="J2719">
        <f>YEAR(SalesData[[#This Row],[Order Date]])</f>
        <v>2015</v>
      </c>
      <c r="K2719" t="str">
        <f>TEXT(SalesData[[#This Row],[Order Date]],"mmm")</f>
        <v>May</v>
      </c>
      <c r="L2719">
        <f>MONTH(SalesData[[#This Row],[Order Date]])</f>
        <v>5</v>
      </c>
      <c r="M2719">
        <f>SalesData[[#This Row],[Sales]]/SalesData[[#This Row],[Quantity]]</f>
        <v>69</v>
      </c>
      <c r="N2719" t="str">
        <f>IF(SalesData[[#This Row],[Profit]]&gt;0,"Profit","Loss")</f>
        <v>Profit</v>
      </c>
    </row>
    <row r="2720" spans="1:14" x14ac:dyDescent="0.3">
      <c r="A2720" t="s">
        <v>1372</v>
      </c>
      <c r="B2720" s="3">
        <v>42135</v>
      </c>
      <c r="C2720" t="s">
        <v>46</v>
      </c>
      <c r="D2720" t="s">
        <v>21</v>
      </c>
      <c r="E2720" t="s">
        <v>1373</v>
      </c>
      <c r="F2720" s="1">
        <v>387.13600000000002</v>
      </c>
      <c r="G2720">
        <v>4</v>
      </c>
      <c r="H2720" s="1">
        <v>24.196000000000002</v>
      </c>
      <c r="I2720" s="4">
        <f>SalesData[[#This Row],[Profit]]/SalesData[[#This Row],[Sales]]</f>
        <v>6.25E-2</v>
      </c>
      <c r="J2720">
        <f>YEAR(SalesData[[#This Row],[Order Date]])</f>
        <v>2015</v>
      </c>
      <c r="K2720" t="str">
        <f>TEXT(SalesData[[#This Row],[Order Date]],"mmm")</f>
        <v>May</v>
      </c>
      <c r="L2720">
        <f>MONTH(SalesData[[#This Row],[Order Date]])</f>
        <v>5</v>
      </c>
      <c r="M2720">
        <f>SalesData[[#This Row],[Sales]]/SalesData[[#This Row],[Quantity]]</f>
        <v>96.784000000000006</v>
      </c>
      <c r="N2720" t="str">
        <f>IF(SalesData[[#This Row],[Profit]]&gt;0,"Profit","Loss")</f>
        <v>Profit</v>
      </c>
    </row>
    <row r="2721" spans="1:14" x14ac:dyDescent="0.3">
      <c r="A2721" t="s">
        <v>1374</v>
      </c>
      <c r="B2721" s="3">
        <v>42135</v>
      </c>
      <c r="C2721" t="s">
        <v>17</v>
      </c>
      <c r="D2721" t="s">
        <v>21</v>
      </c>
      <c r="E2721" t="s">
        <v>1375</v>
      </c>
      <c r="F2721" s="1">
        <v>25.344000000000001</v>
      </c>
      <c r="G2721">
        <v>6</v>
      </c>
      <c r="H2721" s="1">
        <v>8.8704000000000001</v>
      </c>
      <c r="I2721" s="4">
        <f>SalesData[[#This Row],[Profit]]/SalesData[[#This Row],[Sales]]</f>
        <v>0.35</v>
      </c>
      <c r="J2721">
        <f>YEAR(SalesData[[#This Row],[Order Date]])</f>
        <v>2015</v>
      </c>
      <c r="K2721" t="str">
        <f>TEXT(SalesData[[#This Row],[Order Date]],"mmm")</f>
        <v>May</v>
      </c>
      <c r="L2721">
        <f>MONTH(SalesData[[#This Row],[Order Date]])</f>
        <v>5</v>
      </c>
      <c r="M2721">
        <f>SalesData[[#This Row],[Sales]]/SalesData[[#This Row],[Quantity]]</f>
        <v>4.2240000000000002</v>
      </c>
      <c r="N2721" t="str">
        <f>IF(SalesData[[#This Row],[Profit]]&gt;0,"Profit","Loss")</f>
        <v>Profit</v>
      </c>
    </row>
    <row r="2722" spans="1:14" x14ac:dyDescent="0.3">
      <c r="A2722" t="s">
        <v>1376</v>
      </c>
      <c r="B2722" s="3">
        <v>42135</v>
      </c>
      <c r="C2722" t="s">
        <v>9</v>
      </c>
      <c r="D2722" t="s">
        <v>21</v>
      </c>
      <c r="E2722" t="s">
        <v>1377</v>
      </c>
      <c r="F2722" s="1">
        <v>19.824000000000002</v>
      </c>
      <c r="G2722">
        <v>6</v>
      </c>
      <c r="H2722" s="1">
        <v>6.4428000000000001</v>
      </c>
      <c r="I2722" s="4">
        <f>SalesData[[#This Row],[Profit]]/SalesData[[#This Row],[Sales]]</f>
        <v>0.32499999999999996</v>
      </c>
      <c r="J2722">
        <f>YEAR(SalesData[[#This Row],[Order Date]])</f>
        <v>2015</v>
      </c>
      <c r="K2722" t="str">
        <f>TEXT(SalesData[[#This Row],[Order Date]],"mmm")</f>
        <v>May</v>
      </c>
      <c r="L2722">
        <f>MONTH(SalesData[[#This Row],[Order Date]])</f>
        <v>5</v>
      </c>
      <c r="M2722">
        <f>SalesData[[#This Row],[Sales]]/SalesData[[#This Row],[Quantity]]</f>
        <v>3.3040000000000003</v>
      </c>
      <c r="N2722" t="str">
        <f>IF(SalesData[[#This Row],[Profit]]&gt;0,"Profit","Loss")</f>
        <v>Profit</v>
      </c>
    </row>
    <row r="2723" spans="1:14" x14ac:dyDescent="0.3">
      <c r="A2723" t="s">
        <v>1378</v>
      </c>
      <c r="B2723" s="3">
        <v>42135</v>
      </c>
      <c r="C2723" t="s">
        <v>13</v>
      </c>
      <c r="D2723" t="s">
        <v>21</v>
      </c>
      <c r="E2723" t="s">
        <v>1379</v>
      </c>
      <c r="F2723" s="1">
        <v>62.8</v>
      </c>
      <c r="G2723">
        <v>4</v>
      </c>
      <c r="H2723" s="1">
        <v>15.7</v>
      </c>
      <c r="I2723" s="4">
        <f>SalesData[[#This Row],[Profit]]/SalesData[[#This Row],[Sales]]</f>
        <v>0.25</v>
      </c>
      <c r="J2723">
        <f>YEAR(SalesData[[#This Row],[Order Date]])</f>
        <v>2015</v>
      </c>
      <c r="K2723" t="str">
        <f>TEXT(SalesData[[#This Row],[Order Date]],"mmm")</f>
        <v>May</v>
      </c>
      <c r="L2723">
        <f>MONTH(SalesData[[#This Row],[Order Date]])</f>
        <v>5</v>
      </c>
      <c r="M2723">
        <f>SalesData[[#This Row],[Sales]]/SalesData[[#This Row],[Quantity]]</f>
        <v>15.7</v>
      </c>
      <c r="N2723" t="str">
        <f>IF(SalesData[[#This Row],[Profit]]&gt;0,"Profit","Loss")</f>
        <v>Profit</v>
      </c>
    </row>
    <row r="2724" spans="1:14" x14ac:dyDescent="0.3">
      <c r="A2724" t="s">
        <v>1380</v>
      </c>
      <c r="B2724" s="3">
        <v>42135</v>
      </c>
      <c r="C2724" t="s">
        <v>13</v>
      </c>
      <c r="D2724" t="s">
        <v>21</v>
      </c>
      <c r="E2724" t="s">
        <v>510</v>
      </c>
      <c r="F2724" s="1">
        <v>98.352000000000004</v>
      </c>
      <c r="G2724">
        <v>3</v>
      </c>
      <c r="H2724" s="1">
        <v>35.6526</v>
      </c>
      <c r="I2724" s="4">
        <f>SalesData[[#This Row],[Profit]]/SalesData[[#This Row],[Sales]]</f>
        <v>0.36249999999999999</v>
      </c>
      <c r="J2724">
        <f>YEAR(SalesData[[#This Row],[Order Date]])</f>
        <v>2015</v>
      </c>
      <c r="K2724" t="str">
        <f>TEXT(SalesData[[#This Row],[Order Date]],"mmm")</f>
        <v>May</v>
      </c>
      <c r="L2724">
        <f>MONTH(SalesData[[#This Row],[Order Date]])</f>
        <v>5</v>
      </c>
      <c r="M2724">
        <f>SalesData[[#This Row],[Sales]]/SalesData[[#This Row],[Quantity]]</f>
        <v>32.783999999999999</v>
      </c>
      <c r="N2724" t="str">
        <f>IF(SalesData[[#This Row],[Profit]]&gt;0,"Profit","Loss")</f>
        <v>Profit</v>
      </c>
    </row>
    <row r="2725" spans="1:14" x14ac:dyDescent="0.3">
      <c r="A2725" t="s">
        <v>1381</v>
      </c>
      <c r="B2725" s="3">
        <v>42135</v>
      </c>
      <c r="C2725" t="s">
        <v>17</v>
      </c>
      <c r="D2725" t="s">
        <v>21</v>
      </c>
      <c r="E2725" t="s">
        <v>1382</v>
      </c>
      <c r="F2725" s="1">
        <v>7.218</v>
      </c>
      <c r="G2725">
        <v>3</v>
      </c>
      <c r="H2725" s="1">
        <v>-5.5338000000000003</v>
      </c>
      <c r="I2725" s="4">
        <f>SalesData[[#This Row],[Profit]]/SalesData[[#This Row],[Sales]]</f>
        <v>-0.76666666666666672</v>
      </c>
      <c r="J2725">
        <f>YEAR(SalesData[[#This Row],[Order Date]])</f>
        <v>2015</v>
      </c>
      <c r="K2725" t="str">
        <f>TEXT(SalesData[[#This Row],[Order Date]],"mmm")</f>
        <v>May</v>
      </c>
      <c r="L2725">
        <f>MONTH(SalesData[[#This Row],[Order Date]])</f>
        <v>5</v>
      </c>
      <c r="M2725">
        <f>SalesData[[#This Row],[Sales]]/SalesData[[#This Row],[Quantity]]</f>
        <v>2.4060000000000001</v>
      </c>
      <c r="N2725" t="str">
        <f>IF(SalesData[[#This Row],[Profit]]&gt;0,"Profit","Loss")</f>
        <v>Loss</v>
      </c>
    </row>
    <row r="2726" spans="1:14" x14ac:dyDescent="0.3">
      <c r="A2726" t="s">
        <v>1381</v>
      </c>
      <c r="B2726" s="3">
        <v>42135</v>
      </c>
      <c r="C2726" t="s">
        <v>17</v>
      </c>
      <c r="D2726" t="s">
        <v>21</v>
      </c>
      <c r="E2726" t="s">
        <v>1383</v>
      </c>
      <c r="F2726" s="1">
        <v>27.2</v>
      </c>
      <c r="G2726">
        <v>4</v>
      </c>
      <c r="H2726" s="1">
        <v>2.04</v>
      </c>
      <c r="I2726" s="4">
        <f>SalesData[[#This Row],[Profit]]/SalesData[[#This Row],[Sales]]</f>
        <v>7.4999999999999997E-2</v>
      </c>
      <c r="J2726">
        <f>YEAR(SalesData[[#This Row],[Order Date]])</f>
        <v>2015</v>
      </c>
      <c r="K2726" t="str">
        <f>TEXT(SalesData[[#This Row],[Order Date]],"mmm")</f>
        <v>May</v>
      </c>
      <c r="L2726">
        <f>MONTH(SalesData[[#This Row],[Order Date]])</f>
        <v>5</v>
      </c>
      <c r="M2726">
        <f>SalesData[[#This Row],[Sales]]/SalesData[[#This Row],[Quantity]]</f>
        <v>6.8</v>
      </c>
      <c r="N2726" t="str">
        <f>IF(SalesData[[#This Row],[Profit]]&gt;0,"Profit","Loss")</f>
        <v>Profit</v>
      </c>
    </row>
    <row r="2727" spans="1:14" x14ac:dyDescent="0.3">
      <c r="A2727" t="s">
        <v>1384</v>
      </c>
      <c r="B2727" s="3">
        <v>42136</v>
      </c>
      <c r="C2727" t="s">
        <v>13</v>
      </c>
      <c r="D2727" t="s">
        <v>14</v>
      </c>
      <c r="E2727" t="s">
        <v>1385</v>
      </c>
      <c r="F2727" s="1">
        <v>44.46</v>
      </c>
      <c r="G2727">
        <v>2</v>
      </c>
      <c r="H2727" s="1">
        <v>14.671799999999999</v>
      </c>
      <c r="I2727" s="4">
        <f>SalesData[[#This Row],[Profit]]/SalesData[[#This Row],[Sales]]</f>
        <v>0.32999999999999996</v>
      </c>
      <c r="J2727">
        <f>YEAR(SalesData[[#This Row],[Order Date]])</f>
        <v>2015</v>
      </c>
      <c r="K2727" t="str">
        <f>TEXT(SalesData[[#This Row],[Order Date]],"mmm")</f>
        <v>May</v>
      </c>
      <c r="L2727">
        <f>MONTH(SalesData[[#This Row],[Order Date]])</f>
        <v>5</v>
      </c>
      <c r="M2727">
        <f>SalesData[[#This Row],[Sales]]/SalesData[[#This Row],[Quantity]]</f>
        <v>22.23</v>
      </c>
      <c r="N2727" t="str">
        <f>IF(SalesData[[#This Row],[Profit]]&gt;0,"Profit","Loss")</f>
        <v>Profit</v>
      </c>
    </row>
    <row r="2728" spans="1:14" x14ac:dyDescent="0.3">
      <c r="A2728" t="s">
        <v>1386</v>
      </c>
      <c r="B2728" s="3">
        <v>42136</v>
      </c>
      <c r="C2728" t="s">
        <v>17</v>
      </c>
      <c r="D2728" t="s">
        <v>10</v>
      </c>
      <c r="E2728" t="s">
        <v>294</v>
      </c>
      <c r="F2728" s="1">
        <v>47.984000000000002</v>
      </c>
      <c r="G2728">
        <v>2</v>
      </c>
      <c r="H2728" s="1">
        <v>0.5998</v>
      </c>
      <c r="I2728" s="4">
        <f>SalesData[[#This Row],[Profit]]/SalesData[[#This Row],[Sales]]</f>
        <v>1.2499999999999999E-2</v>
      </c>
      <c r="J2728">
        <f>YEAR(SalesData[[#This Row],[Order Date]])</f>
        <v>2015</v>
      </c>
      <c r="K2728" t="str">
        <f>TEXT(SalesData[[#This Row],[Order Date]],"mmm")</f>
        <v>May</v>
      </c>
      <c r="L2728">
        <f>MONTH(SalesData[[#This Row],[Order Date]])</f>
        <v>5</v>
      </c>
      <c r="M2728">
        <f>SalesData[[#This Row],[Sales]]/SalesData[[#This Row],[Quantity]]</f>
        <v>23.992000000000001</v>
      </c>
      <c r="N2728" t="str">
        <f>IF(SalesData[[#This Row],[Profit]]&gt;0,"Profit","Loss")</f>
        <v>Profit</v>
      </c>
    </row>
    <row r="2729" spans="1:14" x14ac:dyDescent="0.3">
      <c r="A2729" t="s">
        <v>1386</v>
      </c>
      <c r="B2729" s="3">
        <v>42136</v>
      </c>
      <c r="C2729" t="s">
        <v>17</v>
      </c>
      <c r="D2729" t="s">
        <v>21</v>
      </c>
      <c r="E2729" t="s">
        <v>1387</v>
      </c>
      <c r="F2729" s="1">
        <v>26.064</v>
      </c>
      <c r="G2729">
        <v>6</v>
      </c>
      <c r="H2729" s="1">
        <v>-19.982399999999998</v>
      </c>
      <c r="I2729" s="4">
        <f>SalesData[[#This Row],[Profit]]/SalesData[[#This Row],[Sales]]</f>
        <v>-0.76666666666666661</v>
      </c>
      <c r="J2729">
        <f>YEAR(SalesData[[#This Row],[Order Date]])</f>
        <v>2015</v>
      </c>
      <c r="K2729" t="str">
        <f>TEXT(SalesData[[#This Row],[Order Date]],"mmm")</f>
        <v>May</v>
      </c>
      <c r="L2729">
        <f>MONTH(SalesData[[#This Row],[Order Date]])</f>
        <v>5</v>
      </c>
      <c r="M2729">
        <f>SalesData[[#This Row],[Sales]]/SalesData[[#This Row],[Quantity]]</f>
        <v>4.3440000000000003</v>
      </c>
      <c r="N2729" t="str">
        <f>IF(SalesData[[#This Row],[Profit]]&gt;0,"Profit","Loss")</f>
        <v>Loss</v>
      </c>
    </row>
    <row r="2730" spans="1:14" x14ac:dyDescent="0.3">
      <c r="A2730" t="s">
        <v>1388</v>
      </c>
      <c r="B2730" s="3">
        <v>42136</v>
      </c>
      <c r="C2730" t="s">
        <v>9</v>
      </c>
      <c r="D2730" t="s">
        <v>21</v>
      </c>
      <c r="E2730" t="s">
        <v>124</v>
      </c>
      <c r="F2730" s="1">
        <v>152.80000000000001</v>
      </c>
      <c r="G2730">
        <v>5</v>
      </c>
      <c r="H2730" s="1">
        <v>76.400000000000006</v>
      </c>
      <c r="I2730" s="4">
        <f>SalesData[[#This Row],[Profit]]/SalesData[[#This Row],[Sales]]</f>
        <v>0.5</v>
      </c>
      <c r="J2730">
        <f>YEAR(SalesData[[#This Row],[Order Date]])</f>
        <v>2015</v>
      </c>
      <c r="K2730" t="str">
        <f>TEXT(SalesData[[#This Row],[Order Date]],"mmm")</f>
        <v>May</v>
      </c>
      <c r="L2730">
        <f>MONTH(SalesData[[#This Row],[Order Date]])</f>
        <v>5</v>
      </c>
      <c r="M2730">
        <f>SalesData[[#This Row],[Sales]]/SalesData[[#This Row],[Quantity]]</f>
        <v>30.560000000000002</v>
      </c>
      <c r="N2730" t="str">
        <f>IF(SalesData[[#This Row],[Profit]]&gt;0,"Profit","Loss")</f>
        <v>Profit</v>
      </c>
    </row>
    <row r="2731" spans="1:14" x14ac:dyDescent="0.3">
      <c r="A2731" t="s">
        <v>1389</v>
      </c>
      <c r="B2731" s="3">
        <v>42136</v>
      </c>
      <c r="C2731" t="s">
        <v>9</v>
      </c>
      <c r="D2731" t="s">
        <v>21</v>
      </c>
      <c r="E2731" t="s">
        <v>952</v>
      </c>
      <c r="F2731" s="1">
        <v>45.04</v>
      </c>
      <c r="G2731">
        <v>2</v>
      </c>
      <c r="H2731" s="1">
        <v>4.5039999999999996</v>
      </c>
      <c r="I2731" s="4">
        <f>SalesData[[#This Row],[Profit]]/SalesData[[#This Row],[Sales]]</f>
        <v>9.9999999999999992E-2</v>
      </c>
      <c r="J2731">
        <f>YEAR(SalesData[[#This Row],[Order Date]])</f>
        <v>2015</v>
      </c>
      <c r="K2731" t="str">
        <f>TEXT(SalesData[[#This Row],[Order Date]],"mmm")</f>
        <v>May</v>
      </c>
      <c r="L2731">
        <f>MONTH(SalesData[[#This Row],[Order Date]])</f>
        <v>5</v>
      </c>
      <c r="M2731">
        <f>SalesData[[#This Row],[Sales]]/SalesData[[#This Row],[Quantity]]</f>
        <v>22.52</v>
      </c>
      <c r="N2731" t="str">
        <f>IF(SalesData[[#This Row],[Profit]]&gt;0,"Profit","Loss")</f>
        <v>Profit</v>
      </c>
    </row>
    <row r="2732" spans="1:14" x14ac:dyDescent="0.3">
      <c r="A2732" t="s">
        <v>1390</v>
      </c>
      <c r="B2732" s="3">
        <v>42136</v>
      </c>
      <c r="C2732" t="s">
        <v>17</v>
      </c>
      <c r="D2732" t="s">
        <v>21</v>
      </c>
      <c r="E2732" t="s">
        <v>912</v>
      </c>
      <c r="F2732" s="1">
        <v>232.4</v>
      </c>
      <c r="G2732">
        <v>5</v>
      </c>
      <c r="H2732" s="1">
        <v>78.435000000000002</v>
      </c>
      <c r="I2732" s="4">
        <f>SalesData[[#This Row],[Profit]]/SalesData[[#This Row],[Sales]]</f>
        <v>0.33750000000000002</v>
      </c>
      <c r="J2732">
        <f>YEAR(SalesData[[#This Row],[Order Date]])</f>
        <v>2015</v>
      </c>
      <c r="K2732" t="str">
        <f>TEXT(SalesData[[#This Row],[Order Date]],"mmm")</f>
        <v>May</v>
      </c>
      <c r="L2732">
        <f>MONTH(SalesData[[#This Row],[Order Date]])</f>
        <v>5</v>
      </c>
      <c r="M2732">
        <f>SalesData[[#This Row],[Sales]]/SalesData[[#This Row],[Quantity]]</f>
        <v>46.480000000000004</v>
      </c>
      <c r="N2732" t="str">
        <f>IF(SalesData[[#This Row],[Profit]]&gt;0,"Profit","Loss")</f>
        <v>Profit</v>
      </c>
    </row>
    <row r="2733" spans="1:14" x14ac:dyDescent="0.3">
      <c r="A2733" t="s">
        <v>1390</v>
      </c>
      <c r="B2733" s="3">
        <v>42136</v>
      </c>
      <c r="C2733" t="s">
        <v>17</v>
      </c>
      <c r="D2733" t="s">
        <v>14</v>
      </c>
      <c r="E2733" t="s">
        <v>1178</v>
      </c>
      <c r="F2733" s="1">
        <v>164.64599999999999</v>
      </c>
      <c r="G2733">
        <v>3</v>
      </c>
      <c r="H2733" s="1">
        <v>12.8058</v>
      </c>
      <c r="I2733" s="4">
        <f>SalesData[[#This Row],[Profit]]/SalesData[[#This Row],[Sales]]</f>
        <v>7.7777777777777779E-2</v>
      </c>
      <c r="J2733">
        <f>YEAR(SalesData[[#This Row],[Order Date]])</f>
        <v>2015</v>
      </c>
      <c r="K2733" t="str">
        <f>TEXT(SalesData[[#This Row],[Order Date]],"mmm")</f>
        <v>May</v>
      </c>
      <c r="L2733">
        <f>MONTH(SalesData[[#This Row],[Order Date]])</f>
        <v>5</v>
      </c>
      <c r="M2733">
        <f>SalesData[[#This Row],[Sales]]/SalesData[[#This Row],[Quantity]]</f>
        <v>54.881999999999998</v>
      </c>
      <c r="N2733" t="str">
        <f>IF(SalesData[[#This Row],[Profit]]&gt;0,"Profit","Loss")</f>
        <v>Profit</v>
      </c>
    </row>
    <row r="2734" spans="1:14" x14ac:dyDescent="0.3">
      <c r="A2734" t="s">
        <v>1390</v>
      </c>
      <c r="B2734" s="3">
        <v>42136</v>
      </c>
      <c r="C2734" t="s">
        <v>17</v>
      </c>
      <c r="D2734" t="s">
        <v>21</v>
      </c>
      <c r="E2734" t="s">
        <v>1391</v>
      </c>
      <c r="F2734" s="1">
        <v>22.68</v>
      </c>
      <c r="G2734">
        <v>2</v>
      </c>
      <c r="H2734" s="1">
        <v>11.113200000000001</v>
      </c>
      <c r="I2734" s="4">
        <f>SalesData[[#This Row],[Profit]]/SalesData[[#This Row],[Sales]]</f>
        <v>0.49000000000000005</v>
      </c>
      <c r="J2734">
        <f>YEAR(SalesData[[#This Row],[Order Date]])</f>
        <v>2015</v>
      </c>
      <c r="K2734" t="str">
        <f>TEXT(SalesData[[#This Row],[Order Date]],"mmm")</f>
        <v>May</v>
      </c>
      <c r="L2734">
        <f>MONTH(SalesData[[#This Row],[Order Date]])</f>
        <v>5</v>
      </c>
      <c r="M2734">
        <f>SalesData[[#This Row],[Sales]]/SalesData[[#This Row],[Quantity]]</f>
        <v>11.34</v>
      </c>
      <c r="N2734" t="str">
        <f>IF(SalesData[[#This Row],[Profit]]&gt;0,"Profit","Loss")</f>
        <v>Profit</v>
      </c>
    </row>
    <row r="2735" spans="1:14" x14ac:dyDescent="0.3">
      <c r="A2735" t="s">
        <v>1392</v>
      </c>
      <c r="B2735" s="3">
        <v>42136</v>
      </c>
      <c r="C2735" t="s">
        <v>13</v>
      </c>
      <c r="D2735" t="s">
        <v>10</v>
      </c>
      <c r="E2735" t="s">
        <v>732</v>
      </c>
      <c r="F2735" s="1">
        <v>39</v>
      </c>
      <c r="G2735">
        <v>3</v>
      </c>
      <c r="H2735" s="1">
        <v>17.55</v>
      </c>
      <c r="I2735" s="4">
        <f>SalesData[[#This Row],[Profit]]/SalesData[[#This Row],[Sales]]</f>
        <v>0.45</v>
      </c>
      <c r="J2735">
        <f>YEAR(SalesData[[#This Row],[Order Date]])</f>
        <v>2015</v>
      </c>
      <c r="K2735" t="str">
        <f>TEXT(SalesData[[#This Row],[Order Date]],"mmm")</f>
        <v>May</v>
      </c>
      <c r="L2735">
        <f>MONTH(SalesData[[#This Row],[Order Date]])</f>
        <v>5</v>
      </c>
      <c r="M2735">
        <f>SalesData[[#This Row],[Sales]]/SalesData[[#This Row],[Quantity]]</f>
        <v>13</v>
      </c>
      <c r="N2735" t="str">
        <f>IF(SalesData[[#This Row],[Profit]]&gt;0,"Profit","Loss")</f>
        <v>Profit</v>
      </c>
    </row>
    <row r="2736" spans="1:14" x14ac:dyDescent="0.3">
      <c r="A2736" t="s">
        <v>1392</v>
      </c>
      <c r="B2736" s="3">
        <v>42136</v>
      </c>
      <c r="C2736" t="s">
        <v>13</v>
      </c>
      <c r="D2736" t="s">
        <v>21</v>
      </c>
      <c r="E2736" t="s">
        <v>1393</v>
      </c>
      <c r="F2736" s="1">
        <v>12.6</v>
      </c>
      <c r="G2736">
        <v>4</v>
      </c>
      <c r="H2736" s="1">
        <v>6.048</v>
      </c>
      <c r="I2736" s="4">
        <f>SalesData[[#This Row],[Profit]]/SalesData[[#This Row],[Sales]]</f>
        <v>0.48000000000000004</v>
      </c>
      <c r="J2736">
        <f>YEAR(SalesData[[#This Row],[Order Date]])</f>
        <v>2015</v>
      </c>
      <c r="K2736" t="str">
        <f>TEXT(SalesData[[#This Row],[Order Date]],"mmm")</f>
        <v>May</v>
      </c>
      <c r="L2736">
        <f>MONTH(SalesData[[#This Row],[Order Date]])</f>
        <v>5</v>
      </c>
      <c r="M2736">
        <f>SalesData[[#This Row],[Sales]]/SalesData[[#This Row],[Quantity]]</f>
        <v>3.15</v>
      </c>
      <c r="N2736" t="str">
        <f>IF(SalesData[[#This Row],[Profit]]&gt;0,"Profit","Loss")</f>
        <v>Profit</v>
      </c>
    </row>
    <row r="2737" spans="1:14" x14ac:dyDescent="0.3">
      <c r="A2737" t="s">
        <v>1394</v>
      </c>
      <c r="B2737" s="3">
        <v>42136</v>
      </c>
      <c r="C2737" t="s">
        <v>46</v>
      </c>
      <c r="D2737" t="s">
        <v>14</v>
      </c>
      <c r="E2737" t="s">
        <v>564</v>
      </c>
      <c r="F2737" s="1">
        <v>97.424000000000007</v>
      </c>
      <c r="G2737">
        <v>2</v>
      </c>
      <c r="H2737" s="1">
        <v>10.9602</v>
      </c>
      <c r="I2737" s="4">
        <f>SalesData[[#This Row],[Profit]]/SalesData[[#This Row],[Sales]]</f>
        <v>0.1125</v>
      </c>
      <c r="J2737">
        <f>YEAR(SalesData[[#This Row],[Order Date]])</f>
        <v>2015</v>
      </c>
      <c r="K2737" t="str">
        <f>TEXT(SalesData[[#This Row],[Order Date]],"mmm")</f>
        <v>May</v>
      </c>
      <c r="L2737">
        <f>MONTH(SalesData[[#This Row],[Order Date]])</f>
        <v>5</v>
      </c>
      <c r="M2737">
        <f>SalesData[[#This Row],[Sales]]/SalesData[[#This Row],[Quantity]]</f>
        <v>48.712000000000003</v>
      </c>
      <c r="N2737" t="str">
        <f>IF(SalesData[[#This Row],[Profit]]&gt;0,"Profit","Loss")</f>
        <v>Profit</v>
      </c>
    </row>
    <row r="2738" spans="1:14" x14ac:dyDescent="0.3">
      <c r="A2738" t="s">
        <v>1395</v>
      </c>
      <c r="B2738" s="3">
        <v>42136</v>
      </c>
      <c r="C2738" t="s">
        <v>9</v>
      </c>
      <c r="D2738" t="s">
        <v>21</v>
      </c>
      <c r="E2738" t="s">
        <v>245</v>
      </c>
      <c r="F2738" s="1">
        <v>12.224</v>
      </c>
      <c r="G2738">
        <v>2</v>
      </c>
      <c r="H2738" s="1">
        <v>4.4311999999999996</v>
      </c>
      <c r="I2738" s="4">
        <f>SalesData[[#This Row],[Profit]]/SalesData[[#This Row],[Sales]]</f>
        <v>0.36249999999999993</v>
      </c>
      <c r="J2738">
        <f>YEAR(SalesData[[#This Row],[Order Date]])</f>
        <v>2015</v>
      </c>
      <c r="K2738" t="str">
        <f>TEXT(SalesData[[#This Row],[Order Date]],"mmm")</f>
        <v>May</v>
      </c>
      <c r="L2738">
        <f>MONTH(SalesData[[#This Row],[Order Date]])</f>
        <v>5</v>
      </c>
      <c r="M2738">
        <f>SalesData[[#This Row],[Sales]]/SalesData[[#This Row],[Quantity]]</f>
        <v>6.1120000000000001</v>
      </c>
      <c r="N2738" t="str">
        <f>IF(SalesData[[#This Row],[Profit]]&gt;0,"Profit","Loss")</f>
        <v>Profit</v>
      </c>
    </row>
    <row r="2739" spans="1:14" x14ac:dyDescent="0.3">
      <c r="A2739" t="s">
        <v>1396</v>
      </c>
      <c r="B2739" s="3">
        <v>42156</v>
      </c>
      <c r="C2739" t="s">
        <v>13</v>
      </c>
      <c r="D2739" t="s">
        <v>21</v>
      </c>
      <c r="E2739" t="s">
        <v>1397</v>
      </c>
      <c r="F2739" s="1">
        <v>29.6</v>
      </c>
      <c r="G2739">
        <v>5</v>
      </c>
      <c r="H2739" s="1">
        <v>9.25</v>
      </c>
      <c r="I2739" s="4">
        <f>SalesData[[#This Row],[Profit]]/SalesData[[#This Row],[Sales]]</f>
        <v>0.3125</v>
      </c>
      <c r="J2739">
        <f>YEAR(SalesData[[#This Row],[Order Date]])</f>
        <v>2015</v>
      </c>
      <c r="K2739" t="str">
        <f>TEXT(SalesData[[#This Row],[Order Date]],"mmm")</f>
        <v>Jun</v>
      </c>
      <c r="L2739">
        <f>MONTH(SalesData[[#This Row],[Order Date]])</f>
        <v>6</v>
      </c>
      <c r="M2739">
        <f>SalesData[[#This Row],[Sales]]/SalesData[[#This Row],[Quantity]]</f>
        <v>5.92</v>
      </c>
      <c r="N2739" t="str">
        <f>IF(SalesData[[#This Row],[Profit]]&gt;0,"Profit","Loss")</f>
        <v>Profit</v>
      </c>
    </row>
    <row r="2740" spans="1:14" x14ac:dyDescent="0.3">
      <c r="A2740" t="s">
        <v>1396</v>
      </c>
      <c r="B2740" s="3">
        <v>42156</v>
      </c>
      <c r="C2740" t="s">
        <v>13</v>
      </c>
      <c r="D2740" t="s">
        <v>21</v>
      </c>
      <c r="E2740" t="s">
        <v>976</v>
      </c>
      <c r="F2740" s="1">
        <v>1.9379999999999999</v>
      </c>
      <c r="G2740">
        <v>2</v>
      </c>
      <c r="H2740" s="1">
        <v>-1.3566</v>
      </c>
      <c r="I2740" s="4">
        <f>SalesData[[#This Row],[Profit]]/SalesData[[#This Row],[Sales]]</f>
        <v>-0.70000000000000007</v>
      </c>
      <c r="J2740">
        <f>YEAR(SalesData[[#This Row],[Order Date]])</f>
        <v>2015</v>
      </c>
      <c r="K2740" t="str">
        <f>TEXT(SalesData[[#This Row],[Order Date]],"mmm")</f>
        <v>Jun</v>
      </c>
      <c r="L2740">
        <f>MONTH(SalesData[[#This Row],[Order Date]])</f>
        <v>6</v>
      </c>
      <c r="M2740">
        <f>SalesData[[#This Row],[Sales]]/SalesData[[#This Row],[Quantity]]</f>
        <v>0.96899999999999997</v>
      </c>
      <c r="N2740" t="str">
        <f>IF(SalesData[[#This Row],[Profit]]&gt;0,"Profit","Loss")</f>
        <v>Loss</v>
      </c>
    </row>
    <row r="2741" spans="1:14" x14ac:dyDescent="0.3">
      <c r="A2741" t="s">
        <v>1398</v>
      </c>
      <c r="B2741" s="3">
        <v>42157</v>
      </c>
      <c r="C2741" t="s">
        <v>13</v>
      </c>
      <c r="D2741" t="s">
        <v>21</v>
      </c>
      <c r="E2741" t="s">
        <v>1399</v>
      </c>
      <c r="F2741" s="1">
        <v>5.28</v>
      </c>
      <c r="G2741">
        <v>3</v>
      </c>
      <c r="H2741" s="1">
        <v>1.5311999999999999</v>
      </c>
      <c r="I2741" s="4">
        <f>SalesData[[#This Row],[Profit]]/SalesData[[#This Row],[Sales]]</f>
        <v>0.28999999999999998</v>
      </c>
      <c r="J2741">
        <f>YEAR(SalesData[[#This Row],[Order Date]])</f>
        <v>2015</v>
      </c>
      <c r="K2741" t="str">
        <f>TEXT(SalesData[[#This Row],[Order Date]],"mmm")</f>
        <v>Jun</v>
      </c>
      <c r="L2741">
        <f>MONTH(SalesData[[#This Row],[Order Date]])</f>
        <v>6</v>
      </c>
      <c r="M2741">
        <f>SalesData[[#This Row],[Sales]]/SalesData[[#This Row],[Quantity]]</f>
        <v>1.76</v>
      </c>
      <c r="N2741" t="str">
        <f>IF(SalesData[[#This Row],[Profit]]&gt;0,"Profit","Loss")</f>
        <v>Profit</v>
      </c>
    </row>
    <row r="2742" spans="1:14" x14ac:dyDescent="0.3">
      <c r="A2742" t="s">
        <v>1400</v>
      </c>
      <c r="B2742" s="3">
        <v>42157</v>
      </c>
      <c r="C2742" t="s">
        <v>17</v>
      </c>
      <c r="D2742" t="s">
        <v>14</v>
      </c>
      <c r="E2742" t="s">
        <v>871</v>
      </c>
      <c r="F2742" s="1">
        <v>1268.82</v>
      </c>
      <c r="G2742">
        <v>9</v>
      </c>
      <c r="H2742" s="1">
        <v>266.4522</v>
      </c>
      <c r="I2742" s="4">
        <f>SalesData[[#This Row],[Profit]]/SalesData[[#This Row],[Sales]]</f>
        <v>0.21000000000000002</v>
      </c>
      <c r="J2742">
        <f>YEAR(SalesData[[#This Row],[Order Date]])</f>
        <v>2015</v>
      </c>
      <c r="K2742" t="str">
        <f>TEXT(SalesData[[#This Row],[Order Date]],"mmm")</f>
        <v>Jun</v>
      </c>
      <c r="L2742">
        <f>MONTH(SalesData[[#This Row],[Order Date]])</f>
        <v>6</v>
      </c>
      <c r="M2742">
        <f>SalesData[[#This Row],[Sales]]/SalesData[[#This Row],[Quantity]]</f>
        <v>140.97999999999999</v>
      </c>
      <c r="N2742" t="str">
        <f>IF(SalesData[[#This Row],[Profit]]&gt;0,"Profit","Loss")</f>
        <v>Profit</v>
      </c>
    </row>
    <row r="2743" spans="1:14" x14ac:dyDescent="0.3">
      <c r="A2743" t="s">
        <v>1400</v>
      </c>
      <c r="B2743" s="3">
        <v>42157</v>
      </c>
      <c r="C2743" t="s">
        <v>17</v>
      </c>
      <c r="D2743" t="s">
        <v>14</v>
      </c>
      <c r="E2743" t="s">
        <v>1401</v>
      </c>
      <c r="F2743" s="1">
        <v>283.92</v>
      </c>
      <c r="G2743">
        <v>4</v>
      </c>
      <c r="H2743" s="1">
        <v>82.336799999999997</v>
      </c>
      <c r="I2743" s="4">
        <f>SalesData[[#This Row],[Profit]]/SalesData[[#This Row],[Sales]]</f>
        <v>0.28999999999999998</v>
      </c>
      <c r="J2743">
        <f>YEAR(SalesData[[#This Row],[Order Date]])</f>
        <v>2015</v>
      </c>
      <c r="K2743" t="str">
        <f>TEXT(SalesData[[#This Row],[Order Date]],"mmm")</f>
        <v>Jun</v>
      </c>
      <c r="L2743">
        <f>MONTH(SalesData[[#This Row],[Order Date]])</f>
        <v>6</v>
      </c>
      <c r="M2743">
        <f>SalesData[[#This Row],[Sales]]/SalesData[[#This Row],[Quantity]]</f>
        <v>70.98</v>
      </c>
      <c r="N2743" t="str">
        <f>IF(SalesData[[#This Row],[Profit]]&gt;0,"Profit","Loss")</f>
        <v>Profit</v>
      </c>
    </row>
    <row r="2744" spans="1:14" x14ac:dyDescent="0.3">
      <c r="A2744" t="s">
        <v>1400</v>
      </c>
      <c r="B2744" s="3">
        <v>42157</v>
      </c>
      <c r="C2744" t="s">
        <v>17</v>
      </c>
      <c r="D2744" t="s">
        <v>21</v>
      </c>
      <c r="E2744" t="s">
        <v>1402</v>
      </c>
      <c r="F2744" s="1">
        <v>5.68</v>
      </c>
      <c r="G2744">
        <v>2</v>
      </c>
      <c r="H2744" s="1">
        <v>1.7607999999999999</v>
      </c>
      <c r="I2744" s="4">
        <f>SalesData[[#This Row],[Profit]]/SalesData[[#This Row],[Sales]]</f>
        <v>0.31</v>
      </c>
      <c r="J2744">
        <f>YEAR(SalesData[[#This Row],[Order Date]])</f>
        <v>2015</v>
      </c>
      <c r="K2744" t="str">
        <f>TEXT(SalesData[[#This Row],[Order Date]],"mmm")</f>
        <v>Jun</v>
      </c>
      <c r="L2744">
        <f>MONTH(SalesData[[#This Row],[Order Date]])</f>
        <v>6</v>
      </c>
      <c r="M2744">
        <f>SalesData[[#This Row],[Sales]]/SalesData[[#This Row],[Quantity]]</f>
        <v>2.84</v>
      </c>
      <c r="N2744" t="str">
        <f>IF(SalesData[[#This Row],[Profit]]&gt;0,"Profit","Loss")</f>
        <v>Profit</v>
      </c>
    </row>
    <row r="2745" spans="1:14" x14ac:dyDescent="0.3">
      <c r="A2745" t="s">
        <v>1403</v>
      </c>
      <c r="B2745" s="3">
        <v>42157</v>
      </c>
      <c r="C2745" t="s">
        <v>9</v>
      </c>
      <c r="D2745" t="s">
        <v>21</v>
      </c>
      <c r="E2745" t="s">
        <v>1404</v>
      </c>
      <c r="F2745" s="1">
        <v>2.9340000000000002</v>
      </c>
      <c r="G2745">
        <v>3</v>
      </c>
      <c r="H2745" s="1">
        <v>-4.9878</v>
      </c>
      <c r="I2745" s="4">
        <f>SalesData[[#This Row],[Profit]]/SalesData[[#This Row],[Sales]]</f>
        <v>-1.7</v>
      </c>
      <c r="J2745">
        <f>YEAR(SalesData[[#This Row],[Order Date]])</f>
        <v>2015</v>
      </c>
      <c r="K2745" t="str">
        <f>TEXT(SalesData[[#This Row],[Order Date]],"mmm")</f>
        <v>Jun</v>
      </c>
      <c r="L2745">
        <f>MONTH(SalesData[[#This Row],[Order Date]])</f>
        <v>6</v>
      </c>
      <c r="M2745">
        <f>SalesData[[#This Row],[Sales]]/SalesData[[#This Row],[Quantity]]</f>
        <v>0.97800000000000009</v>
      </c>
      <c r="N2745" t="str">
        <f>IF(SalesData[[#This Row],[Profit]]&gt;0,"Profit","Loss")</f>
        <v>Loss</v>
      </c>
    </row>
    <row r="2746" spans="1:14" x14ac:dyDescent="0.3">
      <c r="A2746" t="s">
        <v>1403</v>
      </c>
      <c r="B2746" s="3">
        <v>42157</v>
      </c>
      <c r="C2746" t="s">
        <v>9</v>
      </c>
      <c r="D2746" t="s">
        <v>10</v>
      </c>
      <c r="E2746" t="s">
        <v>1405</v>
      </c>
      <c r="F2746" s="1">
        <v>18.527999999999999</v>
      </c>
      <c r="G2746">
        <v>2</v>
      </c>
      <c r="H2746" s="1">
        <v>4.4004000000000003</v>
      </c>
      <c r="I2746" s="4">
        <f>SalesData[[#This Row],[Profit]]/SalesData[[#This Row],[Sales]]</f>
        <v>0.23750000000000004</v>
      </c>
      <c r="J2746">
        <f>YEAR(SalesData[[#This Row],[Order Date]])</f>
        <v>2015</v>
      </c>
      <c r="K2746" t="str">
        <f>TEXT(SalesData[[#This Row],[Order Date]],"mmm")</f>
        <v>Jun</v>
      </c>
      <c r="L2746">
        <f>MONTH(SalesData[[#This Row],[Order Date]])</f>
        <v>6</v>
      </c>
      <c r="M2746">
        <f>SalesData[[#This Row],[Sales]]/SalesData[[#This Row],[Quantity]]</f>
        <v>9.2639999999999993</v>
      </c>
      <c r="N2746" t="str">
        <f>IF(SalesData[[#This Row],[Profit]]&gt;0,"Profit","Loss")</f>
        <v>Profit</v>
      </c>
    </row>
    <row r="2747" spans="1:14" x14ac:dyDescent="0.3">
      <c r="A2747" t="s">
        <v>1403</v>
      </c>
      <c r="B2747" s="3">
        <v>42157</v>
      </c>
      <c r="C2747" t="s">
        <v>9</v>
      </c>
      <c r="D2747" t="s">
        <v>21</v>
      </c>
      <c r="E2747" t="s">
        <v>662</v>
      </c>
      <c r="F2747" s="1">
        <v>670.75199999999995</v>
      </c>
      <c r="G2747">
        <v>3</v>
      </c>
      <c r="H2747" s="1">
        <v>-125.76600000000001</v>
      </c>
      <c r="I2747" s="4">
        <f>SalesData[[#This Row],[Profit]]/SalesData[[#This Row],[Sales]]</f>
        <v>-0.18750000000000003</v>
      </c>
      <c r="J2747">
        <f>YEAR(SalesData[[#This Row],[Order Date]])</f>
        <v>2015</v>
      </c>
      <c r="K2747" t="str">
        <f>TEXT(SalesData[[#This Row],[Order Date]],"mmm")</f>
        <v>Jun</v>
      </c>
      <c r="L2747">
        <f>MONTH(SalesData[[#This Row],[Order Date]])</f>
        <v>6</v>
      </c>
      <c r="M2747">
        <f>SalesData[[#This Row],[Sales]]/SalesData[[#This Row],[Quantity]]</f>
        <v>223.58399999999997</v>
      </c>
      <c r="N2747" t="str">
        <f>IF(SalesData[[#This Row],[Profit]]&gt;0,"Profit","Loss")</f>
        <v>Loss</v>
      </c>
    </row>
    <row r="2748" spans="1:14" x14ac:dyDescent="0.3">
      <c r="A2748" t="s">
        <v>1406</v>
      </c>
      <c r="B2748" s="3">
        <v>42157</v>
      </c>
      <c r="C2748" t="s">
        <v>46</v>
      </c>
      <c r="D2748" t="s">
        <v>21</v>
      </c>
      <c r="E2748" t="s">
        <v>1115</v>
      </c>
      <c r="F2748" s="1">
        <v>146.72999999999999</v>
      </c>
      <c r="G2748">
        <v>3</v>
      </c>
      <c r="H2748" s="1">
        <v>2.9346000000000001</v>
      </c>
      <c r="I2748" s="4">
        <f>SalesData[[#This Row],[Profit]]/SalesData[[#This Row],[Sales]]</f>
        <v>0.02</v>
      </c>
      <c r="J2748">
        <f>YEAR(SalesData[[#This Row],[Order Date]])</f>
        <v>2015</v>
      </c>
      <c r="K2748" t="str">
        <f>TEXT(SalesData[[#This Row],[Order Date]],"mmm")</f>
        <v>Jun</v>
      </c>
      <c r="L2748">
        <f>MONTH(SalesData[[#This Row],[Order Date]])</f>
        <v>6</v>
      </c>
      <c r="M2748">
        <f>SalesData[[#This Row],[Sales]]/SalesData[[#This Row],[Quantity]]</f>
        <v>48.91</v>
      </c>
      <c r="N2748" t="str">
        <f>IF(SalesData[[#This Row],[Profit]]&gt;0,"Profit","Loss")</f>
        <v>Profit</v>
      </c>
    </row>
    <row r="2749" spans="1:14" x14ac:dyDescent="0.3">
      <c r="A2749" t="s">
        <v>1406</v>
      </c>
      <c r="B2749" s="3">
        <v>42157</v>
      </c>
      <c r="C2749" t="s">
        <v>46</v>
      </c>
      <c r="D2749" t="s">
        <v>21</v>
      </c>
      <c r="E2749" t="s">
        <v>1407</v>
      </c>
      <c r="F2749" s="1">
        <v>29.9</v>
      </c>
      <c r="G2749">
        <v>5</v>
      </c>
      <c r="H2749" s="1">
        <v>13.455</v>
      </c>
      <c r="I2749" s="4">
        <f>SalesData[[#This Row],[Profit]]/SalesData[[#This Row],[Sales]]</f>
        <v>0.45</v>
      </c>
      <c r="J2749">
        <f>YEAR(SalesData[[#This Row],[Order Date]])</f>
        <v>2015</v>
      </c>
      <c r="K2749" t="str">
        <f>TEXT(SalesData[[#This Row],[Order Date]],"mmm")</f>
        <v>Jun</v>
      </c>
      <c r="L2749">
        <f>MONTH(SalesData[[#This Row],[Order Date]])</f>
        <v>6</v>
      </c>
      <c r="M2749">
        <f>SalesData[[#This Row],[Sales]]/SalesData[[#This Row],[Quantity]]</f>
        <v>5.9799999999999995</v>
      </c>
      <c r="N2749" t="str">
        <f>IF(SalesData[[#This Row],[Profit]]&gt;0,"Profit","Loss")</f>
        <v>Profit</v>
      </c>
    </row>
    <row r="2750" spans="1:14" x14ac:dyDescent="0.3">
      <c r="A2750" t="s">
        <v>1408</v>
      </c>
      <c r="B2750" s="3">
        <v>42158</v>
      </c>
      <c r="C2750" t="s">
        <v>13</v>
      </c>
      <c r="D2750" t="s">
        <v>14</v>
      </c>
      <c r="E2750" t="s">
        <v>1081</v>
      </c>
      <c r="F2750" s="1">
        <v>435.26</v>
      </c>
      <c r="G2750">
        <v>7</v>
      </c>
      <c r="H2750" s="1">
        <v>95.757199999999997</v>
      </c>
      <c r="I2750" s="4">
        <f>SalesData[[#This Row],[Profit]]/SalesData[[#This Row],[Sales]]</f>
        <v>0.22</v>
      </c>
      <c r="J2750">
        <f>YEAR(SalesData[[#This Row],[Order Date]])</f>
        <v>2015</v>
      </c>
      <c r="K2750" t="str">
        <f>TEXT(SalesData[[#This Row],[Order Date]],"mmm")</f>
        <v>Jun</v>
      </c>
      <c r="L2750">
        <f>MONTH(SalesData[[#This Row],[Order Date]])</f>
        <v>6</v>
      </c>
      <c r="M2750">
        <f>SalesData[[#This Row],[Sales]]/SalesData[[#This Row],[Quantity]]</f>
        <v>62.18</v>
      </c>
      <c r="N2750" t="str">
        <f>IF(SalesData[[#This Row],[Profit]]&gt;0,"Profit","Loss")</f>
        <v>Profit</v>
      </c>
    </row>
    <row r="2751" spans="1:14" x14ac:dyDescent="0.3">
      <c r="A2751" t="s">
        <v>1408</v>
      </c>
      <c r="B2751" s="3">
        <v>42158</v>
      </c>
      <c r="C2751" t="s">
        <v>13</v>
      </c>
      <c r="D2751" t="s">
        <v>10</v>
      </c>
      <c r="E2751" t="s">
        <v>1409</v>
      </c>
      <c r="F2751" s="1">
        <v>1119.9839999999999</v>
      </c>
      <c r="G2751">
        <v>2</v>
      </c>
      <c r="H2751" s="1">
        <v>377.99459999999999</v>
      </c>
      <c r="I2751" s="4">
        <f>SalesData[[#This Row],[Profit]]/SalesData[[#This Row],[Sales]]</f>
        <v>0.33750000000000002</v>
      </c>
      <c r="J2751">
        <f>YEAR(SalesData[[#This Row],[Order Date]])</f>
        <v>2015</v>
      </c>
      <c r="K2751" t="str">
        <f>TEXT(SalesData[[#This Row],[Order Date]],"mmm")</f>
        <v>Jun</v>
      </c>
      <c r="L2751">
        <f>MONTH(SalesData[[#This Row],[Order Date]])</f>
        <v>6</v>
      </c>
      <c r="M2751">
        <f>SalesData[[#This Row],[Sales]]/SalesData[[#This Row],[Quantity]]</f>
        <v>559.99199999999996</v>
      </c>
      <c r="N2751" t="str">
        <f>IF(SalesData[[#This Row],[Profit]]&gt;0,"Profit","Loss")</f>
        <v>Profit</v>
      </c>
    </row>
    <row r="2752" spans="1:14" x14ac:dyDescent="0.3">
      <c r="A2752" t="s">
        <v>1410</v>
      </c>
      <c r="B2752" s="3">
        <v>42159</v>
      </c>
      <c r="C2752" t="s">
        <v>9</v>
      </c>
      <c r="D2752" t="s">
        <v>21</v>
      </c>
      <c r="E2752" t="s">
        <v>731</v>
      </c>
      <c r="F2752" s="1">
        <v>42.048000000000002</v>
      </c>
      <c r="G2752">
        <v>9</v>
      </c>
      <c r="H2752" s="1">
        <v>5.2560000000000002</v>
      </c>
      <c r="I2752" s="4">
        <f>SalesData[[#This Row],[Profit]]/SalesData[[#This Row],[Sales]]</f>
        <v>0.125</v>
      </c>
      <c r="J2752">
        <f>YEAR(SalesData[[#This Row],[Order Date]])</f>
        <v>2015</v>
      </c>
      <c r="K2752" t="str">
        <f>TEXT(SalesData[[#This Row],[Order Date]],"mmm")</f>
        <v>Jun</v>
      </c>
      <c r="L2752">
        <f>MONTH(SalesData[[#This Row],[Order Date]])</f>
        <v>6</v>
      </c>
      <c r="M2752">
        <f>SalesData[[#This Row],[Sales]]/SalesData[[#This Row],[Quantity]]</f>
        <v>4.6720000000000006</v>
      </c>
      <c r="N2752" t="str">
        <f>IF(SalesData[[#This Row],[Profit]]&gt;0,"Profit","Loss")</f>
        <v>Profit</v>
      </c>
    </row>
    <row r="2753" spans="1:14" x14ac:dyDescent="0.3">
      <c r="A2753" t="s">
        <v>1410</v>
      </c>
      <c r="B2753" s="3">
        <v>42159</v>
      </c>
      <c r="C2753" t="s">
        <v>9</v>
      </c>
      <c r="D2753" t="s">
        <v>10</v>
      </c>
      <c r="E2753" t="s">
        <v>457</v>
      </c>
      <c r="F2753" s="1">
        <v>25.488</v>
      </c>
      <c r="G2753">
        <v>2</v>
      </c>
      <c r="H2753" s="1">
        <v>4.4603999999999999</v>
      </c>
      <c r="I2753" s="4">
        <f>SalesData[[#This Row],[Profit]]/SalesData[[#This Row],[Sales]]</f>
        <v>0.17499999999999999</v>
      </c>
      <c r="J2753">
        <f>YEAR(SalesData[[#This Row],[Order Date]])</f>
        <v>2015</v>
      </c>
      <c r="K2753" t="str">
        <f>TEXT(SalesData[[#This Row],[Order Date]],"mmm")</f>
        <v>Jun</v>
      </c>
      <c r="L2753">
        <f>MONTH(SalesData[[#This Row],[Order Date]])</f>
        <v>6</v>
      </c>
      <c r="M2753">
        <f>SalesData[[#This Row],[Sales]]/SalesData[[#This Row],[Quantity]]</f>
        <v>12.744</v>
      </c>
      <c r="N2753" t="str">
        <f>IF(SalesData[[#This Row],[Profit]]&gt;0,"Profit","Loss")</f>
        <v>Profit</v>
      </c>
    </row>
    <row r="2754" spans="1:14" x14ac:dyDescent="0.3">
      <c r="A2754" t="s">
        <v>1410</v>
      </c>
      <c r="B2754" s="3">
        <v>42159</v>
      </c>
      <c r="C2754" t="s">
        <v>9</v>
      </c>
      <c r="D2754" t="s">
        <v>21</v>
      </c>
      <c r="E2754" t="s">
        <v>551</v>
      </c>
      <c r="F2754" s="1">
        <v>6.9</v>
      </c>
      <c r="G2754">
        <v>3</v>
      </c>
      <c r="H2754" s="1">
        <v>-12.074999999999999</v>
      </c>
      <c r="I2754" s="4">
        <f>SalesData[[#This Row],[Profit]]/SalesData[[#This Row],[Sales]]</f>
        <v>-1.7499999999999998</v>
      </c>
      <c r="J2754">
        <f>YEAR(SalesData[[#This Row],[Order Date]])</f>
        <v>2015</v>
      </c>
      <c r="K2754" t="str">
        <f>TEXT(SalesData[[#This Row],[Order Date]],"mmm")</f>
        <v>Jun</v>
      </c>
      <c r="L2754">
        <f>MONTH(SalesData[[#This Row],[Order Date]])</f>
        <v>6</v>
      </c>
      <c r="M2754">
        <f>SalesData[[#This Row],[Sales]]/SalesData[[#This Row],[Quantity]]</f>
        <v>2.3000000000000003</v>
      </c>
      <c r="N2754" t="str">
        <f>IF(SalesData[[#This Row],[Profit]]&gt;0,"Profit","Loss")</f>
        <v>Loss</v>
      </c>
    </row>
    <row r="2755" spans="1:14" x14ac:dyDescent="0.3">
      <c r="A2755" t="s">
        <v>1410</v>
      </c>
      <c r="B2755" s="3">
        <v>42159</v>
      </c>
      <c r="C2755" t="s">
        <v>9</v>
      </c>
      <c r="D2755" t="s">
        <v>21</v>
      </c>
      <c r="E2755" t="s">
        <v>402</v>
      </c>
      <c r="F2755" s="1">
        <v>9.6479999999999997</v>
      </c>
      <c r="G2755">
        <v>6</v>
      </c>
      <c r="H2755" s="1">
        <v>-16.884</v>
      </c>
      <c r="I2755" s="4">
        <f>SalesData[[#This Row],[Profit]]/SalesData[[#This Row],[Sales]]</f>
        <v>-1.75</v>
      </c>
      <c r="J2755">
        <f>YEAR(SalesData[[#This Row],[Order Date]])</f>
        <v>2015</v>
      </c>
      <c r="K2755" t="str">
        <f>TEXT(SalesData[[#This Row],[Order Date]],"mmm")</f>
        <v>Jun</v>
      </c>
      <c r="L2755">
        <f>MONTH(SalesData[[#This Row],[Order Date]])</f>
        <v>6</v>
      </c>
      <c r="M2755">
        <f>SalesData[[#This Row],[Sales]]/SalesData[[#This Row],[Quantity]]</f>
        <v>1.6079999999999999</v>
      </c>
      <c r="N2755" t="str">
        <f>IF(SalesData[[#This Row],[Profit]]&gt;0,"Profit","Loss")</f>
        <v>Loss</v>
      </c>
    </row>
    <row r="2756" spans="1:14" x14ac:dyDescent="0.3">
      <c r="A2756" t="s">
        <v>1410</v>
      </c>
      <c r="B2756" s="3">
        <v>42159</v>
      </c>
      <c r="C2756" t="s">
        <v>9</v>
      </c>
      <c r="D2756" t="s">
        <v>21</v>
      </c>
      <c r="E2756" t="s">
        <v>993</v>
      </c>
      <c r="F2756" s="1">
        <v>7.968</v>
      </c>
      <c r="G2756">
        <v>2</v>
      </c>
      <c r="H2756" s="1">
        <v>2.8883999999999999</v>
      </c>
      <c r="I2756" s="4">
        <f>SalesData[[#This Row],[Profit]]/SalesData[[#This Row],[Sales]]</f>
        <v>0.36249999999999999</v>
      </c>
      <c r="J2756">
        <f>YEAR(SalesData[[#This Row],[Order Date]])</f>
        <v>2015</v>
      </c>
      <c r="K2756" t="str">
        <f>TEXT(SalesData[[#This Row],[Order Date]],"mmm")</f>
        <v>Jun</v>
      </c>
      <c r="L2756">
        <f>MONTH(SalesData[[#This Row],[Order Date]])</f>
        <v>6</v>
      </c>
      <c r="M2756">
        <f>SalesData[[#This Row],[Sales]]/SalesData[[#This Row],[Quantity]]</f>
        <v>3.984</v>
      </c>
      <c r="N2756" t="str">
        <f>IF(SalesData[[#This Row],[Profit]]&gt;0,"Profit","Loss")</f>
        <v>Profit</v>
      </c>
    </row>
    <row r="2757" spans="1:14" x14ac:dyDescent="0.3">
      <c r="A2757" t="s">
        <v>1411</v>
      </c>
      <c r="B2757" s="3">
        <v>42159</v>
      </c>
      <c r="C2757" t="s">
        <v>46</v>
      </c>
      <c r="D2757" t="s">
        <v>21</v>
      </c>
      <c r="E2757" t="s">
        <v>253</v>
      </c>
      <c r="F2757" s="1">
        <v>47.951999999999998</v>
      </c>
      <c r="G2757">
        <v>3</v>
      </c>
      <c r="H2757" s="1">
        <v>16.183800000000002</v>
      </c>
      <c r="I2757" s="4">
        <f>SalesData[[#This Row],[Profit]]/SalesData[[#This Row],[Sales]]</f>
        <v>0.33750000000000002</v>
      </c>
      <c r="J2757">
        <f>YEAR(SalesData[[#This Row],[Order Date]])</f>
        <v>2015</v>
      </c>
      <c r="K2757" t="str">
        <f>TEXT(SalesData[[#This Row],[Order Date]],"mmm")</f>
        <v>Jun</v>
      </c>
      <c r="L2757">
        <f>MONTH(SalesData[[#This Row],[Order Date]])</f>
        <v>6</v>
      </c>
      <c r="M2757">
        <f>SalesData[[#This Row],[Sales]]/SalesData[[#This Row],[Quantity]]</f>
        <v>15.984</v>
      </c>
      <c r="N2757" t="str">
        <f>IF(SalesData[[#This Row],[Profit]]&gt;0,"Profit","Loss")</f>
        <v>Profit</v>
      </c>
    </row>
    <row r="2758" spans="1:14" x14ac:dyDescent="0.3">
      <c r="A2758" t="s">
        <v>1412</v>
      </c>
      <c r="B2758" s="3">
        <v>42162</v>
      </c>
      <c r="C2758" t="s">
        <v>17</v>
      </c>
      <c r="D2758" t="s">
        <v>14</v>
      </c>
      <c r="E2758" t="s">
        <v>339</v>
      </c>
      <c r="F2758" s="1">
        <v>13.96</v>
      </c>
      <c r="G2758">
        <v>2</v>
      </c>
      <c r="H2758" s="1">
        <v>6.7008000000000001</v>
      </c>
      <c r="I2758" s="4">
        <f>SalesData[[#This Row],[Profit]]/SalesData[[#This Row],[Sales]]</f>
        <v>0.48</v>
      </c>
      <c r="J2758">
        <f>YEAR(SalesData[[#This Row],[Order Date]])</f>
        <v>2015</v>
      </c>
      <c r="K2758" t="str">
        <f>TEXT(SalesData[[#This Row],[Order Date]],"mmm")</f>
        <v>Jun</v>
      </c>
      <c r="L2758">
        <f>MONTH(SalesData[[#This Row],[Order Date]])</f>
        <v>6</v>
      </c>
      <c r="M2758">
        <f>SalesData[[#This Row],[Sales]]/SalesData[[#This Row],[Quantity]]</f>
        <v>6.98</v>
      </c>
      <c r="N2758" t="str">
        <f>IF(SalesData[[#This Row],[Profit]]&gt;0,"Profit","Loss")</f>
        <v>Profit</v>
      </c>
    </row>
    <row r="2759" spans="1:14" x14ac:dyDescent="0.3">
      <c r="A2759" t="s">
        <v>1412</v>
      </c>
      <c r="B2759" s="3">
        <v>42162</v>
      </c>
      <c r="C2759" t="s">
        <v>17</v>
      </c>
      <c r="D2759" t="s">
        <v>14</v>
      </c>
      <c r="E2759" t="s">
        <v>822</v>
      </c>
      <c r="F2759" s="1">
        <v>155.82</v>
      </c>
      <c r="G2759">
        <v>3</v>
      </c>
      <c r="H2759" s="1">
        <v>63.886200000000002</v>
      </c>
      <c r="I2759" s="4">
        <f>SalesData[[#This Row],[Profit]]/SalesData[[#This Row],[Sales]]</f>
        <v>0.41000000000000003</v>
      </c>
      <c r="J2759">
        <f>YEAR(SalesData[[#This Row],[Order Date]])</f>
        <v>2015</v>
      </c>
      <c r="K2759" t="str">
        <f>TEXT(SalesData[[#This Row],[Order Date]],"mmm")</f>
        <v>Jun</v>
      </c>
      <c r="L2759">
        <f>MONTH(SalesData[[#This Row],[Order Date]])</f>
        <v>6</v>
      </c>
      <c r="M2759">
        <f>SalesData[[#This Row],[Sales]]/SalesData[[#This Row],[Quantity]]</f>
        <v>51.94</v>
      </c>
      <c r="N2759" t="str">
        <f>IF(SalesData[[#This Row],[Profit]]&gt;0,"Profit","Loss")</f>
        <v>Profit</v>
      </c>
    </row>
    <row r="2760" spans="1:14" x14ac:dyDescent="0.3">
      <c r="A2760" t="s">
        <v>1412</v>
      </c>
      <c r="B2760" s="3">
        <v>42162</v>
      </c>
      <c r="C2760" t="s">
        <v>17</v>
      </c>
      <c r="D2760" t="s">
        <v>10</v>
      </c>
      <c r="E2760" t="s">
        <v>1413</v>
      </c>
      <c r="F2760" s="1">
        <v>124.95</v>
      </c>
      <c r="G2760">
        <v>5</v>
      </c>
      <c r="H2760" s="1">
        <v>2.4990000000000001</v>
      </c>
      <c r="I2760" s="4">
        <f>SalesData[[#This Row],[Profit]]/SalesData[[#This Row],[Sales]]</f>
        <v>0.02</v>
      </c>
      <c r="J2760">
        <f>YEAR(SalesData[[#This Row],[Order Date]])</f>
        <v>2015</v>
      </c>
      <c r="K2760" t="str">
        <f>TEXT(SalesData[[#This Row],[Order Date]],"mmm")</f>
        <v>Jun</v>
      </c>
      <c r="L2760">
        <f>MONTH(SalesData[[#This Row],[Order Date]])</f>
        <v>6</v>
      </c>
      <c r="M2760">
        <f>SalesData[[#This Row],[Sales]]/SalesData[[#This Row],[Quantity]]</f>
        <v>24.990000000000002</v>
      </c>
      <c r="N2760" t="str">
        <f>IF(SalesData[[#This Row],[Profit]]&gt;0,"Profit","Loss")</f>
        <v>Profit</v>
      </c>
    </row>
    <row r="2761" spans="1:14" x14ac:dyDescent="0.3">
      <c r="A2761" t="s">
        <v>1412</v>
      </c>
      <c r="B2761" s="3">
        <v>42162</v>
      </c>
      <c r="C2761" t="s">
        <v>17</v>
      </c>
      <c r="D2761" t="s">
        <v>21</v>
      </c>
      <c r="E2761" t="s">
        <v>1230</v>
      </c>
      <c r="F2761" s="1">
        <v>601.65</v>
      </c>
      <c r="G2761">
        <v>5</v>
      </c>
      <c r="H2761" s="1">
        <v>156.429</v>
      </c>
      <c r="I2761" s="4">
        <f>SalesData[[#This Row],[Profit]]/SalesData[[#This Row],[Sales]]</f>
        <v>0.26</v>
      </c>
      <c r="J2761">
        <f>YEAR(SalesData[[#This Row],[Order Date]])</f>
        <v>2015</v>
      </c>
      <c r="K2761" t="str">
        <f>TEXT(SalesData[[#This Row],[Order Date]],"mmm")</f>
        <v>Jun</v>
      </c>
      <c r="L2761">
        <f>MONTH(SalesData[[#This Row],[Order Date]])</f>
        <v>6</v>
      </c>
      <c r="M2761">
        <f>SalesData[[#This Row],[Sales]]/SalesData[[#This Row],[Quantity]]</f>
        <v>120.33</v>
      </c>
      <c r="N2761" t="str">
        <f>IF(SalesData[[#This Row],[Profit]]&gt;0,"Profit","Loss")</f>
        <v>Profit</v>
      </c>
    </row>
    <row r="2762" spans="1:14" x14ac:dyDescent="0.3">
      <c r="A2762" t="s">
        <v>1414</v>
      </c>
      <c r="B2762" s="3">
        <v>42162</v>
      </c>
      <c r="C2762" t="s">
        <v>17</v>
      </c>
      <c r="D2762" t="s">
        <v>14</v>
      </c>
      <c r="E2762" t="s">
        <v>1415</v>
      </c>
      <c r="F2762" s="1">
        <v>301.95999999999998</v>
      </c>
      <c r="G2762">
        <v>2</v>
      </c>
      <c r="H2762" s="1">
        <v>60.392000000000003</v>
      </c>
      <c r="I2762" s="4">
        <f>SalesData[[#This Row],[Profit]]/SalesData[[#This Row],[Sales]]</f>
        <v>0.2</v>
      </c>
      <c r="J2762">
        <f>YEAR(SalesData[[#This Row],[Order Date]])</f>
        <v>2015</v>
      </c>
      <c r="K2762" t="str">
        <f>TEXT(SalesData[[#This Row],[Order Date]],"mmm")</f>
        <v>Jun</v>
      </c>
      <c r="L2762">
        <f>MONTH(SalesData[[#This Row],[Order Date]])</f>
        <v>6</v>
      </c>
      <c r="M2762">
        <f>SalesData[[#This Row],[Sales]]/SalesData[[#This Row],[Quantity]]</f>
        <v>150.97999999999999</v>
      </c>
      <c r="N2762" t="str">
        <f>IF(SalesData[[#This Row],[Profit]]&gt;0,"Profit","Loss")</f>
        <v>Profit</v>
      </c>
    </row>
    <row r="2763" spans="1:14" x14ac:dyDescent="0.3">
      <c r="A2763" t="s">
        <v>1416</v>
      </c>
      <c r="B2763" s="3">
        <v>42162</v>
      </c>
      <c r="C2763" t="s">
        <v>13</v>
      </c>
      <c r="D2763" t="s">
        <v>14</v>
      </c>
      <c r="E2763" t="s">
        <v>1417</v>
      </c>
      <c r="F2763" s="1">
        <v>170.352</v>
      </c>
      <c r="G2763">
        <v>3</v>
      </c>
      <c r="H2763" s="1">
        <v>-17.0352</v>
      </c>
      <c r="I2763" s="4">
        <f>SalesData[[#This Row],[Profit]]/SalesData[[#This Row],[Sales]]</f>
        <v>-9.9999999999999992E-2</v>
      </c>
      <c r="J2763">
        <f>YEAR(SalesData[[#This Row],[Order Date]])</f>
        <v>2015</v>
      </c>
      <c r="K2763" t="str">
        <f>TEXT(SalesData[[#This Row],[Order Date]],"mmm")</f>
        <v>Jun</v>
      </c>
      <c r="L2763">
        <f>MONTH(SalesData[[#This Row],[Order Date]])</f>
        <v>6</v>
      </c>
      <c r="M2763">
        <f>SalesData[[#This Row],[Sales]]/SalesData[[#This Row],[Quantity]]</f>
        <v>56.783999999999999</v>
      </c>
      <c r="N2763" t="str">
        <f>IF(SalesData[[#This Row],[Profit]]&gt;0,"Profit","Loss")</f>
        <v>Loss</v>
      </c>
    </row>
    <row r="2764" spans="1:14" x14ac:dyDescent="0.3">
      <c r="A2764" t="s">
        <v>1418</v>
      </c>
      <c r="B2764" s="3">
        <v>42162</v>
      </c>
      <c r="C2764" t="s">
        <v>17</v>
      </c>
      <c r="D2764" t="s">
        <v>21</v>
      </c>
      <c r="E2764" t="s">
        <v>1419</v>
      </c>
      <c r="F2764" s="1">
        <v>11.12</v>
      </c>
      <c r="G2764">
        <v>4</v>
      </c>
      <c r="H2764" s="1">
        <v>2.8912</v>
      </c>
      <c r="I2764" s="4">
        <f>SalesData[[#This Row],[Profit]]/SalesData[[#This Row],[Sales]]</f>
        <v>0.26</v>
      </c>
      <c r="J2764">
        <f>YEAR(SalesData[[#This Row],[Order Date]])</f>
        <v>2015</v>
      </c>
      <c r="K2764" t="str">
        <f>TEXT(SalesData[[#This Row],[Order Date]],"mmm")</f>
        <v>Jun</v>
      </c>
      <c r="L2764">
        <f>MONTH(SalesData[[#This Row],[Order Date]])</f>
        <v>6</v>
      </c>
      <c r="M2764">
        <f>SalesData[[#This Row],[Sales]]/SalesData[[#This Row],[Quantity]]</f>
        <v>2.78</v>
      </c>
      <c r="N2764" t="str">
        <f>IF(SalesData[[#This Row],[Profit]]&gt;0,"Profit","Loss")</f>
        <v>Profit</v>
      </c>
    </row>
    <row r="2765" spans="1:14" x14ac:dyDescent="0.3">
      <c r="A2765" t="s">
        <v>1420</v>
      </c>
      <c r="B2765" s="3">
        <v>42163</v>
      </c>
      <c r="C2765" t="s">
        <v>9</v>
      </c>
      <c r="D2765" t="s">
        <v>21</v>
      </c>
      <c r="E2765" t="s">
        <v>1391</v>
      </c>
      <c r="F2765" s="1">
        <v>27.216000000000001</v>
      </c>
      <c r="G2765">
        <v>3</v>
      </c>
      <c r="H2765" s="1">
        <v>9.8658000000000001</v>
      </c>
      <c r="I2765" s="4">
        <f>SalesData[[#This Row],[Profit]]/SalesData[[#This Row],[Sales]]</f>
        <v>0.36249999999999999</v>
      </c>
      <c r="J2765">
        <f>YEAR(SalesData[[#This Row],[Order Date]])</f>
        <v>2015</v>
      </c>
      <c r="K2765" t="str">
        <f>TEXT(SalesData[[#This Row],[Order Date]],"mmm")</f>
        <v>Jun</v>
      </c>
      <c r="L2765">
        <f>MONTH(SalesData[[#This Row],[Order Date]])</f>
        <v>6</v>
      </c>
      <c r="M2765">
        <f>SalesData[[#This Row],[Sales]]/SalesData[[#This Row],[Quantity]]</f>
        <v>9.072000000000001</v>
      </c>
      <c r="N2765" t="str">
        <f>IF(SalesData[[#This Row],[Profit]]&gt;0,"Profit","Loss")</f>
        <v>Profit</v>
      </c>
    </row>
    <row r="2766" spans="1:14" x14ac:dyDescent="0.3">
      <c r="A2766" t="s">
        <v>1421</v>
      </c>
      <c r="B2766" s="3">
        <v>42163</v>
      </c>
      <c r="C2766" t="s">
        <v>9</v>
      </c>
      <c r="D2766" t="s">
        <v>21</v>
      </c>
      <c r="E2766" t="s">
        <v>1121</v>
      </c>
      <c r="F2766" s="1">
        <v>35.520000000000003</v>
      </c>
      <c r="G2766">
        <v>3</v>
      </c>
      <c r="H2766" s="1">
        <v>13.32</v>
      </c>
      <c r="I2766" s="4">
        <f>SalesData[[#This Row],[Profit]]/SalesData[[#This Row],[Sales]]</f>
        <v>0.375</v>
      </c>
      <c r="J2766">
        <f>YEAR(SalesData[[#This Row],[Order Date]])</f>
        <v>2015</v>
      </c>
      <c r="K2766" t="str">
        <f>TEXT(SalesData[[#This Row],[Order Date]],"mmm")</f>
        <v>Jun</v>
      </c>
      <c r="L2766">
        <f>MONTH(SalesData[[#This Row],[Order Date]])</f>
        <v>6</v>
      </c>
      <c r="M2766">
        <f>SalesData[[#This Row],[Sales]]/SalesData[[#This Row],[Quantity]]</f>
        <v>11.840000000000002</v>
      </c>
      <c r="N2766" t="str">
        <f>IF(SalesData[[#This Row],[Profit]]&gt;0,"Profit","Loss")</f>
        <v>Profit</v>
      </c>
    </row>
    <row r="2767" spans="1:14" x14ac:dyDescent="0.3">
      <c r="A2767" t="s">
        <v>1421</v>
      </c>
      <c r="B2767" s="3">
        <v>42163</v>
      </c>
      <c r="C2767" t="s">
        <v>9</v>
      </c>
      <c r="D2767" t="s">
        <v>21</v>
      </c>
      <c r="E2767" t="s">
        <v>779</v>
      </c>
      <c r="F2767" s="1">
        <v>6.23</v>
      </c>
      <c r="G2767">
        <v>5</v>
      </c>
      <c r="H2767" s="1">
        <v>-9.6564999999999994</v>
      </c>
      <c r="I2767" s="4">
        <f>SalesData[[#This Row],[Profit]]/SalesData[[#This Row],[Sales]]</f>
        <v>-1.5499999999999998</v>
      </c>
      <c r="J2767">
        <f>YEAR(SalesData[[#This Row],[Order Date]])</f>
        <v>2015</v>
      </c>
      <c r="K2767" t="str">
        <f>TEXT(SalesData[[#This Row],[Order Date]],"mmm")</f>
        <v>Jun</v>
      </c>
      <c r="L2767">
        <f>MONTH(SalesData[[#This Row],[Order Date]])</f>
        <v>6</v>
      </c>
      <c r="M2767">
        <f>SalesData[[#This Row],[Sales]]/SalesData[[#This Row],[Quantity]]</f>
        <v>1.246</v>
      </c>
      <c r="N2767" t="str">
        <f>IF(SalesData[[#This Row],[Profit]]&gt;0,"Profit","Loss")</f>
        <v>Loss</v>
      </c>
    </row>
    <row r="2768" spans="1:14" x14ac:dyDescent="0.3">
      <c r="A2768" t="s">
        <v>1421</v>
      </c>
      <c r="B2768" s="3">
        <v>42163</v>
      </c>
      <c r="C2768" t="s">
        <v>9</v>
      </c>
      <c r="D2768" t="s">
        <v>21</v>
      </c>
      <c r="E2768" t="s">
        <v>1422</v>
      </c>
      <c r="F2768" s="1">
        <v>56.704000000000001</v>
      </c>
      <c r="G2768">
        <v>2</v>
      </c>
      <c r="H2768" s="1">
        <v>19.137599999999999</v>
      </c>
      <c r="I2768" s="4">
        <f>SalesData[[#This Row],[Profit]]/SalesData[[#This Row],[Sales]]</f>
        <v>0.33749999999999997</v>
      </c>
      <c r="J2768">
        <f>YEAR(SalesData[[#This Row],[Order Date]])</f>
        <v>2015</v>
      </c>
      <c r="K2768" t="str">
        <f>TEXT(SalesData[[#This Row],[Order Date]],"mmm")</f>
        <v>Jun</v>
      </c>
      <c r="L2768">
        <f>MONTH(SalesData[[#This Row],[Order Date]])</f>
        <v>6</v>
      </c>
      <c r="M2768">
        <f>SalesData[[#This Row],[Sales]]/SalesData[[#This Row],[Quantity]]</f>
        <v>28.352</v>
      </c>
      <c r="N2768" t="str">
        <f>IF(SalesData[[#This Row],[Profit]]&gt;0,"Profit","Loss")</f>
        <v>Profit</v>
      </c>
    </row>
    <row r="2769" spans="1:14" x14ac:dyDescent="0.3">
      <c r="A2769" t="s">
        <v>1421</v>
      </c>
      <c r="B2769" s="3">
        <v>42163</v>
      </c>
      <c r="C2769" t="s">
        <v>9</v>
      </c>
      <c r="D2769" t="s">
        <v>14</v>
      </c>
      <c r="E2769" t="s">
        <v>1423</v>
      </c>
      <c r="F2769" s="1">
        <v>369.19920000000002</v>
      </c>
      <c r="G2769">
        <v>3</v>
      </c>
      <c r="H2769" s="1">
        <v>-114.01739999999999</v>
      </c>
      <c r="I2769" s="4">
        <f>SalesData[[#This Row],[Profit]]/SalesData[[#This Row],[Sales]]</f>
        <v>-0.30882352941176466</v>
      </c>
      <c r="J2769">
        <f>YEAR(SalesData[[#This Row],[Order Date]])</f>
        <v>2015</v>
      </c>
      <c r="K2769" t="str">
        <f>TEXT(SalesData[[#This Row],[Order Date]],"mmm")</f>
        <v>Jun</v>
      </c>
      <c r="L2769">
        <f>MONTH(SalesData[[#This Row],[Order Date]])</f>
        <v>6</v>
      </c>
      <c r="M2769">
        <f>SalesData[[#This Row],[Sales]]/SalesData[[#This Row],[Quantity]]</f>
        <v>123.0664</v>
      </c>
      <c r="N2769" t="str">
        <f>IF(SalesData[[#This Row],[Profit]]&gt;0,"Profit","Loss")</f>
        <v>Loss</v>
      </c>
    </row>
    <row r="2770" spans="1:14" x14ac:dyDescent="0.3">
      <c r="A2770" t="s">
        <v>1424</v>
      </c>
      <c r="B2770" s="3">
        <v>42164</v>
      </c>
      <c r="C2770" t="s">
        <v>13</v>
      </c>
      <c r="D2770" t="s">
        <v>21</v>
      </c>
      <c r="E2770" t="s">
        <v>1425</v>
      </c>
      <c r="F2770" s="1">
        <v>6.0960000000000001</v>
      </c>
      <c r="G2770">
        <v>2</v>
      </c>
      <c r="H2770" s="1">
        <v>2.1335999999999999</v>
      </c>
      <c r="I2770" s="4">
        <f>SalesData[[#This Row],[Profit]]/SalesData[[#This Row],[Sales]]</f>
        <v>0.35</v>
      </c>
      <c r="J2770">
        <f>YEAR(SalesData[[#This Row],[Order Date]])</f>
        <v>2015</v>
      </c>
      <c r="K2770" t="str">
        <f>TEXT(SalesData[[#This Row],[Order Date]],"mmm")</f>
        <v>Jun</v>
      </c>
      <c r="L2770">
        <f>MONTH(SalesData[[#This Row],[Order Date]])</f>
        <v>6</v>
      </c>
      <c r="M2770">
        <f>SalesData[[#This Row],[Sales]]/SalesData[[#This Row],[Quantity]]</f>
        <v>3.048</v>
      </c>
      <c r="N2770" t="str">
        <f>IF(SalesData[[#This Row],[Profit]]&gt;0,"Profit","Loss")</f>
        <v>Profit</v>
      </c>
    </row>
    <row r="2771" spans="1:14" x14ac:dyDescent="0.3">
      <c r="A2771" t="s">
        <v>1424</v>
      </c>
      <c r="B2771" s="3">
        <v>42164</v>
      </c>
      <c r="C2771" t="s">
        <v>13</v>
      </c>
      <c r="D2771" t="s">
        <v>14</v>
      </c>
      <c r="E2771" t="s">
        <v>1426</v>
      </c>
      <c r="F2771" s="1">
        <v>191.82</v>
      </c>
      <c r="G2771">
        <v>3</v>
      </c>
      <c r="H2771" s="1">
        <v>74.809799999999996</v>
      </c>
      <c r="I2771" s="4">
        <f>SalesData[[#This Row],[Profit]]/SalesData[[#This Row],[Sales]]</f>
        <v>0.39</v>
      </c>
      <c r="J2771">
        <f>YEAR(SalesData[[#This Row],[Order Date]])</f>
        <v>2015</v>
      </c>
      <c r="K2771" t="str">
        <f>TEXT(SalesData[[#This Row],[Order Date]],"mmm")</f>
        <v>Jun</v>
      </c>
      <c r="L2771">
        <f>MONTH(SalesData[[#This Row],[Order Date]])</f>
        <v>6</v>
      </c>
      <c r="M2771">
        <f>SalesData[[#This Row],[Sales]]/SalesData[[#This Row],[Quantity]]</f>
        <v>63.94</v>
      </c>
      <c r="N2771" t="str">
        <f>IF(SalesData[[#This Row],[Profit]]&gt;0,"Profit","Loss")</f>
        <v>Profit</v>
      </c>
    </row>
    <row r="2772" spans="1:14" x14ac:dyDescent="0.3">
      <c r="A2772" t="s">
        <v>1427</v>
      </c>
      <c r="B2772" s="3">
        <v>42164</v>
      </c>
      <c r="C2772" t="s">
        <v>13</v>
      </c>
      <c r="D2772" t="s">
        <v>10</v>
      </c>
      <c r="E2772" t="s">
        <v>1405</v>
      </c>
      <c r="F2772" s="1">
        <v>46.32</v>
      </c>
      <c r="G2772">
        <v>4</v>
      </c>
      <c r="H2772" s="1">
        <v>18.064800000000002</v>
      </c>
      <c r="I2772" s="4">
        <f>SalesData[[#This Row],[Profit]]/SalesData[[#This Row],[Sales]]</f>
        <v>0.39</v>
      </c>
      <c r="J2772">
        <f>YEAR(SalesData[[#This Row],[Order Date]])</f>
        <v>2015</v>
      </c>
      <c r="K2772" t="str">
        <f>TEXT(SalesData[[#This Row],[Order Date]],"mmm")</f>
        <v>Jun</v>
      </c>
      <c r="L2772">
        <f>MONTH(SalesData[[#This Row],[Order Date]])</f>
        <v>6</v>
      </c>
      <c r="M2772">
        <f>SalesData[[#This Row],[Sales]]/SalesData[[#This Row],[Quantity]]</f>
        <v>11.58</v>
      </c>
      <c r="N2772" t="str">
        <f>IF(SalesData[[#This Row],[Profit]]&gt;0,"Profit","Loss")</f>
        <v>Profit</v>
      </c>
    </row>
    <row r="2773" spans="1:14" x14ac:dyDescent="0.3">
      <c r="A2773" t="s">
        <v>1428</v>
      </c>
      <c r="B2773" s="3">
        <v>42164</v>
      </c>
      <c r="C2773" t="s">
        <v>17</v>
      </c>
      <c r="D2773" t="s">
        <v>14</v>
      </c>
      <c r="E2773" t="s">
        <v>949</v>
      </c>
      <c r="F2773" s="1">
        <v>271.76400000000001</v>
      </c>
      <c r="G2773">
        <v>2</v>
      </c>
      <c r="H2773" s="1">
        <v>60.392000000000003</v>
      </c>
      <c r="I2773" s="4">
        <f>SalesData[[#This Row],[Profit]]/SalesData[[#This Row],[Sales]]</f>
        <v>0.22222222222222224</v>
      </c>
      <c r="J2773">
        <f>YEAR(SalesData[[#This Row],[Order Date]])</f>
        <v>2015</v>
      </c>
      <c r="K2773" t="str">
        <f>TEXT(SalesData[[#This Row],[Order Date]],"mmm")</f>
        <v>Jun</v>
      </c>
      <c r="L2773">
        <f>MONTH(SalesData[[#This Row],[Order Date]])</f>
        <v>6</v>
      </c>
      <c r="M2773">
        <f>SalesData[[#This Row],[Sales]]/SalesData[[#This Row],[Quantity]]</f>
        <v>135.88200000000001</v>
      </c>
      <c r="N2773" t="str">
        <f>IF(SalesData[[#This Row],[Profit]]&gt;0,"Profit","Loss")</f>
        <v>Profit</v>
      </c>
    </row>
    <row r="2774" spans="1:14" x14ac:dyDescent="0.3">
      <c r="A2774" t="s">
        <v>1429</v>
      </c>
      <c r="B2774" s="3">
        <v>42164</v>
      </c>
      <c r="C2774" t="s">
        <v>46</v>
      </c>
      <c r="D2774" t="s">
        <v>21</v>
      </c>
      <c r="E2774" t="s">
        <v>1430</v>
      </c>
      <c r="F2774" s="1">
        <v>7.24</v>
      </c>
      <c r="G2774">
        <v>5</v>
      </c>
      <c r="H2774" s="1">
        <v>1.1765000000000001</v>
      </c>
      <c r="I2774" s="4">
        <f>SalesData[[#This Row],[Profit]]/SalesData[[#This Row],[Sales]]</f>
        <v>0.16250000000000001</v>
      </c>
      <c r="J2774">
        <f>YEAR(SalesData[[#This Row],[Order Date]])</f>
        <v>2015</v>
      </c>
      <c r="K2774" t="str">
        <f>TEXT(SalesData[[#This Row],[Order Date]],"mmm")</f>
        <v>Jun</v>
      </c>
      <c r="L2774">
        <f>MONTH(SalesData[[#This Row],[Order Date]])</f>
        <v>6</v>
      </c>
      <c r="M2774">
        <f>SalesData[[#This Row],[Sales]]/SalesData[[#This Row],[Quantity]]</f>
        <v>1.448</v>
      </c>
      <c r="N2774" t="str">
        <f>IF(SalesData[[#This Row],[Profit]]&gt;0,"Profit","Loss")</f>
        <v>Profit</v>
      </c>
    </row>
    <row r="2775" spans="1:14" x14ac:dyDescent="0.3">
      <c r="A2775" t="s">
        <v>1431</v>
      </c>
      <c r="B2775" s="3">
        <v>42164</v>
      </c>
      <c r="C2775" t="s">
        <v>46</v>
      </c>
      <c r="D2775" t="s">
        <v>21</v>
      </c>
      <c r="E2775" t="s">
        <v>1432</v>
      </c>
      <c r="F2775" s="1">
        <v>3.444</v>
      </c>
      <c r="G2775">
        <v>1</v>
      </c>
      <c r="H2775" s="1">
        <v>-2.5255999999999998</v>
      </c>
      <c r="I2775" s="4">
        <f>SalesData[[#This Row],[Profit]]/SalesData[[#This Row],[Sales]]</f>
        <v>-0.73333333333333328</v>
      </c>
      <c r="J2775">
        <f>YEAR(SalesData[[#This Row],[Order Date]])</f>
        <v>2015</v>
      </c>
      <c r="K2775" t="str">
        <f>TEXT(SalesData[[#This Row],[Order Date]],"mmm")</f>
        <v>Jun</v>
      </c>
      <c r="L2775">
        <f>MONTH(SalesData[[#This Row],[Order Date]])</f>
        <v>6</v>
      </c>
      <c r="M2775">
        <f>SalesData[[#This Row],[Sales]]/SalesData[[#This Row],[Quantity]]</f>
        <v>3.444</v>
      </c>
      <c r="N2775" t="str">
        <f>IF(SalesData[[#This Row],[Profit]]&gt;0,"Profit","Loss")</f>
        <v>Loss</v>
      </c>
    </row>
    <row r="2776" spans="1:14" x14ac:dyDescent="0.3">
      <c r="A2776" t="s">
        <v>1433</v>
      </c>
      <c r="B2776" s="3">
        <v>42164</v>
      </c>
      <c r="C2776" t="s">
        <v>17</v>
      </c>
      <c r="D2776" t="s">
        <v>21</v>
      </c>
      <c r="E2776" t="s">
        <v>698</v>
      </c>
      <c r="F2776" s="1">
        <v>8.39</v>
      </c>
      <c r="G2776">
        <v>1</v>
      </c>
      <c r="H2776" s="1">
        <v>2.0975000000000001</v>
      </c>
      <c r="I2776" s="4">
        <f>SalesData[[#This Row],[Profit]]/SalesData[[#This Row],[Sales]]</f>
        <v>0.25</v>
      </c>
      <c r="J2776">
        <f>YEAR(SalesData[[#This Row],[Order Date]])</f>
        <v>2015</v>
      </c>
      <c r="K2776" t="str">
        <f>TEXT(SalesData[[#This Row],[Order Date]],"mmm")</f>
        <v>Jun</v>
      </c>
      <c r="L2776">
        <f>MONTH(SalesData[[#This Row],[Order Date]])</f>
        <v>6</v>
      </c>
      <c r="M2776">
        <f>SalesData[[#This Row],[Sales]]/SalesData[[#This Row],[Quantity]]</f>
        <v>8.39</v>
      </c>
      <c r="N2776" t="str">
        <f>IF(SalesData[[#This Row],[Profit]]&gt;0,"Profit","Loss")</f>
        <v>Profit</v>
      </c>
    </row>
    <row r="2777" spans="1:14" x14ac:dyDescent="0.3">
      <c r="A2777" t="s">
        <v>1433</v>
      </c>
      <c r="B2777" s="3">
        <v>42164</v>
      </c>
      <c r="C2777" t="s">
        <v>17</v>
      </c>
      <c r="D2777" t="s">
        <v>10</v>
      </c>
      <c r="E2777" t="s">
        <v>1280</v>
      </c>
      <c r="F2777" s="1">
        <v>337.98</v>
      </c>
      <c r="G2777">
        <v>2</v>
      </c>
      <c r="H2777" s="1">
        <v>101.39400000000001</v>
      </c>
      <c r="I2777" s="4">
        <f>SalesData[[#This Row],[Profit]]/SalesData[[#This Row],[Sales]]</f>
        <v>0.3</v>
      </c>
      <c r="J2777">
        <f>YEAR(SalesData[[#This Row],[Order Date]])</f>
        <v>2015</v>
      </c>
      <c r="K2777" t="str">
        <f>TEXT(SalesData[[#This Row],[Order Date]],"mmm")</f>
        <v>Jun</v>
      </c>
      <c r="L2777">
        <f>MONTH(SalesData[[#This Row],[Order Date]])</f>
        <v>6</v>
      </c>
      <c r="M2777">
        <f>SalesData[[#This Row],[Sales]]/SalesData[[#This Row],[Quantity]]</f>
        <v>168.99</v>
      </c>
      <c r="N2777" t="str">
        <f>IF(SalesData[[#This Row],[Profit]]&gt;0,"Profit","Loss")</f>
        <v>Profit</v>
      </c>
    </row>
    <row r="2778" spans="1:14" x14ac:dyDescent="0.3">
      <c r="A2778" t="s">
        <v>1434</v>
      </c>
      <c r="B2778" s="3">
        <v>42164</v>
      </c>
      <c r="C2778" t="s">
        <v>46</v>
      </c>
      <c r="D2778" t="s">
        <v>21</v>
      </c>
      <c r="E2778" t="s">
        <v>1435</v>
      </c>
      <c r="F2778" s="1">
        <v>46.62</v>
      </c>
      <c r="G2778">
        <v>9</v>
      </c>
      <c r="H2778" s="1">
        <v>21.4452</v>
      </c>
      <c r="I2778" s="4">
        <f>SalesData[[#This Row],[Profit]]/SalesData[[#This Row],[Sales]]</f>
        <v>0.46</v>
      </c>
      <c r="J2778">
        <f>YEAR(SalesData[[#This Row],[Order Date]])</f>
        <v>2015</v>
      </c>
      <c r="K2778" t="str">
        <f>TEXT(SalesData[[#This Row],[Order Date]],"mmm")</f>
        <v>Jun</v>
      </c>
      <c r="L2778">
        <f>MONTH(SalesData[[#This Row],[Order Date]])</f>
        <v>6</v>
      </c>
      <c r="M2778">
        <f>SalesData[[#This Row],[Sales]]/SalesData[[#This Row],[Quantity]]</f>
        <v>5.18</v>
      </c>
      <c r="N2778" t="str">
        <f>IF(SalesData[[#This Row],[Profit]]&gt;0,"Profit","Loss")</f>
        <v>Profit</v>
      </c>
    </row>
    <row r="2779" spans="1:14" x14ac:dyDescent="0.3">
      <c r="A2779" t="s">
        <v>1436</v>
      </c>
      <c r="B2779" s="3">
        <v>42164</v>
      </c>
      <c r="C2779" t="s">
        <v>46</v>
      </c>
      <c r="D2779" t="s">
        <v>14</v>
      </c>
      <c r="E2779" t="s">
        <v>243</v>
      </c>
      <c r="F2779" s="1">
        <v>85.98</v>
      </c>
      <c r="G2779">
        <v>1</v>
      </c>
      <c r="H2779" s="1">
        <v>22.354800000000001</v>
      </c>
      <c r="I2779" s="4">
        <f>SalesData[[#This Row],[Profit]]/SalesData[[#This Row],[Sales]]</f>
        <v>0.26</v>
      </c>
      <c r="J2779">
        <f>YEAR(SalesData[[#This Row],[Order Date]])</f>
        <v>2015</v>
      </c>
      <c r="K2779" t="str">
        <f>TEXT(SalesData[[#This Row],[Order Date]],"mmm")</f>
        <v>Jun</v>
      </c>
      <c r="L2779">
        <f>MONTH(SalesData[[#This Row],[Order Date]])</f>
        <v>6</v>
      </c>
      <c r="M2779">
        <f>SalesData[[#This Row],[Sales]]/SalesData[[#This Row],[Quantity]]</f>
        <v>85.98</v>
      </c>
      <c r="N2779" t="str">
        <f>IF(SalesData[[#This Row],[Profit]]&gt;0,"Profit","Loss")</f>
        <v>Profit</v>
      </c>
    </row>
    <row r="2780" spans="1:14" x14ac:dyDescent="0.3">
      <c r="A2780" t="s">
        <v>1437</v>
      </c>
      <c r="B2780" s="3">
        <v>42166</v>
      </c>
      <c r="C2780" t="s">
        <v>13</v>
      </c>
      <c r="D2780" t="s">
        <v>21</v>
      </c>
      <c r="E2780" t="s">
        <v>1438</v>
      </c>
      <c r="F2780" s="1">
        <v>7.08</v>
      </c>
      <c r="G2780">
        <v>3</v>
      </c>
      <c r="H2780" s="1">
        <v>2.4780000000000002</v>
      </c>
      <c r="I2780" s="4">
        <f>SalesData[[#This Row],[Profit]]/SalesData[[#This Row],[Sales]]</f>
        <v>0.35000000000000003</v>
      </c>
      <c r="J2780">
        <f>YEAR(SalesData[[#This Row],[Order Date]])</f>
        <v>2015</v>
      </c>
      <c r="K2780" t="str">
        <f>TEXT(SalesData[[#This Row],[Order Date]],"mmm")</f>
        <v>Jun</v>
      </c>
      <c r="L2780">
        <f>MONTH(SalesData[[#This Row],[Order Date]])</f>
        <v>6</v>
      </c>
      <c r="M2780">
        <f>SalesData[[#This Row],[Sales]]/SalesData[[#This Row],[Quantity]]</f>
        <v>2.36</v>
      </c>
      <c r="N2780" t="str">
        <f>IF(SalesData[[#This Row],[Profit]]&gt;0,"Profit","Loss")</f>
        <v>Profit</v>
      </c>
    </row>
    <row r="2781" spans="1:14" x14ac:dyDescent="0.3">
      <c r="A2781" t="s">
        <v>1437</v>
      </c>
      <c r="B2781" s="3">
        <v>42166</v>
      </c>
      <c r="C2781" t="s">
        <v>13</v>
      </c>
      <c r="D2781" t="s">
        <v>21</v>
      </c>
      <c r="E2781" t="s">
        <v>1404</v>
      </c>
      <c r="F2781" s="1">
        <v>4.4009999999999998</v>
      </c>
      <c r="G2781">
        <v>3</v>
      </c>
      <c r="H2781" s="1">
        <v>-3.5207999999999999</v>
      </c>
      <c r="I2781" s="4">
        <f>SalesData[[#This Row],[Profit]]/SalesData[[#This Row],[Sales]]</f>
        <v>-0.8</v>
      </c>
      <c r="J2781">
        <f>YEAR(SalesData[[#This Row],[Order Date]])</f>
        <v>2015</v>
      </c>
      <c r="K2781" t="str">
        <f>TEXT(SalesData[[#This Row],[Order Date]],"mmm")</f>
        <v>Jun</v>
      </c>
      <c r="L2781">
        <f>MONTH(SalesData[[#This Row],[Order Date]])</f>
        <v>6</v>
      </c>
      <c r="M2781">
        <f>SalesData[[#This Row],[Sales]]/SalesData[[#This Row],[Quantity]]</f>
        <v>1.4669999999999999</v>
      </c>
      <c r="N2781" t="str">
        <f>IF(SalesData[[#This Row],[Profit]]&gt;0,"Profit","Loss")</f>
        <v>Loss</v>
      </c>
    </row>
    <row r="2782" spans="1:14" x14ac:dyDescent="0.3">
      <c r="A2782" t="s">
        <v>1439</v>
      </c>
      <c r="B2782" s="3">
        <v>42167</v>
      </c>
      <c r="C2782" t="s">
        <v>13</v>
      </c>
      <c r="D2782" t="s">
        <v>21</v>
      </c>
      <c r="E2782" t="s">
        <v>401</v>
      </c>
      <c r="F2782" s="1">
        <v>120.15</v>
      </c>
      <c r="G2782">
        <v>9</v>
      </c>
      <c r="H2782" s="1">
        <v>33.642000000000003</v>
      </c>
      <c r="I2782" s="4">
        <f>SalesData[[#This Row],[Profit]]/SalesData[[#This Row],[Sales]]</f>
        <v>0.28000000000000003</v>
      </c>
      <c r="J2782">
        <f>YEAR(SalesData[[#This Row],[Order Date]])</f>
        <v>2015</v>
      </c>
      <c r="K2782" t="str">
        <f>TEXT(SalesData[[#This Row],[Order Date]],"mmm")</f>
        <v>Jun</v>
      </c>
      <c r="L2782">
        <f>MONTH(SalesData[[#This Row],[Order Date]])</f>
        <v>6</v>
      </c>
      <c r="M2782">
        <f>SalesData[[#This Row],[Sales]]/SalesData[[#This Row],[Quantity]]</f>
        <v>13.350000000000001</v>
      </c>
      <c r="N2782" t="str">
        <f>IF(SalesData[[#This Row],[Profit]]&gt;0,"Profit","Loss")</f>
        <v>Profit</v>
      </c>
    </row>
    <row r="2783" spans="1:14" x14ac:dyDescent="0.3">
      <c r="A2783" t="s">
        <v>1439</v>
      </c>
      <c r="B2783" s="3">
        <v>42167</v>
      </c>
      <c r="C2783" t="s">
        <v>13</v>
      </c>
      <c r="D2783" t="s">
        <v>10</v>
      </c>
      <c r="E2783" t="s">
        <v>975</v>
      </c>
      <c r="F2783" s="1">
        <v>219.184</v>
      </c>
      <c r="G2783">
        <v>2</v>
      </c>
      <c r="H2783" s="1">
        <v>19.178599999999999</v>
      </c>
      <c r="I2783" s="4">
        <f>SalesData[[#This Row],[Profit]]/SalesData[[#This Row],[Sales]]</f>
        <v>8.7499999999999994E-2</v>
      </c>
      <c r="J2783">
        <f>YEAR(SalesData[[#This Row],[Order Date]])</f>
        <v>2015</v>
      </c>
      <c r="K2783" t="str">
        <f>TEXT(SalesData[[#This Row],[Order Date]],"mmm")</f>
        <v>Jun</v>
      </c>
      <c r="L2783">
        <f>MONTH(SalesData[[#This Row],[Order Date]])</f>
        <v>6</v>
      </c>
      <c r="M2783">
        <f>SalesData[[#This Row],[Sales]]/SalesData[[#This Row],[Quantity]]</f>
        <v>109.592</v>
      </c>
      <c r="N2783" t="str">
        <f>IF(SalesData[[#This Row],[Profit]]&gt;0,"Profit","Loss")</f>
        <v>Profit</v>
      </c>
    </row>
    <row r="2784" spans="1:14" x14ac:dyDescent="0.3">
      <c r="A2784" t="s">
        <v>1440</v>
      </c>
      <c r="B2784" s="3">
        <v>42167</v>
      </c>
      <c r="C2784" t="s">
        <v>9</v>
      </c>
      <c r="D2784" t="s">
        <v>21</v>
      </c>
      <c r="E2784" t="s">
        <v>1441</v>
      </c>
      <c r="F2784" s="1">
        <v>2.7719999999999998</v>
      </c>
      <c r="G2784">
        <v>7</v>
      </c>
      <c r="H2784" s="1">
        <v>-4.851</v>
      </c>
      <c r="I2784" s="4">
        <f>SalesData[[#This Row],[Profit]]/SalesData[[#This Row],[Sales]]</f>
        <v>-1.7500000000000002</v>
      </c>
      <c r="J2784">
        <f>YEAR(SalesData[[#This Row],[Order Date]])</f>
        <v>2015</v>
      </c>
      <c r="K2784" t="str">
        <f>TEXT(SalesData[[#This Row],[Order Date]],"mmm")</f>
        <v>Jun</v>
      </c>
      <c r="L2784">
        <f>MONTH(SalesData[[#This Row],[Order Date]])</f>
        <v>6</v>
      </c>
      <c r="M2784">
        <f>SalesData[[#This Row],[Sales]]/SalesData[[#This Row],[Quantity]]</f>
        <v>0.39599999999999996</v>
      </c>
      <c r="N2784" t="str">
        <f>IF(SalesData[[#This Row],[Profit]]&gt;0,"Profit","Loss")</f>
        <v>Loss</v>
      </c>
    </row>
    <row r="2785" spans="1:14" x14ac:dyDescent="0.3">
      <c r="A2785" t="s">
        <v>1442</v>
      </c>
      <c r="B2785" s="3">
        <v>42167</v>
      </c>
      <c r="C2785" t="s">
        <v>13</v>
      </c>
      <c r="D2785" t="s">
        <v>14</v>
      </c>
      <c r="E2785" t="s">
        <v>102</v>
      </c>
      <c r="F2785" s="1">
        <v>206.11199999999999</v>
      </c>
      <c r="G2785">
        <v>6</v>
      </c>
      <c r="H2785" s="1">
        <v>48.951599999999999</v>
      </c>
      <c r="I2785" s="4">
        <f>SalesData[[#This Row],[Profit]]/SalesData[[#This Row],[Sales]]</f>
        <v>0.23749999999999999</v>
      </c>
      <c r="J2785">
        <f>YEAR(SalesData[[#This Row],[Order Date]])</f>
        <v>2015</v>
      </c>
      <c r="K2785" t="str">
        <f>TEXT(SalesData[[#This Row],[Order Date]],"mmm")</f>
        <v>Jun</v>
      </c>
      <c r="L2785">
        <f>MONTH(SalesData[[#This Row],[Order Date]])</f>
        <v>6</v>
      </c>
      <c r="M2785">
        <f>SalesData[[#This Row],[Sales]]/SalesData[[#This Row],[Quantity]]</f>
        <v>34.351999999999997</v>
      </c>
      <c r="N2785" t="str">
        <f>IF(SalesData[[#This Row],[Profit]]&gt;0,"Profit","Loss")</f>
        <v>Profit</v>
      </c>
    </row>
    <row r="2786" spans="1:14" x14ac:dyDescent="0.3">
      <c r="A2786" t="s">
        <v>1442</v>
      </c>
      <c r="B2786" s="3">
        <v>42167</v>
      </c>
      <c r="C2786" t="s">
        <v>13</v>
      </c>
      <c r="D2786" t="s">
        <v>21</v>
      </c>
      <c r="E2786" t="s">
        <v>1443</v>
      </c>
      <c r="F2786" s="1">
        <v>19.920000000000002</v>
      </c>
      <c r="G2786">
        <v>5</v>
      </c>
      <c r="H2786" s="1">
        <v>6.7229999999999999</v>
      </c>
      <c r="I2786" s="4">
        <f>SalesData[[#This Row],[Profit]]/SalesData[[#This Row],[Sales]]</f>
        <v>0.33749999999999997</v>
      </c>
      <c r="J2786">
        <f>YEAR(SalesData[[#This Row],[Order Date]])</f>
        <v>2015</v>
      </c>
      <c r="K2786" t="str">
        <f>TEXT(SalesData[[#This Row],[Order Date]],"mmm")</f>
        <v>Jun</v>
      </c>
      <c r="L2786">
        <f>MONTH(SalesData[[#This Row],[Order Date]])</f>
        <v>6</v>
      </c>
      <c r="M2786">
        <f>SalesData[[#This Row],[Sales]]/SalesData[[#This Row],[Quantity]]</f>
        <v>3.9840000000000004</v>
      </c>
      <c r="N2786" t="str">
        <f>IF(SalesData[[#This Row],[Profit]]&gt;0,"Profit","Loss")</f>
        <v>Profit</v>
      </c>
    </row>
    <row r="2787" spans="1:14" x14ac:dyDescent="0.3">
      <c r="A2787" t="s">
        <v>1442</v>
      </c>
      <c r="B2787" s="3">
        <v>42167</v>
      </c>
      <c r="C2787" t="s">
        <v>13</v>
      </c>
      <c r="D2787" t="s">
        <v>21</v>
      </c>
      <c r="E2787" t="s">
        <v>1444</v>
      </c>
      <c r="F2787" s="1">
        <v>198.27199999999999</v>
      </c>
      <c r="G2787">
        <v>8</v>
      </c>
      <c r="H2787" s="1">
        <v>61.96</v>
      </c>
      <c r="I2787" s="4">
        <f>SalesData[[#This Row],[Profit]]/SalesData[[#This Row],[Sales]]</f>
        <v>0.3125</v>
      </c>
      <c r="J2787">
        <f>YEAR(SalesData[[#This Row],[Order Date]])</f>
        <v>2015</v>
      </c>
      <c r="K2787" t="str">
        <f>TEXT(SalesData[[#This Row],[Order Date]],"mmm")</f>
        <v>Jun</v>
      </c>
      <c r="L2787">
        <f>MONTH(SalesData[[#This Row],[Order Date]])</f>
        <v>6</v>
      </c>
      <c r="M2787">
        <f>SalesData[[#This Row],[Sales]]/SalesData[[#This Row],[Quantity]]</f>
        <v>24.783999999999999</v>
      </c>
      <c r="N2787" t="str">
        <f>IF(SalesData[[#This Row],[Profit]]&gt;0,"Profit","Loss")</f>
        <v>Profit</v>
      </c>
    </row>
    <row r="2788" spans="1:14" x14ac:dyDescent="0.3">
      <c r="A2788" t="s">
        <v>1442</v>
      </c>
      <c r="B2788" s="3">
        <v>42167</v>
      </c>
      <c r="C2788" t="s">
        <v>13</v>
      </c>
      <c r="D2788" t="s">
        <v>21</v>
      </c>
      <c r="E2788" t="s">
        <v>1445</v>
      </c>
      <c r="F2788" s="1">
        <v>247.10400000000001</v>
      </c>
      <c r="G2788">
        <v>6</v>
      </c>
      <c r="H2788" s="1">
        <v>-58.687199999999997</v>
      </c>
      <c r="I2788" s="4">
        <f>SalesData[[#This Row],[Profit]]/SalesData[[#This Row],[Sales]]</f>
        <v>-0.23749999999999999</v>
      </c>
      <c r="J2788">
        <f>YEAR(SalesData[[#This Row],[Order Date]])</f>
        <v>2015</v>
      </c>
      <c r="K2788" t="str">
        <f>TEXT(SalesData[[#This Row],[Order Date]],"mmm")</f>
        <v>Jun</v>
      </c>
      <c r="L2788">
        <f>MONTH(SalesData[[#This Row],[Order Date]])</f>
        <v>6</v>
      </c>
      <c r="M2788">
        <f>SalesData[[#This Row],[Sales]]/SalesData[[#This Row],[Quantity]]</f>
        <v>41.184000000000005</v>
      </c>
      <c r="N2788" t="str">
        <f>IF(SalesData[[#This Row],[Profit]]&gt;0,"Profit","Loss")</f>
        <v>Loss</v>
      </c>
    </row>
    <row r="2789" spans="1:14" x14ac:dyDescent="0.3">
      <c r="A2789" t="s">
        <v>1442</v>
      </c>
      <c r="B2789" s="3">
        <v>42167</v>
      </c>
      <c r="C2789" t="s">
        <v>13</v>
      </c>
      <c r="D2789" t="s">
        <v>21</v>
      </c>
      <c r="E2789" t="s">
        <v>67</v>
      </c>
      <c r="F2789" s="1">
        <v>86.304000000000002</v>
      </c>
      <c r="G2789">
        <v>6</v>
      </c>
      <c r="H2789" s="1">
        <v>9.7091999999999992</v>
      </c>
      <c r="I2789" s="4">
        <f>SalesData[[#This Row],[Profit]]/SalesData[[#This Row],[Sales]]</f>
        <v>0.11249999999999999</v>
      </c>
      <c r="J2789">
        <f>YEAR(SalesData[[#This Row],[Order Date]])</f>
        <v>2015</v>
      </c>
      <c r="K2789" t="str">
        <f>TEXT(SalesData[[#This Row],[Order Date]],"mmm")</f>
        <v>Jun</v>
      </c>
      <c r="L2789">
        <f>MONTH(SalesData[[#This Row],[Order Date]])</f>
        <v>6</v>
      </c>
      <c r="M2789">
        <f>SalesData[[#This Row],[Sales]]/SalesData[[#This Row],[Quantity]]</f>
        <v>14.384</v>
      </c>
      <c r="N2789" t="str">
        <f>IF(SalesData[[#This Row],[Profit]]&gt;0,"Profit","Loss")</f>
        <v>Profit</v>
      </c>
    </row>
    <row r="2790" spans="1:14" x14ac:dyDescent="0.3">
      <c r="A2790" t="s">
        <v>1446</v>
      </c>
      <c r="B2790" s="3">
        <v>42167</v>
      </c>
      <c r="C2790" t="s">
        <v>17</v>
      </c>
      <c r="D2790" t="s">
        <v>10</v>
      </c>
      <c r="E2790" t="s">
        <v>1447</v>
      </c>
      <c r="F2790" s="1">
        <v>485.94</v>
      </c>
      <c r="G2790">
        <v>2</v>
      </c>
      <c r="H2790" s="1">
        <v>-89.088999999999999</v>
      </c>
      <c r="I2790" s="4">
        <f>SalesData[[#This Row],[Profit]]/SalesData[[#This Row],[Sales]]</f>
        <v>-0.18333333333333332</v>
      </c>
      <c r="J2790">
        <f>YEAR(SalesData[[#This Row],[Order Date]])</f>
        <v>2015</v>
      </c>
      <c r="K2790" t="str">
        <f>TEXT(SalesData[[#This Row],[Order Date]],"mmm")</f>
        <v>Jun</v>
      </c>
      <c r="L2790">
        <f>MONTH(SalesData[[#This Row],[Order Date]])</f>
        <v>6</v>
      </c>
      <c r="M2790">
        <f>SalesData[[#This Row],[Sales]]/SalesData[[#This Row],[Quantity]]</f>
        <v>242.97</v>
      </c>
      <c r="N2790" t="str">
        <f>IF(SalesData[[#This Row],[Profit]]&gt;0,"Profit","Loss")</f>
        <v>Loss</v>
      </c>
    </row>
    <row r="2791" spans="1:14" x14ac:dyDescent="0.3">
      <c r="A2791" t="s">
        <v>1446</v>
      </c>
      <c r="B2791" s="3">
        <v>42167</v>
      </c>
      <c r="C2791" t="s">
        <v>17</v>
      </c>
      <c r="D2791" t="s">
        <v>21</v>
      </c>
      <c r="E2791" t="s">
        <v>731</v>
      </c>
      <c r="F2791" s="1">
        <v>37.375999999999998</v>
      </c>
      <c r="G2791">
        <v>8</v>
      </c>
      <c r="H2791" s="1">
        <v>4.6719999999999997</v>
      </c>
      <c r="I2791" s="4">
        <f>SalesData[[#This Row],[Profit]]/SalesData[[#This Row],[Sales]]</f>
        <v>0.125</v>
      </c>
      <c r="J2791">
        <f>YEAR(SalesData[[#This Row],[Order Date]])</f>
        <v>2015</v>
      </c>
      <c r="K2791" t="str">
        <f>TEXT(SalesData[[#This Row],[Order Date]],"mmm")</f>
        <v>Jun</v>
      </c>
      <c r="L2791">
        <f>MONTH(SalesData[[#This Row],[Order Date]])</f>
        <v>6</v>
      </c>
      <c r="M2791">
        <f>SalesData[[#This Row],[Sales]]/SalesData[[#This Row],[Quantity]]</f>
        <v>4.6719999999999997</v>
      </c>
      <c r="N2791" t="str">
        <f>IF(SalesData[[#This Row],[Profit]]&gt;0,"Profit","Loss")</f>
        <v>Profit</v>
      </c>
    </row>
    <row r="2792" spans="1:14" x14ac:dyDescent="0.3">
      <c r="A2792" t="s">
        <v>1446</v>
      </c>
      <c r="B2792" s="3">
        <v>42167</v>
      </c>
      <c r="C2792" t="s">
        <v>17</v>
      </c>
      <c r="D2792" t="s">
        <v>14</v>
      </c>
      <c r="E2792" t="s">
        <v>1448</v>
      </c>
      <c r="F2792" s="1">
        <v>70.686000000000007</v>
      </c>
      <c r="G2792">
        <v>1</v>
      </c>
      <c r="H2792" s="1">
        <v>-24.235199999999999</v>
      </c>
      <c r="I2792" s="4">
        <f>SalesData[[#This Row],[Profit]]/SalesData[[#This Row],[Sales]]</f>
        <v>-0.3428571428571428</v>
      </c>
      <c r="J2792">
        <f>YEAR(SalesData[[#This Row],[Order Date]])</f>
        <v>2015</v>
      </c>
      <c r="K2792" t="str">
        <f>TEXT(SalesData[[#This Row],[Order Date]],"mmm")</f>
        <v>Jun</v>
      </c>
      <c r="L2792">
        <f>MONTH(SalesData[[#This Row],[Order Date]])</f>
        <v>6</v>
      </c>
      <c r="M2792">
        <f>SalesData[[#This Row],[Sales]]/SalesData[[#This Row],[Quantity]]</f>
        <v>70.686000000000007</v>
      </c>
      <c r="N2792" t="str">
        <f>IF(SalesData[[#This Row],[Profit]]&gt;0,"Profit","Loss")</f>
        <v>Loss</v>
      </c>
    </row>
    <row r="2793" spans="1:14" x14ac:dyDescent="0.3">
      <c r="A2793" t="s">
        <v>1449</v>
      </c>
      <c r="B2793" s="3">
        <v>42167</v>
      </c>
      <c r="C2793" t="s">
        <v>13</v>
      </c>
      <c r="D2793" t="s">
        <v>21</v>
      </c>
      <c r="E2793" t="s">
        <v>1450</v>
      </c>
      <c r="F2793" s="1">
        <v>32.75</v>
      </c>
      <c r="G2793">
        <v>5</v>
      </c>
      <c r="H2793" s="1">
        <v>15.065</v>
      </c>
      <c r="I2793" s="4">
        <f>SalesData[[#This Row],[Profit]]/SalesData[[#This Row],[Sales]]</f>
        <v>0.45999999999999996</v>
      </c>
      <c r="J2793">
        <f>YEAR(SalesData[[#This Row],[Order Date]])</f>
        <v>2015</v>
      </c>
      <c r="K2793" t="str">
        <f>TEXT(SalesData[[#This Row],[Order Date]],"mmm")</f>
        <v>Jun</v>
      </c>
      <c r="L2793">
        <f>MONTH(SalesData[[#This Row],[Order Date]])</f>
        <v>6</v>
      </c>
      <c r="M2793">
        <f>SalesData[[#This Row],[Sales]]/SalesData[[#This Row],[Quantity]]</f>
        <v>6.55</v>
      </c>
      <c r="N2793" t="str">
        <f>IF(SalesData[[#This Row],[Profit]]&gt;0,"Profit","Loss")</f>
        <v>Profit</v>
      </c>
    </row>
    <row r="2794" spans="1:14" x14ac:dyDescent="0.3">
      <c r="A2794" t="s">
        <v>1451</v>
      </c>
      <c r="B2794" s="3">
        <v>42167</v>
      </c>
      <c r="C2794" t="s">
        <v>17</v>
      </c>
      <c r="D2794" t="s">
        <v>21</v>
      </c>
      <c r="E2794" t="s">
        <v>1113</v>
      </c>
      <c r="F2794" s="1">
        <v>6.48</v>
      </c>
      <c r="G2794">
        <v>1</v>
      </c>
      <c r="H2794" s="1">
        <v>3.1103999999999998</v>
      </c>
      <c r="I2794" s="4">
        <f>SalesData[[#This Row],[Profit]]/SalesData[[#This Row],[Sales]]</f>
        <v>0.47999999999999993</v>
      </c>
      <c r="J2794">
        <f>YEAR(SalesData[[#This Row],[Order Date]])</f>
        <v>2015</v>
      </c>
      <c r="K2794" t="str">
        <f>TEXT(SalesData[[#This Row],[Order Date]],"mmm")</f>
        <v>Jun</v>
      </c>
      <c r="L2794">
        <f>MONTH(SalesData[[#This Row],[Order Date]])</f>
        <v>6</v>
      </c>
      <c r="M2794">
        <f>SalesData[[#This Row],[Sales]]/SalesData[[#This Row],[Quantity]]</f>
        <v>6.48</v>
      </c>
      <c r="N2794" t="str">
        <f>IF(SalesData[[#This Row],[Profit]]&gt;0,"Profit","Loss")</f>
        <v>Profit</v>
      </c>
    </row>
    <row r="2795" spans="1:14" x14ac:dyDescent="0.3">
      <c r="A2795" t="s">
        <v>1451</v>
      </c>
      <c r="B2795" s="3">
        <v>42167</v>
      </c>
      <c r="C2795" t="s">
        <v>17</v>
      </c>
      <c r="D2795" t="s">
        <v>21</v>
      </c>
      <c r="E2795" t="s">
        <v>1452</v>
      </c>
      <c r="F2795" s="1">
        <v>41.86</v>
      </c>
      <c r="G2795">
        <v>7</v>
      </c>
      <c r="H2795" s="1">
        <v>20.511399999999998</v>
      </c>
      <c r="I2795" s="4">
        <f>SalesData[[#This Row],[Profit]]/SalesData[[#This Row],[Sales]]</f>
        <v>0.49</v>
      </c>
      <c r="J2795">
        <f>YEAR(SalesData[[#This Row],[Order Date]])</f>
        <v>2015</v>
      </c>
      <c r="K2795" t="str">
        <f>TEXT(SalesData[[#This Row],[Order Date]],"mmm")</f>
        <v>Jun</v>
      </c>
      <c r="L2795">
        <f>MONTH(SalesData[[#This Row],[Order Date]])</f>
        <v>6</v>
      </c>
      <c r="M2795">
        <f>SalesData[[#This Row],[Sales]]/SalesData[[#This Row],[Quantity]]</f>
        <v>5.9799999999999995</v>
      </c>
      <c r="N2795" t="str">
        <f>IF(SalesData[[#This Row],[Profit]]&gt;0,"Profit","Loss")</f>
        <v>Profit</v>
      </c>
    </row>
    <row r="2796" spans="1:14" x14ac:dyDescent="0.3">
      <c r="A2796" t="s">
        <v>1451</v>
      </c>
      <c r="B2796" s="3">
        <v>42167</v>
      </c>
      <c r="C2796" t="s">
        <v>17</v>
      </c>
      <c r="D2796" t="s">
        <v>10</v>
      </c>
      <c r="E2796" t="s">
        <v>1453</v>
      </c>
      <c r="F2796" s="1">
        <v>1619.91</v>
      </c>
      <c r="G2796">
        <v>9</v>
      </c>
      <c r="H2796" s="1">
        <v>97.194599999999994</v>
      </c>
      <c r="I2796" s="4">
        <f>SalesData[[#This Row],[Profit]]/SalesData[[#This Row],[Sales]]</f>
        <v>5.9999999999999991E-2</v>
      </c>
      <c r="J2796">
        <f>YEAR(SalesData[[#This Row],[Order Date]])</f>
        <v>2015</v>
      </c>
      <c r="K2796" t="str">
        <f>TEXT(SalesData[[#This Row],[Order Date]],"mmm")</f>
        <v>Jun</v>
      </c>
      <c r="L2796">
        <f>MONTH(SalesData[[#This Row],[Order Date]])</f>
        <v>6</v>
      </c>
      <c r="M2796">
        <f>SalesData[[#This Row],[Sales]]/SalesData[[#This Row],[Quantity]]</f>
        <v>179.99</v>
      </c>
      <c r="N2796" t="str">
        <f>IF(SalesData[[#This Row],[Profit]]&gt;0,"Profit","Loss")</f>
        <v>Profit</v>
      </c>
    </row>
    <row r="2797" spans="1:14" x14ac:dyDescent="0.3">
      <c r="A2797" t="s">
        <v>1451</v>
      </c>
      <c r="B2797" s="3">
        <v>42167</v>
      </c>
      <c r="C2797" t="s">
        <v>17</v>
      </c>
      <c r="D2797" t="s">
        <v>14</v>
      </c>
      <c r="E2797" t="s">
        <v>337</v>
      </c>
      <c r="F2797" s="1">
        <v>113.92</v>
      </c>
      <c r="G2797">
        <v>4</v>
      </c>
      <c r="H2797" s="1">
        <v>42.150399999999998</v>
      </c>
      <c r="I2797" s="4">
        <f>SalesData[[#This Row],[Profit]]/SalesData[[#This Row],[Sales]]</f>
        <v>0.37</v>
      </c>
      <c r="J2797">
        <f>YEAR(SalesData[[#This Row],[Order Date]])</f>
        <v>2015</v>
      </c>
      <c r="K2797" t="str">
        <f>TEXT(SalesData[[#This Row],[Order Date]],"mmm")</f>
        <v>Jun</v>
      </c>
      <c r="L2797">
        <f>MONTH(SalesData[[#This Row],[Order Date]])</f>
        <v>6</v>
      </c>
      <c r="M2797">
        <f>SalesData[[#This Row],[Sales]]/SalesData[[#This Row],[Quantity]]</f>
        <v>28.48</v>
      </c>
      <c r="N2797" t="str">
        <f>IF(SalesData[[#This Row],[Profit]]&gt;0,"Profit","Loss")</f>
        <v>Profit</v>
      </c>
    </row>
    <row r="2798" spans="1:14" x14ac:dyDescent="0.3">
      <c r="A2798" t="s">
        <v>1454</v>
      </c>
      <c r="B2798" s="3">
        <v>42167</v>
      </c>
      <c r="C2798" t="s">
        <v>9</v>
      </c>
      <c r="D2798" t="s">
        <v>10</v>
      </c>
      <c r="E2798" t="s">
        <v>1455</v>
      </c>
      <c r="F2798" s="1">
        <v>999.98</v>
      </c>
      <c r="G2798">
        <v>2</v>
      </c>
      <c r="H2798" s="1">
        <v>449.99099999999999</v>
      </c>
      <c r="I2798" s="4">
        <f>SalesData[[#This Row],[Profit]]/SalesData[[#This Row],[Sales]]</f>
        <v>0.44999999999999996</v>
      </c>
      <c r="J2798">
        <f>YEAR(SalesData[[#This Row],[Order Date]])</f>
        <v>2015</v>
      </c>
      <c r="K2798" t="str">
        <f>TEXT(SalesData[[#This Row],[Order Date]],"mmm")</f>
        <v>Jun</v>
      </c>
      <c r="L2798">
        <f>MONTH(SalesData[[#This Row],[Order Date]])</f>
        <v>6</v>
      </c>
      <c r="M2798">
        <f>SalesData[[#This Row],[Sales]]/SalesData[[#This Row],[Quantity]]</f>
        <v>499.99</v>
      </c>
      <c r="N2798" t="str">
        <f>IF(SalesData[[#This Row],[Profit]]&gt;0,"Profit","Loss")</f>
        <v>Profit</v>
      </c>
    </row>
    <row r="2799" spans="1:14" x14ac:dyDescent="0.3">
      <c r="A2799" t="s">
        <v>1456</v>
      </c>
      <c r="B2799" s="3">
        <v>42167</v>
      </c>
      <c r="C2799" t="s">
        <v>13</v>
      </c>
      <c r="D2799" t="s">
        <v>21</v>
      </c>
      <c r="E2799" t="s">
        <v>1457</v>
      </c>
      <c r="F2799" s="1">
        <v>6.48</v>
      </c>
      <c r="G2799">
        <v>1</v>
      </c>
      <c r="H2799" s="1">
        <v>3.1103999999999998</v>
      </c>
      <c r="I2799" s="4">
        <f>SalesData[[#This Row],[Profit]]/SalesData[[#This Row],[Sales]]</f>
        <v>0.47999999999999993</v>
      </c>
      <c r="J2799">
        <f>YEAR(SalesData[[#This Row],[Order Date]])</f>
        <v>2015</v>
      </c>
      <c r="K2799" t="str">
        <f>TEXT(SalesData[[#This Row],[Order Date]],"mmm")</f>
        <v>Jun</v>
      </c>
      <c r="L2799">
        <f>MONTH(SalesData[[#This Row],[Order Date]])</f>
        <v>6</v>
      </c>
      <c r="M2799">
        <f>SalesData[[#This Row],[Sales]]/SalesData[[#This Row],[Quantity]]</f>
        <v>6.48</v>
      </c>
      <c r="N2799" t="str">
        <f>IF(SalesData[[#This Row],[Profit]]&gt;0,"Profit","Loss")</f>
        <v>Profit</v>
      </c>
    </row>
    <row r="2800" spans="1:14" x14ac:dyDescent="0.3">
      <c r="A2800" t="s">
        <v>1456</v>
      </c>
      <c r="B2800" s="3">
        <v>42167</v>
      </c>
      <c r="C2800" t="s">
        <v>13</v>
      </c>
      <c r="D2800" t="s">
        <v>21</v>
      </c>
      <c r="E2800" t="s">
        <v>785</v>
      </c>
      <c r="F2800" s="1">
        <v>1325.85</v>
      </c>
      <c r="G2800">
        <v>5</v>
      </c>
      <c r="H2800" s="1">
        <v>238.65299999999999</v>
      </c>
      <c r="I2800" s="4">
        <f>SalesData[[#This Row],[Profit]]/SalesData[[#This Row],[Sales]]</f>
        <v>0.18</v>
      </c>
      <c r="J2800">
        <f>YEAR(SalesData[[#This Row],[Order Date]])</f>
        <v>2015</v>
      </c>
      <c r="K2800" t="str">
        <f>TEXT(SalesData[[#This Row],[Order Date]],"mmm")</f>
        <v>Jun</v>
      </c>
      <c r="L2800">
        <f>MONTH(SalesData[[#This Row],[Order Date]])</f>
        <v>6</v>
      </c>
      <c r="M2800">
        <f>SalesData[[#This Row],[Sales]]/SalesData[[#This Row],[Quantity]]</f>
        <v>265.16999999999996</v>
      </c>
      <c r="N2800" t="str">
        <f>IF(SalesData[[#This Row],[Profit]]&gt;0,"Profit","Loss")</f>
        <v>Profit</v>
      </c>
    </row>
    <row r="2801" spans="1:14" x14ac:dyDescent="0.3">
      <c r="A2801" t="s">
        <v>1456</v>
      </c>
      <c r="B2801" s="3">
        <v>42167</v>
      </c>
      <c r="C2801" t="s">
        <v>13</v>
      </c>
      <c r="D2801" t="s">
        <v>21</v>
      </c>
      <c r="E2801" t="s">
        <v>878</v>
      </c>
      <c r="F2801" s="1">
        <v>14.94</v>
      </c>
      <c r="G2801">
        <v>3</v>
      </c>
      <c r="H2801" s="1">
        <v>6.8723999999999998</v>
      </c>
      <c r="I2801" s="4">
        <f>SalesData[[#This Row],[Profit]]/SalesData[[#This Row],[Sales]]</f>
        <v>0.46</v>
      </c>
      <c r="J2801">
        <f>YEAR(SalesData[[#This Row],[Order Date]])</f>
        <v>2015</v>
      </c>
      <c r="K2801" t="str">
        <f>TEXT(SalesData[[#This Row],[Order Date]],"mmm")</f>
        <v>Jun</v>
      </c>
      <c r="L2801">
        <f>MONTH(SalesData[[#This Row],[Order Date]])</f>
        <v>6</v>
      </c>
      <c r="M2801">
        <f>SalesData[[#This Row],[Sales]]/SalesData[[#This Row],[Quantity]]</f>
        <v>4.9799999999999995</v>
      </c>
      <c r="N2801" t="str">
        <f>IF(SalesData[[#This Row],[Profit]]&gt;0,"Profit","Loss")</f>
        <v>Profit</v>
      </c>
    </row>
    <row r="2802" spans="1:14" x14ac:dyDescent="0.3">
      <c r="A2802" t="s">
        <v>1458</v>
      </c>
      <c r="B2802" s="3">
        <v>42167</v>
      </c>
      <c r="C2802" t="s">
        <v>13</v>
      </c>
      <c r="D2802" t="s">
        <v>21</v>
      </c>
      <c r="E2802" t="s">
        <v>338</v>
      </c>
      <c r="F2802" s="1">
        <v>7.78</v>
      </c>
      <c r="G2802">
        <v>2</v>
      </c>
      <c r="H2802" s="1">
        <v>2.0228000000000002</v>
      </c>
      <c r="I2802" s="4">
        <f>SalesData[[#This Row],[Profit]]/SalesData[[#This Row],[Sales]]</f>
        <v>0.26</v>
      </c>
      <c r="J2802">
        <f>YEAR(SalesData[[#This Row],[Order Date]])</f>
        <v>2015</v>
      </c>
      <c r="K2802" t="str">
        <f>TEXT(SalesData[[#This Row],[Order Date]],"mmm")</f>
        <v>Jun</v>
      </c>
      <c r="L2802">
        <f>MONTH(SalesData[[#This Row],[Order Date]])</f>
        <v>6</v>
      </c>
      <c r="M2802">
        <f>SalesData[[#This Row],[Sales]]/SalesData[[#This Row],[Quantity]]</f>
        <v>3.89</v>
      </c>
      <c r="N2802" t="str">
        <f>IF(SalesData[[#This Row],[Profit]]&gt;0,"Profit","Loss")</f>
        <v>Profit</v>
      </c>
    </row>
    <row r="2803" spans="1:14" x14ac:dyDescent="0.3">
      <c r="A2803" t="s">
        <v>1459</v>
      </c>
      <c r="B2803" s="3">
        <v>42167</v>
      </c>
      <c r="C2803" t="s">
        <v>46</v>
      </c>
      <c r="D2803" t="s">
        <v>10</v>
      </c>
      <c r="E2803" t="s">
        <v>191</v>
      </c>
      <c r="F2803" s="1">
        <v>173.94</v>
      </c>
      <c r="G2803">
        <v>6</v>
      </c>
      <c r="H2803" s="1">
        <v>50.442599999999999</v>
      </c>
      <c r="I2803" s="4">
        <f>SalesData[[#This Row],[Profit]]/SalesData[[#This Row],[Sales]]</f>
        <v>0.28999999999999998</v>
      </c>
      <c r="J2803">
        <f>YEAR(SalesData[[#This Row],[Order Date]])</f>
        <v>2015</v>
      </c>
      <c r="K2803" t="str">
        <f>TEXT(SalesData[[#This Row],[Order Date]],"mmm")</f>
        <v>Jun</v>
      </c>
      <c r="L2803">
        <f>MONTH(SalesData[[#This Row],[Order Date]])</f>
        <v>6</v>
      </c>
      <c r="M2803">
        <f>SalesData[[#This Row],[Sales]]/SalesData[[#This Row],[Quantity]]</f>
        <v>28.99</v>
      </c>
      <c r="N2803" t="str">
        <f>IF(SalesData[[#This Row],[Profit]]&gt;0,"Profit","Loss")</f>
        <v>Profit</v>
      </c>
    </row>
    <row r="2804" spans="1:14" x14ac:dyDescent="0.3">
      <c r="A2804" t="s">
        <v>1460</v>
      </c>
      <c r="B2804" s="3">
        <v>42167</v>
      </c>
      <c r="C2804" t="s">
        <v>17</v>
      </c>
      <c r="D2804" t="s">
        <v>21</v>
      </c>
      <c r="E2804" t="s">
        <v>350</v>
      </c>
      <c r="F2804" s="1">
        <v>14.832000000000001</v>
      </c>
      <c r="G2804">
        <v>3</v>
      </c>
      <c r="H2804" s="1">
        <v>-10.382400000000001</v>
      </c>
      <c r="I2804" s="4">
        <f>SalesData[[#This Row],[Profit]]/SalesData[[#This Row],[Sales]]</f>
        <v>-0.7</v>
      </c>
      <c r="J2804">
        <f>YEAR(SalesData[[#This Row],[Order Date]])</f>
        <v>2015</v>
      </c>
      <c r="K2804" t="str">
        <f>TEXT(SalesData[[#This Row],[Order Date]],"mmm")</f>
        <v>Jun</v>
      </c>
      <c r="L2804">
        <f>MONTH(SalesData[[#This Row],[Order Date]])</f>
        <v>6</v>
      </c>
      <c r="M2804">
        <f>SalesData[[#This Row],[Sales]]/SalesData[[#This Row],[Quantity]]</f>
        <v>4.944</v>
      </c>
      <c r="N2804" t="str">
        <f>IF(SalesData[[#This Row],[Profit]]&gt;0,"Profit","Loss")</f>
        <v>Loss</v>
      </c>
    </row>
    <row r="2805" spans="1:14" x14ac:dyDescent="0.3">
      <c r="A2805" t="s">
        <v>1461</v>
      </c>
      <c r="B2805" s="3">
        <v>42167</v>
      </c>
      <c r="C2805" t="s">
        <v>13</v>
      </c>
      <c r="D2805" t="s">
        <v>21</v>
      </c>
      <c r="E2805" t="s">
        <v>1462</v>
      </c>
      <c r="F2805" s="1">
        <v>8.9600000000000009</v>
      </c>
      <c r="G2805">
        <v>2</v>
      </c>
      <c r="H2805" s="1">
        <v>4.3903999999999996</v>
      </c>
      <c r="I2805" s="4">
        <f>SalesData[[#This Row],[Profit]]/SalesData[[#This Row],[Sales]]</f>
        <v>0.48999999999999994</v>
      </c>
      <c r="J2805">
        <f>YEAR(SalesData[[#This Row],[Order Date]])</f>
        <v>2015</v>
      </c>
      <c r="K2805" t="str">
        <f>TEXT(SalesData[[#This Row],[Order Date]],"mmm")</f>
        <v>Jun</v>
      </c>
      <c r="L2805">
        <f>MONTH(SalesData[[#This Row],[Order Date]])</f>
        <v>6</v>
      </c>
      <c r="M2805">
        <f>SalesData[[#This Row],[Sales]]/SalesData[[#This Row],[Quantity]]</f>
        <v>4.4800000000000004</v>
      </c>
      <c r="N2805" t="str">
        <f>IF(SalesData[[#This Row],[Profit]]&gt;0,"Profit","Loss")</f>
        <v>Profit</v>
      </c>
    </row>
    <row r="2806" spans="1:14" x14ac:dyDescent="0.3">
      <c r="A2806" t="s">
        <v>1463</v>
      </c>
      <c r="B2806" s="3">
        <v>42187</v>
      </c>
      <c r="C2806" t="s">
        <v>46</v>
      </c>
      <c r="D2806" t="s">
        <v>21</v>
      </c>
      <c r="E2806" t="s">
        <v>472</v>
      </c>
      <c r="F2806" s="1">
        <v>311.14999999999998</v>
      </c>
      <c r="G2806">
        <v>5</v>
      </c>
      <c r="H2806" s="1">
        <v>146.2405</v>
      </c>
      <c r="I2806" s="4">
        <f>SalesData[[#This Row],[Profit]]/SalesData[[#This Row],[Sales]]</f>
        <v>0.47000000000000003</v>
      </c>
      <c r="J2806">
        <f>YEAR(SalesData[[#This Row],[Order Date]])</f>
        <v>2015</v>
      </c>
      <c r="K2806" t="str">
        <f>TEXT(SalesData[[#This Row],[Order Date]],"mmm")</f>
        <v>Jul</v>
      </c>
      <c r="L2806">
        <f>MONTH(SalesData[[#This Row],[Order Date]])</f>
        <v>7</v>
      </c>
      <c r="M2806">
        <f>SalesData[[#This Row],[Sales]]/SalesData[[#This Row],[Quantity]]</f>
        <v>62.23</v>
      </c>
      <c r="N2806" t="str">
        <f>IF(SalesData[[#This Row],[Profit]]&gt;0,"Profit","Loss")</f>
        <v>Profit</v>
      </c>
    </row>
    <row r="2807" spans="1:14" x14ac:dyDescent="0.3">
      <c r="A2807" t="s">
        <v>1463</v>
      </c>
      <c r="B2807" s="3">
        <v>42187</v>
      </c>
      <c r="C2807" t="s">
        <v>46</v>
      </c>
      <c r="D2807" t="s">
        <v>21</v>
      </c>
      <c r="E2807" t="s">
        <v>394</v>
      </c>
      <c r="F2807" s="1">
        <v>12.96</v>
      </c>
      <c r="G2807">
        <v>2</v>
      </c>
      <c r="H2807" s="1">
        <v>6.3503999999999996</v>
      </c>
      <c r="I2807" s="4">
        <f>SalesData[[#This Row],[Profit]]/SalesData[[#This Row],[Sales]]</f>
        <v>0.48999999999999994</v>
      </c>
      <c r="J2807">
        <f>YEAR(SalesData[[#This Row],[Order Date]])</f>
        <v>2015</v>
      </c>
      <c r="K2807" t="str">
        <f>TEXT(SalesData[[#This Row],[Order Date]],"mmm")</f>
        <v>Jul</v>
      </c>
      <c r="L2807">
        <f>MONTH(SalesData[[#This Row],[Order Date]])</f>
        <v>7</v>
      </c>
      <c r="M2807">
        <f>SalesData[[#This Row],[Sales]]/SalesData[[#This Row],[Quantity]]</f>
        <v>6.48</v>
      </c>
      <c r="N2807" t="str">
        <f>IF(SalesData[[#This Row],[Profit]]&gt;0,"Profit","Loss")</f>
        <v>Profit</v>
      </c>
    </row>
    <row r="2808" spans="1:14" x14ac:dyDescent="0.3">
      <c r="A2808" t="s">
        <v>1464</v>
      </c>
      <c r="B2808" s="3">
        <v>42188</v>
      </c>
      <c r="C2808" t="s">
        <v>17</v>
      </c>
      <c r="D2808" t="s">
        <v>10</v>
      </c>
      <c r="E2808" t="s">
        <v>1465</v>
      </c>
      <c r="F2808" s="1">
        <v>119.85</v>
      </c>
      <c r="G2808">
        <v>3</v>
      </c>
      <c r="H2808" s="1">
        <v>52.734000000000002</v>
      </c>
      <c r="I2808" s="4">
        <f>SalesData[[#This Row],[Profit]]/SalesData[[#This Row],[Sales]]</f>
        <v>0.44000000000000006</v>
      </c>
      <c r="J2808">
        <f>YEAR(SalesData[[#This Row],[Order Date]])</f>
        <v>2015</v>
      </c>
      <c r="K2808" t="str">
        <f>TEXT(SalesData[[#This Row],[Order Date]],"mmm")</f>
        <v>Jul</v>
      </c>
      <c r="L2808">
        <f>MONTH(SalesData[[#This Row],[Order Date]])</f>
        <v>7</v>
      </c>
      <c r="M2808">
        <f>SalesData[[#This Row],[Sales]]/SalesData[[#This Row],[Quantity]]</f>
        <v>39.949999999999996</v>
      </c>
      <c r="N2808" t="str">
        <f>IF(SalesData[[#This Row],[Profit]]&gt;0,"Profit","Loss")</f>
        <v>Profit</v>
      </c>
    </row>
    <row r="2809" spans="1:14" x14ac:dyDescent="0.3">
      <c r="A2809" t="s">
        <v>1464</v>
      </c>
      <c r="B2809" s="3">
        <v>42188</v>
      </c>
      <c r="C2809" t="s">
        <v>17</v>
      </c>
      <c r="D2809" t="s">
        <v>21</v>
      </c>
      <c r="E2809" t="s">
        <v>1068</v>
      </c>
      <c r="F2809" s="1">
        <v>30.44</v>
      </c>
      <c r="G2809">
        <v>2</v>
      </c>
      <c r="H2809" s="1">
        <v>14.9156</v>
      </c>
      <c r="I2809" s="4">
        <f>SalesData[[#This Row],[Profit]]/SalesData[[#This Row],[Sales]]</f>
        <v>0.49</v>
      </c>
      <c r="J2809">
        <f>YEAR(SalesData[[#This Row],[Order Date]])</f>
        <v>2015</v>
      </c>
      <c r="K2809" t="str">
        <f>TEXT(SalesData[[#This Row],[Order Date]],"mmm")</f>
        <v>Jul</v>
      </c>
      <c r="L2809">
        <f>MONTH(SalesData[[#This Row],[Order Date]])</f>
        <v>7</v>
      </c>
      <c r="M2809">
        <f>SalesData[[#This Row],[Sales]]/SalesData[[#This Row],[Quantity]]</f>
        <v>15.22</v>
      </c>
      <c r="N2809" t="str">
        <f>IF(SalesData[[#This Row],[Profit]]&gt;0,"Profit","Loss")</f>
        <v>Profit</v>
      </c>
    </row>
    <row r="2810" spans="1:14" x14ac:dyDescent="0.3">
      <c r="A2810" t="s">
        <v>1464</v>
      </c>
      <c r="B2810" s="3">
        <v>42188</v>
      </c>
      <c r="C2810" t="s">
        <v>17</v>
      </c>
      <c r="D2810" t="s">
        <v>21</v>
      </c>
      <c r="E2810" t="s">
        <v>50</v>
      </c>
      <c r="F2810" s="1">
        <v>69.28</v>
      </c>
      <c r="G2810">
        <v>2</v>
      </c>
      <c r="H2810" s="1">
        <v>33.254399999999997</v>
      </c>
      <c r="I2810" s="4">
        <f>SalesData[[#This Row],[Profit]]/SalesData[[#This Row],[Sales]]</f>
        <v>0.47999999999999993</v>
      </c>
      <c r="J2810">
        <f>YEAR(SalesData[[#This Row],[Order Date]])</f>
        <v>2015</v>
      </c>
      <c r="K2810" t="str">
        <f>TEXT(SalesData[[#This Row],[Order Date]],"mmm")</f>
        <v>Jul</v>
      </c>
      <c r="L2810">
        <f>MONTH(SalesData[[#This Row],[Order Date]])</f>
        <v>7</v>
      </c>
      <c r="M2810">
        <f>SalesData[[#This Row],[Sales]]/SalesData[[#This Row],[Quantity]]</f>
        <v>34.64</v>
      </c>
      <c r="N2810" t="str">
        <f>IF(SalesData[[#This Row],[Profit]]&gt;0,"Profit","Loss")</f>
        <v>Profit</v>
      </c>
    </row>
    <row r="2811" spans="1:14" x14ac:dyDescent="0.3">
      <c r="A2811" t="s">
        <v>1464</v>
      </c>
      <c r="B2811" s="3">
        <v>42188</v>
      </c>
      <c r="C2811" t="s">
        <v>17</v>
      </c>
      <c r="D2811" t="s">
        <v>10</v>
      </c>
      <c r="E2811" t="s">
        <v>1466</v>
      </c>
      <c r="F2811" s="1">
        <v>587.97</v>
      </c>
      <c r="G2811">
        <v>3</v>
      </c>
      <c r="H2811" s="1">
        <v>170.51130000000001</v>
      </c>
      <c r="I2811" s="4">
        <f>SalesData[[#This Row],[Profit]]/SalesData[[#This Row],[Sales]]</f>
        <v>0.28999999999999998</v>
      </c>
      <c r="J2811">
        <f>YEAR(SalesData[[#This Row],[Order Date]])</f>
        <v>2015</v>
      </c>
      <c r="K2811" t="str">
        <f>TEXT(SalesData[[#This Row],[Order Date]],"mmm")</f>
        <v>Jul</v>
      </c>
      <c r="L2811">
        <f>MONTH(SalesData[[#This Row],[Order Date]])</f>
        <v>7</v>
      </c>
      <c r="M2811">
        <f>SalesData[[#This Row],[Sales]]/SalesData[[#This Row],[Quantity]]</f>
        <v>195.99</v>
      </c>
      <c r="N2811" t="str">
        <f>IF(SalesData[[#This Row],[Profit]]&gt;0,"Profit","Loss")</f>
        <v>Profit</v>
      </c>
    </row>
    <row r="2812" spans="1:14" x14ac:dyDescent="0.3">
      <c r="A2812" t="s">
        <v>1467</v>
      </c>
      <c r="B2812" s="3">
        <v>42189</v>
      </c>
      <c r="C2812" t="s">
        <v>9</v>
      </c>
      <c r="D2812" t="s">
        <v>21</v>
      </c>
      <c r="E2812" t="s">
        <v>1468</v>
      </c>
      <c r="F2812" s="1">
        <v>463.24799999999999</v>
      </c>
      <c r="G2812">
        <v>8</v>
      </c>
      <c r="H2812" s="1">
        <v>-1181.2824000000001</v>
      </c>
      <c r="I2812" s="4">
        <f>SalesData[[#This Row],[Profit]]/SalesData[[#This Row],[Sales]]</f>
        <v>-2.5500000000000003</v>
      </c>
      <c r="J2812">
        <f>YEAR(SalesData[[#This Row],[Order Date]])</f>
        <v>2015</v>
      </c>
      <c r="K2812" t="str">
        <f>TEXT(SalesData[[#This Row],[Order Date]],"mmm")</f>
        <v>Jul</v>
      </c>
      <c r="L2812">
        <f>MONTH(SalesData[[#This Row],[Order Date]])</f>
        <v>7</v>
      </c>
      <c r="M2812">
        <f>SalesData[[#This Row],[Sales]]/SalesData[[#This Row],[Quantity]]</f>
        <v>57.905999999999999</v>
      </c>
      <c r="N2812" t="str">
        <f>IF(SalesData[[#This Row],[Profit]]&gt;0,"Profit","Loss")</f>
        <v>Loss</v>
      </c>
    </row>
    <row r="2813" spans="1:14" x14ac:dyDescent="0.3">
      <c r="A2813" t="s">
        <v>1467</v>
      </c>
      <c r="B2813" s="3">
        <v>42189</v>
      </c>
      <c r="C2813" t="s">
        <v>9</v>
      </c>
      <c r="D2813" t="s">
        <v>10</v>
      </c>
      <c r="E2813" t="s">
        <v>1469</v>
      </c>
      <c r="F2813" s="1">
        <v>383.952</v>
      </c>
      <c r="G2813">
        <v>6</v>
      </c>
      <c r="H2813" s="1">
        <v>47.994</v>
      </c>
      <c r="I2813" s="4">
        <f>SalesData[[#This Row],[Profit]]/SalesData[[#This Row],[Sales]]</f>
        <v>0.125</v>
      </c>
      <c r="J2813">
        <f>YEAR(SalesData[[#This Row],[Order Date]])</f>
        <v>2015</v>
      </c>
      <c r="K2813" t="str">
        <f>TEXT(SalesData[[#This Row],[Order Date]],"mmm")</f>
        <v>Jul</v>
      </c>
      <c r="L2813">
        <f>MONTH(SalesData[[#This Row],[Order Date]])</f>
        <v>7</v>
      </c>
      <c r="M2813">
        <f>SalesData[[#This Row],[Sales]]/SalesData[[#This Row],[Quantity]]</f>
        <v>63.991999999999997</v>
      </c>
      <c r="N2813" t="str">
        <f>IF(SalesData[[#This Row],[Profit]]&gt;0,"Profit","Loss")</f>
        <v>Profit</v>
      </c>
    </row>
    <row r="2814" spans="1:14" x14ac:dyDescent="0.3">
      <c r="A2814" t="s">
        <v>1470</v>
      </c>
      <c r="B2814" s="3">
        <v>42189</v>
      </c>
      <c r="C2814" t="s">
        <v>17</v>
      </c>
      <c r="D2814" t="s">
        <v>21</v>
      </c>
      <c r="E2814" t="s">
        <v>1471</v>
      </c>
      <c r="F2814" s="1">
        <v>11.736000000000001</v>
      </c>
      <c r="G2814">
        <v>3</v>
      </c>
      <c r="H2814" s="1">
        <v>1.0268999999999999</v>
      </c>
      <c r="I2814" s="4">
        <f>SalesData[[#This Row],[Profit]]/SalesData[[#This Row],[Sales]]</f>
        <v>8.7499999999999994E-2</v>
      </c>
      <c r="J2814">
        <f>YEAR(SalesData[[#This Row],[Order Date]])</f>
        <v>2015</v>
      </c>
      <c r="K2814" t="str">
        <f>TEXT(SalesData[[#This Row],[Order Date]],"mmm")</f>
        <v>Jul</v>
      </c>
      <c r="L2814">
        <f>MONTH(SalesData[[#This Row],[Order Date]])</f>
        <v>7</v>
      </c>
      <c r="M2814">
        <f>SalesData[[#This Row],[Sales]]/SalesData[[#This Row],[Quantity]]</f>
        <v>3.9120000000000004</v>
      </c>
      <c r="N2814" t="str">
        <f>IF(SalesData[[#This Row],[Profit]]&gt;0,"Profit","Loss")</f>
        <v>Profit</v>
      </c>
    </row>
    <row r="2815" spans="1:14" x14ac:dyDescent="0.3">
      <c r="A2815" t="s">
        <v>1472</v>
      </c>
      <c r="B2815" s="3">
        <v>42189</v>
      </c>
      <c r="C2815" t="s">
        <v>17</v>
      </c>
      <c r="D2815" t="s">
        <v>21</v>
      </c>
      <c r="E2815" t="s">
        <v>1473</v>
      </c>
      <c r="F2815" s="1">
        <v>25.92</v>
      </c>
      <c r="G2815">
        <v>4</v>
      </c>
      <c r="H2815" s="1">
        <v>12.441599999999999</v>
      </c>
      <c r="I2815" s="4">
        <f>SalesData[[#This Row],[Profit]]/SalesData[[#This Row],[Sales]]</f>
        <v>0.47999999999999993</v>
      </c>
      <c r="J2815">
        <f>YEAR(SalesData[[#This Row],[Order Date]])</f>
        <v>2015</v>
      </c>
      <c r="K2815" t="str">
        <f>TEXT(SalesData[[#This Row],[Order Date]],"mmm")</f>
        <v>Jul</v>
      </c>
      <c r="L2815">
        <f>MONTH(SalesData[[#This Row],[Order Date]])</f>
        <v>7</v>
      </c>
      <c r="M2815">
        <f>SalesData[[#This Row],[Sales]]/SalesData[[#This Row],[Quantity]]</f>
        <v>6.48</v>
      </c>
      <c r="N2815" t="str">
        <f>IF(SalesData[[#This Row],[Profit]]&gt;0,"Profit","Loss")</f>
        <v>Profit</v>
      </c>
    </row>
    <row r="2816" spans="1:14" x14ac:dyDescent="0.3">
      <c r="A2816" t="s">
        <v>1472</v>
      </c>
      <c r="B2816" s="3">
        <v>42189</v>
      </c>
      <c r="C2816" t="s">
        <v>17</v>
      </c>
      <c r="D2816" t="s">
        <v>21</v>
      </c>
      <c r="E2816" t="s">
        <v>630</v>
      </c>
      <c r="F2816" s="1">
        <v>22.58</v>
      </c>
      <c r="G2816">
        <v>2</v>
      </c>
      <c r="H2816" s="1">
        <v>5.8708</v>
      </c>
      <c r="I2816" s="4">
        <f>SalesData[[#This Row],[Profit]]/SalesData[[#This Row],[Sales]]</f>
        <v>0.26</v>
      </c>
      <c r="J2816">
        <f>YEAR(SalesData[[#This Row],[Order Date]])</f>
        <v>2015</v>
      </c>
      <c r="K2816" t="str">
        <f>TEXT(SalesData[[#This Row],[Order Date]],"mmm")</f>
        <v>Jul</v>
      </c>
      <c r="L2816">
        <f>MONTH(SalesData[[#This Row],[Order Date]])</f>
        <v>7</v>
      </c>
      <c r="M2816">
        <f>SalesData[[#This Row],[Sales]]/SalesData[[#This Row],[Quantity]]</f>
        <v>11.29</v>
      </c>
      <c r="N2816" t="str">
        <f>IF(SalesData[[#This Row],[Profit]]&gt;0,"Profit","Loss")</f>
        <v>Profit</v>
      </c>
    </row>
    <row r="2817" spans="1:14" x14ac:dyDescent="0.3">
      <c r="A2817" t="s">
        <v>1474</v>
      </c>
      <c r="B2817" s="3">
        <v>42190</v>
      </c>
      <c r="C2817" t="s">
        <v>9</v>
      </c>
      <c r="D2817" t="s">
        <v>14</v>
      </c>
      <c r="E2817" t="s">
        <v>1475</v>
      </c>
      <c r="F2817" s="1">
        <v>244.006</v>
      </c>
      <c r="G2817">
        <v>2</v>
      </c>
      <c r="H2817" s="1">
        <v>-31.372199999999999</v>
      </c>
      <c r="I2817" s="4">
        <f>SalesData[[#This Row],[Profit]]/SalesData[[#This Row],[Sales]]</f>
        <v>-0.12857142857142856</v>
      </c>
      <c r="J2817">
        <f>YEAR(SalesData[[#This Row],[Order Date]])</f>
        <v>2015</v>
      </c>
      <c r="K2817" t="str">
        <f>TEXT(SalesData[[#This Row],[Order Date]],"mmm")</f>
        <v>Jul</v>
      </c>
      <c r="L2817">
        <f>MONTH(SalesData[[#This Row],[Order Date]])</f>
        <v>7</v>
      </c>
      <c r="M2817">
        <f>SalesData[[#This Row],[Sales]]/SalesData[[#This Row],[Quantity]]</f>
        <v>122.003</v>
      </c>
      <c r="N2817" t="str">
        <f>IF(SalesData[[#This Row],[Profit]]&gt;0,"Profit","Loss")</f>
        <v>Loss</v>
      </c>
    </row>
    <row r="2818" spans="1:14" x14ac:dyDescent="0.3">
      <c r="A2818" t="s">
        <v>1474</v>
      </c>
      <c r="B2818" s="3">
        <v>42190</v>
      </c>
      <c r="C2818" t="s">
        <v>9</v>
      </c>
      <c r="D2818" t="s">
        <v>21</v>
      </c>
      <c r="E2818" t="s">
        <v>889</v>
      </c>
      <c r="F2818" s="1">
        <v>15.936</v>
      </c>
      <c r="G2818">
        <v>4</v>
      </c>
      <c r="H2818" s="1">
        <v>5.3784000000000001</v>
      </c>
      <c r="I2818" s="4">
        <f>SalesData[[#This Row],[Profit]]/SalesData[[#This Row],[Sales]]</f>
        <v>0.33750000000000002</v>
      </c>
      <c r="J2818">
        <f>YEAR(SalesData[[#This Row],[Order Date]])</f>
        <v>2015</v>
      </c>
      <c r="K2818" t="str">
        <f>TEXT(SalesData[[#This Row],[Order Date]],"mmm")</f>
        <v>Jul</v>
      </c>
      <c r="L2818">
        <f>MONTH(SalesData[[#This Row],[Order Date]])</f>
        <v>7</v>
      </c>
      <c r="M2818">
        <f>SalesData[[#This Row],[Sales]]/SalesData[[#This Row],[Quantity]]</f>
        <v>3.984</v>
      </c>
      <c r="N2818" t="str">
        <f>IF(SalesData[[#This Row],[Profit]]&gt;0,"Profit","Loss")</f>
        <v>Profit</v>
      </c>
    </row>
    <row r="2819" spans="1:14" x14ac:dyDescent="0.3">
      <c r="A2819" t="s">
        <v>1476</v>
      </c>
      <c r="B2819" s="3">
        <v>42190</v>
      </c>
      <c r="C2819" t="s">
        <v>46</v>
      </c>
      <c r="D2819" t="s">
        <v>21</v>
      </c>
      <c r="E2819" t="s">
        <v>1477</v>
      </c>
      <c r="F2819" s="1">
        <v>45.68</v>
      </c>
      <c r="G2819">
        <v>2</v>
      </c>
      <c r="H2819" s="1">
        <v>21.012799999999999</v>
      </c>
      <c r="I2819" s="4">
        <f>SalesData[[#This Row],[Profit]]/SalesData[[#This Row],[Sales]]</f>
        <v>0.45999999999999996</v>
      </c>
      <c r="J2819">
        <f>YEAR(SalesData[[#This Row],[Order Date]])</f>
        <v>2015</v>
      </c>
      <c r="K2819" t="str">
        <f>TEXT(SalesData[[#This Row],[Order Date]],"mmm")</f>
        <v>Jul</v>
      </c>
      <c r="L2819">
        <f>MONTH(SalesData[[#This Row],[Order Date]])</f>
        <v>7</v>
      </c>
      <c r="M2819">
        <f>SalesData[[#This Row],[Sales]]/SalesData[[#This Row],[Quantity]]</f>
        <v>22.84</v>
      </c>
      <c r="N2819" t="str">
        <f>IF(SalesData[[#This Row],[Profit]]&gt;0,"Profit","Loss")</f>
        <v>Profit</v>
      </c>
    </row>
    <row r="2820" spans="1:14" x14ac:dyDescent="0.3">
      <c r="A2820" t="s">
        <v>1478</v>
      </c>
      <c r="B2820" s="3">
        <v>42191</v>
      </c>
      <c r="C2820" t="s">
        <v>13</v>
      </c>
      <c r="D2820" t="s">
        <v>21</v>
      </c>
      <c r="E2820" t="s">
        <v>1479</v>
      </c>
      <c r="F2820" s="1">
        <v>7.52</v>
      </c>
      <c r="G2820">
        <v>5</v>
      </c>
      <c r="H2820" s="1">
        <v>2.6320000000000001</v>
      </c>
      <c r="I2820" s="4">
        <f>SalesData[[#This Row],[Profit]]/SalesData[[#This Row],[Sales]]</f>
        <v>0.35000000000000003</v>
      </c>
      <c r="J2820">
        <f>YEAR(SalesData[[#This Row],[Order Date]])</f>
        <v>2015</v>
      </c>
      <c r="K2820" t="str">
        <f>TEXT(SalesData[[#This Row],[Order Date]],"mmm")</f>
        <v>Jul</v>
      </c>
      <c r="L2820">
        <f>MONTH(SalesData[[#This Row],[Order Date]])</f>
        <v>7</v>
      </c>
      <c r="M2820">
        <f>SalesData[[#This Row],[Sales]]/SalesData[[#This Row],[Quantity]]</f>
        <v>1.504</v>
      </c>
      <c r="N2820" t="str">
        <f>IF(SalesData[[#This Row],[Profit]]&gt;0,"Profit","Loss")</f>
        <v>Profit</v>
      </c>
    </row>
    <row r="2821" spans="1:14" x14ac:dyDescent="0.3">
      <c r="A2821" t="s">
        <v>1480</v>
      </c>
      <c r="B2821" s="3">
        <v>42191</v>
      </c>
      <c r="C2821" t="s">
        <v>17</v>
      </c>
      <c r="D2821" t="s">
        <v>21</v>
      </c>
      <c r="E2821" t="s">
        <v>1136</v>
      </c>
      <c r="F2821" s="1">
        <v>18.312000000000001</v>
      </c>
      <c r="G2821">
        <v>4</v>
      </c>
      <c r="H2821" s="1">
        <v>-12.208</v>
      </c>
      <c r="I2821" s="4">
        <f>SalesData[[#This Row],[Profit]]/SalesData[[#This Row],[Sales]]</f>
        <v>-0.66666666666666663</v>
      </c>
      <c r="J2821">
        <f>YEAR(SalesData[[#This Row],[Order Date]])</f>
        <v>2015</v>
      </c>
      <c r="K2821" t="str">
        <f>TEXT(SalesData[[#This Row],[Order Date]],"mmm")</f>
        <v>Jul</v>
      </c>
      <c r="L2821">
        <f>MONTH(SalesData[[#This Row],[Order Date]])</f>
        <v>7</v>
      </c>
      <c r="M2821">
        <f>SalesData[[#This Row],[Sales]]/SalesData[[#This Row],[Quantity]]</f>
        <v>4.5780000000000003</v>
      </c>
      <c r="N2821" t="str">
        <f>IF(SalesData[[#This Row],[Profit]]&gt;0,"Profit","Loss")</f>
        <v>Loss</v>
      </c>
    </row>
    <row r="2822" spans="1:14" x14ac:dyDescent="0.3">
      <c r="A2822" t="s">
        <v>1480</v>
      </c>
      <c r="B2822" s="3">
        <v>42191</v>
      </c>
      <c r="C2822" t="s">
        <v>17</v>
      </c>
      <c r="D2822" t="s">
        <v>21</v>
      </c>
      <c r="E2822" t="s">
        <v>918</v>
      </c>
      <c r="F2822" s="1">
        <v>25.92</v>
      </c>
      <c r="G2822">
        <v>5</v>
      </c>
      <c r="H2822" s="1">
        <v>9.0719999999999992</v>
      </c>
      <c r="I2822" s="4">
        <f>SalesData[[#This Row],[Profit]]/SalesData[[#This Row],[Sales]]</f>
        <v>0.34999999999999992</v>
      </c>
      <c r="J2822">
        <f>YEAR(SalesData[[#This Row],[Order Date]])</f>
        <v>2015</v>
      </c>
      <c r="K2822" t="str">
        <f>TEXT(SalesData[[#This Row],[Order Date]],"mmm")</f>
        <v>Jul</v>
      </c>
      <c r="L2822">
        <f>MONTH(SalesData[[#This Row],[Order Date]])</f>
        <v>7</v>
      </c>
      <c r="M2822">
        <f>SalesData[[#This Row],[Sales]]/SalesData[[#This Row],[Quantity]]</f>
        <v>5.1840000000000002</v>
      </c>
      <c r="N2822" t="str">
        <f>IF(SalesData[[#This Row],[Profit]]&gt;0,"Profit","Loss")</f>
        <v>Profit</v>
      </c>
    </row>
    <row r="2823" spans="1:14" x14ac:dyDescent="0.3">
      <c r="A2823" t="s">
        <v>1480</v>
      </c>
      <c r="B2823" s="3">
        <v>42191</v>
      </c>
      <c r="C2823" t="s">
        <v>17</v>
      </c>
      <c r="D2823" t="s">
        <v>21</v>
      </c>
      <c r="E2823" t="s">
        <v>1034</v>
      </c>
      <c r="F2823" s="1">
        <v>8.016</v>
      </c>
      <c r="G2823">
        <v>3</v>
      </c>
      <c r="H2823" s="1">
        <v>1.002</v>
      </c>
      <c r="I2823" s="4">
        <f>SalesData[[#This Row],[Profit]]/SalesData[[#This Row],[Sales]]</f>
        <v>0.125</v>
      </c>
      <c r="J2823">
        <f>YEAR(SalesData[[#This Row],[Order Date]])</f>
        <v>2015</v>
      </c>
      <c r="K2823" t="str">
        <f>TEXT(SalesData[[#This Row],[Order Date]],"mmm")</f>
        <v>Jul</v>
      </c>
      <c r="L2823">
        <f>MONTH(SalesData[[#This Row],[Order Date]])</f>
        <v>7</v>
      </c>
      <c r="M2823">
        <f>SalesData[[#This Row],[Sales]]/SalesData[[#This Row],[Quantity]]</f>
        <v>2.6720000000000002</v>
      </c>
      <c r="N2823" t="str">
        <f>IF(SalesData[[#This Row],[Profit]]&gt;0,"Profit","Loss")</f>
        <v>Profit</v>
      </c>
    </row>
    <row r="2824" spans="1:14" x14ac:dyDescent="0.3">
      <c r="A2824" t="s">
        <v>1481</v>
      </c>
      <c r="B2824" s="3">
        <v>42193</v>
      </c>
      <c r="C2824" t="s">
        <v>13</v>
      </c>
      <c r="D2824" t="s">
        <v>21</v>
      </c>
      <c r="E2824" t="s">
        <v>631</v>
      </c>
      <c r="F2824" s="1">
        <v>3.3039999999999998</v>
      </c>
      <c r="G2824">
        <v>1</v>
      </c>
      <c r="H2824" s="1">
        <v>1.1151</v>
      </c>
      <c r="I2824" s="4">
        <f>SalesData[[#This Row],[Profit]]/SalesData[[#This Row],[Sales]]</f>
        <v>0.33750000000000002</v>
      </c>
      <c r="J2824">
        <f>YEAR(SalesData[[#This Row],[Order Date]])</f>
        <v>2015</v>
      </c>
      <c r="K2824" t="str">
        <f>TEXT(SalesData[[#This Row],[Order Date]],"mmm")</f>
        <v>Jul</v>
      </c>
      <c r="L2824">
        <f>MONTH(SalesData[[#This Row],[Order Date]])</f>
        <v>7</v>
      </c>
      <c r="M2824">
        <f>SalesData[[#This Row],[Sales]]/SalesData[[#This Row],[Quantity]]</f>
        <v>3.3039999999999998</v>
      </c>
      <c r="N2824" t="str">
        <f>IF(SalesData[[#This Row],[Profit]]&gt;0,"Profit","Loss")</f>
        <v>Profit</v>
      </c>
    </row>
    <row r="2825" spans="1:14" x14ac:dyDescent="0.3">
      <c r="A2825" t="s">
        <v>1482</v>
      </c>
      <c r="B2825" s="3">
        <v>42193</v>
      </c>
      <c r="C2825" t="s">
        <v>13</v>
      </c>
      <c r="D2825" t="s">
        <v>21</v>
      </c>
      <c r="E2825" t="s">
        <v>1483</v>
      </c>
      <c r="F2825" s="1">
        <v>19.152000000000001</v>
      </c>
      <c r="G2825">
        <v>3</v>
      </c>
      <c r="H2825" s="1">
        <v>6.4638</v>
      </c>
      <c r="I2825" s="4">
        <f>SalesData[[#This Row],[Profit]]/SalesData[[#This Row],[Sales]]</f>
        <v>0.33749999999999997</v>
      </c>
      <c r="J2825">
        <f>YEAR(SalesData[[#This Row],[Order Date]])</f>
        <v>2015</v>
      </c>
      <c r="K2825" t="str">
        <f>TEXT(SalesData[[#This Row],[Order Date]],"mmm")</f>
        <v>Jul</v>
      </c>
      <c r="L2825">
        <f>MONTH(SalesData[[#This Row],[Order Date]])</f>
        <v>7</v>
      </c>
      <c r="M2825">
        <f>SalesData[[#This Row],[Sales]]/SalesData[[#This Row],[Quantity]]</f>
        <v>6.3840000000000003</v>
      </c>
      <c r="N2825" t="str">
        <f>IF(SalesData[[#This Row],[Profit]]&gt;0,"Profit","Loss")</f>
        <v>Profit</v>
      </c>
    </row>
    <row r="2826" spans="1:14" x14ac:dyDescent="0.3">
      <c r="A2826" t="s">
        <v>1484</v>
      </c>
      <c r="B2826" s="3">
        <v>42193</v>
      </c>
      <c r="C2826" t="s">
        <v>9</v>
      </c>
      <c r="D2826" t="s">
        <v>21</v>
      </c>
      <c r="E2826" t="s">
        <v>1485</v>
      </c>
      <c r="F2826" s="1">
        <v>28.4</v>
      </c>
      <c r="G2826">
        <v>4</v>
      </c>
      <c r="H2826" s="1">
        <v>13.064</v>
      </c>
      <c r="I2826" s="4">
        <f>SalesData[[#This Row],[Profit]]/SalesData[[#This Row],[Sales]]</f>
        <v>0.46</v>
      </c>
      <c r="J2826">
        <f>YEAR(SalesData[[#This Row],[Order Date]])</f>
        <v>2015</v>
      </c>
      <c r="K2826" t="str">
        <f>TEXT(SalesData[[#This Row],[Order Date]],"mmm")</f>
        <v>Jul</v>
      </c>
      <c r="L2826">
        <f>MONTH(SalesData[[#This Row],[Order Date]])</f>
        <v>7</v>
      </c>
      <c r="M2826">
        <f>SalesData[[#This Row],[Sales]]/SalesData[[#This Row],[Quantity]]</f>
        <v>7.1</v>
      </c>
      <c r="N2826" t="str">
        <f>IF(SalesData[[#This Row],[Profit]]&gt;0,"Profit","Loss")</f>
        <v>Profit</v>
      </c>
    </row>
    <row r="2827" spans="1:14" x14ac:dyDescent="0.3">
      <c r="A2827" t="s">
        <v>1484</v>
      </c>
      <c r="B2827" s="3">
        <v>42193</v>
      </c>
      <c r="C2827" t="s">
        <v>9</v>
      </c>
      <c r="D2827" t="s">
        <v>14</v>
      </c>
      <c r="E2827" t="s">
        <v>1486</v>
      </c>
      <c r="F2827" s="1">
        <v>212.94</v>
      </c>
      <c r="G2827">
        <v>3</v>
      </c>
      <c r="H2827" s="1">
        <v>34.070399999999999</v>
      </c>
      <c r="I2827" s="4">
        <f>SalesData[[#This Row],[Profit]]/SalesData[[#This Row],[Sales]]</f>
        <v>0.16</v>
      </c>
      <c r="J2827">
        <f>YEAR(SalesData[[#This Row],[Order Date]])</f>
        <v>2015</v>
      </c>
      <c r="K2827" t="str">
        <f>TEXT(SalesData[[#This Row],[Order Date]],"mmm")</f>
        <v>Jul</v>
      </c>
      <c r="L2827">
        <f>MONTH(SalesData[[#This Row],[Order Date]])</f>
        <v>7</v>
      </c>
      <c r="M2827">
        <f>SalesData[[#This Row],[Sales]]/SalesData[[#This Row],[Quantity]]</f>
        <v>70.98</v>
      </c>
      <c r="N2827" t="str">
        <f>IF(SalesData[[#This Row],[Profit]]&gt;0,"Profit","Loss")</f>
        <v>Profit</v>
      </c>
    </row>
    <row r="2828" spans="1:14" x14ac:dyDescent="0.3">
      <c r="A2828" t="s">
        <v>1487</v>
      </c>
      <c r="B2828" s="3">
        <v>42193</v>
      </c>
      <c r="C2828" t="s">
        <v>17</v>
      </c>
      <c r="D2828" t="s">
        <v>21</v>
      </c>
      <c r="E2828" t="s">
        <v>401</v>
      </c>
      <c r="F2828" s="1">
        <v>106.8</v>
      </c>
      <c r="G2828">
        <v>10</v>
      </c>
      <c r="H2828" s="1">
        <v>10.68</v>
      </c>
      <c r="I2828" s="4">
        <f>SalesData[[#This Row],[Profit]]/SalesData[[#This Row],[Sales]]</f>
        <v>0.1</v>
      </c>
      <c r="J2828">
        <f>YEAR(SalesData[[#This Row],[Order Date]])</f>
        <v>2015</v>
      </c>
      <c r="K2828" t="str">
        <f>TEXT(SalesData[[#This Row],[Order Date]],"mmm")</f>
        <v>Jul</v>
      </c>
      <c r="L2828">
        <f>MONTH(SalesData[[#This Row],[Order Date]])</f>
        <v>7</v>
      </c>
      <c r="M2828">
        <f>SalesData[[#This Row],[Sales]]/SalesData[[#This Row],[Quantity]]</f>
        <v>10.68</v>
      </c>
      <c r="N2828" t="str">
        <f>IF(SalesData[[#This Row],[Profit]]&gt;0,"Profit","Loss")</f>
        <v>Profit</v>
      </c>
    </row>
    <row r="2829" spans="1:14" x14ac:dyDescent="0.3">
      <c r="A2829" t="s">
        <v>1488</v>
      </c>
      <c r="B2829" s="3">
        <v>42193</v>
      </c>
      <c r="C2829" t="s">
        <v>17</v>
      </c>
      <c r="D2829" t="s">
        <v>21</v>
      </c>
      <c r="E2829" t="s">
        <v>1489</v>
      </c>
      <c r="F2829" s="1">
        <v>77.58</v>
      </c>
      <c r="G2829">
        <v>9</v>
      </c>
      <c r="H2829" s="1">
        <v>20.1708</v>
      </c>
      <c r="I2829" s="4">
        <f>SalesData[[#This Row],[Profit]]/SalesData[[#This Row],[Sales]]</f>
        <v>0.26</v>
      </c>
      <c r="J2829">
        <f>YEAR(SalesData[[#This Row],[Order Date]])</f>
        <v>2015</v>
      </c>
      <c r="K2829" t="str">
        <f>TEXT(SalesData[[#This Row],[Order Date]],"mmm")</f>
        <v>Jul</v>
      </c>
      <c r="L2829">
        <f>MONTH(SalesData[[#This Row],[Order Date]])</f>
        <v>7</v>
      </c>
      <c r="M2829">
        <f>SalesData[[#This Row],[Sales]]/SalesData[[#This Row],[Quantity]]</f>
        <v>8.6199999999999992</v>
      </c>
      <c r="N2829" t="str">
        <f>IF(SalesData[[#This Row],[Profit]]&gt;0,"Profit","Loss")</f>
        <v>Profit</v>
      </c>
    </row>
    <row r="2830" spans="1:14" x14ac:dyDescent="0.3">
      <c r="A2830" t="s">
        <v>1490</v>
      </c>
      <c r="B2830" s="3">
        <v>42193</v>
      </c>
      <c r="C2830" t="s">
        <v>46</v>
      </c>
      <c r="D2830" t="s">
        <v>10</v>
      </c>
      <c r="E2830" t="s">
        <v>1491</v>
      </c>
      <c r="F2830" s="1">
        <v>494.97</v>
      </c>
      <c r="G2830">
        <v>3</v>
      </c>
      <c r="H2830" s="1">
        <v>148.49100000000001</v>
      </c>
      <c r="I2830" s="4">
        <f>SalesData[[#This Row],[Profit]]/SalesData[[#This Row],[Sales]]</f>
        <v>0.3</v>
      </c>
      <c r="J2830">
        <f>YEAR(SalesData[[#This Row],[Order Date]])</f>
        <v>2015</v>
      </c>
      <c r="K2830" t="str">
        <f>TEXT(SalesData[[#This Row],[Order Date]],"mmm")</f>
        <v>Jul</v>
      </c>
      <c r="L2830">
        <f>MONTH(SalesData[[#This Row],[Order Date]])</f>
        <v>7</v>
      </c>
      <c r="M2830">
        <f>SalesData[[#This Row],[Sales]]/SalesData[[#This Row],[Quantity]]</f>
        <v>164.99</v>
      </c>
      <c r="N2830" t="str">
        <f>IF(SalesData[[#This Row],[Profit]]&gt;0,"Profit","Loss")</f>
        <v>Profit</v>
      </c>
    </row>
    <row r="2831" spans="1:14" x14ac:dyDescent="0.3">
      <c r="A2831" t="s">
        <v>1490</v>
      </c>
      <c r="B2831" s="3">
        <v>42193</v>
      </c>
      <c r="C2831" t="s">
        <v>46</v>
      </c>
      <c r="D2831" t="s">
        <v>21</v>
      </c>
      <c r="E2831" t="s">
        <v>1492</v>
      </c>
      <c r="F2831" s="1">
        <v>25.06</v>
      </c>
      <c r="G2831">
        <v>2</v>
      </c>
      <c r="H2831" s="1">
        <v>11.7782</v>
      </c>
      <c r="I2831" s="4">
        <f>SalesData[[#This Row],[Profit]]/SalesData[[#This Row],[Sales]]</f>
        <v>0.47000000000000003</v>
      </c>
      <c r="J2831">
        <f>YEAR(SalesData[[#This Row],[Order Date]])</f>
        <v>2015</v>
      </c>
      <c r="K2831" t="str">
        <f>TEXT(SalesData[[#This Row],[Order Date]],"mmm")</f>
        <v>Jul</v>
      </c>
      <c r="L2831">
        <f>MONTH(SalesData[[#This Row],[Order Date]])</f>
        <v>7</v>
      </c>
      <c r="M2831">
        <f>SalesData[[#This Row],[Sales]]/SalesData[[#This Row],[Quantity]]</f>
        <v>12.53</v>
      </c>
      <c r="N2831" t="str">
        <f>IF(SalesData[[#This Row],[Profit]]&gt;0,"Profit","Loss")</f>
        <v>Profit</v>
      </c>
    </row>
    <row r="2832" spans="1:14" x14ac:dyDescent="0.3">
      <c r="A2832" t="s">
        <v>1493</v>
      </c>
      <c r="B2832" s="3">
        <v>42194</v>
      </c>
      <c r="C2832" t="s">
        <v>13</v>
      </c>
      <c r="D2832" t="s">
        <v>21</v>
      </c>
      <c r="E2832" t="s">
        <v>1494</v>
      </c>
      <c r="F2832" s="1">
        <v>671.93</v>
      </c>
      <c r="G2832">
        <v>7</v>
      </c>
      <c r="H2832" s="1">
        <v>20.157900000000001</v>
      </c>
      <c r="I2832" s="4">
        <f>SalesData[[#This Row],[Profit]]/SalesData[[#This Row],[Sales]]</f>
        <v>3.0000000000000006E-2</v>
      </c>
      <c r="J2832">
        <f>YEAR(SalesData[[#This Row],[Order Date]])</f>
        <v>2015</v>
      </c>
      <c r="K2832" t="str">
        <f>TEXT(SalesData[[#This Row],[Order Date]],"mmm")</f>
        <v>Jul</v>
      </c>
      <c r="L2832">
        <f>MONTH(SalesData[[#This Row],[Order Date]])</f>
        <v>7</v>
      </c>
      <c r="M2832">
        <f>SalesData[[#This Row],[Sales]]/SalesData[[#This Row],[Quantity]]</f>
        <v>95.99</v>
      </c>
      <c r="N2832" t="str">
        <f>IF(SalesData[[#This Row],[Profit]]&gt;0,"Profit","Loss")</f>
        <v>Profit</v>
      </c>
    </row>
    <row r="2833" spans="1:14" x14ac:dyDescent="0.3">
      <c r="A2833" t="s">
        <v>1495</v>
      </c>
      <c r="B2833" s="3">
        <v>42194</v>
      </c>
      <c r="C2833" t="s">
        <v>9</v>
      </c>
      <c r="D2833" t="s">
        <v>14</v>
      </c>
      <c r="E2833" t="s">
        <v>1496</v>
      </c>
      <c r="F2833" s="1">
        <v>47.515999999999998</v>
      </c>
      <c r="G2833">
        <v>2</v>
      </c>
      <c r="H2833" s="1">
        <v>-2.0364</v>
      </c>
      <c r="I2833" s="4">
        <f>SalesData[[#This Row],[Profit]]/SalesData[[#This Row],[Sales]]</f>
        <v>-4.2857142857142858E-2</v>
      </c>
      <c r="J2833">
        <f>YEAR(SalesData[[#This Row],[Order Date]])</f>
        <v>2015</v>
      </c>
      <c r="K2833" t="str">
        <f>TEXT(SalesData[[#This Row],[Order Date]],"mmm")</f>
        <v>Jul</v>
      </c>
      <c r="L2833">
        <f>MONTH(SalesData[[#This Row],[Order Date]])</f>
        <v>7</v>
      </c>
      <c r="M2833">
        <f>SalesData[[#This Row],[Sales]]/SalesData[[#This Row],[Quantity]]</f>
        <v>23.757999999999999</v>
      </c>
      <c r="N2833" t="str">
        <f>IF(SalesData[[#This Row],[Profit]]&gt;0,"Profit","Loss")</f>
        <v>Loss</v>
      </c>
    </row>
    <row r="2834" spans="1:14" x14ac:dyDescent="0.3">
      <c r="A2834" t="s">
        <v>1497</v>
      </c>
      <c r="B2834" s="3">
        <v>42194</v>
      </c>
      <c r="C2834" t="s">
        <v>17</v>
      </c>
      <c r="D2834" t="s">
        <v>21</v>
      </c>
      <c r="E2834" t="s">
        <v>229</v>
      </c>
      <c r="F2834" s="1">
        <v>13.96</v>
      </c>
      <c r="G2834">
        <v>2</v>
      </c>
      <c r="H2834" s="1">
        <v>0.2792</v>
      </c>
      <c r="I2834" s="4">
        <f>SalesData[[#This Row],[Profit]]/SalesData[[#This Row],[Sales]]</f>
        <v>0.02</v>
      </c>
      <c r="J2834">
        <f>YEAR(SalesData[[#This Row],[Order Date]])</f>
        <v>2015</v>
      </c>
      <c r="K2834" t="str">
        <f>TEXT(SalesData[[#This Row],[Order Date]],"mmm")</f>
        <v>Jul</v>
      </c>
      <c r="L2834">
        <f>MONTH(SalesData[[#This Row],[Order Date]])</f>
        <v>7</v>
      </c>
      <c r="M2834">
        <f>SalesData[[#This Row],[Sales]]/SalesData[[#This Row],[Quantity]]</f>
        <v>6.98</v>
      </c>
      <c r="N2834" t="str">
        <f>IF(SalesData[[#This Row],[Profit]]&gt;0,"Profit","Loss")</f>
        <v>Profit</v>
      </c>
    </row>
    <row r="2835" spans="1:14" x14ac:dyDescent="0.3">
      <c r="A2835" t="s">
        <v>1497</v>
      </c>
      <c r="B2835" s="3">
        <v>42194</v>
      </c>
      <c r="C2835" t="s">
        <v>17</v>
      </c>
      <c r="D2835" t="s">
        <v>14</v>
      </c>
      <c r="E2835" t="s">
        <v>1498</v>
      </c>
      <c r="F2835" s="1">
        <v>27.414000000000001</v>
      </c>
      <c r="G2835">
        <v>3</v>
      </c>
      <c r="H2835" s="1">
        <v>-14.1639</v>
      </c>
      <c r="I2835" s="4">
        <f>SalesData[[#This Row],[Profit]]/SalesData[[#This Row],[Sales]]</f>
        <v>-0.51666666666666661</v>
      </c>
      <c r="J2835">
        <f>YEAR(SalesData[[#This Row],[Order Date]])</f>
        <v>2015</v>
      </c>
      <c r="K2835" t="str">
        <f>TEXT(SalesData[[#This Row],[Order Date]],"mmm")</f>
        <v>Jul</v>
      </c>
      <c r="L2835">
        <f>MONTH(SalesData[[#This Row],[Order Date]])</f>
        <v>7</v>
      </c>
      <c r="M2835">
        <f>SalesData[[#This Row],[Sales]]/SalesData[[#This Row],[Quantity]]</f>
        <v>9.1379999999999999</v>
      </c>
      <c r="N2835" t="str">
        <f>IF(SalesData[[#This Row],[Profit]]&gt;0,"Profit","Loss")</f>
        <v>Loss</v>
      </c>
    </row>
    <row r="2836" spans="1:14" x14ac:dyDescent="0.3">
      <c r="A2836" t="s">
        <v>1499</v>
      </c>
      <c r="B2836" s="3">
        <v>42194</v>
      </c>
      <c r="C2836" t="s">
        <v>17</v>
      </c>
      <c r="D2836" t="s">
        <v>21</v>
      </c>
      <c r="E2836" t="s">
        <v>1500</v>
      </c>
      <c r="F2836" s="1">
        <v>9.5220000000000002</v>
      </c>
      <c r="G2836">
        <v>1</v>
      </c>
      <c r="H2836" s="1">
        <v>-6.9828000000000001</v>
      </c>
      <c r="I2836" s="4">
        <f>SalesData[[#This Row],[Profit]]/SalesData[[#This Row],[Sales]]</f>
        <v>-0.73333333333333328</v>
      </c>
      <c r="J2836">
        <f>YEAR(SalesData[[#This Row],[Order Date]])</f>
        <v>2015</v>
      </c>
      <c r="K2836" t="str">
        <f>TEXT(SalesData[[#This Row],[Order Date]],"mmm")</f>
        <v>Jul</v>
      </c>
      <c r="L2836">
        <f>MONTH(SalesData[[#This Row],[Order Date]])</f>
        <v>7</v>
      </c>
      <c r="M2836">
        <f>SalesData[[#This Row],[Sales]]/SalesData[[#This Row],[Quantity]]</f>
        <v>9.5220000000000002</v>
      </c>
      <c r="N2836" t="str">
        <f>IF(SalesData[[#This Row],[Profit]]&gt;0,"Profit","Loss")</f>
        <v>Loss</v>
      </c>
    </row>
    <row r="2837" spans="1:14" x14ac:dyDescent="0.3">
      <c r="A2837" t="s">
        <v>1499</v>
      </c>
      <c r="B2837" s="3">
        <v>42194</v>
      </c>
      <c r="C2837" t="s">
        <v>17</v>
      </c>
      <c r="D2837" t="s">
        <v>10</v>
      </c>
      <c r="E2837" t="s">
        <v>802</v>
      </c>
      <c r="F2837" s="1">
        <v>791.96400000000006</v>
      </c>
      <c r="G2837">
        <v>6</v>
      </c>
      <c r="H2837" s="1">
        <v>-131.994</v>
      </c>
      <c r="I2837" s="4">
        <f>SalesData[[#This Row],[Profit]]/SalesData[[#This Row],[Sales]]</f>
        <v>-0.16666666666666666</v>
      </c>
      <c r="J2837">
        <f>YEAR(SalesData[[#This Row],[Order Date]])</f>
        <v>2015</v>
      </c>
      <c r="K2837" t="str">
        <f>TEXT(SalesData[[#This Row],[Order Date]],"mmm")</f>
        <v>Jul</v>
      </c>
      <c r="L2837">
        <f>MONTH(SalesData[[#This Row],[Order Date]])</f>
        <v>7</v>
      </c>
      <c r="M2837">
        <f>SalesData[[#This Row],[Sales]]/SalesData[[#This Row],[Quantity]]</f>
        <v>131.994</v>
      </c>
      <c r="N2837" t="str">
        <f>IF(SalesData[[#This Row],[Profit]]&gt;0,"Profit","Loss")</f>
        <v>Loss</v>
      </c>
    </row>
    <row r="2838" spans="1:14" x14ac:dyDescent="0.3">
      <c r="A2838" t="s">
        <v>1499</v>
      </c>
      <c r="B2838" s="3">
        <v>42194</v>
      </c>
      <c r="C2838" t="s">
        <v>17</v>
      </c>
      <c r="D2838" t="s">
        <v>21</v>
      </c>
      <c r="E2838" t="s">
        <v>1501</v>
      </c>
      <c r="F2838" s="1">
        <v>4.923</v>
      </c>
      <c r="G2838">
        <v>3</v>
      </c>
      <c r="H2838" s="1">
        <v>-3.9384000000000001</v>
      </c>
      <c r="I2838" s="4">
        <f>SalesData[[#This Row],[Profit]]/SalesData[[#This Row],[Sales]]</f>
        <v>-0.8</v>
      </c>
      <c r="J2838">
        <f>YEAR(SalesData[[#This Row],[Order Date]])</f>
        <v>2015</v>
      </c>
      <c r="K2838" t="str">
        <f>TEXT(SalesData[[#This Row],[Order Date]],"mmm")</f>
        <v>Jul</v>
      </c>
      <c r="L2838">
        <f>MONTH(SalesData[[#This Row],[Order Date]])</f>
        <v>7</v>
      </c>
      <c r="M2838">
        <f>SalesData[[#This Row],[Sales]]/SalesData[[#This Row],[Quantity]]</f>
        <v>1.641</v>
      </c>
      <c r="N2838" t="str">
        <f>IF(SalesData[[#This Row],[Profit]]&gt;0,"Profit","Loss")</f>
        <v>Loss</v>
      </c>
    </row>
    <row r="2839" spans="1:14" x14ac:dyDescent="0.3">
      <c r="A2839" t="s">
        <v>1502</v>
      </c>
      <c r="B2839" s="3">
        <v>42194</v>
      </c>
      <c r="C2839" t="s">
        <v>46</v>
      </c>
      <c r="D2839" t="s">
        <v>21</v>
      </c>
      <c r="E2839" t="s">
        <v>747</v>
      </c>
      <c r="F2839" s="1">
        <v>140.73599999999999</v>
      </c>
      <c r="G2839">
        <v>4</v>
      </c>
      <c r="H2839" s="1">
        <v>12.314399999999999</v>
      </c>
      <c r="I2839" s="4">
        <f>SalesData[[#This Row],[Profit]]/SalesData[[#This Row],[Sales]]</f>
        <v>8.7499999999999994E-2</v>
      </c>
      <c r="J2839">
        <f>YEAR(SalesData[[#This Row],[Order Date]])</f>
        <v>2015</v>
      </c>
      <c r="K2839" t="str">
        <f>TEXT(SalesData[[#This Row],[Order Date]],"mmm")</f>
        <v>Jul</v>
      </c>
      <c r="L2839">
        <f>MONTH(SalesData[[#This Row],[Order Date]])</f>
        <v>7</v>
      </c>
      <c r="M2839">
        <f>SalesData[[#This Row],[Sales]]/SalesData[[#This Row],[Quantity]]</f>
        <v>35.183999999999997</v>
      </c>
      <c r="N2839" t="str">
        <f>IF(SalesData[[#This Row],[Profit]]&gt;0,"Profit","Loss")</f>
        <v>Profit</v>
      </c>
    </row>
    <row r="2840" spans="1:14" x14ac:dyDescent="0.3">
      <c r="A2840" t="s">
        <v>1503</v>
      </c>
      <c r="B2840" s="3">
        <v>42194</v>
      </c>
      <c r="C2840" t="s">
        <v>17</v>
      </c>
      <c r="D2840" t="s">
        <v>10</v>
      </c>
      <c r="E2840" t="s">
        <v>1469</v>
      </c>
      <c r="F2840" s="1">
        <v>559.92999999999995</v>
      </c>
      <c r="G2840">
        <v>7</v>
      </c>
      <c r="H2840" s="1">
        <v>167.97900000000001</v>
      </c>
      <c r="I2840" s="4">
        <f>SalesData[[#This Row],[Profit]]/SalesData[[#This Row],[Sales]]</f>
        <v>0.30000000000000004</v>
      </c>
      <c r="J2840">
        <f>YEAR(SalesData[[#This Row],[Order Date]])</f>
        <v>2015</v>
      </c>
      <c r="K2840" t="str">
        <f>TEXT(SalesData[[#This Row],[Order Date]],"mmm")</f>
        <v>Jul</v>
      </c>
      <c r="L2840">
        <f>MONTH(SalesData[[#This Row],[Order Date]])</f>
        <v>7</v>
      </c>
      <c r="M2840">
        <f>SalesData[[#This Row],[Sales]]/SalesData[[#This Row],[Quantity]]</f>
        <v>79.989999999999995</v>
      </c>
      <c r="N2840" t="str">
        <f>IF(SalesData[[#This Row],[Profit]]&gt;0,"Profit","Loss")</f>
        <v>Profit</v>
      </c>
    </row>
    <row r="2841" spans="1:14" x14ac:dyDescent="0.3">
      <c r="A2841" t="s">
        <v>1504</v>
      </c>
      <c r="B2841" s="3">
        <v>42194</v>
      </c>
      <c r="C2841" t="s">
        <v>17</v>
      </c>
      <c r="D2841" t="s">
        <v>21</v>
      </c>
      <c r="E2841" t="s">
        <v>1505</v>
      </c>
      <c r="F2841" s="1">
        <v>70.260000000000005</v>
      </c>
      <c r="G2841">
        <v>3</v>
      </c>
      <c r="H2841" s="1">
        <v>18.970199999999998</v>
      </c>
      <c r="I2841" s="4">
        <f>SalesData[[#This Row],[Profit]]/SalesData[[#This Row],[Sales]]</f>
        <v>0.26999999999999996</v>
      </c>
      <c r="J2841">
        <f>YEAR(SalesData[[#This Row],[Order Date]])</f>
        <v>2015</v>
      </c>
      <c r="K2841" t="str">
        <f>TEXT(SalesData[[#This Row],[Order Date]],"mmm")</f>
        <v>Jul</v>
      </c>
      <c r="L2841">
        <f>MONTH(SalesData[[#This Row],[Order Date]])</f>
        <v>7</v>
      </c>
      <c r="M2841">
        <f>SalesData[[#This Row],[Sales]]/SalesData[[#This Row],[Quantity]]</f>
        <v>23.42</v>
      </c>
      <c r="N2841" t="str">
        <f>IF(SalesData[[#This Row],[Profit]]&gt;0,"Profit","Loss")</f>
        <v>Profit</v>
      </c>
    </row>
    <row r="2842" spans="1:14" x14ac:dyDescent="0.3">
      <c r="A2842" t="s">
        <v>1504</v>
      </c>
      <c r="B2842" s="3">
        <v>42194</v>
      </c>
      <c r="C2842" t="s">
        <v>17</v>
      </c>
      <c r="D2842" t="s">
        <v>10</v>
      </c>
      <c r="E2842" t="s">
        <v>1506</v>
      </c>
      <c r="F2842" s="1">
        <v>90</v>
      </c>
      <c r="G2842">
        <v>5</v>
      </c>
      <c r="H2842" s="1">
        <v>16.2</v>
      </c>
      <c r="I2842" s="4">
        <f>SalesData[[#This Row],[Profit]]/SalesData[[#This Row],[Sales]]</f>
        <v>0.18</v>
      </c>
      <c r="J2842">
        <f>YEAR(SalesData[[#This Row],[Order Date]])</f>
        <v>2015</v>
      </c>
      <c r="K2842" t="str">
        <f>TEXT(SalesData[[#This Row],[Order Date]],"mmm")</f>
        <v>Jul</v>
      </c>
      <c r="L2842">
        <f>MONTH(SalesData[[#This Row],[Order Date]])</f>
        <v>7</v>
      </c>
      <c r="M2842">
        <f>SalesData[[#This Row],[Sales]]/SalesData[[#This Row],[Quantity]]</f>
        <v>18</v>
      </c>
      <c r="N2842" t="str">
        <f>IF(SalesData[[#This Row],[Profit]]&gt;0,"Profit","Loss")</f>
        <v>Profit</v>
      </c>
    </row>
    <row r="2843" spans="1:14" x14ac:dyDescent="0.3">
      <c r="A2843" t="s">
        <v>1504</v>
      </c>
      <c r="B2843" s="3">
        <v>42194</v>
      </c>
      <c r="C2843" t="s">
        <v>17</v>
      </c>
      <c r="D2843" t="s">
        <v>21</v>
      </c>
      <c r="E2843" t="s">
        <v>1507</v>
      </c>
      <c r="F2843" s="1">
        <v>6.0960000000000001</v>
      </c>
      <c r="G2843">
        <v>2</v>
      </c>
      <c r="H2843" s="1">
        <v>2.0573999999999999</v>
      </c>
      <c r="I2843" s="4">
        <f>SalesData[[#This Row],[Profit]]/SalesData[[#This Row],[Sales]]</f>
        <v>0.33749999999999997</v>
      </c>
      <c r="J2843">
        <f>YEAR(SalesData[[#This Row],[Order Date]])</f>
        <v>2015</v>
      </c>
      <c r="K2843" t="str">
        <f>TEXT(SalesData[[#This Row],[Order Date]],"mmm")</f>
        <v>Jul</v>
      </c>
      <c r="L2843">
        <f>MONTH(SalesData[[#This Row],[Order Date]])</f>
        <v>7</v>
      </c>
      <c r="M2843">
        <f>SalesData[[#This Row],[Sales]]/SalesData[[#This Row],[Quantity]]</f>
        <v>3.048</v>
      </c>
      <c r="N2843" t="str">
        <f>IF(SalesData[[#This Row],[Profit]]&gt;0,"Profit","Loss")</f>
        <v>Profit</v>
      </c>
    </row>
    <row r="2844" spans="1:14" x14ac:dyDescent="0.3">
      <c r="A2844" t="s">
        <v>1504</v>
      </c>
      <c r="B2844" s="3">
        <v>42194</v>
      </c>
      <c r="C2844" t="s">
        <v>17</v>
      </c>
      <c r="D2844" t="s">
        <v>14</v>
      </c>
      <c r="E2844" t="s">
        <v>1508</v>
      </c>
      <c r="F2844" s="1">
        <v>481.17599999999999</v>
      </c>
      <c r="G2844">
        <v>2</v>
      </c>
      <c r="H2844" s="1">
        <v>-120.294</v>
      </c>
      <c r="I2844" s="4">
        <f>SalesData[[#This Row],[Profit]]/SalesData[[#This Row],[Sales]]</f>
        <v>-0.25</v>
      </c>
      <c r="J2844">
        <f>YEAR(SalesData[[#This Row],[Order Date]])</f>
        <v>2015</v>
      </c>
      <c r="K2844" t="str">
        <f>TEXT(SalesData[[#This Row],[Order Date]],"mmm")</f>
        <v>Jul</v>
      </c>
      <c r="L2844">
        <f>MONTH(SalesData[[#This Row],[Order Date]])</f>
        <v>7</v>
      </c>
      <c r="M2844">
        <f>SalesData[[#This Row],[Sales]]/SalesData[[#This Row],[Quantity]]</f>
        <v>240.58799999999999</v>
      </c>
      <c r="N2844" t="str">
        <f>IF(SalesData[[#This Row],[Profit]]&gt;0,"Profit","Loss")</f>
        <v>Loss</v>
      </c>
    </row>
    <row r="2845" spans="1:14" x14ac:dyDescent="0.3">
      <c r="A2845" t="s">
        <v>1504</v>
      </c>
      <c r="B2845" s="3">
        <v>42194</v>
      </c>
      <c r="C2845" t="s">
        <v>17</v>
      </c>
      <c r="D2845" t="s">
        <v>21</v>
      </c>
      <c r="E2845" t="s">
        <v>1430</v>
      </c>
      <c r="F2845" s="1">
        <v>7.24</v>
      </c>
      <c r="G2845">
        <v>4</v>
      </c>
      <c r="H2845" s="1">
        <v>2.3892000000000002</v>
      </c>
      <c r="I2845" s="4">
        <f>SalesData[[#This Row],[Profit]]/SalesData[[#This Row],[Sales]]</f>
        <v>0.33</v>
      </c>
      <c r="J2845">
        <f>YEAR(SalesData[[#This Row],[Order Date]])</f>
        <v>2015</v>
      </c>
      <c r="K2845" t="str">
        <f>TEXT(SalesData[[#This Row],[Order Date]],"mmm")</f>
        <v>Jul</v>
      </c>
      <c r="L2845">
        <f>MONTH(SalesData[[#This Row],[Order Date]])</f>
        <v>7</v>
      </c>
      <c r="M2845">
        <f>SalesData[[#This Row],[Sales]]/SalesData[[#This Row],[Quantity]]</f>
        <v>1.81</v>
      </c>
      <c r="N2845" t="str">
        <f>IF(SalesData[[#This Row],[Profit]]&gt;0,"Profit","Loss")</f>
        <v>Profit</v>
      </c>
    </row>
    <row r="2846" spans="1:14" x14ac:dyDescent="0.3">
      <c r="A2846" t="s">
        <v>1509</v>
      </c>
      <c r="B2846" s="3">
        <v>42196</v>
      </c>
      <c r="C2846" t="s">
        <v>13</v>
      </c>
      <c r="D2846" t="s">
        <v>14</v>
      </c>
      <c r="E2846" t="s">
        <v>1510</v>
      </c>
      <c r="F2846" s="1">
        <v>190.72</v>
      </c>
      <c r="G2846">
        <v>1</v>
      </c>
      <c r="H2846" s="1">
        <v>11.92</v>
      </c>
      <c r="I2846" s="4">
        <f>SalesData[[#This Row],[Profit]]/SalesData[[#This Row],[Sales]]</f>
        <v>6.25E-2</v>
      </c>
      <c r="J2846">
        <f>YEAR(SalesData[[#This Row],[Order Date]])</f>
        <v>2015</v>
      </c>
      <c r="K2846" t="str">
        <f>TEXT(SalesData[[#This Row],[Order Date]],"mmm")</f>
        <v>Jul</v>
      </c>
      <c r="L2846">
        <f>MONTH(SalesData[[#This Row],[Order Date]])</f>
        <v>7</v>
      </c>
      <c r="M2846">
        <f>SalesData[[#This Row],[Sales]]/SalesData[[#This Row],[Quantity]]</f>
        <v>190.72</v>
      </c>
      <c r="N2846" t="str">
        <f>IF(SalesData[[#This Row],[Profit]]&gt;0,"Profit","Loss")</f>
        <v>Profit</v>
      </c>
    </row>
    <row r="2847" spans="1:14" x14ac:dyDescent="0.3">
      <c r="A2847" t="s">
        <v>1511</v>
      </c>
      <c r="B2847" s="3">
        <v>42196</v>
      </c>
      <c r="C2847" t="s">
        <v>17</v>
      </c>
      <c r="D2847" t="s">
        <v>21</v>
      </c>
      <c r="E2847" t="s">
        <v>1512</v>
      </c>
      <c r="F2847" s="1">
        <v>26.18</v>
      </c>
      <c r="G2847">
        <v>7</v>
      </c>
      <c r="H2847" s="1">
        <v>0.52359999999999995</v>
      </c>
      <c r="I2847" s="4">
        <f>SalesData[[#This Row],[Profit]]/SalesData[[#This Row],[Sales]]</f>
        <v>1.9999999999999997E-2</v>
      </c>
      <c r="J2847">
        <f>YEAR(SalesData[[#This Row],[Order Date]])</f>
        <v>2015</v>
      </c>
      <c r="K2847" t="str">
        <f>TEXT(SalesData[[#This Row],[Order Date]],"mmm")</f>
        <v>Jul</v>
      </c>
      <c r="L2847">
        <f>MONTH(SalesData[[#This Row],[Order Date]])</f>
        <v>7</v>
      </c>
      <c r="M2847">
        <f>SalesData[[#This Row],[Sales]]/SalesData[[#This Row],[Quantity]]</f>
        <v>3.7399999999999998</v>
      </c>
      <c r="N2847" t="str">
        <f>IF(SalesData[[#This Row],[Profit]]&gt;0,"Profit","Loss")</f>
        <v>Profit</v>
      </c>
    </row>
    <row r="2848" spans="1:14" x14ac:dyDescent="0.3">
      <c r="A2848" t="s">
        <v>1511</v>
      </c>
      <c r="B2848" s="3">
        <v>42196</v>
      </c>
      <c r="C2848" t="s">
        <v>17</v>
      </c>
      <c r="D2848" t="s">
        <v>21</v>
      </c>
      <c r="E2848" t="s">
        <v>1513</v>
      </c>
      <c r="F2848" s="1">
        <v>7.3</v>
      </c>
      <c r="G2848">
        <v>2</v>
      </c>
      <c r="H2848" s="1">
        <v>3.431</v>
      </c>
      <c r="I2848" s="4">
        <f>SalesData[[#This Row],[Profit]]/SalesData[[#This Row],[Sales]]</f>
        <v>0.47000000000000003</v>
      </c>
      <c r="J2848">
        <f>YEAR(SalesData[[#This Row],[Order Date]])</f>
        <v>2015</v>
      </c>
      <c r="K2848" t="str">
        <f>TEXT(SalesData[[#This Row],[Order Date]],"mmm")</f>
        <v>Jul</v>
      </c>
      <c r="L2848">
        <f>MONTH(SalesData[[#This Row],[Order Date]])</f>
        <v>7</v>
      </c>
      <c r="M2848">
        <f>SalesData[[#This Row],[Sales]]/SalesData[[#This Row],[Quantity]]</f>
        <v>3.65</v>
      </c>
      <c r="N2848" t="str">
        <f>IF(SalesData[[#This Row],[Profit]]&gt;0,"Profit","Loss")</f>
        <v>Profit</v>
      </c>
    </row>
    <row r="2849" spans="1:14" x14ac:dyDescent="0.3">
      <c r="A2849" t="s">
        <v>1514</v>
      </c>
      <c r="B2849" s="3">
        <v>42196</v>
      </c>
      <c r="C2849" t="s">
        <v>17</v>
      </c>
      <c r="D2849" t="s">
        <v>21</v>
      </c>
      <c r="E2849" t="s">
        <v>1515</v>
      </c>
      <c r="F2849" s="1">
        <v>24.4</v>
      </c>
      <c r="G2849">
        <v>2</v>
      </c>
      <c r="H2849" s="1">
        <v>7.93</v>
      </c>
      <c r="I2849" s="4">
        <f>SalesData[[#This Row],[Profit]]/SalesData[[#This Row],[Sales]]</f>
        <v>0.32500000000000001</v>
      </c>
      <c r="J2849">
        <f>YEAR(SalesData[[#This Row],[Order Date]])</f>
        <v>2015</v>
      </c>
      <c r="K2849" t="str">
        <f>TEXT(SalesData[[#This Row],[Order Date]],"mmm")</f>
        <v>Jul</v>
      </c>
      <c r="L2849">
        <f>MONTH(SalesData[[#This Row],[Order Date]])</f>
        <v>7</v>
      </c>
      <c r="M2849">
        <f>SalesData[[#This Row],[Sales]]/SalesData[[#This Row],[Quantity]]</f>
        <v>12.2</v>
      </c>
      <c r="N2849" t="str">
        <f>IF(SalesData[[#This Row],[Profit]]&gt;0,"Profit","Loss")</f>
        <v>Profit</v>
      </c>
    </row>
    <row r="2850" spans="1:14" x14ac:dyDescent="0.3">
      <c r="A2850" t="s">
        <v>1516</v>
      </c>
      <c r="B2850" s="3">
        <v>42196</v>
      </c>
      <c r="C2850" t="s">
        <v>17</v>
      </c>
      <c r="D2850" t="s">
        <v>14</v>
      </c>
      <c r="E2850" t="s">
        <v>1510</v>
      </c>
      <c r="F2850" s="1">
        <v>715.2</v>
      </c>
      <c r="G2850">
        <v>3</v>
      </c>
      <c r="H2850" s="1">
        <v>178.8</v>
      </c>
      <c r="I2850" s="4">
        <f>SalesData[[#This Row],[Profit]]/SalesData[[#This Row],[Sales]]</f>
        <v>0.25</v>
      </c>
      <c r="J2850">
        <f>YEAR(SalesData[[#This Row],[Order Date]])</f>
        <v>2015</v>
      </c>
      <c r="K2850" t="str">
        <f>TEXT(SalesData[[#This Row],[Order Date]],"mmm")</f>
        <v>Jul</v>
      </c>
      <c r="L2850">
        <f>MONTH(SalesData[[#This Row],[Order Date]])</f>
        <v>7</v>
      </c>
      <c r="M2850">
        <f>SalesData[[#This Row],[Sales]]/SalesData[[#This Row],[Quantity]]</f>
        <v>238.4</v>
      </c>
      <c r="N2850" t="str">
        <f>IF(SalesData[[#This Row],[Profit]]&gt;0,"Profit","Loss")</f>
        <v>Profit</v>
      </c>
    </row>
    <row r="2851" spans="1:14" x14ac:dyDescent="0.3">
      <c r="A2851" t="s">
        <v>1517</v>
      </c>
      <c r="B2851" s="3">
        <v>42196</v>
      </c>
      <c r="C2851" t="s">
        <v>46</v>
      </c>
      <c r="D2851" t="s">
        <v>21</v>
      </c>
      <c r="E2851" t="s">
        <v>1518</v>
      </c>
      <c r="F2851" s="1">
        <v>16.146000000000001</v>
      </c>
      <c r="G2851">
        <v>9</v>
      </c>
      <c r="H2851" s="1">
        <v>-12.9168</v>
      </c>
      <c r="I2851" s="4">
        <f>SalesData[[#This Row],[Profit]]/SalesData[[#This Row],[Sales]]</f>
        <v>-0.79999999999999993</v>
      </c>
      <c r="J2851">
        <f>YEAR(SalesData[[#This Row],[Order Date]])</f>
        <v>2015</v>
      </c>
      <c r="K2851" t="str">
        <f>TEXT(SalesData[[#This Row],[Order Date]],"mmm")</f>
        <v>Jul</v>
      </c>
      <c r="L2851">
        <f>MONTH(SalesData[[#This Row],[Order Date]])</f>
        <v>7</v>
      </c>
      <c r="M2851">
        <f>SalesData[[#This Row],[Sales]]/SalesData[[#This Row],[Quantity]]</f>
        <v>1.794</v>
      </c>
      <c r="N2851" t="str">
        <f>IF(SalesData[[#This Row],[Profit]]&gt;0,"Profit","Loss")</f>
        <v>Loss</v>
      </c>
    </row>
    <row r="2852" spans="1:14" x14ac:dyDescent="0.3">
      <c r="A2852" t="s">
        <v>1517</v>
      </c>
      <c r="B2852" s="3">
        <v>42196</v>
      </c>
      <c r="C2852" t="s">
        <v>46</v>
      </c>
      <c r="D2852" t="s">
        <v>21</v>
      </c>
      <c r="E2852" t="s">
        <v>170</v>
      </c>
      <c r="F2852" s="1">
        <v>1345.4849999999999</v>
      </c>
      <c r="G2852">
        <v>5</v>
      </c>
      <c r="H2852" s="1">
        <v>-1031.5385000000001</v>
      </c>
      <c r="I2852" s="4">
        <f>SalesData[[#This Row],[Profit]]/SalesData[[#This Row],[Sales]]</f>
        <v>-0.76666666666666683</v>
      </c>
      <c r="J2852">
        <f>YEAR(SalesData[[#This Row],[Order Date]])</f>
        <v>2015</v>
      </c>
      <c r="K2852" t="str">
        <f>TEXT(SalesData[[#This Row],[Order Date]],"mmm")</f>
        <v>Jul</v>
      </c>
      <c r="L2852">
        <f>MONTH(SalesData[[#This Row],[Order Date]])</f>
        <v>7</v>
      </c>
      <c r="M2852">
        <f>SalesData[[#This Row],[Sales]]/SalesData[[#This Row],[Quantity]]</f>
        <v>269.09699999999998</v>
      </c>
      <c r="N2852" t="str">
        <f>IF(SalesData[[#This Row],[Profit]]&gt;0,"Profit","Loss")</f>
        <v>Loss</v>
      </c>
    </row>
    <row r="2853" spans="1:14" x14ac:dyDescent="0.3">
      <c r="A2853" t="s">
        <v>1519</v>
      </c>
      <c r="B2853" s="3">
        <v>42196</v>
      </c>
      <c r="C2853" t="s">
        <v>9</v>
      </c>
      <c r="D2853" t="s">
        <v>21</v>
      </c>
      <c r="E2853" t="s">
        <v>1520</v>
      </c>
      <c r="F2853" s="1">
        <v>76.64</v>
      </c>
      <c r="G2853">
        <v>2</v>
      </c>
      <c r="H2853" s="1">
        <v>26.824000000000002</v>
      </c>
      <c r="I2853" s="4">
        <f>SalesData[[#This Row],[Profit]]/SalesData[[#This Row],[Sales]]</f>
        <v>0.35000000000000003</v>
      </c>
      <c r="J2853">
        <f>YEAR(SalesData[[#This Row],[Order Date]])</f>
        <v>2015</v>
      </c>
      <c r="K2853" t="str">
        <f>TEXT(SalesData[[#This Row],[Order Date]],"mmm")</f>
        <v>Jul</v>
      </c>
      <c r="L2853">
        <f>MONTH(SalesData[[#This Row],[Order Date]])</f>
        <v>7</v>
      </c>
      <c r="M2853">
        <f>SalesData[[#This Row],[Sales]]/SalesData[[#This Row],[Quantity]]</f>
        <v>38.32</v>
      </c>
      <c r="N2853" t="str">
        <f>IF(SalesData[[#This Row],[Profit]]&gt;0,"Profit","Loss")</f>
        <v>Profit</v>
      </c>
    </row>
    <row r="2854" spans="1:14" x14ac:dyDescent="0.3">
      <c r="A2854" t="s">
        <v>1521</v>
      </c>
      <c r="B2854" s="3">
        <v>42196</v>
      </c>
      <c r="C2854" t="s">
        <v>9</v>
      </c>
      <c r="D2854" t="s">
        <v>21</v>
      </c>
      <c r="E2854" t="s">
        <v>1099</v>
      </c>
      <c r="F2854" s="1">
        <v>23.64</v>
      </c>
      <c r="G2854">
        <v>3</v>
      </c>
      <c r="H2854" s="1">
        <v>5.319</v>
      </c>
      <c r="I2854" s="4">
        <f>SalesData[[#This Row],[Profit]]/SalesData[[#This Row],[Sales]]</f>
        <v>0.22500000000000001</v>
      </c>
      <c r="J2854">
        <f>YEAR(SalesData[[#This Row],[Order Date]])</f>
        <v>2015</v>
      </c>
      <c r="K2854" t="str">
        <f>TEXT(SalesData[[#This Row],[Order Date]],"mmm")</f>
        <v>Jul</v>
      </c>
      <c r="L2854">
        <f>MONTH(SalesData[[#This Row],[Order Date]])</f>
        <v>7</v>
      </c>
      <c r="M2854">
        <f>SalesData[[#This Row],[Sales]]/SalesData[[#This Row],[Quantity]]</f>
        <v>7.88</v>
      </c>
      <c r="N2854" t="str">
        <f>IF(SalesData[[#This Row],[Profit]]&gt;0,"Profit","Loss")</f>
        <v>Profit</v>
      </c>
    </row>
    <row r="2855" spans="1:14" x14ac:dyDescent="0.3">
      <c r="A2855" t="s">
        <v>1521</v>
      </c>
      <c r="B2855" s="3">
        <v>42196</v>
      </c>
      <c r="C2855" t="s">
        <v>9</v>
      </c>
      <c r="D2855" t="s">
        <v>21</v>
      </c>
      <c r="E2855" t="s">
        <v>1522</v>
      </c>
      <c r="F2855" s="1">
        <v>84.784000000000006</v>
      </c>
      <c r="G2855">
        <v>2</v>
      </c>
      <c r="H2855" s="1">
        <v>-16.956800000000001</v>
      </c>
      <c r="I2855" s="4">
        <f>SalesData[[#This Row],[Profit]]/SalesData[[#This Row],[Sales]]</f>
        <v>-0.2</v>
      </c>
      <c r="J2855">
        <f>YEAR(SalesData[[#This Row],[Order Date]])</f>
        <v>2015</v>
      </c>
      <c r="K2855" t="str">
        <f>TEXT(SalesData[[#This Row],[Order Date]],"mmm")</f>
        <v>Jul</v>
      </c>
      <c r="L2855">
        <f>MONTH(SalesData[[#This Row],[Order Date]])</f>
        <v>7</v>
      </c>
      <c r="M2855">
        <f>SalesData[[#This Row],[Sales]]/SalesData[[#This Row],[Quantity]]</f>
        <v>42.392000000000003</v>
      </c>
      <c r="N2855" t="str">
        <f>IF(SalesData[[#This Row],[Profit]]&gt;0,"Profit","Loss")</f>
        <v>Loss</v>
      </c>
    </row>
    <row r="2856" spans="1:14" x14ac:dyDescent="0.3">
      <c r="A2856" t="s">
        <v>1521</v>
      </c>
      <c r="B2856" s="3">
        <v>42196</v>
      </c>
      <c r="C2856" t="s">
        <v>9</v>
      </c>
      <c r="D2856" t="s">
        <v>14</v>
      </c>
      <c r="E2856" t="s">
        <v>1523</v>
      </c>
      <c r="F2856" s="1">
        <v>64.959999999999994</v>
      </c>
      <c r="G2856">
        <v>5</v>
      </c>
      <c r="H2856" s="1">
        <v>-84.447999999999993</v>
      </c>
      <c r="I2856" s="4">
        <f>SalesData[[#This Row],[Profit]]/SalesData[[#This Row],[Sales]]</f>
        <v>-1.3</v>
      </c>
      <c r="J2856">
        <f>YEAR(SalesData[[#This Row],[Order Date]])</f>
        <v>2015</v>
      </c>
      <c r="K2856" t="str">
        <f>TEXT(SalesData[[#This Row],[Order Date]],"mmm")</f>
        <v>Jul</v>
      </c>
      <c r="L2856">
        <f>MONTH(SalesData[[#This Row],[Order Date]])</f>
        <v>7</v>
      </c>
      <c r="M2856">
        <f>SalesData[[#This Row],[Sales]]/SalesData[[#This Row],[Quantity]]</f>
        <v>12.991999999999999</v>
      </c>
      <c r="N2856" t="str">
        <f>IF(SalesData[[#This Row],[Profit]]&gt;0,"Profit","Loss")</f>
        <v>Loss</v>
      </c>
    </row>
    <row r="2857" spans="1:14" x14ac:dyDescent="0.3">
      <c r="A2857" t="s">
        <v>1521</v>
      </c>
      <c r="B2857" s="3">
        <v>42196</v>
      </c>
      <c r="C2857" t="s">
        <v>9</v>
      </c>
      <c r="D2857" t="s">
        <v>21</v>
      </c>
      <c r="E2857" t="s">
        <v>607</v>
      </c>
      <c r="F2857" s="1">
        <v>32.06</v>
      </c>
      <c r="G2857">
        <v>10</v>
      </c>
      <c r="H2857" s="1">
        <v>-51.295999999999999</v>
      </c>
      <c r="I2857" s="4">
        <f>SalesData[[#This Row],[Profit]]/SalesData[[#This Row],[Sales]]</f>
        <v>-1.5999999999999999</v>
      </c>
      <c r="J2857">
        <f>YEAR(SalesData[[#This Row],[Order Date]])</f>
        <v>2015</v>
      </c>
      <c r="K2857" t="str">
        <f>TEXT(SalesData[[#This Row],[Order Date]],"mmm")</f>
        <v>Jul</v>
      </c>
      <c r="L2857">
        <f>MONTH(SalesData[[#This Row],[Order Date]])</f>
        <v>7</v>
      </c>
      <c r="M2857">
        <f>SalesData[[#This Row],[Sales]]/SalesData[[#This Row],[Quantity]]</f>
        <v>3.2060000000000004</v>
      </c>
      <c r="N2857" t="str">
        <f>IF(SalesData[[#This Row],[Profit]]&gt;0,"Profit","Loss")</f>
        <v>Loss</v>
      </c>
    </row>
    <row r="2858" spans="1:14" x14ac:dyDescent="0.3">
      <c r="A2858" t="s">
        <v>1521</v>
      </c>
      <c r="B2858" s="3">
        <v>42196</v>
      </c>
      <c r="C2858" t="s">
        <v>9</v>
      </c>
      <c r="D2858" t="s">
        <v>21</v>
      </c>
      <c r="E2858" t="s">
        <v>1524</v>
      </c>
      <c r="F2858" s="1">
        <v>177.648</v>
      </c>
      <c r="G2858">
        <v>2</v>
      </c>
      <c r="H2858" s="1">
        <v>-28.867799999999999</v>
      </c>
      <c r="I2858" s="4">
        <f>SalesData[[#This Row],[Profit]]/SalesData[[#This Row],[Sales]]</f>
        <v>-0.16250000000000001</v>
      </c>
      <c r="J2858">
        <f>YEAR(SalesData[[#This Row],[Order Date]])</f>
        <v>2015</v>
      </c>
      <c r="K2858" t="str">
        <f>TEXT(SalesData[[#This Row],[Order Date]],"mmm")</f>
        <v>Jul</v>
      </c>
      <c r="L2858">
        <f>MONTH(SalesData[[#This Row],[Order Date]])</f>
        <v>7</v>
      </c>
      <c r="M2858">
        <f>SalesData[[#This Row],[Sales]]/SalesData[[#This Row],[Quantity]]</f>
        <v>88.823999999999998</v>
      </c>
      <c r="N2858" t="str">
        <f>IF(SalesData[[#This Row],[Profit]]&gt;0,"Profit","Loss")</f>
        <v>Loss</v>
      </c>
    </row>
    <row r="2859" spans="1:14" x14ac:dyDescent="0.3">
      <c r="A2859" t="s">
        <v>1521</v>
      </c>
      <c r="B2859" s="3">
        <v>42196</v>
      </c>
      <c r="C2859" t="s">
        <v>9</v>
      </c>
      <c r="D2859" t="s">
        <v>10</v>
      </c>
      <c r="E2859" t="s">
        <v>1525</v>
      </c>
      <c r="F2859" s="1">
        <v>287.91000000000003</v>
      </c>
      <c r="G2859">
        <v>3</v>
      </c>
      <c r="H2859" s="1">
        <v>33.589500000000001</v>
      </c>
      <c r="I2859" s="4">
        <f>SalesData[[#This Row],[Profit]]/SalesData[[#This Row],[Sales]]</f>
        <v>0.11666666666666665</v>
      </c>
      <c r="J2859">
        <f>YEAR(SalesData[[#This Row],[Order Date]])</f>
        <v>2015</v>
      </c>
      <c r="K2859" t="str">
        <f>TEXT(SalesData[[#This Row],[Order Date]],"mmm")</f>
        <v>Jul</v>
      </c>
      <c r="L2859">
        <f>MONTH(SalesData[[#This Row],[Order Date]])</f>
        <v>7</v>
      </c>
      <c r="M2859">
        <f>SalesData[[#This Row],[Sales]]/SalesData[[#This Row],[Quantity]]</f>
        <v>95.970000000000013</v>
      </c>
      <c r="N2859" t="str">
        <f>IF(SalesData[[#This Row],[Profit]]&gt;0,"Profit","Loss")</f>
        <v>Profit</v>
      </c>
    </row>
    <row r="2860" spans="1:14" x14ac:dyDescent="0.3">
      <c r="A2860" t="s">
        <v>1526</v>
      </c>
      <c r="B2860" s="3">
        <v>42197</v>
      </c>
      <c r="C2860" t="s">
        <v>46</v>
      </c>
      <c r="D2860" t="s">
        <v>21</v>
      </c>
      <c r="E2860" t="s">
        <v>352</v>
      </c>
      <c r="F2860" s="1">
        <v>152.94</v>
      </c>
      <c r="G2860">
        <v>3</v>
      </c>
      <c r="H2860" s="1">
        <v>41.293799999999997</v>
      </c>
      <c r="I2860" s="4">
        <f>SalesData[[#This Row],[Profit]]/SalesData[[#This Row],[Sales]]</f>
        <v>0.26999999999999996</v>
      </c>
      <c r="J2860">
        <f>YEAR(SalesData[[#This Row],[Order Date]])</f>
        <v>2015</v>
      </c>
      <c r="K2860" t="str">
        <f>TEXT(SalesData[[#This Row],[Order Date]],"mmm")</f>
        <v>Jul</v>
      </c>
      <c r="L2860">
        <f>MONTH(SalesData[[#This Row],[Order Date]])</f>
        <v>7</v>
      </c>
      <c r="M2860">
        <f>SalesData[[#This Row],[Sales]]/SalesData[[#This Row],[Quantity]]</f>
        <v>50.98</v>
      </c>
      <c r="N2860" t="str">
        <f>IF(SalesData[[#This Row],[Profit]]&gt;0,"Profit","Loss")</f>
        <v>Profit</v>
      </c>
    </row>
    <row r="2861" spans="1:14" x14ac:dyDescent="0.3">
      <c r="A2861" t="s">
        <v>1526</v>
      </c>
      <c r="B2861" s="3">
        <v>42197</v>
      </c>
      <c r="C2861" t="s">
        <v>46</v>
      </c>
      <c r="D2861" t="s">
        <v>14</v>
      </c>
      <c r="E2861" t="s">
        <v>659</v>
      </c>
      <c r="F2861" s="1">
        <v>283.92</v>
      </c>
      <c r="G2861">
        <v>4</v>
      </c>
      <c r="H2861" s="1">
        <v>70.98</v>
      </c>
      <c r="I2861" s="4">
        <f>SalesData[[#This Row],[Profit]]/SalesData[[#This Row],[Sales]]</f>
        <v>0.25</v>
      </c>
      <c r="J2861">
        <f>YEAR(SalesData[[#This Row],[Order Date]])</f>
        <v>2015</v>
      </c>
      <c r="K2861" t="str">
        <f>TEXT(SalesData[[#This Row],[Order Date]],"mmm")</f>
        <v>Jul</v>
      </c>
      <c r="L2861">
        <f>MONTH(SalesData[[#This Row],[Order Date]])</f>
        <v>7</v>
      </c>
      <c r="M2861">
        <f>SalesData[[#This Row],[Sales]]/SalesData[[#This Row],[Quantity]]</f>
        <v>70.98</v>
      </c>
      <c r="N2861" t="str">
        <f>IF(SalesData[[#This Row],[Profit]]&gt;0,"Profit","Loss")</f>
        <v>Profit</v>
      </c>
    </row>
    <row r="2862" spans="1:14" x14ac:dyDescent="0.3">
      <c r="A2862" t="s">
        <v>1527</v>
      </c>
      <c r="B2862" s="3">
        <v>42197</v>
      </c>
      <c r="C2862" t="s">
        <v>13</v>
      </c>
      <c r="D2862" t="s">
        <v>21</v>
      </c>
      <c r="E2862" t="s">
        <v>1528</v>
      </c>
      <c r="F2862" s="1">
        <v>3.96</v>
      </c>
      <c r="G2862">
        <v>2</v>
      </c>
      <c r="H2862" s="1">
        <v>0</v>
      </c>
      <c r="I2862" s="4">
        <f>SalesData[[#This Row],[Profit]]/SalesData[[#This Row],[Sales]]</f>
        <v>0</v>
      </c>
      <c r="J2862">
        <f>YEAR(SalesData[[#This Row],[Order Date]])</f>
        <v>2015</v>
      </c>
      <c r="K2862" t="str">
        <f>TEXT(SalesData[[#This Row],[Order Date]],"mmm")</f>
        <v>Jul</v>
      </c>
      <c r="L2862">
        <f>MONTH(SalesData[[#This Row],[Order Date]])</f>
        <v>7</v>
      </c>
      <c r="M2862">
        <f>SalesData[[#This Row],[Sales]]/SalesData[[#This Row],[Quantity]]</f>
        <v>1.98</v>
      </c>
      <c r="N2862" t="str">
        <f>IF(SalesData[[#This Row],[Profit]]&gt;0,"Profit","Loss")</f>
        <v>Loss</v>
      </c>
    </row>
    <row r="2863" spans="1:14" x14ac:dyDescent="0.3">
      <c r="A2863" t="s">
        <v>1527</v>
      </c>
      <c r="B2863" s="3">
        <v>42197</v>
      </c>
      <c r="C2863" t="s">
        <v>13</v>
      </c>
      <c r="D2863" t="s">
        <v>21</v>
      </c>
      <c r="E2863" t="s">
        <v>212</v>
      </c>
      <c r="F2863" s="1">
        <v>2.61</v>
      </c>
      <c r="G2863">
        <v>1</v>
      </c>
      <c r="H2863" s="1">
        <v>1.2005999999999999</v>
      </c>
      <c r="I2863" s="4">
        <f>SalesData[[#This Row],[Profit]]/SalesData[[#This Row],[Sales]]</f>
        <v>0.45999999999999996</v>
      </c>
      <c r="J2863">
        <f>YEAR(SalesData[[#This Row],[Order Date]])</f>
        <v>2015</v>
      </c>
      <c r="K2863" t="str">
        <f>TEXT(SalesData[[#This Row],[Order Date]],"mmm")</f>
        <v>Jul</v>
      </c>
      <c r="L2863">
        <f>MONTH(SalesData[[#This Row],[Order Date]])</f>
        <v>7</v>
      </c>
      <c r="M2863">
        <f>SalesData[[#This Row],[Sales]]/SalesData[[#This Row],[Quantity]]</f>
        <v>2.61</v>
      </c>
      <c r="N2863" t="str">
        <f>IF(SalesData[[#This Row],[Profit]]&gt;0,"Profit","Loss")</f>
        <v>Profit</v>
      </c>
    </row>
    <row r="2864" spans="1:14" x14ac:dyDescent="0.3">
      <c r="A2864" t="s">
        <v>1529</v>
      </c>
      <c r="B2864" s="3">
        <v>42197</v>
      </c>
      <c r="C2864" t="s">
        <v>13</v>
      </c>
      <c r="D2864" t="s">
        <v>14</v>
      </c>
      <c r="E2864" t="s">
        <v>203</v>
      </c>
      <c r="F2864" s="1">
        <v>79.92</v>
      </c>
      <c r="G2864">
        <v>4</v>
      </c>
      <c r="H2864" s="1">
        <v>28.7712</v>
      </c>
      <c r="I2864" s="4">
        <f>SalesData[[#This Row],[Profit]]/SalesData[[#This Row],[Sales]]</f>
        <v>0.36</v>
      </c>
      <c r="J2864">
        <f>YEAR(SalesData[[#This Row],[Order Date]])</f>
        <v>2015</v>
      </c>
      <c r="K2864" t="str">
        <f>TEXT(SalesData[[#This Row],[Order Date]],"mmm")</f>
        <v>Jul</v>
      </c>
      <c r="L2864">
        <f>MONTH(SalesData[[#This Row],[Order Date]])</f>
        <v>7</v>
      </c>
      <c r="M2864">
        <f>SalesData[[#This Row],[Sales]]/SalesData[[#This Row],[Quantity]]</f>
        <v>19.98</v>
      </c>
      <c r="N2864" t="str">
        <f>IF(SalesData[[#This Row],[Profit]]&gt;0,"Profit","Loss")</f>
        <v>Profit</v>
      </c>
    </row>
    <row r="2865" spans="1:14" x14ac:dyDescent="0.3">
      <c r="A2865" t="s">
        <v>1530</v>
      </c>
      <c r="B2865" s="3">
        <v>42197</v>
      </c>
      <c r="C2865" t="s">
        <v>17</v>
      </c>
      <c r="D2865" t="s">
        <v>21</v>
      </c>
      <c r="E2865" t="s">
        <v>1531</v>
      </c>
      <c r="F2865" s="1">
        <v>21.36</v>
      </c>
      <c r="G2865">
        <v>5</v>
      </c>
      <c r="H2865" s="1">
        <v>7.2089999999999996</v>
      </c>
      <c r="I2865" s="4">
        <f>SalesData[[#This Row],[Profit]]/SalesData[[#This Row],[Sales]]</f>
        <v>0.33749999999999997</v>
      </c>
      <c r="J2865">
        <f>YEAR(SalesData[[#This Row],[Order Date]])</f>
        <v>2015</v>
      </c>
      <c r="K2865" t="str">
        <f>TEXT(SalesData[[#This Row],[Order Date]],"mmm")</f>
        <v>Jul</v>
      </c>
      <c r="L2865">
        <f>MONTH(SalesData[[#This Row],[Order Date]])</f>
        <v>7</v>
      </c>
      <c r="M2865">
        <f>SalesData[[#This Row],[Sales]]/SalesData[[#This Row],[Quantity]]</f>
        <v>4.2720000000000002</v>
      </c>
      <c r="N2865" t="str">
        <f>IF(SalesData[[#This Row],[Profit]]&gt;0,"Profit","Loss")</f>
        <v>Profit</v>
      </c>
    </row>
    <row r="2866" spans="1:14" x14ac:dyDescent="0.3">
      <c r="A2866" t="s">
        <v>1530</v>
      </c>
      <c r="B2866" s="3">
        <v>42197</v>
      </c>
      <c r="C2866" t="s">
        <v>17</v>
      </c>
      <c r="D2866" t="s">
        <v>21</v>
      </c>
      <c r="E2866" t="s">
        <v>1532</v>
      </c>
      <c r="F2866" s="1">
        <v>6.6879999999999997</v>
      </c>
      <c r="G2866">
        <v>2</v>
      </c>
      <c r="H2866" s="1">
        <v>2.3408000000000002</v>
      </c>
      <c r="I2866" s="4">
        <f>SalesData[[#This Row],[Profit]]/SalesData[[#This Row],[Sales]]</f>
        <v>0.35000000000000003</v>
      </c>
      <c r="J2866">
        <f>YEAR(SalesData[[#This Row],[Order Date]])</f>
        <v>2015</v>
      </c>
      <c r="K2866" t="str">
        <f>TEXT(SalesData[[#This Row],[Order Date]],"mmm")</f>
        <v>Jul</v>
      </c>
      <c r="L2866">
        <f>MONTH(SalesData[[#This Row],[Order Date]])</f>
        <v>7</v>
      </c>
      <c r="M2866">
        <f>SalesData[[#This Row],[Sales]]/SalesData[[#This Row],[Quantity]]</f>
        <v>3.3439999999999999</v>
      </c>
      <c r="N2866" t="str">
        <f>IF(SalesData[[#This Row],[Profit]]&gt;0,"Profit","Loss")</f>
        <v>Profit</v>
      </c>
    </row>
    <row r="2867" spans="1:14" x14ac:dyDescent="0.3">
      <c r="A2867" t="s">
        <v>1530</v>
      </c>
      <c r="B2867" s="3">
        <v>42197</v>
      </c>
      <c r="C2867" t="s">
        <v>17</v>
      </c>
      <c r="D2867" t="s">
        <v>10</v>
      </c>
      <c r="E2867" t="s">
        <v>1533</v>
      </c>
      <c r="F2867" s="1">
        <v>773.94</v>
      </c>
      <c r="G2867">
        <v>6</v>
      </c>
      <c r="H2867" s="1">
        <v>224.4426</v>
      </c>
      <c r="I2867" s="4">
        <f>SalesData[[#This Row],[Profit]]/SalesData[[#This Row],[Sales]]</f>
        <v>0.28999999999999998</v>
      </c>
      <c r="J2867">
        <f>YEAR(SalesData[[#This Row],[Order Date]])</f>
        <v>2015</v>
      </c>
      <c r="K2867" t="str">
        <f>TEXT(SalesData[[#This Row],[Order Date]],"mmm")</f>
        <v>Jul</v>
      </c>
      <c r="L2867">
        <f>MONTH(SalesData[[#This Row],[Order Date]])</f>
        <v>7</v>
      </c>
      <c r="M2867">
        <f>SalesData[[#This Row],[Sales]]/SalesData[[#This Row],[Quantity]]</f>
        <v>128.99</v>
      </c>
      <c r="N2867" t="str">
        <f>IF(SalesData[[#This Row],[Profit]]&gt;0,"Profit","Loss")</f>
        <v>Profit</v>
      </c>
    </row>
    <row r="2868" spans="1:14" x14ac:dyDescent="0.3">
      <c r="A2868" t="s">
        <v>1534</v>
      </c>
      <c r="B2868" s="3">
        <v>42197</v>
      </c>
      <c r="C2868" t="s">
        <v>13</v>
      </c>
      <c r="D2868" t="s">
        <v>21</v>
      </c>
      <c r="E2868" t="s">
        <v>1535</v>
      </c>
      <c r="F2868" s="1">
        <v>12.96</v>
      </c>
      <c r="G2868">
        <v>2</v>
      </c>
      <c r="H2868" s="1">
        <v>6.2207999999999997</v>
      </c>
      <c r="I2868" s="4">
        <f>SalesData[[#This Row],[Profit]]/SalesData[[#This Row],[Sales]]</f>
        <v>0.47999999999999993</v>
      </c>
      <c r="J2868">
        <f>YEAR(SalesData[[#This Row],[Order Date]])</f>
        <v>2015</v>
      </c>
      <c r="K2868" t="str">
        <f>TEXT(SalesData[[#This Row],[Order Date]],"mmm")</f>
        <v>Jul</v>
      </c>
      <c r="L2868">
        <f>MONTH(SalesData[[#This Row],[Order Date]])</f>
        <v>7</v>
      </c>
      <c r="M2868">
        <f>SalesData[[#This Row],[Sales]]/SalesData[[#This Row],[Quantity]]</f>
        <v>6.48</v>
      </c>
      <c r="N2868" t="str">
        <f>IF(SalesData[[#This Row],[Profit]]&gt;0,"Profit","Loss")</f>
        <v>Profit</v>
      </c>
    </row>
    <row r="2869" spans="1:14" x14ac:dyDescent="0.3">
      <c r="A2869" t="s">
        <v>1536</v>
      </c>
      <c r="B2869" s="3">
        <v>42218</v>
      </c>
      <c r="C2869" t="s">
        <v>17</v>
      </c>
      <c r="D2869" t="s">
        <v>10</v>
      </c>
      <c r="E2869" t="s">
        <v>684</v>
      </c>
      <c r="F2869" s="1">
        <v>107.982</v>
      </c>
      <c r="G2869">
        <v>3</v>
      </c>
      <c r="H2869" s="1">
        <v>-26.9955</v>
      </c>
      <c r="I2869" s="4">
        <f>SalesData[[#This Row],[Profit]]/SalesData[[#This Row],[Sales]]</f>
        <v>-0.25</v>
      </c>
      <c r="J2869">
        <f>YEAR(SalesData[[#This Row],[Order Date]])</f>
        <v>2015</v>
      </c>
      <c r="K2869" t="str">
        <f>TEXT(SalesData[[#This Row],[Order Date]],"mmm")</f>
        <v>Aug</v>
      </c>
      <c r="L2869">
        <f>MONTH(SalesData[[#This Row],[Order Date]])</f>
        <v>8</v>
      </c>
      <c r="M2869">
        <f>SalesData[[#This Row],[Sales]]/SalesData[[#This Row],[Quantity]]</f>
        <v>35.994</v>
      </c>
      <c r="N2869" t="str">
        <f>IF(SalesData[[#This Row],[Profit]]&gt;0,"Profit","Loss")</f>
        <v>Loss</v>
      </c>
    </row>
    <row r="2870" spans="1:14" x14ac:dyDescent="0.3">
      <c r="A2870" t="s">
        <v>1537</v>
      </c>
      <c r="B2870" s="3">
        <v>42218</v>
      </c>
      <c r="C2870" t="s">
        <v>9</v>
      </c>
      <c r="D2870" t="s">
        <v>21</v>
      </c>
      <c r="E2870" t="s">
        <v>1538</v>
      </c>
      <c r="F2870" s="1">
        <v>9.5399999999999991</v>
      </c>
      <c r="G2870">
        <v>2</v>
      </c>
      <c r="H2870" s="1">
        <v>4.2930000000000001</v>
      </c>
      <c r="I2870" s="4">
        <f>SalesData[[#This Row],[Profit]]/SalesData[[#This Row],[Sales]]</f>
        <v>0.45000000000000007</v>
      </c>
      <c r="J2870">
        <f>YEAR(SalesData[[#This Row],[Order Date]])</f>
        <v>2015</v>
      </c>
      <c r="K2870" t="str">
        <f>TEXT(SalesData[[#This Row],[Order Date]],"mmm")</f>
        <v>Aug</v>
      </c>
      <c r="L2870">
        <f>MONTH(SalesData[[#This Row],[Order Date]])</f>
        <v>8</v>
      </c>
      <c r="M2870">
        <f>SalesData[[#This Row],[Sales]]/SalesData[[#This Row],[Quantity]]</f>
        <v>4.7699999999999996</v>
      </c>
      <c r="N2870" t="str">
        <f>IF(SalesData[[#This Row],[Profit]]&gt;0,"Profit","Loss")</f>
        <v>Profit</v>
      </c>
    </row>
    <row r="2871" spans="1:14" x14ac:dyDescent="0.3">
      <c r="A2871" t="s">
        <v>1537</v>
      </c>
      <c r="B2871" s="3">
        <v>42218</v>
      </c>
      <c r="C2871" t="s">
        <v>9</v>
      </c>
      <c r="D2871" t="s">
        <v>21</v>
      </c>
      <c r="E2871" t="s">
        <v>1539</v>
      </c>
      <c r="F2871" s="1">
        <v>5.81</v>
      </c>
      <c r="G2871">
        <v>1</v>
      </c>
      <c r="H2871" s="1">
        <v>1.8010999999999999</v>
      </c>
      <c r="I2871" s="4">
        <f>SalesData[[#This Row],[Profit]]/SalesData[[#This Row],[Sales]]</f>
        <v>0.31</v>
      </c>
      <c r="J2871">
        <f>YEAR(SalesData[[#This Row],[Order Date]])</f>
        <v>2015</v>
      </c>
      <c r="K2871" t="str">
        <f>TEXT(SalesData[[#This Row],[Order Date]],"mmm")</f>
        <v>Aug</v>
      </c>
      <c r="L2871">
        <f>MONTH(SalesData[[#This Row],[Order Date]])</f>
        <v>8</v>
      </c>
      <c r="M2871">
        <f>SalesData[[#This Row],[Sales]]/SalesData[[#This Row],[Quantity]]</f>
        <v>5.81</v>
      </c>
      <c r="N2871" t="str">
        <f>IF(SalesData[[#This Row],[Profit]]&gt;0,"Profit","Loss")</f>
        <v>Profit</v>
      </c>
    </row>
    <row r="2872" spans="1:14" x14ac:dyDescent="0.3">
      <c r="A2872" t="s">
        <v>1537</v>
      </c>
      <c r="B2872" s="3">
        <v>42218</v>
      </c>
      <c r="C2872" t="s">
        <v>9</v>
      </c>
      <c r="D2872" t="s">
        <v>21</v>
      </c>
      <c r="E2872" t="s">
        <v>1540</v>
      </c>
      <c r="F2872" s="1">
        <v>5.76</v>
      </c>
      <c r="G2872">
        <v>2</v>
      </c>
      <c r="H2872" s="1">
        <v>1.728</v>
      </c>
      <c r="I2872" s="4">
        <f>SalesData[[#This Row],[Profit]]/SalesData[[#This Row],[Sales]]</f>
        <v>0.3</v>
      </c>
      <c r="J2872">
        <f>YEAR(SalesData[[#This Row],[Order Date]])</f>
        <v>2015</v>
      </c>
      <c r="K2872" t="str">
        <f>TEXT(SalesData[[#This Row],[Order Date]],"mmm")</f>
        <v>Aug</v>
      </c>
      <c r="L2872">
        <f>MONTH(SalesData[[#This Row],[Order Date]])</f>
        <v>8</v>
      </c>
      <c r="M2872">
        <f>SalesData[[#This Row],[Sales]]/SalesData[[#This Row],[Quantity]]</f>
        <v>2.88</v>
      </c>
      <c r="N2872" t="str">
        <f>IF(SalesData[[#This Row],[Profit]]&gt;0,"Profit","Loss")</f>
        <v>Profit</v>
      </c>
    </row>
    <row r="2873" spans="1:14" x14ac:dyDescent="0.3">
      <c r="A2873" t="s">
        <v>1541</v>
      </c>
      <c r="B2873" s="3">
        <v>42219</v>
      </c>
      <c r="C2873" t="s">
        <v>9</v>
      </c>
      <c r="D2873" t="s">
        <v>14</v>
      </c>
      <c r="E2873" t="s">
        <v>1542</v>
      </c>
      <c r="F2873" s="1">
        <v>512.94000000000005</v>
      </c>
      <c r="G2873">
        <v>3</v>
      </c>
      <c r="H2873" s="1">
        <v>97.458600000000004</v>
      </c>
      <c r="I2873" s="4">
        <f>SalesData[[#This Row],[Profit]]/SalesData[[#This Row],[Sales]]</f>
        <v>0.18999999999999997</v>
      </c>
      <c r="J2873">
        <f>YEAR(SalesData[[#This Row],[Order Date]])</f>
        <v>2015</v>
      </c>
      <c r="K2873" t="str">
        <f>TEXT(SalesData[[#This Row],[Order Date]],"mmm")</f>
        <v>Aug</v>
      </c>
      <c r="L2873">
        <f>MONTH(SalesData[[#This Row],[Order Date]])</f>
        <v>8</v>
      </c>
      <c r="M2873">
        <f>SalesData[[#This Row],[Sales]]/SalesData[[#This Row],[Quantity]]</f>
        <v>170.98000000000002</v>
      </c>
      <c r="N2873" t="str">
        <f>IF(SalesData[[#This Row],[Profit]]&gt;0,"Profit","Loss")</f>
        <v>Profit</v>
      </c>
    </row>
    <row r="2874" spans="1:14" x14ac:dyDescent="0.3">
      <c r="A2874" t="s">
        <v>1541</v>
      </c>
      <c r="B2874" s="3">
        <v>42219</v>
      </c>
      <c r="C2874" t="s">
        <v>9</v>
      </c>
      <c r="D2874" t="s">
        <v>14</v>
      </c>
      <c r="E2874" t="s">
        <v>1543</v>
      </c>
      <c r="F2874" s="1">
        <v>860.93</v>
      </c>
      <c r="G2874">
        <v>7</v>
      </c>
      <c r="H2874" s="1">
        <v>189.40459999999999</v>
      </c>
      <c r="I2874" s="4">
        <f>SalesData[[#This Row],[Profit]]/SalesData[[#This Row],[Sales]]</f>
        <v>0.22</v>
      </c>
      <c r="J2874">
        <f>YEAR(SalesData[[#This Row],[Order Date]])</f>
        <v>2015</v>
      </c>
      <c r="K2874" t="str">
        <f>TEXT(SalesData[[#This Row],[Order Date]],"mmm")</f>
        <v>Aug</v>
      </c>
      <c r="L2874">
        <f>MONTH(SalesData[[#This Row],[Order Date]])</f>
        <v>8</v>
      </c>
      <c r="M2874">
        <f>SalesData[[#This Row],[Sales]]/SalesData[[#This Row],[Quantity]]</f>
        <v>122.99</v>
      </c>
      <c r="N2874" t="str">
        <f>IF(SalesData[[#This Row],[Profit]]&gt;0,"Profit","Loss")</f>
        <v>Profit</v>
      </c>
    </row>
    <row r="2875" spans="1:14" x14ac:dyDescent="0.3">
      <c r="A2875" t="s">
        <v>1541</v>
      </c>
      <c r="B2875" s="3">
        <v>42219</v>
      </c>
      <c r="C2875" t="s">
        <v>9</v>
      </c>
      <c r="D2875" t="s">
        <v>10</v>
      </c>
      <c r="E2875" t="s">
        <v>1544</v>
      </c>
      <c r="F2875" s="1">
        <v>769.95</v>
      </c>
      <c r="G2875">
        <v>5</v>
      </c>
      <c r="H2875" s="1">
        <v>223.28550000000001</v>
      </c>
      <c r="I2875" s="4">
        <f>SalesData[[#This Row],[Profit]]/SalesData[[#This Row],[Sales]]</f>
        <v>0.28999999999999998</v>
      </c>
      <c r="J2875">
        <f>YEAR(SalesData[[#This Row],[Order Date]])</f>
        <v>2015</v>
      </c>
      <c r="K2875" t="str">
        <f>TEXT(SalesData[[#This Row],[Order Date]],"mmm")</f>
        <v>Aug</v>
      </c>
      <c r="L2875">
        <f>MONTH(SalesData[[#This Row],[Order Date]])</f>
        <v>8</v>
      </c>
      <c r="M2875">
        <f>SalesData[[#This Row],[Sales]]/SalesData[[#This Row],[Quantity]]</f>
        <v>153.99</v>
      </c>
      <c r="N2875" t="str">
        <f>IF(SalesData[[#This Row],[Profit]]&gt;0,"Profit","Loss")</f>
        <v>Profit</v>
      </c>
    </row>
    <row r="2876" spans="1:14" x14ac:dyDescent="0.3">
      <c r="A2876" t="s">
        <v>1541</v>
      </c>
      <c r="B2876" s="3">
        <v>42219</v>
      </c>
      <c r="C2876" t="s">
        <v>9</v>
      </c>
      <c r="D2876" t="s">
        <v>21</v>
      </c>
      <c r="E2876" t="s">
        <v>1545</v>
      </c>
      <c r="F2876" s="1">
        <v>14.98</v>
      </c>
      <c r="G2876">
        <v>1</v>
      </c>
      <c r="H2876" s="1">
        <v>4.4939999999999998</v>
      </c>
      <c r="I2876" s="4">
        <f>SalesData[[#This Row],[Profit]]/SalesData[[#This Row],[Sales]]</f>
        <v>0.3</v>
      </c>
      <c r="J2876">
        <f>YEAR(SalesData[[#This Row],[Order Date]])</f>
        <v>2015</v>
      </c>
      <c r="K2876" t="str">
        <f>TEXT(SalesData[[#This Row],[Order Date]],"mmm")</f>
        <v>Aug</v>
      </c>
      <c r="L2876">
        <f>MONTH(SalesData[[#This Row],[Order Date]])</f>
        <v>8</v>
      </c>
      <c r="M2876">
        <f>SalesData[[#This Row],[Sales]]/SalesData[[#This Row],[Quantity]]</f>
        <v>14.98</v>
      </c>
      <c r="N2876" t="str">
        <f>IF(SalesData[[#This Row],[Profit]]&gt;0,"Profit","Loss")</f>
        <v>Profit</v>
      </c>
    </row>
    <row r="2877" spans="1:14" x14ac:dyDescent="0.3">
      <c r="A2877" t="s">
        <v>1541</v>
      </c>
      <c r="B2877" s="3">
        <v>42219</v>
      </c>
      <c r="C2877" t="s">
        <v>9</v>
      </c>
      <c r="D2877" t="s">
        <v>14</v>
      </c>
      <c r="E2877" t="s">
        <v>1081</v>
      </c>
      <c r="F2877" s="1">
        <v>373.08</v>
      </c>
      <c r="G2877">
        <v>6</v>
      </c>
      <c r="H2877" s="1">
        <v>82.077600000000004</v>
      </c>
      <c r="I2877" s="4">
        <f>SalesData[[#This Row],[Profit]]/SalesData[[#This Row],[Sales]]</f>
        <v>0.22000000000000003</v>
      </c>
      <c r="J2877">
        <f>YEAR(SalesData[[#This Row],[Order Date]])</f>
        <v>2015</v>
      </c>
      <c r="K2877" t="str">
        <f>TEXT(SalesData[[#This Row],[Order Date]],"mmm")</f>
        <v>Aug</v>
      </c>
      <c r="L2877">
        <f>MONTH(SalesData[[#This Row],[Order Date]])</f>
        <v>8</v>
      </c>
      <c r="M2877">
        <f>SalesData[[#This Row],[Sales]]/SalesData[[#This Row],[Quantity]]</f>
        <v>62.18</v>
      </c>
      <c r="N2877" t="str">
        <f>IF(SalesData[[#This Row],[Profit]]&gt;0,"Profit","Loss")</f>
        <v>Profit</v>
      </c>
    </row>
    <row r="2878" spans="1:14" x14ac:dyDescent="0.3">
      <c r="A2878" t="s">
        <v>1546</v>
      </c>
      <c r="B2878" s="3">
        <v>42219</v>
      </c>
      <c r="C2878" t="s">
        <v>17</v>
      </c>
      <c r="D2878" t="s">
        <v>21</v>
      </c>
      <c r="E2878" t="s">
        <v>1547</v>
      </c>
      <c r="F2878" s="1">
        <v>19.440000000000001</v>
      </c>
      <c r="G2878">
        <v>3</v>
      </c>
      <c r="H2878" s="1">
        <v>9.3312000000000008</v>
      </c>
      <c r="I2878" s="4">
        <f>SalesData[[#This Row],[Profit]]/SalesData[[#This Row],[Sales]]</f>
        <v>0.48000000000000004</v>
      </c>
      <c r="J2878">
        <f>YEAR(SalesData[[#This Row],[Order Date]])</f>
        <v>2015</v>
      </c>
      <c r="K2878" t="str">
        <f>TEXT(SalesData[[#This Row],[Order Date]],"mmm")</f>
        <v>Aug</v>
      </c>
      <c r="L2878">
        <f>MONTH(SalesData[[#This Row],[Order Date]])</f>
        <v>8</v>
      </c>
      <c r="M2878">
        <f>SalesData[[#This Row],[Sales]]/SalesData[[#This Row],[Quantity]]</f>
        <v>6.48</v>
      </c>
      <c r="N2878" t="str">
        <f>IF(SalesData[[#This Row],[Profit]]&gt;0,"Profit","Loss")</f>
        <v>Profit</v>
      </c>
    </row>
    <row r="2879" spans="1:14" x14ac:dyDescent="0.3">
      <c r="A2879" t="s">
        <v>1548</v>
      </c>
      <c r="B2879" s="3">
        <v>42219</v>
      </c>
      <c r="C2879" t="s">
        <v>13</v>
      </c>
      <c r="D2879" t="s">
        <v>21</v>
      </c>
      <c r="E2879" t="s">
        <v>486</v>
      </c>
      <c r="F2879" s="1">
        <v>3.4079999999999999</v>
      </c>
      <c r="G2879">
        <v>1</v>
      </c>
      <c r="H2879" s="1">
        <v>0.89459999999999995</v>
      </c>
      <c r="I2879" s="4">
        <f>SalesData[[#This Row],[Profit]]/SalesData[[#This Row],[Sales]]</f>
        <v>0.26250000000000001</v>
      </c>
      <c r="J2879">
        <f>YEAR(SalesData[[#This Row],[Order Date]])</f>
        <v>2015</v>
      </c>
      <c r="K2879" t="str">
        <f>TEXT(SalesData[[#This Row],[Order Date]],"mmm")</f>
        <v>Aug</v>
      </c>
      <c r="L2879">
        <f>MONTH(SalesData[[#This Row],[Order Date]])</f>
        <v>8</v>
      </c>
      <c r="M2879">
        <f>SalesData[[#This Row],[Sales]]/SalesData[[#This Row],[Quantity]]</f>
        <v>3.4079999999999999</v>
      </c>
      <c r="N2879" t="str">
        <f>IF(SalesData[[#This Row],[Profit]]&gt;0,"Profit","Loss")</f>
        <v>Profit</v>
      </c>
    </row>
    <row r="2880" spans="1:14" x14ac:dyDescent="0.3">
      <c r="A2880" t="s">
        <v>1549</v>
      </c>
      <c r="B2880" s="3">
        <v>42219</v>
      </c>
      <c r="C2880" t="s">
        <v>9</v>
      </c>
      <c r="D2880" t="s">
        <v>21</v>
      </c>
      <c r="E2880" t="s">
        <v>1293</v>
      </c>
      <c r="F2880" s="1">
        <v>8.5679999999999996</v>
      </c>
      <c r="G2880">
        <v>3</v>
      </c>
      <c r="H2880" s="1">
        <v>-14.5656</v>
      </c>
      <c r="I2880" s="4">
        <f>SalesData[[#This Row],[Profit]]/SalesData[[#This Row],[Sales]]</f>
        <v>-1.7</v>
      </c>
      <c r="J2880">
        <f>YEAR(SalesData[[#This Row],[Order Date]])</f>
        <v>2015</v>
      </c>
      <c r="K2880" t="str">
        <f>TEXT(SalesData[[#This Row],[Order Date]],"mmm")</f>
        <v>Aug</v>
      </c>
      <c r="L2880">
        <f>MONTH(SalesData[[#This Row],[Order Date]])</f>
        <v>8</v>
      </c>
      <c r="M2880">
        <f>SalesData[[#This Row],[Sales]]/SalesData[[#This Row],[Quantity]]</f>
        <v>2.8559999999999999</v>
      </c>
      <c r="N2880" t="str">
        <f>IF(SalesData[[#This Row],[Profit]]&gt;0,"Profit","Loss")</f>
        <v>Loss</v>
      </c>
    </row>
    <row r="2881" spans="1:14" x14ac:dyDescent="0.3">
      <c r="A2881" t="s">
        <v>1550</v>
      </c>
      <c r="B2881" s="3">
        <v>42221</v>
      </c>
      <c r="C2881" t="s">
        <v>17</v>
      </c>
      <c r="D2881" t="s">
        <v>14</v>
      </c>
      <c r="E2881" t="s">
        <v>333</v>
      </c>
      <c r="F2881" s="1">
        <v>8.3520000000000003</v>
      </c>
      <c r="G2881">
        <v>6</v>
      </c>
      <c r="H2881" s="1">
        <v>1.2527999999999999</v>
      </c>
      <c r="I2881" s="4">
        <f>SalesData[[#This Row],[Profit]]/SalesData[[#This Row],[Sales]]</f>
        <v>0.15</v>
      </c>
      <c r="J2881">
        <f>YEAR(SalesData[[#This Row],[Order Date]])</f>
        <v>2015</v>
      </c>
      <c r="K2881" t="str">
        <f>TEXT(SalesData[[#This Row],[Order Date]],"mmm")</f>
        <v>Aug</v>
      </c>
      <c r="L2881">
        <f>MONTH(SalesData[[#This Row],[Order Date]])</f>
        <v>8</v>
      </c>
      <c r="M2881">
        <f>SalesData[[#This Row],[Sales]]/SalesData[[#This Row],[Quantity]]</f>
        <v>1.3920000000000001</v>
      </c>
      <c r="N2881" t="str">
        <f>IF(SalesData[[#This Row],[Profit]]&gt;0,"Profit","Loss")</f>
        <v>Profit</v>
      </c>
    </row>
    <row r="2882" spans="1:14" x14ac:dyDescent="0.3">
      <c r="A2882" t="s">
        <v>1551</v>
      </c>
      <c r="B2882" s="3">
        <v>42221</v>
      </c>
      <c r="C2882" t="s">
        <v>13</v>
      </c>
      <c r="D2882" t="s">
        <v>21</v>
      </c>
      <c r="E2882" t="s">
        <v>395</v>
      </c>
      <c r="F2882" s="1">
        <v>5.2480000000000002</v>
      </c>
      <c r="G2882">
        <v>2</v>
      </c>
      <c r="H2882" s="1">
        <v>0.59040000000000004</v>
      </c>
      <c r="I2882" s="4">
        <f>SalesData[[#This Row],[Profit]]/SalesData[[#This Row],[Sales]]</f>
        <v>0.1125</v>
      </c>
      <c r="J2882">
        <f>YEAR(SalesData[[#This Row],[Order Date]])</f>
        <v>2015</v>
      </c>
      <c r="K2882" t="str">
        <f>TEXT(SalesData[[#This Row],[Order Date]],"mmm")</f>
        <v>Aug</v>
      </c>
      <c r="L2882">
        <f>MONTH(SalesData[[#This Row],[Order Date]])</f>
        <v>8</v>
      </c>
      <c r="M2882">
        <f>SalesData[[#This Row],[Sales]]/SalesData[[#This Row],[Quantity]]</f>
        <v>2.6240000000000001</v>
      </c>
      <c r="N2882" t="str">
        <f>IF(SalesData[[#This Row],[Profit]]&gt;0,"Profit","Loss")</f>
        <v>Profit</v>
      </c>
    </row>
    <row r="2883" spans="1:14" x14ac:dyDescent="0.3">
      <c r="A2883" t="s">
        <v>1552</v>
      </c>
      <c r="B2883" s="3">
        <v>42221</v>
      </c>
      <c r="C2883" t="s">
        <v>9</v>
      </c>
      <c r="D2883" t="s">
        <v>21</v>
      </c>
      <c r="E2883" t="s">
        <v>459</v>
      </c>
      <c r="F2883" s="1">
        <v>43.98</v>
      </c>
      <c r="G2883">
        <v>2</v>
      </c>
      <c r="H2883" s="1">
        <v>21.99</v>
      </c>
      <c r="I2883" s="4">
        <f>SalesData[[#This Row],[Profit]]/SalesData[[#This Row],[Sales]]</f>
        <v>0.5</v>
      </c>
      <c r="J2883">
        <f>YEAR(SalesData[[#This Row],[Order Date]])</f>
        <v>2015</v>
      </c>
      <c r="K2883" t="str">
        <f>TEXT(SalesData[[#This Row],[Order Date]],"mmm")</f>
        <v>Aug</v>
      </c>
      <c r="L2883">
        <f>MONTH(SalesData[[#This Row],[Order Date]])</f>
        <v>8</v>
      </c>
      <c r="M2883">
        <f>SalesData[[#This Row],[Sales]]/SalesData[[#This Row],[Quantity]]</f>
        <v>21.99</v>
      </c>
      <c r="N2883" t="str">
        <f>IF(SalesData[[#This Row],[Profit]]&gt;0,"Profit","Loss")</f>
        <v>Profit</v>
      </c>
    </row>
    <row r="2884" spans="1:14" x14ac:dyDescent="0.3">
      <c r="A2884" t="s">
        <v>1552</v>
      </c>
      <c r="B2884" s="3">
        <v>42221</v>
      </c>
      <c r="C2884" t="s">
        <v>9</v>
      </c>
      <c r="D2884" t="s">
        <v>10</v>
      </c>
      <c r="E2884" t="s">
        <v>1553</v>
      </c>
      <c r="F2884" s="1">
        <v>377.97</v>
      </c>
      <c r="G2884">
        <v>3</v>
      </c>
      <c r="H2884" s="1">
        <v>105.83159999999999</v>
      </c>
      <c r="I2884" s="4">
        <f>SalesData[[#This Row],[Profit]]/SalesData[[#This Row],[Sales]]</f>
        <v>0.27999999999999997</v>
      </c>
      <c r="J2884">
        <f>YEAR(SalesData[[#This Row],[Order Date]])</f>
        <v>2015</v>
      </c>
      <c r="K2884" t="str">
        <f>TEXT(SalesData[[#This Row],[Order Date]],"mmm")</f>
        <v>Aug</v>
      </c>
      <c r="L2884">
        <f>MONTH(SalesData[[#This Row],[Order Date]])</f>
        <v>8</v>
      </c>
      <c r="M2884">
        <f>SalesData[[#This Row],[Sales]]/SalesData[[#This Row],[Quantity]]</f>
        <v>125.99000000000001</v>
      </c>
      <c r="N2884" t="str">
        <f>IF(SalesData[[#This Row],[Profit]]&gt;0,"Profit","Loss")</f>
        <v>Profit</v>
      </c>
    </row>
    <row r="2885" spans="1:14" x14ac:dyDescent="0.3">
      <c r="A2885" t="s">
        <v>1552</v>
      </c>
      <c r="B2885" s="3">
        <v>42221</v>
      </c>
      <c r="C2885" t="s">
        <v>9</v>
      </c>
      <c r="D2885" t="s">
        <v>14</v>
      </c>
      <c r="E2885" t="s">
        <v>906</v>
      </c>
      <c r="F2885" s="1">
        <v>123.96</v>
      </c>
      <c r="G2885">
        <v>3</v>
      </c>
      <c r="H2885" s="1">
        <v>11.1564</v>
      </c>
      <c r="I2885" s="4">
        <f>SalesData[[#This Row],[Profit]]/SalesData[[#This Row],[Sales]]</f>
        <v>0.09</v>
      </c>
      <c r="J2885">
        <f>YEAR(SalesData[[#This Row],[Order Date]])</f>
        <v>2015</v>
      </c>
      <c r="K2885" t="str">
        <f>TEXT(SalesData[[#This Row],[Order Date]],"mmm")</f>
        <v>Aug</v>
      </c>
      <c r="L2885">
        <f>MONTH(SalesData[[#This Row],[Order Date]])</f>
        <v>8</v>
      </c>
      <c r="M2885">
        <f>SalesData[[#This Row],[Sales]]/SalesData[[#This Row],[Quantity]]</f>
        <v>41.32</v>
      </c>
      <c r="N2885" t="str">
        <f>IF(SalesData[[#This Row],[Profit]]&gt;0,"Profit","Loss")</f>
        <v>Profit</v>
      </c>
    </row>
    <row r="2886" spans="1:14" x14ac:dyDescent="0.3">
      <c r="A2886" t="s">
        <v>1554</v>
      </c>
      <c r="B2886" s="3">
        <v>42221</v>
      </c>
      <c r="C2886" t="s">
        <v>17</v>
      </c>
      <c r="D2886" t="s">
        <v>21</v>
      </c>
      <c r="E2886" t="s">
        <v>805</v>
      </c>
      <c r="F2886" s="1">
        <v>37.94</v>
      </c>
      <c r="G2886">
        <v>2</v>
      </c>
      <c r="H2886" s="1">
        <v>18.211200000000002</v>
      </c>
      <c r="I2886" s="4">
        <f>SalesData[[#This Row],[Profit]]/SalesData[[#This Row],[Sales]]</f>
        <v>0.48000000000000009</v>
      </c>
      <c r="J2886">
        <f>YEAR(SalesData[[#This Row],[Order Date]])</f>
        <v>2015</v>
      </c>
      <c r="K2886" t="str">
        <f>TEXT(SalesData[[#This Row],[Order Date]],"mmm")</f>
        <v>Aug</v>
      </c>
      <c r="L2886">
        <f>MONTH(SalesData[[#This Row],[Order Date]])</f>
        <v>8</v>
      </c>
      <c r="M2886">
        <f>SalesData[[#This Row],[Sales]]/SalesData[[#This Row],[Quantity]]</f>
        <v>18.97</v>
      </c>
      <c r="N2886" t="str">
        <f>IF(SalesData[[#This Row],[Profit]]&gt;0,"Profit","Loss")</f>
        <v>Profit</v>
      </c>
    </row>
    <row r="2887" spans="1:14" x14ac:dyDescent="0.3">
      <c r="A2887" t="s">
        <v>1555</v>
      </c>
      <c r="B2887" s="3">
        <v>42221</v>
      </c>
      <c r="C2887" t="s">
        <v>17</v>
      </c>
      <c r="D2887" t="s">
        <v>14</v>
      </c>
      <c r="E2887" t="s">
        <v>26</v>
      </c>
      <c r="F2887" s="1">
        <v>79.44</v>
      </c>
      <c r="G2887">
        <v>3</v>
      </c>
      <c r="H2887" s="1">
        <v>30.187200000000001</v>
      </c>
      <c r="I2887" s="4">
        <f>SalesData[[#This Row],[Profit]]/SalesData[[#This Row],[Sales]]</f>
        <v>0.38</v>
      </c>
      <c r="J2887">
        <f>YEAR(SalesData[[#This Row],[Order Date]])</f>
        <v>2015</v>
      </c>
      <c r="K2887" t="str">
        <f>TEXT(SalesData[[#This Row],[Order Date]],"mmm")</f>
        <v>Aug</v>
      </c>
      <c r="L2887">
        <f>MONTH(SalesData[[#This Row],[Order Date]])</f>
        <v>8</v>
      </c>
      <c r="M2887">
        <f>SalesData[[#This Row],[Sales]]/SalesData[[#This Row],[Quantity]]</f>
        <v>26.48</v>
      </c>
      <c r="N2887" t="str">
        <f>IF(SalesData[[#This Row],[Profit]]&gt;0,"Profit","Loss")</f>
        <v>Profit</v>
      </c>
    </row>
    <row r="2888" spans="1:14" x14ac:dyDescent="0.3">
      <c r="A2888" t="s">
        <v>1555</v>
      </c>
      <c r="B2888" s="3">
        <v>42221</v>
      </c>
      <c r="C2888" t="s">
        <v>17</v>
      </c>
      <c r="D2888" t="s">
        <v>21</v>
      </c>
      <c r="E2888" t="s">
        <v>279</v>
      </c>
      <c r="F2888" s="1">
        <v>357.93</v>
      </c>
      <c r="G2888">
        <v>3</v>
      </c>
      <c r="H2888" s="1">
        <v>7.1585999999999999</v>
      </c>
      <c r="I2888" s="4">
        <f>SalesData[[#This Row],[Profit]]/SalesData[[#This Row],[Sales]]</f>
        <v>0.02</v>
      </c>
      <c r="J2888">
        <f>YEAR(SalesData[[#This Row],[Order Date]])</f>
        <v>2015</v>
      </c>
      <c r="K2888" t="str">
        <f>TEXT(SalesData[[#This Row],[Order Date]],"mmm")</f>
        <v>Aug</v>
      </c>
      <c r="L2888">
        <f>MONTH(SalesData[[#This Row],[Order Date]])</f>
        <v>8</v>
      </c>
      <c r="M2888">
        <f>SalesData[[#This Row],[Sales]]/SalesData[[#This Row],[Quantity]]</f>
        <v>119.31</v>
      </c>
      <c r="N2888" t="str">
        <f>IF(SalesData[[#This Row],[Profit]]&gt;0,"Profit","Loss")</f>
        <v>Profit</v>
      </c>
    </row>
    <row r="2889" spans="1:14" x14ac:dyDescent="0.3">
      <c r="A2889" t="s">
        <v>1555</v>
      </c>
      <c r="B2889" s="3">
        <v>42221</v>
      </c>
      <c r="C2889" t="s">
        <v>17</v>
      </c>
      <c r="D2889" t="s">
        <v>14</v>
      </c>
      <c r="E2889" t="s">
        <v>659</v>
      </c>
      <c r="F2889" s="1">
        <v>127.764</v>
      </c>
      <c r="G2889">
        <v>2</v>
      </c>
      <c r="H2889" s="1">
        <v>21.294</v>
      </c>
      <c r="I2889" s="4">
        <f>SalesData[[#This Row],[Profit]]/SalesData[[#This Row],[Sales]]</f>
        <v>0.16666666666666669</v>
      </c>
      <c r="J2889">
        <f>YEAR(SalesData[[#This Row],[Order Date]])</f>
        <v>2015</v>
      </c>
      <c r="K2889" t="str">
        <f>TEXT(SalesData[[#This Row],[Order Date]],"mmm")</f>
        <v>Aug</v>
      </c>
      <c r="L2889">
        <f>MONTH(SalesData[[#This Row],[Order Date]])</f>
        <v>8</v>
      </c>
      <c r="M2889">
        <f>SalesData[[#This Row],[Sales]]/SalesData[[#This Row],[Quantity]]</f>
        <v>63.881999999999998</v>
      </c>
      <c r="N2889" t="str">
        <f>IF(SalesData[[#This Row],[Profit]]&gt;0,"Profit","Loss")</f>
        <v>Profit</v>
      </c>
    </row>
    <row r="2890" spans="1:14" x14ac:dyDescent="0.3">
      <c r="A2890" t="s">
        <v>1555</v>
      </c>
      <c r="B2890" s="3">
        <v>42221</v>
      </c>
      <c r="C2890" t="s">
        <v>17</v>
      </c>
      <c r="D2890" t="s">
        <v>10</v>
      </c>
      <c r="E2890" t="s">
        <v>668</v>
      </c>
      <c r="F2890" s="1">
        <v>2799.944</v>
      </c>
      <c r="G2890">
        <v>7</v>
      </c>
      <c r="H2890" s="1">
        <v>1014.9797</v>
      </c>
      <c r="I2890" s="4">
        <f>SalesData[[#This Row],[Profit]]/SalesData[[#This Row],[Sales]]</f>
        <v>0.36249999999999999</v>
      </c>
      <c r="J2890">
        <f>YEAR(SalesData[[#This Row],[Order Date]])</f>
        <v>2015</v>
      </c>
      <c r="K2890" t="str">
        <f>TEXT(SalesData[[#This Row],[Order Date]],"mmm")</f>
        <v>Aug</v>
      </c>
      <c r="L2890">
        <f>MONTH(SalesData[[#This Row],[Order Date]])</f>
        <v>8</v>
      </c>
      <c r="M2890">
        <f>SalesData[[#This Row],[Sales]]/SalesData[[#This Row],[Quantity]]</f>
        <v>399.99200000000002</v>
      </c>
      <c r="N2890" t="str">
        <f>IF(SalesData[[#This Row],[Profit]]&gt;0,"Profit","Loss")</f>
        <v>Profit</v>
      </c>
    </row>
    <row r="2891" spans="1:14" x14ac:dyDescent="0.3">
      <c r="A2891" t="s">
        <v>1555</v>
      </c>
      <c r="B2891" s="3">
        <v>42221</v>
      </c>
      <c r="C2891" t="s">
        <v>17</v>
      </c>
      <c r="D2891" t="s">
        <v>21</v>
      </c>
      <c r="E2891" t="s">
        <v>1556</v>
      </c>
      <c r="F2891" s="1">
        <v>19.440000000000001</v>
      </c>
      <c r="G2891">
        <v>3</v>
      </c>
      <c r="H2891" s="1">
        <v>9.3312000000000008</v>
      </c>
      <c r="I2891" s="4">
        <f>SalesData[[#This Row],[Profit]]/SalesData[[#This Row],[Sales]]</f>
        <v>0.48000000000000004</v>
      </c>
      <c r="J2891">
        <f>YEAR(SalesData[[#This Row],[Order Date]])</f>
        <v>2015</v>
      </c>
      <c r="K2891" t="str">
        <f>TEXT(SalesData[[#This Row],[Order Date]],"mmm")</f>
        <v>Aug</v>
      </c>
      <c r="L2891">
        <f>MONTH(SalesData[[#This Row],[Order Date]])</f>
        <v>8</v>
      </c>
      <c r="M2891">
        <f>SalesData[[#This Row],[Sales]]/SalesData[[#This Row],[Quantity]]</f>
        <v>6.48</v>
      </c>
      <c r="N2891" t="str">
        <f>IF(SalesData[[#This Row],[Profit]]&gt;0,"Profit","Loss")</f>
        <v>Profit</v>
      </c>
    </row>
    <row r="2892" spans="1:14" x14ac:dyDescent="0.3">
      <c r="A2892" t="s">
        <v>1557</v>
      </c>
      <c r="B2892" s="3">
        <v>42222</v>
      </c>
      <c r="C2892" t="s">
        <v>9</v>
      </c>
      <c r="D2892" t="s">
        <v>10</v>
      </c>
      <c r="E2892" t="s">
        <v>1558</v>
      </c>
      <c r="F2892" s="1">
        <v>2.3759999999999999</v>
      </c>
      <c r="G2892">
        <v>3</v>
      </c>
      <c r="H2892" s="1">
        <v>0.74250000000000005</v>
      </c>
      <c r="I2892" s="4">
        <f>SalesData[[#This Row],[Profit]]/SalesData[[#This Row],[Sales]]</f>
        <v>0.31250000000000006</v>
      </c>
      <c r="J2892">
        <f>YEAR(SalesData[[#This Row],[Order Date]])</f>
        <v>2015</v>
      </c>
      <c r="K2892" t="str">
        <f>TEXT(SalesData[[#This Row],[Order Date]],"mmm")</f>
        <v>Aug</v>
      </c>
      <c r="L2892">
        <f>MONTH(SalesData[[#This Row],[Order Date]])</f>
        <v>8</v>
      </c>
      <c r="M2892">
        <f>SalesData[[#This Row],[Sales]]/SalesData[[#This Row],[Quantity]]</f>
        <v>0.79199999999999993</v>
      </c>
      <c r="N2892" t="str">
        <f>IF(SalesData[[#This Row],[Profit]]&gt;0,"Profit","Loss")</f>
        <v>Profit</v>
      </c>
    </row>
    <row r="2893" spans="1:14" x14ac:dyDescent="0.3">
      <c r="A2893" t="s">
        <v>1557</v>
      </c>
      <c r="B2893" s="3">
        <v>42222</v>
      </c>
      <c r="C2893" t="s">
        <v>9</v>
      </c>
      <c r="D2893" t="s">
        <v>21</v>
      </c>
      <c r="E2893" t="s">
        <v>1273</v>
      </c>
      <c r="F2893" s="1">
        <v>143.12799999999999</v>
      </c>
      <c r="G2893">
        <v>2</v>
      </c>
      <c r="H2893" s="1">
        <v>-393.60199999999998</v>
      </c>
      <c r="I2893" s="4">
        <f>SalesData[[#This Row],[Profit]]/SalesData[[#This Row],[Sales]]</f>
        <v>-2.75</v>
      </c>
      <c r="J2893">
        <f>YEAR(SalesData[[#This Row],[Order Date]])</f>
        <v>2015</v>
      </c>
      <c r="K2893" t="str">
        <f>TEXT(SalesData[[#This Row],[Order Date]],"mmm")</f>
        <v>Aug</v>
      </c>
      <c r="L2893">
        <f>MONTH(SalesData[[#This Row],[Order Date]])</f>
        <v>8</v>
      </c>
      <c r="M2893">
        <f>SalesData[[#This Row],[Sales]]/SalesData[[#This Row],[Quantity]]</f>
        <v>71.563999999999993</v>
      </c>
      <c r="N2893" t="str">
        <f>IF(SalesData[[#This Row],[Profit]]&gt;0,"Profit","Loss")</f>
        <v>Loss</v>
      </c>
    </row>
    <row r="2894" spans="1:14" x14ac:dyDescent="0.3">
      <c r="A2894" t="s">
        <v>1559</v>
      </c>
      <c r="B2894" s="3">
        <v>42222</v>
      </c>
      <c r="C2894" t="s">
        <v>46</v>
      </c>
      <c r="D2894" t="s">
        <v>21</v>
      </c>
      <c r="E2894" t="s">
        <v>1560</v>
      </c>
      <c r="F2894" s="1">
        <v>173.488</v>
      </c>
      <c r="G2894">
        <v>7</v>
      </c>
      <c r="H2894" s="1">
        <v>54.215000000000003</v>
      </c>
      <c r="I2894" s="4">
        <f>SalesData[[#This Row],[Profit]]/SalesData[[#This Row],[Sales]]</f>
        <v>0.3125</v>
      </c>
      <c r="J2894">
        <f>YEAR(SalesData[[#This Row],[Order Date]])</f>
        <v>2015</v>
      </c>
      <c r="K2894" t="str">
        <f>TEXT(SalesData[[#This Row],[Order Date]],"mmm")</f>
        <v>Aug</v>
      </c>
      <c r="L2894">
        <f>MONTH(SalesData[[#This Row],[Order Date]])</f>
        <v>8</v>
      </c>
      <c r="M2894">
        <f>SalesData[[#This Row],[Sales]]/SalesData[[#This Row],[Quantity]]</f>
        <v>24.783999999999999</v>
      </c>
      <c r="N2894" t="str">
        <f>IF(SalesData[[#This Row],[Profit]]&gt;0,"Profit","Loss")</f>
        <v>Profit</v>
      </c>
    </row>
    <row r="2895" spans="1:14" x14ac:dyDescent="0.3">
      <c r="A2895" t="s">
        <v>1559</v>
      </c>
      <c r="B2895" s="3">
        <v>42222</v>
      </c>
      <c r="C2895" t="s">
        <v>46</v>
      </c>
      <c r="D2895" t="s">
        <v>21</v>
      </c>
      <c r="E2895" t="s">
        <v>1561</v>
      </c>
      <c r="F2895" s="1">
        <v>516.96</v>
      </c>
      <c r="G2895">
        <v>4</v>
      </c>
      <c r="H2895" s="1">
        <v>-6.4619999999999997</v>
      </c>
      <c r="I2895" s="4">
        <f>SalesData[[#This Row],[Profit]]/SalesData[[#This Row],[Sales]]</f>
        <v>-1.2499999999999999E-2</v>
      </c>
      <c r="J2895">
        <f>YEAR(SalesData[[#This Row],[Order Date]])</f>
        <v>2015</v>
      </c>
      <c r="K2895" t="str">
        <f>TEXT(SalesData[[#This Row],[Order Date]],"mmm")</f>
        <v>Aug</v>
      </c>
      <c r="L2895">
        <f>MONTH(SalesData[[#This Row],[Order Date]])</f>
        <v>8</v>
      </c>
      <c r="M2895">
        <f>SalesData[[#This Row],[Sales]]/SalesData[[#This Row],[Quantity]]</f>
        <v>129.24</v>
      </c>
      <c r="N2895" t="str">
        <f>IF(SalesData[[#This Row],[Profit]]&gt;0,"Profit","Loss")</f>
        <v>Loss</v>
      </c>
    </row>
    <row r="2896" spans="1:14" x14ac:dyDescent="0.3">
      <c r="A2896" t="s">
        <v>1559</v>
      </c>
      <c r="B2896" s="3">
        <v>42222</v>
      </c>
      <c r="C2896" t="s">
        <v>46</v>
      </c>
      <c r="D2896" t="s">
        <v>14</v>
      </c>
      <c r="E2896" t="s">
        <v>1562</v>
      </c>
      <c r="F2896" s="1">
        <v>173.208</v>
      </c>
      <c r="G2896">
        <v>7</v>
      </c>
      <c r="H2896" s="1">
        <v>45.467100000000002</v>
      </c>
      <c r="I2896" s="4">
        <f>SalesData[[#This Row],[Profit]]/SalesData[[#This Row],[Sales]]</f>
        <v>0.26250000000000001</v>
      </c>
      <c r="J2896">
        <f>YEAR(SalesData[[#This Row],[Order Date]])</f>
        <v>2015</v>
      </c>
      <c r="K2896" t="str">
        <f>TEXT(SalesData[[#This Row],[Order Date]],"mmm")</f>
        <v>Aug</v>
      </c>
      <c r="L2896">
        <f>MONTH(SalesData[[#This Row],[Order Date]])</f>
        <v>8</v>
      </c>
      <c r="M2896">
        <f>SalesData[[#This Row],[Sales]]/SalesData[[#This Row],[Quantity]]</f>
        <v>24.744</v>
      </c>
      <c r="N2896" t="str">
        <f>IF(SalesData[[#This Row],[Profit]]&gt;0,"Profit","Loss")</f>
        <v>Profit</v>
      </c>
    </row>
    <row r="2897" spans="1:14" x14ac:dyDescent="0.3">
      <c r="A2897" t="s">
        <v>1559</v>
      </c>
      <c r="B2897" s="3">
        <v>42222</v>
      </c>
      <c r="C2897" t="s">
        <v>46</v>
      </c>
      <c r="D2897" t="s">
        <v>21</v>
      </c>
      <c r="E2897" t="s">
        <v>1563</v>
      </c>
      <c r="F2897" s="1">
        <v>4.4480000000000004</v>
      </c>
      <c r="G2897">
        <v>2</v>
      </c>
      <c r="H2897" s="1">
        <v>0.33360000000000001</v>
      </c>
      <c r="I2897" s="4">
        <f>SalesData[[#This Row],[Profit]]/SalesData[[#This Row],[Sales]]</f>
        <v>7.4999999999999997E-2</v>
      </c>
      <c r="J2897">
        <f>YEAR(SalesData[[#This Row],[Order Date]])</f>
        <v>2015</v>
      </c>
      <c r="K2897" t="str">
        <f>TEXT(SalesData[[#This Row],[Order Date]],"mmm")</f>
        <v>Aug</v>
      </c>
      <c r="L2897">
        <f>MONTH(SalesData[[#This Row],[Order Date]])</f>
        <v>8</v>
      </c>
      <c r="M2897">
        <f>SalesData[[#This Row],[Sales]]/SalesData[[#This Row],[Quantity]]</f>
        <v>2.2240000000000002</v>
      </c>
      <c r="N2897" t="str">
        <f>IF(SalesData[[#This Row],[Profit]]&gt;0,"Profit","Loss")</f>
        <v>Profit</v>
      </c>
    </row>
    <row r="2898" spans="1:14" x14ac:dyDescent="0.3">
      <c r="A2898" t="s">
        <v>1559</v>
      </c>
      <c r="B2898" s="3">
        <v>42222</v>
      </c>
      <c r="C2898" t="s">
        <v>46</v>
      </c>
      <c r="D2898" t="s">
        <v>21</v>
      </c>
      <c r="E2898" t="s">
        <v>1237</v>
      </c>
      <c r="F2898" s="1">
        <v>9</v>
      </c>
      <c r="G2898">
        <v>3</v>
      </c>
      <c r="H2898" s="1">
        <v>3.15</v>
      </c>
      <c r="I2898" s="4">
        <f>SalesData[[#This Row],[Profit]]/SalesData[[#This Row],[Sales]]</f>
        <v>0.35</v>
      </c>
      <c r="J2898">
        <f>YEAR(SalesData[[#This Row],[Order Date]])</f>
        <v>2015</v>
      </c>
      <c r="K2898" t="str">
        <f>TEXT(SalesData[[#This Row],[Order Date]],"mmm")</f>
        <v>Aug</v>
      </c>
      <c r="L2898">
        <f>MONTH(SalesData[[#This Row],[Order Date]])</f>
        <v>8</v>
      </c>
      <c r="M2898">
        <f>SalesData[[#This Row],[Sales]]/SalesData[[#This Row],[Quantity]]</f>
        <v>3</v>
      </c>
      <c r="N2898" t="str">
        <f>IF(SalesData[[#This Row],[Profit]]&gt;0,"Profit","Loss")</f>
        <v>Profit</v>
      </c>
    </row>
    <row r="2899" spans="1:14" x14ac:dyDescent="0.3">
      <c r="A2899" t="s">
        <v>1559</v>
      </c>
      <c r="B2899" s="3">
        <v>42222</v>
      </c>
      <c r="C2899" t="s">
        <v>46</v>
      </c>
      <c r="D2899" t="s">
        <v>21</v>
      </c>
      <c r="E2899" t="s">
        <v>1564</v>
      </c>
      <c r="F2899" s="1">
        <v>42.24</v>
      </c>
      <c r="G2899">
        <v>10</v>
      </c>
      <c r="H2899" s="1">
        <v>13.2</v>
      </c>
      <c r="I2899" s="4">
        <f>SalesData[[#This Row],[Profit]]/SalesData[[#This Row],[Sales]]</f>
        <v>0.31249999999999994</v>
      </c>
      <c r="J2899">
        <f>YEAR(SalesData[[#This Row],[Order Date]])</f>
        <v>2015</v>
      </c>
      <c r="K2899" t="str">
        <f>TEXT(SalesData[[#This Row],[Order Date]],"mmm")</f>
        <v>Aug</v>
      </c>
      <c r="L2899">
        <f>MONTH(SalesData[[#This Row],[Order Date]])</f>
        <v>8</v>
      </c>
      <c r="M2899">
        <f>SalesData[[#This Row],[Sales]]/SalesData[[#This Row],[Quantity]]</f>
        <v>4.2240000000000002</v>
      </c>
      <c r="N2899" t="str">
        <f>IF(SalesData[[#This Row],[Profit]]&gt;0,"Profit","Loss")</f>
        <v>Profit</v>
      </c>
    </row>
    <row r="2900" spans="1:14" x14ac:dyDescent="0.3">
      <c r="A2900" t="s">
        <v>1559</v>
      </c>
      <c r="B2900" s="3">
        <v>42222</v>
      </c>
      <c r="C2900" t="s">
        <v>46</v>
      </c>
      <c r="D2900" t="s">
        <v>21</v>
      </c>
      <c r="E2900" t="s">
        <v>854</v>
      </c>
      <c r="F2900" s="1">
        <v>18.263999999999999</v>
      </c>
      <c r="G2900">
        <v>2</v>
      </c>
      <c r="H2900" s="1">
        <v>-13.393599999999999</v>
      </c>
      <c r="I2900" s="4">
        <f>SalesData[[#This Row],[Profit]]/SalesData[[#This Row],[Sales]]</f>
        <v>-0.73333333333333328</v>
      </c>
      <c r="J2900">
        <f>YEAR(SalesData[[#This Row],[Order Date]])</f>
        <v>2015</v>
      </c>
      <c r="K2900" t="str">
        <f>TEXT(SalesData[[#This Row],[Order Date]],"mmm")</f>
        <v>Aug</v>
      </c>
      <c r="L2900">
        <f>MONTH(SalesData[[#This Row],[Order Date]])</f>
        <v>8</v>
      </c>
      <c r="M2900">
        <f>SalesData[[#This Row],[Sales]]/SalesData[[#This Row],[Quantity]]</f>
        <v>9.1319999999999997</v>
      </c>
      <c r="N2900" t="str">
        <f>IF(SalesData[[#This Row],[Profit]]&gt;0,"Profit","Loss")</f>
        <v>Loss</v>
      </c>
    </row>
    <row r="2901" spans="1:14" x14ac:dyDescent="0.3">
      <c r="A2901" t="s">
        <v>1565</v>
      </c>
      <c r="B2901" s="3">
        <v>42223</v>
      </c>
      <c r="C2901" t="s">
        <v>9</v>
      </c>
      <c r="D2901" t="s">
        <v>21</v>
      </c>
      <c r="E2901" t="s">
        <v>133</v>
      </c>
      <c r="F2901" s="1">
        <v>21.12</v>
      </c>
      <c r="G2901">
        <v>5</v>
      </c>
      <c r="H2901" s="1">
        <v>6.6</v>
      </c>
      <c r="I2901" s="4">
        <f>SalesData[[#This Row],[Profit]]/SalesData[[#This Row],[Sales]]</f>
        <v>0.31249999999999994</v>
      </c>
      <c r="J2901">
        <f>YEAR(SalesData[[#This Row],[Order Date]])</f>
        <v>2015</v>
      </c>
      <c r="K2901" t="str">
        <f>TEXT(SalesData[[#This Row],[Order Date]],"mmm")</f>
        <v>Aug</v>
      </c>
      <c r="L2901">
        <f>MONTH(SalesData[[#This Row],[Order Date]])</f>
        <v>8</v>
      </c>
      <c r="M2901">
        <f>SalesData[[#This Row],[Sales]]/SalesData[[#This Row],[Quantity]]</f>
        <v>4.2240000000000002</v>
      </c>
      <c r="N2901" t="str">
        <f>IF(SalesData[[#This Row],[Profit]]&gt;0,"Profit","Loss")</f>
        <v>Profit</v>
      </c>
    </row>
    <row r="2902" spans="1:14" x14ac:dyDescent="0.3">
      <c r="A2902" t="s">
        <v>1566</v>
      </c>
      <c r="B2902" s="3">
        <v>42224</v>
      </c>
      <c r="C2902" t="s">
        <v>13</v>
      </c>
      <c r="D2902" t="s">
        <v>21</v>
      </c>
      <c r="E2902" t="s">
        <v>631</v>
      </c>
      <c r="F2902" s="1">
        <v>6.6079999999999997</v>
      </c>
      <c r="G2902">
        <v>2</v>
      </c>
      <c r="H2902" s="1">
        <v>2.2302</v>
      </c>
      <c r="I2902" s="4">
        <f>SalesData[[#This Row],[Profit]]/SalesData[[#This Row],[Sales]]</f>
        <v>0.33750000000000002</v>
      </c>
      <c r="J2902">
        <f>YEAR(SalesData[[#This Row],[Order Date]])</f>
        <v>2015</v>
      </c>
      <c r="K2902" t="str">
        <f>TEXT(SalesData[[#This Row],[Order Date]],"mmm")</f>
        <v>Aug</v>
      </c>
      <c r="L2902">
        <f>MONTH(SalesData[[#This Row],[Order Date]])</f>
        <v>8</v>
      </c>
      <c r="M2902">
        <f>SalesData[[#This Row],[Sales]]/SalesData[[#This Row],[Quantity]]</f>
        <v>3.3039999999999998</v>
      </c>
      <c r="N2902" t="str">
        <f>IF(SalesData[[#This Row],[Profit]]&gt;0,"Profit","Loss")</f>
        <v>Profit</v>
      </c>
    </row>
    <row r="2903" spans="1:14" x14ac:dyDescent="0.3">
      <c r="A2903" t="s">
        <v>1566</v>
      </c>
      <c r="B2903" s="3">
        <v>42224</v>
      </c>
      <c r="C2903" t="s">
        <v>13</v>
      </c>
      <c r="D2903" t="s">
        <v>21</v>
      </c>
      <c r="E2903" t="s">
        <v>525</v>
      </c>
      <c r="F2903" s="1">
        <v>7.28</v>
      </c>
      <c r="G2903">
        <v>2</v>
      </c>
      <c r="H2903" s="1">
        <v>2.73</v>
      </c>
      <c r="I2903" s="4">
        <f>SalesData[[#This Row],[Profit]]/SalesData[[#This Row],[Sales]]</f>
        <v>0.375</v>
      </c>
      <c r="J2903">
        <f>YEAR(SalesData[[#This Row],[Order Date]])</f>
        <v>2015</v>
      </c>
      <c r="K2903" t="str">
        <f>TEXT(SalesData[[#This Row],[Order Date]],"mmm")</f>
        <v>Aug</v>
      </c>
      <c r="L2903">
        <f>MONTH(SalesData[[#This Row],[Order Date]])</f>
        <v>8</v>
      </c>
      <c r="M2903">
        <f>SalesData[[#This Row],[Sales]]/SalesData[[#This Row],[Quantity]]</f>
        <v>3.64</v>
      </c>
      <c r="N2903" t="str">
        <f>IF(SalesData[[#This Row],[Profit]]&gt;0,"Profit","Loss")</f>
        <v>Profit</v>
      </c>
    </row>
    <row r="2904" spans="1:14" x14ac:dyDescent="0.3">
      <c r="A2904" t="s">
        <v>1566</v>
      </c>
      <c r="B2904" s="3">
        <v>42224</v>
      </c>
      <c r="C2904" t="s">
        <v>13</v>
      </c>
      <c r="D2904" t="s">
        <v>14</v>
      </c>
      <c r="E2904" t="s">
        <v>1567</v>
      </c>
      <c r="F2904" s="1">
        <v>144.78399999999999</v>
      </c>
      <c r="G2904">
        <v>1</v>
      </c>
      <c r="H2904" s="1">
        <v>10.8588</v>
      </c>
      <c r="I2904" s="4">
        <f>SalesData[[#This Row],[Profit]]/SalesData[[#This Row],[Sales]]</f>
        <v>7.5000000000000011E-2</v>
      </c>
      <c r="J2904">
        <f>YEAR(SalesData[[#This Row],[Order Date]])</f>
        <v>2015</v>
      </c>
      <c r="K2904" t="str">
        <f>TEXT(SalesData[[#This Row],[Order Date]],"mmm")</f>
        <v>Aug</v>
      </c>
      <c r="L2904">
        <f>MONTH(SalesData[[#This Row],[Order Date]])</f>
        <v>8</v>
      </c>
      <c r="M2904">
        <f>SalesData[[#This Row],[Sales]]/SalesData[[#This Row],[Quantity]]</f>
        <v>144.78399999999999</v>
      </c>
      <c r="N2904" t="str">
        <f>IF(SalesData[[#This Row],[Profit]]&gt;0,"Profit","Loss")</f>
        <v>Profit</v>
      </c>
    </row>
    <row r="2905" spans="1:14" x14ac:dyDescent="0.3">
      <c r="A2905" t="s">
        <v>1568</v>
      </c>
      <c r="B2905" s="3">
        <v>42224</v>
      </c>
      <c r="C2905" t="s">
        <v>17</v>
      </c>
      <c r="D2905" t="s">
        <v>21</v>
      </c>
      <c r="E2905" t="s">
        <v>1569</v>
      </c>
      <c r="F2905" s="1">
        <v>39.659999999999997</v>
      </c>
      <c r="G2905">
        <v>2</v>
      </c>
      <c r="H2905" s="1">
        <v>11.898</v>
      </c>
      <c r="I2905" s="4">
        <f>SalesData[[#This Row],[Profit]]/SalesData[[#This Row],[Sales]]</f>
        <v>0.30000000000000004</v>
      </c>
      <c r="J2905">
        <f>YEAR(SalesData[[#This Row],[Order Date]])</f>
        <v>2015</v>
      </c>
      <c r="K2905" t="str">
        <f>TEXT(SalesData[[#This Row],[Order Date]],"mmm")</f>
        <v>Aug</v>
      </c>
      <c r="L2905">
        <f>MONTH(SalesData[[#This Row],[Order Date]])</f>
        <v>8</v>
      </c>
      <c r="M2905">
        <f>SalesData[[#This Row],[Sales]]/SalesData[[#This Row],[Quantity]]</f>
        <v>19.829999999999998</v>
      </c>
      <c r="N2905" t="str">
        <f>IF(SalesData[[#This Row],[Profit]]&gt;0,"Profit","Loss")</f>
        <v>Profit</v>
      </c>
    </row>
    <row r="2906" spans="1:14" x14ac:dyDescent="0.3">
      <c r="A2906" t="s">
        <v>1568</v>
      </c>
      <c r="B2906" s="3">
        <v>42224</v>
      </c>
      <c r="C2906" t="s">
        <v>17</v>
      </c>
      <c r="D2906" t="s">
        <v>21</v>
      </c>
      <c r="E2906" t="s">
        <v>1570</v>
      </c>
      <c r="F2906" s="1">
        <v>113.92</v>
      </c>
      <c r="G2906">
        <v>2</v>
      </c>
      <c r="H2906" s="1">
        <v>33.036799999999999</v>
      </c>
      <c r="I2906" s="4">
        <f>SalesData[[#This Row],[Profit]]/SalesData[[#This Row],[Sales]]</f>
        <v>0.28999999999999998</v>
      </c>
      <c r="J2906">
        <f>YEAR(SalesData[[#This Row],[Order Date]])</f>
        <v>2015</v>
      </c>
      <c r="K2906" t="str">
        <f>TEXT(SalesData[[#This Row],[Order Date]],"mmm")</f>
        <v>Aug</v>
      </c>
      <c r="L2906">
        <f>MONTH(SalesData[[#This Row],[Order Date]])</f>
        <v>8</v>
      </c>
      <c r="M2906">
        <f>SalesData[[#This Row],[Sales]]/SalesData[[#This Row],[Quantity]]</f>
        <v>56.96</v>
      </c>
      <c r="N2906" t="str">
        <f>IF(SalesData[[#This Row],[Profit]]&gt;0,"Profit","Loss")</f>
        <v>Profit</v>
      </c>
    </row>
    <row r="2907" spans="1:14" x14ac:dyDescent="0.3">
      <c r="A2907" t="s">
        <v>1568</v>
      </c>
      <c r="B2907" s="3">
        <v>42224</v>
      </c>
      <c r="C2907" t="s">
        <v>17</v>
      </c>
      <c r="D2907" t="s">
        <v>21</v>
      </c>
      <c r="E2907" t="s">
        <v>1262</v>
      </c>
      <c r="F2907" s="1">
        <v>447.86</v>
      </c>
      <c r="G2907">
        <v>7</v>
      </c>
      <c r="H2907" s="1">
        <v>210.49420000000001</v>
      </c>
      <c r="I2907" s="4">
        <f>SalesData[[#This Row],[Profit]]/SalesData[[#This Row],[Sales]]</f>
        <v>0.47</v>
      </c>
      <c r="J2907">
        <f>YEAR(SalesData[[#This Row],[Order Date]])</f>
        <v>2015</v>
      </c>
      <c r="K2907" t="str">
        <f>TEXT(SalesData[[#This Row],[Order Date]],"mmm")</f>
        <v>Aug</v>
      </c>
      <c r="L2907">
        <f>MONTH(SalesData[[#This Row],[Order Date]])</f>
        <v>8</v>
      </c>
      <c r="M2907">
        <f>SalesData[[#This Row],[Sales]]/SalesData[[#This Row],[Quantity]]</f>
        <v>63.980000000000004</v>
      </c>
      <c r="N2907" t="str">
        <f>IF(SalesData[[#This Row],[Profit]]&gt;0,"Profit","Loss")</f>
        <v>Profit</v>
      </c>
    </row>
    <row r="2908" spans="1:14" x14ac:dyDescent="0.3">
      <c r="A2908" t="s">
        <v>1571</v>
      </c>
      <c r="B2908" s="3">
        <v>42224</v>
      </c>
      <c r="C2908" t="s">
        <v>17</v>
      </c>
      <c r="D2908" t="s">
        <v>10</v>
      </c>
      <c r="E2908" t="s">
        <v>236</v>
      </c>
      <c r="F2908" s="1">
        <v>79.989999999999995</v>
      </c>
      <c r="G2908">
        <v>1</v>
      </c>
      <c r="H2908" s="1">
        <v>28.796399999999998</v>
      </c>
      <c r="I2908" s="4">
        <f>SalesData[[#This Row],[Profit]]/SalesData[[#This Row],[Sales]]</f>
        <v>0.36</v>
      </c>
      <c r="J2908">
        <f>YEAR(SalesData[[#This Row],[Order Date]])</f>
        <v>2015</v>
      </c>
      <c r="K2908" t="str">
        <f>TEXT(SalesData[[#This Row],[Order Date]],"mmm")</f>
        <v>Aug</v>
      </c>
      <c r="L2908">
        <f>MONTH(SalesData[[#This Row],[Order Date]])</f>
        <v>8</v>
      </c>
      <c r="M2908">
        <f>SalesData[[#This Row],[Sales]]/SalesData[[#This Row],[Quantity]]</f>
        <v>79.989999999999995</v>
      </c>
      <c r="N2908" t="str">
        <f>IF(SalesData[[#This Row],[Profit]]&gt;0,"Profit","Loss")</f>
        <v>Profit</v>
      </c>
    </row>
    <row r="2909" spans="1:14" x14ac:dyDescent="0.3">
      <c r="A2909" t="s">
        <v>1572</v>
      </c>
      <c r="B2909" s="3">
        <v>42225</v>
      </c>
      <c r="C2909" t="s">
        <v>13</v>
      </c>
      <c r="D2909" t="s">
        <v>21</v>
      </c>
      <c r="E2909" t="s">
        <v>1072</v>
      </c>
      <c r="F2909" s="1">
        <v>26.4</v>
      </c>
      <c r="G2909">
        <v>5</v>
      </c>
      <c r="H2909" s="1">
        <v>11.88</v>
      </c>
      <c r="I2909" s="4">
        <f>SalesData[[#This Row],[Profit]]/SalesData[[#This Row],[Sales]]</f>
        <v>0.45000000000000007</v>
      </c>
      <c r="J2909">
        <f>YEAR(SalesData[[#This Row],[Order Date]])</f>
        <v>2015</v>
      </c>
      <c r="K2909" t="str">
        <f>TEXT(SalesData[[#This Row],[Order Date]],"mmm")</f>
        <v>Aug</v>
      </c>
      <c r="L2909">
        <f>MONTH(SalesData[[#This Row],[Order Date]])</f>
        <v>8</v>
      </c>
      <c r="M2909">
        <f>SalesData[[#This Row],[Sales]]/SalesData[[#This Row],[Quantity]]</f>
        <v>5.2799999999999994</v>
      </c>
      <c r="N2909" t="str">
        <f>IF(SalesData[[#This Row],[Profit]]&gt;0,"Profit","Loss")</f>
        <v>Profit</v>
      </c>
    </row>
    <row r="2910" spans="1:14" x14ac:dyDescent="0.3">
      <c r="A2910" t="s">
        <v>1572</v>
      </c>
      <c r="B2910" s="3">
        <v>42225</v>
      </c>
      <c r="C2910" t="s">
        <v>13</v>
      </c>
      <c r="D2910" t="s">
        <v>21</v>
      </c>
      <c r="E2910" t="s">
        <v>229</v>
      </c>
      <c r="F2910" s="1">
        <v>41.88</v>
      </c>
      <c r="G2910">
        <v>6</v>
      </c>
      <c r="H2910" s="1">
        <v>0.83760000000000001</v>
      </c>
      <c r="I2910" s="4">
        <f>SalesData[[#This Row],[Profit]]/SalesData[[#This Row],[Sales]]</f>
        <v>0.02</v>
      </c>
      <c r="J2910">
        <f>YEAR(SalesData[[#This Row],[Order Date]])</f>
        <v>2015</v>
      </c>
      <c r="K2910" t="str">
        <f>TEXT(SalesData[[#This Row],[Order Date]],"mmm")</f>
        <v>Aug</v>
      </c>
      <c r="L2910">
        <f>MONTH(SalesData[[#This Row],[Order Date]])</f>
        <v>8</v>
      </c>
      <c r="M2910">
        <f>SalesData[[#This Row],[Sales]]/SalesData[[#This Row],[Quantity]]</f>
        <v>6.98</v>
      </c>
      <c r="N2910" t="str">
        <f>IF(SalesData[[#This Row],[Profit]]&gt;0,"Profit","Loss")</f>
        <v>Profit</v>
      </c>
    </row>
    <row r="2911" spans="1:14" x14ac:dyDescent="0.3">
      <c r="A2911" t="s">
        <v>1573</v>
      </c>
      <c r="B2911" s="3">
        <v>42225</v>
      </c>
      <c r="C2911" t="s">
        <v>46</v>
      </c>
      <c r="D2911" t="s">
        <v>14</v>
      </c>
      <c r="E2911" t="s">
        <v>1574</v>
      </c>
      <c r="F2911" s="1">
        <v>21.36</v>
      </c>
      <c r="G2911">
        <v>8</v>
      </c>
      <c r="H2911" s="1">
        <v>8.1167999999999996</v>
      </c>
      <c r="I2911" s="4">
        <f>SalesData[[#This Row],[Profit]]/SalesData[[#This Row],[Sales]]</f>
        <v>0.38</v>
      </c>
      <c r="J2911">
        <f>YEAR(SalesData[[#This Row],[Order Date]])</f>
        <v>2015</v>
      </c>
      <c r="K2911" t="str">
        <f>TEXT(SalesData[[#This Row],[Order Date]],"mmm")</f>
        <v>Aug</v>
      </c>
      <c r="L2911">
        <f>MONTH(SalesData[[#This Row],[Order Date]])</f>
        <v>8</v>
      </c>
      <c r="M2911">
        <f>SalesData[[#This Row],[Sales]]/SalesData[[#This Row],[Quantity]]</f>
        <v>2.67</v>
      </c>
      <c r="N2911" t="str">
        <f>IF(SalesData[[#This Row],[Profit]]&gt;0,"Profit","Loss")</f>
        <v>Profit</v>
      </c>
    </row>
    <row r="2912" spans="1:14" x14ac:dyDescent="0.3">
      <c r="A2912" t="s">
        <v>1575</v>
      </c>
      <c r="B2912" s="3">
        <v>42226</v>
      </c>
      <c r="C2912" t="s">
        <v>13</v>
      </c>
      <c r="D2912" t="s">
        <v>14</v>
      </c>
      <c r="E2912" t="s">
        <v>201</v>
      </c>
      <c r="F2912" s="1">
        <v>145.9</v>
      </c>
      <c r="G2912">
        <v>5</v>
      </c>
      <c r="H2912" s="1">
        <v>62.737000000000002</v>
      </c>
      <c r="I2912" s="4">
        <f>SalesData[[#This Row],[Profit]]/SalesData[[#This Row],[Sales]]</f>
        <v>0.43</v>
      </c>
      <c r="J2912">
        <f>YEAR(SalesData[[#This Row],[Order Date]])</f>
        <v>2015</v>
      </c>
      <c r="K2912" t="str">
        <f>TEXT(SalesData[[#This Row],[Order Date]],"mmm")</f>
        <v>Aug</v>
      </c>
      <c r="L2912">
        <f>MONTH(SalesData[[#This Row],[Order Date]])</f>
        <v>8</v>
      </c>
      <c r="M2912">
        <f>SalesData[[#This Row],[Sales]]/SalesData[[#This Row],[Quantity]]</f>
        <v>29.18</v>
      </c>
      <c r="N2912" t="str">
        <f>IF(SalesData[[#This Row],[Profit]]&gt;0,"Profit","Loss")</f>
        <v>Profit</v>
      </c>
    </row>
    <row r="2913" spans="1:14" x14ac:dyDescent="0.3">
      <c r="A2913" t="s">
        <v>1576</v>
      </c>
      <c r="B2913" s="3">
        <v>42226</v>
      </c>
      <c r="C2913" t="s">
        <v>9</v>
      </c>
      <c r="D2913" t="s">
        <v>21</v>
      </c>
      <c r="E2913" t="s">
        <v>1577</v>
      </c>
      <c r="F2913" s="1">
        <v>3.44</v>
      </c>
      <c r="G2913">
        <v>2</v>
      </c>
      <c r="H2913" s="1">
        <v>0.55900000000000005</v>
      </c>
      <c r="I2913" s="4">
        <f>SalesData[[#This Row],[Profit]]/SalesData[[#This Row],[Sales]]</f>
        <v>0.16250000000000001</v>
      </c>
      <c r="J2913">
        <f>YEAR(SalesData[[#This Row],[Order Date]])</f>
        <v>2015</v>
      </c>
      <c r="K2913" t="str">
        <f>TEXT(SalesData[[#This Row],[Order Date]],"mmm")</f>
        <v>Aug</v>
      </c>
      <c r="L2913">
        <f>MONTH(SalesData[[#This Row],[Order Date]])</f>
        <v>8</v>
      </c>
      <c r="M2913">
        <f>SalesData[[#This Row],[Sales]]/SalesData[[#This Row],[Quantity]]</f>
        <v>1.72</v>
      </c>
      <c r="N2913" t="str">
        <f>IF(SalesData[[#This Row],[Profit]]&gt;0,"Profit","Loss")</f>
        <v>Profit</v>
      </c>
    </row>
    <row r="2914" spans="1:14" x14ac:dyDescent="0.3">
      <c r="A2914" t="s">
        <v>1578</v>
      </c>
      <c r="B2914" s="3">
        <v>42226</v>
      </c>
      <c r="C2914" t="s">
        <v>9</v>
      </c>
      <c r="D2914" t="s">
        <v>14</v>
      </c>
      <c r="E2914" t="s">
        <v>1579</v>
      </c>
      <c r="F2914" s="1">
        <v>72.78</v>
      </c>
      <c r="G2914">
        <v>3</v>
      </c>
      <c r="H2914" s="1">
        <v>-70.960499999999996</v>
      </c>
      <c r="I2914" s="4">
        <f>SalesData[[#This Row],[Profit]]/SalesData[[#This Row],[Sales]]</f>
        <v>-0.97499999999999998</v>
      </c>
      <c r="J2914">
        <f>YEAR(SalesData[[#This Row],[Order Date]])</f>
        <v>2015</v>
      </c>
      <c r="K2914" t="str">
        <f>TEXT(SalesData[[#This Row],[Order Date]],"mmm")</f>
        <v>Aug</v>
      </c>
      <c r="L2914">
        <f>MONTH(SalesData[[#This Row],[Order Date]])</f>
        <v>8</v>
      </c>
      <c r="M2914">
        <f>SalesData[[#This Row],[Sales]]/SalesData[[#This Row],[Quantity]]</f>
        <v>24.26</v>
      </c>
      <c r="N2914" t="str">
        <f>IF(SalesData[[#This Row],[Profit]]&gt;0,"Profit","Loss")</f>
        <v>Loss</v>
      </c>
    </row>
    <row r="2915" spans="1:14" x14ac:dyDescent="0.3">
      <c r="A2915" t="s">
        <v>1580</v>
      </c>
      <c r="B2915" s="3">
        <v>42227</v>
      </c>
      <c r="C2915" t="s">
        <v>17</v>
      </c>
      <c r="D2915" t="s">
        <v>21</v>
      </c>
      <c r="E2915" t="s">
        <v>1581</v>
      </c>
      <c r="F2915" s="1">
        <v>11.65</v>
      </c>
      <c r="G2915">
        <v>5</v>
      </c>
      <c r="H2915" s="1">
        <v>3.3784999999999998</v>
      </c>
      <c r="I2915" s="4">
        <f>SalesData[[#This Row],[Profit]]/SalesData[[#This Row],[Sales]]</f>
        <v>0.28999999999999998</v>
      </c>
      <c r="J2915">
        <f>YEAR(SalesData[[#This Row],[Order Date]])</f>
        <v>2015</v>
      </c>
      <c r="K2915" t="str">
        <f>TEXT(SalesData[[#This Row],[Order Date]],"mmm")</f>
        <v>Aug</v>
      </c>
      <c r="L2915">
        <f>MONTH(SalesData[[#This Row],[Order Date]])</f>
        <v>8</v>
      </c>
      <c r="M2915">
        <f>SalesData[[#This Row],[Sales]]/SalesData[[#This Row],[Quantity]]</f>
        <v>2.33</v>
      </c>
      <c r="N2915" t="str">
        <f>IF(SalesData[[#This Row],[Profit]]&gt;0,"Profit","Loss")</f>
        <v>Profit</v>
      </c>
    </row>
    <row r="2916" spans="1:14" x14ac:dyDescent="0.3">
      <c r="A2916" t="s">
        <v>1582</v>
      </c>
      <c r="B2916" s="3">
        <v>42227</v>
      </c>
      <c r="C2916" t="s">
        <v>13</v>
      </c>
      <c r="D2916" t="s">
        <v>21</v>
      </c>
      <c r="E2916" t="s">
        <v>480</v>
      </c>
      <c r="F2916" s="1">
        <v>5</v>
      </c>
      <c r="G2916">
        <v>1</v>
      </c>
      <c r="H2916" s="1">
        <v>2.4</v>
      </c>
      <c r="I2916" s="4">
        <f>SalesData[[#This Row],[Profit]]/SalesData[[#This Row],[Sales]]</f>
        <v>0.48</v>
      </c>
      <c r="J2916">
        <f>YEAR(SalesData[[#This Row],[Order Date]])</f>
        <v>2015</v>
      </c>
      <c r="K2916" t="str">
        <f>TEXT(SalesData[[#This Row],[Order Date]],"mmm")</f>
        <v>Aug</v>
      </c>
      <c r="L2916">
        <f>MONTH(SalesData[[#This Row],[Order Date]])</f>
        <v>8</v>
      </c>
      <c r="M2916">
        <f>SalesData[[#This Row],[Sales]]/SalesData[[#This Row],[Quantity]]</f>
        <v>5</v>
      </c>
      <c r="N2916" t="str">
        <f>IF(SalesData[[#This Row],[Profit]]&gt;0,"Profit","Loss")</f>
        <v>Profit</v>
      </c>
    </row>
    <row r="2917" spans="1:14" x14ac:dyDescent="0.3">
      <c r="A2917" t="s">
        <v>1582</v>
      </c>
      <c r="B2917" s="3">
        <v>42227</v>
      </c>
      <c r="C2917" t="s">
        <v>13</v>
      </c>
      <c r="D2917" t="s">
        <v>10</v>
      </c>
      <c r="E2917" t="s">
        <v>1296</v>
      </c>
      <c r="F2917" s="1">
        <v>371.97</v>
      </c>
      <c r="G2917">
        <v>3</v>
      </c>
      <c r="H2917" s="1">
        <v>66.954599999999999</v>
      </c>
      <c r="I2917" s="4">
        <f>SalesData[[#This Row],[Profit]]/SalesData[[#This Row],[Sales]]</f>
        <v>0.18</v>
      </c>
      <c r="J2917">
        <f>YEAR(SalesData[[#This Row],[Order Date]])</f>
        <v>2015</v>
      </c>
      <c r="K2917" t="str">
        <f>TEXT(SalesData[[#This Row],[Order Date]],"mmm")</f>
        <v>Aug</v>
      </c>
      <c r="L2917">
        <f>MONTH(SalesData[[#This Row],[Order Date]])</f>
        <v>8</v>
      </c>
      <c r="M2917">
        <f>SalesData[[#This Row],[Sales]]/SalesData[[#This Row],[Quantity]]</f>
        <v>123.99000000000001</v>
      </c>
      <c r="N2917" t="str">
        <f>IF(SalesData[[#This Row],[Profit]]&gt;0,"Profit","Loss")</f>
        <v>Profit</v>
      </c>
    </row>
    <row r="2918" spans="1:14" x14ac:dyDescent="0.3">
      <c r="A2918" t="s">
        <v>1583</v>
      </c>
      <c r="B2918" s="3">
        <v>42227</v>
      </c>
      <c r="C2918" t="s">
        <v>13</v>
      </c>
      <c r="D2918" t="s">
        <v>21</v>
      </c>
      <c r="E2918" t="s">
        <v>1584</v>
      </c>
      <c r="F2918" s="1">
        <v>5.04</v>
      </c>
      <c r="G2918">
        <v>3</v>
      </c>
      <c r="H2918" s="1">
        <v>0.2016</v>
      </c>
      <c r="I2918" s="4">
        <f>SalesData[[#This Row],[Profit]]/SalesData[[#This Row],[Sales]]</f>
        <v>0.04</v>
      </c>
      <c r="J2918">
        <f>YEAR(SalesData[[#This Row],[Order Date]])</f>
        <v>2015</v>
      </c>
      <c r="K2918" t="str">
        <f>TEXT(SalesData[[#This Row],[Order Date]],"mmm")</f>
        <v>Aug</v>
      </c>
      <c r="L2918">
        <f>MONTH(SalesData[[#This Row],[Order Date]])</f>
        <v>8</v>
      </c>
      <c r="M2918">
        <f>SalesData[[#This Row],[Sales]]/SalesData[[#This Row],[Quantity]]</f>
        <v>1.68</v>
      </c>
      <c r="N2918" t="str">
        <f>IF(SalesData[[#This Row],[Profit]]&gt;0,"Profit","Loss")</f>
        <v>Profit</v>
      </c>
    </row>
    <row r="2919" spans="1:14" x14ac:dyDescent="0.3">
      <c r="A2919" t="s">
        <v>1583</v>
      </c>
      <c r="B2919" s="3">
        <v>42227</v>
      </c>
      <c r="C2919" t="s">
        <v>13</v>
      </c>
      <c r="D2919" t="s">
        <v>21</v>
      </c>
      <c r="E2919" t="s">
        <v>1585</v>
      </c>
      <c r="F2919" s="1">
        <v>92.94</v>
      </c>
      <c r="G2919">
        <v>3</v>
      </c>
      <c r="H2919" s="1">
        <v>41.823</v>
      </c>
      <c r="I2919" s="4">
        <f>SalesData[[#This Row],[Profit]]/SalesData[[#This Row],[Sales]]</f>
        <v>0.45</v>
      </c>
      <c r="J2919">
        <f>YEAR(SalesData[[#This Row],[Order Date]])</f>
        <v>2015</v>
      </c>
      <c r="K2919" t="str">
        <f>TEXT(SalesData[[#This Row],[Order Date]],"mmm")</f>
        <v>Aug</v>
      </c>
      <c r="L2919">
        <f>MONTH(SalesData[[#This Row],[Order Date]])</f>
        <v>8</v>
      </c>
      <c r="M2919">
        <f>SalesData[[#This Row],[Sales]]/SalesData[[#This Row],[Quantity]]</f>
        <v>30.98</v>
      </c>
      <c r="N2919" t="str">
        <f>IF(SalesData[[#This Row],[Profit]]&gt;0,"Profit","Loss")</f>
        <v>Profit</v>
      </c>
    </row>
    <row r="2920" spans="1:14" x14ac:dyDescent="0.3">
      <c r="A2920" t="s">
        <v>1583</v>
      </c>
      <c r="B2920" s="3">
        <v>42227</v>
      </c>
      <c r="C2920" t="s">
        <v>13</v>
      </c>
      <c r="D2920" t="s">
        <v>14</v>
      </c>
      <c r="E2920" t="s">
        <v>1385</v>
      </c>
      <c r="F2920" s="1">
        <v>66.69</v>
      </c>
      <c r="G2920">
        <v>3</v>
      </c>
      <c r="H2920" s="1">
        <v>22.0077</v>
      </c>
      <c r="I2920" s="4">
        <f>SalesData[[#This Row],[Profit]]/SalesData[[#This Row],[Sales]]</f>
        <v>0.33</v>
      </c>
      <c r="J2920">
        <f>YEAR(SalesData[[#This Row],[Order Date]])</f>
        <v>2015</v>
      </c>
      <c r="K2920" t="str">
        <f>TEXT(SalesData[[#This Row],[Order Date]],"mmm")</f>
        <v>Aug</v>
      </c>
      <c r="L2920">
        <f>MONTH(SalesData[[#This Row],[Order Date]])</f>
        <v>8</v>
      </c>
      <c r="M2920">
        <f>SalesData[[#This Row],[Sales]]/SalesData[[#This Row],[Quantity]]</f>
        <v>22.23</v>
      </c>
      <c r="N2920" t="str">
        <f>IF(SalesData[[#This Row],[Profit]]&gt;0,"Profit","Loss")</f>
        <v>Profit</v>
      </c>
    </row>
    <row r="2921" spans="1:14" x14ac:dyDescent="0.3">
      <c r="A2921" t="s">
        <v>1583</v>
      </c>
      <c r="B2921" s="3">
        <v>42227</v>
      </c>
      <c r="C2921" t="s">
        <v>13</v>
      </c>
      <c r="D2921" t="s">
        <v>21</v>
      </c>
      <c r="E2921" t="s">
        <v>1080</v>
      </c>
      <c r="F2921" s="1">
        <v>91.68</v>
      </c>
      <c r="G2921">
        <v>5</v>
      </c>
      <c r="H2921" s="1">
        <v>28.65</v>
      </c>
      <c r="I2921" s="4">
        <f>SalesData[[#This Row],[Profit]]/SalesData[[#This Row],[Sales]]</f>
        <v>0.31249999999999994</v>
      </c>
      <c r="J2921">
        <f>YEAR(SalesData[[#This Row],[Order Date]])</f>
        <v>2015</v>
      </c>
      <c r="K2921" t="str">
        <f>TEXT(SalesData[[#This Row],[Order Date]],"mmm")</f>
        <v>Aug</v>
      </c>
      <c r="L2921">
        <f>MONTH(SalesData[[#This Row],[Order Date]])</f>
        <v>8</v>
      </c>
      <c r="M2921">
        <f>SalesData[[#This Row],[Sales]]/SalesData[[#This Row],[Quantity]]</f>
        <v>18.336000000000002</v>
      </c>
      <c r="N2921" t="str">
        <f>IF(SalesData[[#This Row],[Profit]]&gt;0,"Profit","Loss")</f>
        <v>Profit</v>
      </c>
    </row>
    <row r="2922" spans="1:14" x14ac:dyDescent="0.3">
      <c r="A2922" t="s">
        <v>1586</v>
      </c>
      <c r="B2922" s="3">
        <v>42227</v>
      </c>
      <c r="C2922" t="s">
        <v>17</v>
      </c>
      <c r="D2922" t="s">
        <v>21</v>
      </c>
      <c r="E2922" t="s">
        <v>415</v>
      </c>
      <c r="F2922" s="1">
        <v>52.271999999999998</v>
      </c>
      <c r="G2922">
        <v>11</v>
      </c>
      <c r="H2922" s="1">
        <v>17.6418</v>
      </c>
      <c r="I2922" s="4">
        <f>SalesData[[#This Row],[Profit]]/SalesData[[#This Row],[Sales]]</f>
        <v>0.33750000000000002</v>
      </c>
      <c r="J2922">
        <f>YEAR(SalesData[[#This Row],[Order Date]])</f>
        <v>2015</v>
      </c>
      <c r="K2922" t="str">
        <f>TEXT(SalesData[[#This Row],[Order Date]],"mmm")</f>
        <v>Aug</v>
      </c>
      <c r="L2922">
        <f>MONTH(SalesData[[#This Row],[Order Date]])</f>
        <v>8</v>
      </c>
      <c r="M2922">
        <f>SalesData[[#This Row],[Sales]]/SalesData[[#This Row],[Quantity]]</f>
        <v>4.7519999999999998</v>
      </c>
      <c r="N2922" t="str">
        <f>IF(SalesData[[#This Row],[Profit]]&gt;0,"Profit","Loss")</f>
        <v>Profit</v>
      </c>
    </row>
    <row r="2923" spans="1:14" x14ac:dyDescent="0.3">
      <c r="A2923" t="s">
        <v>1586</v>
      </c>
      <c r="B2923" s="3">
        <v>42227</v>
      </c>
      <c r="C2923" t="s">
        <v>17</v>
      </c>
      <c r="D2923" t="s">
        <v>21</v>
      </c>
      <c r="E2923" t="s">
        <v>776</v>
      </c>
      <c r="F2923" s="1">
        <v>17.940000000000001</v>
      </c>
      <c r="G2923">
        <v>3</v>
      </c>
      <c r="H2923" s="1">
        <v>8.0730000000000004</v>
      </c>
      <c r="I2923" s="4">
        <f>SalesData[[#This Row],[Profit]]/SalesData[[#This Row],[Sales]]</f>
        <v>0.45</v>
      </c>
      <c r="J2923">
        <f>YEAR(SalesData[[#This Row],[Order Date]])</f>
        <v>2015</v>
      </c>
      <c r="K2923" t="str">
        <f>TEXT(SalesData[[#This Row],[Order Date]],"mmm")</f>
        <v>Aug</v>
      </c>
      <c r="L2923">
        <f>MONTH(SalesData[[#This Row],[Order Date]])</f>
        <v>8</v>
      </c>
      <c r="M2923">
        <f>SalesData[[#This Row],[Sales]]/SalesData[[#This Row],[Quantity]]</f>
        <v>5.98</v>
      </c>
      <c r="N2923" t="str">
        <f>IF(SalesData[[#This Row],[Profit]]&gt;0,"Profit","Loss")</f>
        <v>Profit</v>
      </c>
    </row>
    <row r="2924" spans="1:14" x14ac:dyDescent="0.3">
      <c r="A2924" t="s">
        <v>1587</v>
      </c>
      <c r="B2924" s="3">
        <v>42227</v>
      </c>
      <c r="C2924" t="s">
        <v>9</v>
      </c>
      <c r="D2924" t="s">
        <v>21</v>
      </c>
      <c r="E2924" t="s">
        <v>760</v>
      </c>
      <c r="F2924" s="1">
        <v>10.476000000000001</v>
      </c>
      <c r="G2924">
        <v>6</v>
      </c>
      <c r="H2924" s="1">
        <v>-17.285399999999999</v>
      </c>
      <c r="I2924" s="4">
        <f>SalesData[[#This Row],[Profit]]/SalesData[[#This Row],[Sales]]</f>
        <v>-1.6499999999999997</v>
      </c>
      <c r="J2924">
        <f>YEAR(SalesData[[#This Row],[Order Date]])</f>
        <v>2015</v>
      </c>
      <c r="K2924" t="str">
        <f>TEXT(SalesData[[#This Row],[Order Date]],"mmm")</f>
        <v>Aug</v>
      </c>
      <c r="L2924">
        <f>MONTH(SalesData[[#This Row],[Order Date]])</f>
        <v>8</v>
      </c>
      <c r="M2924">
        <f>SalesData[[#This Row],[Sales]]/SalesData[[#This Row],[Quantity]]</f>
        <v>1.7460000000000002</v>
      </c>
      <c r="N2924" t="str">
        <f>IF(SalesData[[#This Row],[Profit]]&gt;0,"Profit","Loss")</f>
        <v>Loss</v>
      </c>
    </row>
    <row r="2925" spans="1:14" x14ac:dyDescent="0.3">
      <c r="A2925" t="s">
        <v>1588</v>
      </c>
      <c r="B2925" s="3">
        <v>42227</v>
      </c>
      <c r="C2925" t="s">
        <v>13</v>
      </c>
      <c r="D2925" t="s">
        <v>10</v>
      </c>
      <c r="E2925" t="s">
        <v>1589</v>
      </c>
      <c r="F2925" s="1">
        <v>119.9</v>
      </c>
      <c r="G2925">
        <v>2</v>
      </c>
      <c r="H2925" s="1">
        <v>43.164000000000001</v>
      </c>
      <c r="I2925" s="4">
        <f>SalesData[[#This Row],[Profit]]/SalesData[[#This Row],[Sales]]</f>
        <v>0.36</v>
      </c>
      <c r="J2925">
        <f>YEAR(SalesData[[#This Row],[Order Date]])</f>
        <v>2015</v>
      </c>
      <c r="K2925" t="str">
        <f>TEXT(SalesData[[#This Row],[Order Date]],"mmm")</f>
        <v>Aug</v>
      </c>
      <c r="L2925">
        <f>MONTH(SalesData[[#This Row],[Order Date]])</f>
        <v>8</v>
      </c>
      <c r="M2925">
        <f>SalesData[[#This Row],[Sales]]/SalesData[[#This Row],[Quantity]]</f>
        <v>59.95</v>
      </c>
      <c r="N2925" t="str">
        <f>IF(SalesData[[#This Row],[Profit]]&gt;0,"Profit","Loss")</f>
        <v>Profit</v>
      </c>
    </row>
    <row r="2926" spans="1:14" x14ac:dyDescent="0.3">
      <c r="A2926" t="s">
        <v>1590</v>
      </c>
      <c r="B2926" s="3">
        <v>42227</v>
      </c>
      <c r="C2926" t="s">
        <v>46</v>
      </c>
      <c r="D2926" t="s">
        <v>21</v>
      </c>
      <c r="E2926" t="s">
        <v>1206</v>
      </c>
      <c r="F2926" s="1">
        <v>44.43</v>
      </c>
      <c r="G2926">
        <v>3</v>
      </c>
      <c r="H2926" s="1">
        <v>18.660599999999999</v>
      </c>
      <c r="I2926" s="4">
        <f>SalesData[[#This Row],[Profit]]/SalesData[[#This Row],[Sales]]</f>
        <v>0.42</v>
      </c>
      <c r="J2926">
        <f>YEAR(SalesData[[#This Row],[Order Date]])</f>
        <v>2015</v>
      </c>
      <c r="K2926" t="str">
        <f>TEXT(SalesData[[#This Row],[Order Date]],"mmm")</f>
        <v>Aug</v>
      </c>
      <c r="L2926">
        <f>MONTH(SalesData[[#This Row],[Order Date]])</f>
        <v>8</v>
      </c>
      <c r="M2926">
        <f>SalesData[[#This Row],[Sales]]/SalesData[[#This Row],[Quantity]]</f>
        <v>14.81</v>
      </c>
      <c r="N2926" t="str">
        <f>IF(SalesData[[#This Row],[Profit]]&gt;0,"Profit","Loss")</f>
        <v>Profit</v>
      </c>
    </row>
    <row r="2927" spans="1:14" x14ac:dyDescent="0.3">
      <c r="A2927" t="s">
        <v>1590</v>
      </c>
      <c r="B2927" s="3">
        <v>42227</v>
      </c>
      <c r="C2927" t="s">
        <v>46</v>
      </c>
      <c r="D2927" t="s">
        <v>10</v>
      </c>
      <c r="E2927" t="s">
        <v>125</v>
      </c>
      <c r="F2927" s="1">
        <v>226.2</v>
      </c>
      <c r="G2927">
        <v>5</v>
      </c>
      <c r="H2927" s="1">
        <v>58.811999999999998</v>
      </c>
      <c r="I2927" s="4">
        <f>SalesData[[#This Row],[Profit]]/SalesData[[#This Row],[Sales]]</f>
        <v>0.26</v>
      </c>
      <c r="J2927">
        <f>YEAR(SalesData[[#This Row],[Order Date]])</f>
        <v>2015</v>
      </c>
      <c r="K2927" t="str">
        <f>TEXT(SalesData[[#This Row],[Order Date]],"mmm")</f>
        <v>Aug</v>
      </c>
      <c r="L2927">
        <f>MONTH(SalesData[[#This Row],[Order Date]])</f>
        <v>8</v>
      </c>
      <c r="M2927">
        <f>SalesData[[#This Row],[Sales]]/SalesData[[#This Row],[Quantity]]</f>
        <v>45.239999999999995</v>
      </c>
      <c r="N2927" t="str">
        <f>IF(SalesData[[#This Row],[Profit]]&gt;0,"Profit","Loss")</f>
        <v>Profit</v>
      </c>
    </row>
    <row r="2928" spans="1:14" x14ac:dyDescent="0.3">
      <c r="A2928" t="s">
        <v>1590</v>
      </c>
      <c r="B2928" s="3">
        <v>42227</v>
      </c>
      <c r="C2928" t="s">
        <v>46</v>
      </c>
      <c r="D2928" t="s">
        <v>14</v>
      </c>
      <c r="E2928" t="s">
        <v>1081</v>
      </c>
      <c r="F2928" s="1">
        <v>186.54</v>
      </c>
      <c r="G2928">
        <v>3</v>
      </c>
      <c r="H2928" s="1">
        <v>41.038800000000002</v>
      </c>
      <c r="I2928" s="4">
        <f>SalesData[[#This Row],[Profit]]/SalesData[[#This Row],[Sales]]</f>
        <v>0.22000000000000003</v>
      </c>
      <c r="J2928">
        <f>YEAR(SalesData[[#This Row],[Order Date]])</f>
        <v>2015</v>
      </c>
      <c r="K2928" t="str">
        <f>TEXT(SalesData[[#This Row],[Order Date]],"mmm")</f>
        <v>Aug</v>
      </c>
      <c r="L2928">
        <f>MONTH(SalesData[[#This Row],[Order Date]])</f>
        <v>8</v>
      </c>
      <c r="M2928">
        <f>SalesData[[#This Row],[Sales]]/SalesData[[#This Row],[Quantity]]</f>
        <v>62.18</v>
      </c>
      <c r="N2928" t="str">
        <f>IF(SalesData[[#This Row],[Profit]]&gt;0,"Profit","Loss")</f>
        <v>Profit</v>
      </c>
    </row>
    <row r="2929" spans="1:14" x14ac:dyDescent="0.3">
      <c r="A2929" t="s">
        <v>1590</v>
      </c>
      <c r="B2929" s="3">
        <v>42227</v>
      </c>
      <c r="C2929" t="s">
        <v>46</v>
      </c>
      <c r="D2929" t="s">
        <v>21</v>
      </c>
      <c r="E2929" t="s">
        <v>701</v>
      </c>
      <c r="F2929" s="1">
        <v>265.86</v>
      </c>
      <c r="G2929">
        <v>7</v>
      </c>
      <c r="H2929" s="1">
        <v>79.757999999999996</v>
      </c>
      <c r="I2929" s="4">
        <f>SalesData[[#This Row],[Profit]]/SalesData[[#This Row],[Sales]]</f>
        <v>0.3</v>
      </c>
      <c r="J2929">
        <f>YEAR(SalesData[[#This Row],[Order Date]])</f>
        <v>2015</v>
      </c>
      <c r="K2929" t="str">
        <f>TEXT(SalesData[[#This Row],[Order Date]],"mmm")</f>
        <v>Aug</v>
      </c>
      <c r="L2929">
        <f>MONTH(SalesData[[#This Row],[Order Date]])</f>
        <v>8</v>
      </c>
      <c r="M2929">
        <f>SalesData[[#This Row],[Sales]]/SalesData[[#This Row],[Quantity]]</f>
        <v>37.980000000000004</v>
      </c>
      <c r="N2929" t="str">
        <f>IF(SalesData[[#This Row],[Profit]]&gt;0,"Profit","Loss")</f>
        <v>Profit</v>
      </c>
    </row>
    <row r="2930" spans="1:14" x14ac:dyDescent="0.3">
      <c r="A2930" t="s">
        <v>1590</v>
      </c>
      <c r="B2930" s="3">
        <v>42227</v>
      </c>
      <c r="C2930" t="s">
        <v>46</v>
      </c>
      <c r="D2930" t="s">
        <v>21</v>
      </c>
      <c r="E2930" t="s">
        <v>1591</v>
      </c>
      <c r="F2930" s="1">
        <v>27.9</v>
      </c>
      <c r="G2930">
        <v>5</v>
      </c>
      <c r="H2930" s="1">
        <v>6.9749999999999996</v>
      </c>
      <c r="I2930" s="4">
        <f>SalesData[[#This Row],[Profit]]/SalesData[[#This Row],[Sales]]</f>
        <v>0.25</v>
      </c>
      <c r="J2930">
        <f>YEAR(SalesData[[#This Row],[Order Date]])</f>
        <v>2015</v>
      </c>
      <c r="K2930" t="str">
        <f>TEXT(SalesData[[#This Row],[Order Date]],"mmm")</f>
        <v>Aug</v>
      </c>
      <c r="L2930">
        <f>MONTH(SalesData[[#This Row],[Order Date]])</f>
        <v>8</v>
      </c>
      <c r="M2930">
        <f>SalesData[[#This Row],[Sales]]/SalesData[[#This Row],[Quantity]]</f>
        <v>5.58</v>
      </c>
      <c r="N2930" t="str">
        <f>IF(SalesData[[#This Row],[Profit]]&gt;0,"Profit","Loss")</f>
        <v>Profit</v>
      </c>
    </row>
    <row r="2931" spans="1:14" x14ac:dyDescent="0.3">
      <c r="A2931" t="s">
        <v>1592</v>
      </c>
      <c r="B2931" s="3">
        <v>42227</v>
      </c>
      <c r="C2931" t="s">
        <v>9</v>
      </c>
      <c r="D2931" t="s">
        <v>10</v>
      </c>
      <c r="E2931" t="s">
        <v>914</v>
      </c>
      <c r="F2931" s="1">
        <v>263.95999999999998</v>
      </c>
      <c r="G2931">
        <v>4</v>
      </c>
      <c r="H2931" s="1">
        <v>76.548400000000001</v>
      </c>
      <c r="I2931" s="4">
        <f>SalesData[[#This Row],[Profit]]/SalesData[[#This Row],[Sales]]</f>
        <v>0.29000000000000004</v>
      </c>
      <c r="J2931">
        <f>YEAR(SalesData[[#This Row],[Order Date]])</f>
        <v>2015</v>
      </c>
      <c r="K2931" t="str">
        <f>TEXT(SalesData[[#This Row],[Order Date]],"mmm")</f>
        <v>Aug</v>
      </c>
      <c r="L2931">
        <f>MONTH(SalesData[[#This Row],[Order Date]])</f>
        <v>8</v>
      </c>
      <c r="M2931">
        <f>SalesData[[#This Row],[Sales]]/SalesData[[#This Row],[Quantity]]</f>
        <v>65.989999999999995</v>
      </c>
      <c r="N2931" t="str">
        <f>IF(SalesData[[#This Row],[Profit]]&gt;0,"Profit","Loss")</f>
        <v>Profit</v>
      </c>
    </row>
    <row r="2932" spans="1:14" x14ac:dyDescent="0.3">
      <c r="A2932" t="s">
        <v>1593</v>
      </c>
      <c r="B2932" s="3">
        <v>42227</v>
      </c>
      <c r="C2932" t="s">
        <v>17</v>
      </c>
      <c r="D2932" t="s">
        <v>21</v>
      </c>
      <c r="E2932" t="s">
        <v>1594</v>
      </c>
      <c r="F2932" s="1">
        <v>67.150000000000006</v>
      </c>
      <c r="G2932">
        <v>5</v>
      </c>
      <c r="H2932" s="1">
        <v>16.787500000000001</v>
      </c>
      <c r="I2932" s="4">
        <f>SalesData[[#This Row],[Profit]]/SalesData[[#This Row],[Sales]]</f>
        <v>0.25</v>
      </c>
      <c r="J2932">
        <f>YEAR(SalesData[[#This Row],[Order Date]])</f>
        <v>2015</v>
      </c>
      <c r="K2932" t="str">
        <f>TEXT(SalesData[[#This Row],[Order Date]],"mmm")</f>
        <v>Aug</v>
      </c>
      <c r="L2932">
        <f>MONTH(SalesData[[#This Row],[Order Date]])</f>
        <v>8</v>
      </c>
      <c r="M2932">
        <f>SalesData[[#This Row],[Sales]]/SalesData[[#This Row],[Quantity]]</f>
        <v>13.430000000000001</v>
      </c>
      <c r="N2932" t="str">
        <f>IF(SalesData[[#This Row],[Profit]]&gt;0,"Profit","Loss")</f>
        <v>Profit</v>
      </c>
    </row>
    <row r="2933" spans="1:14" x14ac:dyDescent="0.3">
      <c r="A2933" t="s">
        <v>1593</v>
      </c>
      <c r="B2933" s="3">
        <v>42227</v>
      </c>
      <c r="C2933" t="s">
        <v>17</v>
      </c>
      <c r="D2933" t="s">
        <v>10</v>
      </c>
      <c r="E2933" t="s">
        <v>1289</v>
      </c>
      <c r="F2933" s="1">
        <v>549.98</v>
      </c>
      <c r="G2933">
        <v>2</v>
      </c>
      <c r="H2933" s="1">
        <v>142.9948</v>
      </c>
      <c r="I2933" s="4">
        <f>SalesData[[#This Row],[Profit]]/SalesData[[#This Row],[Sales]]</f>
        <v>0.26</v>
      </c>
      <c r="J2933">
        <f>YEAR(SalesData[[#This Row],[Order Date]])</f>
        <v>2015</v>
      </c>
      <c r="K2933" t="str">
        <f>TEXT(SalesData[[#This Row],[Order Date]],"mmm")</f>
        <v>Aug</v>
      </c>
      <c r="L2933">
        <f>MONTH(SalesData[[#This Row],[Order Date]])</f>
        <v>8</v>
      </c>
      <c r="M2933">
        <f>SalesData[[#This Row],[Sales]]/SalesData[[#This Row],[Quantity]]</f>
        <v>274.99</v>
      </c>
      <c r="N2933" t="str">
        <f>IF(SalesData[[#This Row],[Profit]]&gt;0,"Profit","Loss")</f>
        <v>Profit</v>
      </c>
    </row>
    <row r="2934" spans="1:14" x14ac:dyDescent="0.3">
      <c r="A2934" t="s">
        <v>1593</v>
      </c>
      <c r="B2934" s="3">
        <v>42227</v>
      </c>
      <c r="C2934" t="s">
        <v>17</v>
      </c>
      <c r="D2934" t="s">
        <v>14</v>
      </c>
      <c r="E2934" t="s">
        <v>1595</v>
      </c>
      <c r="F2934" s="1">
        <v>11.82</v>
      </c>
      <c r="G2934">
        <v>3</v>
      </c>
      <c r="H2934" s="1">
        <v>4.7279999999999998</v>
      </c>
      <c r="I2934" s="4">
        <f>SalesData[[#This Row],[Profit]]/SalesData[[#This Row],[Sales]]</f>
        <v>0.39999999999999997</v>
      </c>
      <c r="J2934">
        <f>YEAR(SalesData[[#This Row],[Order Date]])</f>
        <v>2015</v>
      </c>
      <c r="K2934" t="str">
        <f>TEXT(SalesData[[#This Row],[Order Date]],"mmm")</f>
        <v>Aug</v>
      </c>
      <c r="L2934">
        <f>MONTH(SalesData[[#This Row],[Order Date]])</f>
        <v>8</v>
      </c>
      <c r="M2934">
        <f>SalesData[[#This Row],[Sales]]/SalesData[[#This Row],[Quantity]]</f>
        <v>3.94</v>
      </c>
      <c r="N2934" t="str">
        <f>IF(SalesData[[#This Row],[Profit]]&gt;0,"Profit","Loss")</f>
        <v>Profit</v>
      </c>
    </row>
    <row r="2935" spans="1:14" x14ac:dyDescent="0.3">
      <c r="A2935" t="s">
        <v>1593</v>
      </c>
      <c r="B2935" s="3">
        <v>42227</v>
      </c>
      <c r="C2935" t="s">
        <v>17</v>
      </c>
      <c r="D2935" t="s">
        <v>10</v>
      </c>
      <c r="E2935" t="s">
        <v>1596</v>
      </c>
      <c r="F2935" s="1">
        <v>4643.8</v>
      </c>
      <c r="G2935">
        <v>4</v>
      </c>
      <c r="H2935" s="1">
        <v>2229.0239999999999</v>
      </c>
      <c r="I2935" s="4">
        <f>SalesData[[#This Row],[Profit]]/SalesData[[#This Row],[Sales]]</f>
        <v>0.48</v>
      </c>
      <c r="J2935">
        <f>YEAR(SalesData[[#This Row],[Order Date]])</f>
        <v>2015</v>
      </c>
      <c r="K2935" t="str">
        <f>TEXT(SalesData[[#This Row],[Order Date]],"mmm")</f>
        <v>Aug</v>
      </c>
      <c r="L2935">
        <f>MONTH(SalesData[[#This Row],[Order Date]])</f>
        <v>8</v>
      </c>
      <c r="M2935">
        <f>SalesData[[#This Row],[Sales]]/SalesData[[#This Row],[Quantity]]</f>
        <v>1160.95</v>
      </c>
      <c r="N2935" t="str">
        <f>IF(SalesData[[#This Row],[Profit]]&gt;0,"Profit","Loss")</f>
        <v>Profit</v>
      </c>
    </row>
    <row r="2936" spans="1:14" x14ac:dyDescent="0.3">
      <c r="A2936" t="s">
        <v>1593</v>
      </c>
      <c r="B2936" s="3">
        <v>42227</v>
      </c>
      <c r="C2936" t="s">
        <v>17</v>
      </c>
      <c r="D2936" t="s">
        <v>14</v>
      </c>
      <c r="E2936" t="s">
        <v>118</v>
      </c>
      <c r="F2936" s="1">
        <v>577.76400000000001</v>
      </c>
      <c r="G2936">
        <v>2</v>
      </c>
      <c r="H2936" s="1">
        <v>115.5528</v>
      </c>
      <c r="I2936" s="4">
        <f>SalesData[[#This Row],[Profit]]/SalesData[[#This Row],[Sales]]</f>
        <v>0.2</v>
      </c>
      <c r="J2936">
        <f>YEAR(SalesData[[#This Row],[Order Date]])</f>
        <v>2015</v>
      </c>
      <c r="K2936" t="str">
        <f>TEXT(SalesData[[#This Row],[Order Date]],"mmm")</f>
        <v>Aug</v>
      </c>
      <c r="L2936">
        <f>MONTH(SalesData[[#This Row],[Order Date]])</f>
        <v>8</v>
      </c>
      <c r="M2936">
        <f>SalesData[[#This Row],[Sales]]/SalesData[[#This Row],[Quantity]]</f>
        <v>288.88200000000001</v>
      </c>
      <c r="N2936" t="str">
        <f>IF(SalesData[[#This Row],[Profit]]&gt;0,"Profit","Loss")</f>
        <v>Profit</v>
      </c>
    </row>
    <row r="2937" spans="1:14" x14ac:dyDescent="0.3">
      <c r="A2937" t="s">
        <v>1597</v>
      </c>
      <c r="B2937" s="3">
        <v>42227</v>
      </c>
      <c r="C2937" t="s">
        <v>46</v>
      </c>
      <c r="D2937" t="s">
        <v>21</v>
      </c>
      <c r="E2937" t="s">
        <v>1598</v>
      </c>
      <c r="F2937" s="1">
        <v>31.504000000000001</v>
      </c>
      <c r="G2937">
        <v>11</v>
      </c>
      <c r="H2937" s="1">
        <v>11.814</v>
      </c>
      <c r="I2937" s="4">
        <f>SalesData[[#This Row],[Profit]]/SalesData[[#This Row],[Sales]]</f>
        <v>0.375</v>
      </c>
      <c r="J2937">
        <f>YEAR(SalesData[[#This Row],[Order Date]])</f>
        <v>2015</v>
      </c>
      <c r="K2937" t="str">
        <f>TEXT(SalesData[[#This Row],[Order Date]],"mmm")</f>
        <v>Aug</v>
      </c>
      <c r="L2937">
        <f>MONTH(SalesData[[#This Row],[Order Date]])</f>
        <v>8</v>
      </c>
      <c r="M2937">
        <f>SalesData[[#This Row],[Sales]]/SalesData[[#This Row],[Quantity]]</f>
        <v>2.8640000000000003</v>
      </c>
      <c r="N2937" t="str">
        <f>IF(SalesData[[#This Row],[Profit]]&gt;0,"Profit","Loss")</f>
        <v>Profit</v>
      </c>
    </row>
    <row r="2938" spans="1:14" x14ac:dyDescent="0.3">
      <c r="A2938" t="s">
        <v>1597</v>
      </c>
      <c r="B2938" s="3">
        <v>42227</v>
      </c>
      <c r="C2938" t="s">
        <v>46</v>
      </c>
      <c r="D2938" t="s">
        <v>21</v>
      </c>
      <c r="E2938" t="s">
        <v>1599</v>
      </c>
      <c r="F2938" s="1">
        <v>5.04</v>
      </c>
      <c r="G2938">
        <v>1</v>
      </c>
      <c r="H2938" s="1">
        <v>1.6379999999999999</v>
      </c>
      <c r="I2938" s="4">
        <f>SalesData[[#This Row],[Profit]]/SalesData[[#This Row],[Sales]]</f>
        <v>0.32499999999999996</v>
      </c>
      <c r="J2938">
        <f>YEAR(SalesData[[#This Row],[Order Date]])</f>
        <v>2015</v>
      </c>
      <c r="K2938" t="str">
        <f>TEXT(SalesData[[#This Row],[Order Date]],"mmm")</f>
        <v>Aug</v>
      </c>
      <c r="L2938">
        <f>MONTH(SalesData[[#This Row],[Order Date]])</f>
        <v>8</v>
      </c>
      <c r="M2938">
        <f>SalesData[[#This Row],[Sales]]/SalesData[[#This Row],[Quantity]]</f>
        <v>5.04</v>
      </c>
      <c r="N2938" t="str">
        <f>IF(SalesData[[#This Row],[Profit]]&gt;0,"Profit","Loss")</f>
        <v>Profit</v>
      </c>
    </row>
    <row r="2939" spans="1:14" x14ac:dyDescent="0.3">
      <c r="A2939" t="s">
        <v>1597</v>
      </c>
      <c r="B2939" s="3">
        <v>42227</v>
      </c>
      <c r="C2939" t="s">
        <v>46</v>
      </c>
      <c r="D2939" t="s">
        <v>21</v>
      </c>
      <c r="E2939" t="s">
        <v>869</v>
      </c>
      <c r="F2939" s="1">
        <v>39.878999999999998</v>
      </c>
      <c r="G2939">
        <v>7</v>
      </c>
      <c r="H2939" s="1">
        <v>-29.244599999999998</v>
      </c>
      <c r="I2939" s="4">
        <f>SalesData[[#This Row],[Profit]]/SalesData[[#This Row],[Sales]]</f>
        <v>-0.73333333333333328</v>
      </c>
      <c r="J2939">
        <f>YEAR(SalesData[[#This Row],[Order Date]])</f>
        <v>2015</v>
      </c>
      <c r="K2939" t="str">
        <f>TEXT(SalesData[[#This Row],[Order Date]],"mmm")</f>
        <v>Aug</v>
      </c>
      <c r="L2939">
        <f>MONTH(SalesData[[#This Row],[Order Date]])</f>
        <v>8</v>
      </c>
      <c r="M2939">
        <f>SalesData[[#This Row],[Sales]]/SalesData[[#This Row],[Quantity]]</f>
        <v>5.6970000000000001</v>
      </c>
      <c r="N2939" t="str">
        <f>IF(SalesData[[#This Row],[Profit]]&gt;0,"Profit","Loss")</f>
        <v>Loss</v>
      </c>
    </row>
    <row r="2940" spans="1:14" x14ac:dyDescent="0.3">
      <c r="A2940" t="s">
        <v>1597</v>
      </c>
      <c r="B2940" s="3">
        <v>42227</v>
      </c>
      <c r="C2940" t="s">
        <v>46</v>
      </c>
      <c r="D2940" t="s">
        <v>14</v>
      </c>
      <c r="E2940" t="s">
        <v>884</v>
      </c>
      <c r="F2940" s="1">
        <v>4.7119999999999997</v>
      </c>
      <c r="G2940">
        <v>1</v>
      </c>
      <c r="H2940" s="1">
        <v>1.4136</v>
      </c>
      <c r="I2940" s="4">
        <f>SalesData[[#This Row],[Profit]]/SalesData[[#This Row],[Sales]]</f>
        <v>0.3</v>
      </c>
      <c r="J2940">
        <f>YEAR(SalesData[[#This Row],[Order Date]])</f>
        <v>2015</v>
      </c>
      <c r="K2940" t="str">
        <f>TEXT(SalesData[[#This Row],[Order Date]],"mmm")</f>
        <v>Aug</v>
      </c>
      <c r="L2940">
        <f>MONTH(SalesData[[#This Row],[Order Date]])</f>
        <v>8</v>
      </c>
      <c r="M2940">
        <f>SalesData[[#This Row],[Sales]]/SalesData[[#This Row],[Quantity]]</f>
        <v>4.7119999999999997</v>
      </c>
      <c r="N2940" t="str">
        <f>IF(SalesData[[#This Row],[Profit]]&gt;0,"Profit","Loss")</f>
        <v>Profit</v>
      </c>
    </row>
    <row r="2941" spans="1:14" x14ac:dyDescent="0.3">
      <c r="A2941" t="s">
        <v>1600</v>
      </c>
      <c r="B2941" s="3">
        <v>42227</v>
      </c>
      <c r="C2941" t="s">
        <v>17</v>
      </c>
      <c r="D2941" t="s">
        <v>14</v>
      </c>
      <c r="E2941" t="s">
        <v>1601</v>
      </c>
      <c r="F2941" s="1">
        <v>4404.8999999999996</v>
      </c>
      <c r="G2941">
        <v>5</v>
      </c>
      <c r="H2941" s="1">
        <v>1013.127</v>
      </c>
      <c r="I2941" s="4">
        <f>SalesData[[#This Row],[Profit]]/SalesData[[#This Row],[Sales]]</f>
        <v>0.23</v>
      </c>
      <c r="J2941">
        <f>YEAR(SalesData[[#This Row],[Order Date]])</f>
        <v>2015</v>
      </c>
      <c r="K2941" t="str">
        <f>TEXT(SalesData[[#This Row],[Order Date]],"mmm")</f>
        <v>Aug</v>
      </c>
      <c r="L2941">
        <f>MONTH(SalesData[[#This Row],[Order Date]])</f>
        <v>8</v>
      </c>
      <c r="M2941">
        <f>SalesData[[#This Row],[Sales]]/SalesData[[#This Row],[Quantity]]</f>
        <v>880.9799999999999</v>
      </c>
      <c r="N2941" t="str">
        <f>IF(SalesData[[#This Row],[Profit]]&gt;0,"Profit","Loss")</f>
        <v>Profit</v>
      </c>
    </row>
    <row r="2942" spans="1:14" x14ac:dyDescent="0.3">
      <c r="A2942" t="s">
        <v>1602</v>
      </c>
      <c r="B2942" s="3">
        <v>42228</v>
      </c>
      <c r="C2942" t="s">
        <v>9</v>
      </c>
      <c r="D2942" t="s">
        <v>21</v>
      </c>
      <c r="E2942" t="s">
        <v>578</v>
      </c>
      <c r="F2942" s="1">
        <v>360.71199999999999</v>
      </c>
      <c r="G2942">
        <v>11</v>
      </c>
      <c r="H2942" s="1">
        <v>130.75810000000001</v>
      </c>
      <c r="I2942" s="4">
        <f>SalesData[[#This Row],[Profit]]/SalesData[[#This Row],[Sales]]</f>
        <v>0.36250000000000004</v>
      </c>
      <c r="J2942">
        <f>YEAR(SalesData[[#This Row],[Order Date]])</f>
        <v>2015</v>
      </c>
      <c r="K2942" t="str">
        <f>TEXT(SalesData[[#This Row],[Order Date]],"mmm")</f>
        <v>Aug</v>
      </c>
      <c r="L2942">
        <f>MONTH(SalesData[[#This Row],[Order Date]])</f>
        <v>8</v>
      </c>
      <c r="M2942">
        <f>SalesData[[#This Row],[Sales]]/SalesData[[#This Row],[Quantity]]</f>
        <v>32.792000000000002</v>
      </c>
      <c r="N2942" t="str">
        <f>IF(SalesData[[#This Row],[Profit]]&gt;0,"Profit","Loss")</f>
        <v>Profit</v>
      </c>
    </row>
    <row r="2943" spans="1:14" x14ac:dyDescent="0.3">
      <c r="A2943" t="s">
        <v>1602</v>
      </c>
      <c r="B2943" s="3">
        <v>42228</v>
      </c>
      <c r="C2943" t="s">
        <v>9</v>
      </c>
      <c r="D2943" t="s">
        <v>10</v>
      </c>
      <c r="E2943" t="s">
        <v>832</v>
      </c>
      <c r="F2943" s="1">
        <v>1718.4</v>
      </c>
      <c r="G2943">
        <v>6</v>
      </c>
      <c r="H2943" s="1">
        <v>150.36000000000001</v>
      </c>
      <c r="I2943" s="4">
        <f>SalesData[[#This Row],[Profit]]/SalesData[[#This Row],[Sales]]</f>
        <v>8.7500000000000008E-2</v>
      </c>
      <c r="J2943">
        <f>YEAR(SalesData[[#This Row],[Order Date]])</f>
        <v>2015</v>
      </c>
      <c r="K2943" t="str">
        <f>TEXT(SalesData[[#This Row],[Order Date]],"mmm")</f>
        <v>Aug</v>
      </c>
      <c r="L2943">
        <f>MONTH(SalesData[[#This Row],[Order Date]])</f>
        <v>8</v>
      </c>
      <c r="M2943">
        <f>SalesData[[#This Row],[Sales]]/SalesData[[#This Row],[Quantity]]</f>
        <v>286.40000000000003</v>
      </c>
      <c r="N2943" t="str">
        <f>IF(SalesData[[#This Row],[Profit]]&gt;0,"Profit","Loss")</f>
        <v>Profit</v>
      </c>
    </row>
    <row r="2944" spans="1:14" x14ac:dyDescent="0.3">
      <c r="A2944" t="s">
        <v>1603</v>
      </c>
      <c r="B2944" s="3">
        <v>42228</v>
      </c>
      <c r="C2944" t="s">
        <v>9</v>
      </c>
      <c r="D2944" t="s">
        <v>10</v>
      </c>
      <c r="E2944" t="s">
        <v>1604</v>
      </c>
      <c r="F2944" s="1">
        <v>119.96</v>
      </c>
      <c r="G2944">
        <v>5</v>
      </c>
      <c r="H2944" s="1">
        <v>11.996</v>
      </c>
      <c r="I2944" s="4">
        <f>SalesData[[#This Row],[Profit]]/SalesData[[#This Row],[Sales]]</f>
        <v>0.1</v>
      </c>
      <c r="J2944">
        <f>YEAR(SalesData[[#This Row],[Order Date]])</f>
        <v>2015</v>
      </c>
      <c r="K2944" t="str">
        <f>TEXT(SalesData[[#This Row],[Order Date]],"mmm")</f>
        <v>Aug</v>
      </c>
      <c r="L2944">
        <f>MONTH(SalesData[[#This Row],[Order Date]])</f>
        <v>8</v>
      </c>
      <c r="M2944">
        <f>SalesData[[#This Row],[Sales]]/SalesData[[#This Row],[Quantity]]</f>
        <v>23.991999999999997</v>
      </c>
      <c r="N2944" t="str">
        <f>IF(SalesData[[#This Row],[Profit]]&gt;0,"Profit","Loss")</f>
        <v>Profit</v>
      </c>
    </row>
    <row r="2945" spans="1:14" x14ac:dyDescent="0.3">
      <c r="A2945" t="s">
        <v>1605</v>
      </c>
      <c r="B2945" s="3">
        <v>42228</v>
      </c>
      <c r="C2945" t="s">
        <v>13</v>
      </c>
      <c r="D2945" t="s">
        <v>21</v>
      </c>
      <c r="E2945" t="s">
        <v>945</v>
      </c>
      <c r="F2945" s="1">
        <v>221.96</v>
      </c>
      <c r="G2945">
        <v>2</v>
      </c>
      <c r="H2945" s="1">
        <v>4.4391999999999996</v>
      </c>
      <c r="I2945" s="4">
        <f>SalesData[[#This Row],[Profit]]/SalesData[[#This Row],[Sales]]</f>
        <v>1.9999999999999997E-2</v>
      </c>
      <c r="J2945">
        <f>YEAR(SalesData[[#This Row],[Order Date]])</f>
        <v>2015</v>
      </c>
      <c r="K2945" t="str">
        <f>TEXT(SalesData[[#This Row],[Order Date]],"mmm")</f>
        <v>Aug</v>
      </c>
      <c r="L2945">
        <f>MONTH(SalesData[[#This Row],[Order Date]])</f>
        <v>8</v>
      </c>
      <c r="M2945">
        <f>SalesData[[#This Row],[Sales]]/SalesData[[#This Row],[Quantity]]</f>
        <v>110.98</v>
      </c>
      <c r="N2945" t="str">
        <f>IF(SalesData[[#This Row],[Profit]]&gt;0,"Profit","Loss")</f>
        <v>Profit</v>
      </c>
    </row>
    <row r="2946" spans="1:14" x14ac:dyDescent="0.3">
      <c r="A2946" t="s">
        <v>1605</v>
      </c>
      <c r="B2946" s="3">
        <v>42228</v>
      </c>
      <c r="C2946" t="s">
        <v>13</v>
      </c>
      <c r="D2946" t="s">
        <v>10</v>
      </c>
      <c r="E2946" t="s">
        <v>1606</v>
      </c>
      <c r="F2946" s="1">
        <v>236</v>
      </c>
      <c r="G2946">
        <v>4</v>
      </c>
      <c r="H2946" s="1">
        <v>40.119999999999997</v>
      </c>
      <c r="I2946" s="4">
        <f>SalesData[[#This Row],[Profit]]/SalesData[[#This Row],[Sales]]</f>
        <v>0.16999999999999998</v>
      </c>
      <c r="J2946">
        <f>YEAR(SalesData[[#This Row],[Order Date]])</f>
        <v>2015</v>
      </c>
      <c r="K2946" t="str">
        <f>TEXT(SalesData[[#This Row],[Order Date]],"mmm")</f>
        <v>Aug</v>
      </c>
      <c r="L2946">
        <f>MONTH(SalesData[[#This Row],[Order Date]])</f>
        <v>8</v>
      </c>
      <c r="M2946">
        <f>SalesData[[#This Row],[Sales]]/SalesData[[#This Row],[Quantity]]</f>
        <v>59</v>
      </c>
      <c r="N2946" t="str">
        <f>IF(SalesData[[#This Row],[Profit]]&gt;0,"Profit","Loss")</f>
        <v>Profit</v>
      </c>
    </row>
    <row r="2947" spans="1:14" x14ac:dyDescent="0.3">
      <c r="A2947" t="s">
        <v>1607</v>
      </c>
      <c r="B2947" s="3">
        <v>42228</v>
      </c>
      <c r="C2947" t="s">
        <v>13</v>
      </c>
      <c r="D2947" t="s">
        <v>21</v>
      </c>
      <c r="E2947" t="s">
        <v>88</v>
      </c>
      <c r="F2947" s="1">
        <v>15.696</v>
      </c>
      <c r="G2947">
        <v>3</v>
      </c>
      <c r="H2947" s="1">
        <v>5.1012000000000004</v>
      </c>
      <c r="I2947" s="4">
        <f>SalesData[[#This Row],[Profit]]/SalesData[[#This Row],[Sales]]</f>
        <v>0.32500000000000001</v>
      </c>
      <c r="J2947">
        <f>YEAR(SalesData[[#This Row],[Order Date]])</f>
        <v>2015</v>
      </c>
      <c r="K2947" t="str">
        <f>TEXT(SalesData[[#This Row],[Order Date]],"mmm")</f>
        <v>Aug</v>
      </c>
      <c r="L2947">
        <f>MONTH(SalesData[[#This Row],[Order Date]])</f>
        <v>8</v>
      </c>
      <c r="M2947">
        <f>SalesData[[#This Row],[Sales]]/SalesData[[#This Row],[Quantity]]</f>
        <v>5.2320000000000002</v>
      </c>
      <c r="N2947" t="str">
        <f>IF(SalesData[[#This Row],[Profit]]&gt;0,"Profit","Loss")</f>
        <v>Profit</v>
      </c>
    </row>
    <row r="2948" spans="1:14" x14ac:dyDescent="0.3">
      <c r="A2948" t="s">
        <v>1608</v>
      </c>
      <c r="B2948" s="3">
        <v>42248</v>
      </c>
      <c r="C2948" t="s">
        <v>46</v>
      </c>
      <c r="D2948" t="s">
        <v>21</v>
      </c>
      <c r="E2948" t="s">
        <v>94</v>
      </c>
      <c r="F2948" s="1">
        <v>106.32</v>
      </c>
      <c r="G2948">
        <v>3</v>
      </c>
      <c r="H2948" s="1">
        <v>49.970399999999998</v>
      </c>
      <c r="I2948" s="4">
        <f>SalesData[[#This Row],[Profit]]/SalesData[[#This Row],[Sales]]</f>
        <v>0.47000000000000003</v>
      </c>
      <c r="J2948">
        <f>YEAR(SalesData[[#This Row],[Order Date]])</f>
        <v>2015</v>
      </c>
      <c r="K2948" t="str">
        <f>TEXT(SalesData[[#This Row],[Order Date]],"mmm")</f>
        <v>Sep</v>
      </c>
      <c r="L2948">
        <f>MONTH(SalesData[[#This Row],[Order Date]])</f>
        <v>9</v>
      </c>
      <c r="M2948">
        <f>SalesData[[#This Row],[Sales]]/SalesData[[#This Row],[Quantity]]</f>
        <v>35.44</v>
      </c>
      <c r="N2948" t="str">
        <f>IF(SalesData[[#This Row],[Profit]]&gt;0,"Profit","Loss")</f>
        <v>Profit</v>
      </c>
    </row>
    <row r="2949" spans="1:14" x14ac:dyDescent="0.3">
      <c r="A2949" t="s">
        <v>1608</v>
      </c>
      <c r="B2949" s="3">
        <v>42248</v>
      </c>
      <c r="C2949" t="s">
        <v>46</v>
      </c>
      <c r="D2949" t="s">
        <v>21</v>
      </c>
      <c r="E2949" t="s">
        <v>1609</v>
      </c>
      <c r="F2949" s="1">
        <v>163.44</v>
      </c>
      <c r="G2949">
        <v>3</v>
      </c>
      <c r="H2949" s="1">
        <v>45.763199999999998</v>
      </c>
      <c r="I2949" s="4">
        <f>SalesData[[#This Row],[Profit]]/SalesData[[#This Row],[Sales]]</f>
        <v>0.27999999999999997</v>
      </c>
      <c r="J2949">
        <f>YEAR(SalesData[[#This Row],[Order Date]])</f>
        <v>2015</v>
      </c>
      <c r="K2949" t="str">
        <f>TEXT(SalesData[[#This Row],[Order Date]],"mmm")</f>
        <v>Sep</v>
      </c>
      <c r="L2949">
        <f>MONTH(SalesData[[#This Row],[Order Date]])</f>
        <v>9</v>
      </c>
      <c r="M2949">
        <f>SalesData[[#This Row],[Sales]]/SalesData[[#This Row],[Quantity]]</f>
        <v>54.48</v>
      </c>
      <c r="N2949" t="str">
        <f>IF(SalesData[[#This Row],[Profit]]&gt;0,"Profit","Loss")</f>
        <v>Profit</v>
      </c>
    </row>
    <row r="2950" spans="1:14" x14ac:dyDescent="0.3">
      <c r="A2950" t="s">
        <v>1608</v>
      </c>
      <c r="B2950" s="3">
        <v>42248</v>
      </c>
      <c r="C2950" t="s">
        <v>46</v>
      </c>
      <c r="D2950" t="s">
        <v>21</v>
      </c>
      <c r="E2950" t="s">
        <v>1610</v>
      </c>
      <c r="F2950" s="1">
        <v>42.76</v>
      </c>
      <c r="G2950">
        <v>2</v>
      </c>
      <c r="H2950" s="1">
        <v>11.117599999999999</v>
      </c>
      <c r="I2950" s="4">
        <f>SalesData[[#This Row],[Profit]]/SalesData[[#This Row],[Sales]]</f>
        <v>0.26</v>
      </c>
      <c r="J2950">
        <f>YEAR(SalesData[[#This Row],[Order Date]])</f>
        <v>2015</v>
      </c>
      <c r="K2950" t="str">
        <f>TEXT(SalesData[[#This Row],[Order Date]],"mmm")</f>
        <v>Sep</v>
      </c>
      <c r="L2950">
        <f>MONTH(SalesData[[#This Row],[Order Date]])</f>
        <v>9</v>
      </c>
      <c r="M2950">
        <f>SalesData[[#This Row],[Sales]]/SalesData[[#This Row],[Quantity]]</f>
        <v>21.38</v>
      </c>
      <c r="N2950" t="str">
        <f>IF(SalesData[[#This Row],[Profit]]&gt;0,"Profit","Loss")</f>
        <v>Profit</v>
      </c>
    </row>
    <row r="2951" spans="1:14" x14ac:dyDescent="0.3">
      <c r="A2951" t="s">
        <v>1608</v>
      </c>
      <c r="B2951" s="3">
        <v>42248</v>
      </c>
      <c r="C2951" t="s">
        <v>46</v>
      </c>
      <c r="D2951" t="s">
        <v>21</v>
      </c>
      <c r="E2951" t="s">
        <v>1611</v>
      </c>
      <c r="F2951" s="1">
        <v>51.55</v>
      </c>
      <c r="G2951">
        <v>5</v>
      </c>
      <c r="H2951" s="1">
        <v>24.2285</v>
      </c>
      <c r="I2951" s="4">
        <f>SalesData[[#This Row],[Profit]]/SalesData[[#This Row],[Sales]]</f>
        <v>0.47000000000000003</v>
      </c>
      <c r="J2951">
        <f>YEAR(SalesData[[#This Row],[Order Date]])</f>
        <v>2015</v>
      </c>
      <c r="K2951" t="str">
        <f>TEXT(SalesData[[#This Row],[Order Date]],"mmm")</f>
        <v>Sep</v>
      </c>
      <c r="L2951">
        <f>MONTH(SalesData[[#This Row],[Order Date]])</f>
        <v>9</v>
      </c>
      <c r="M2951">
        <f>SalesData[[#This Row],[Sales]]/SalesData[[#This Row],[Quantity]]</f>
        <v>10.309999999999999</v>
      </c>
      <c r="N2951" t="str">
        <f>IF(SalesData[[#This Row],[Profit]]&gt;0,"Profit","Loss")</f>
        <v>Profit</v>
      </c>
    </row>
    <row r="2952" spans="1:14" x14ac:dyDescent="0.3">
      <c r="A2952" t="s">
        <v>1612</v>
      </c>
      <c r="B2952" s="3">
        <v>42249</v>
      </c>
      <c r="C2952" t="s">
        <v>9</v>
      </c>
      <c r="D2952" t="s">
        <v>10</v>
      </c>
      <c r="E2952" t="s">
        <v>732</v>
      </c>
      <c r="F2952" s="1">
        <v>20.8</v>
      </c>
      <c r="G2952">
        <v>2</v>
      </c>
      <c r="H2952" s="1">
        <v>6.5</v>
      </c>
      <c r="I2952" s="4">
        <f>SalesData[[#This Row],[Profit]]/SalesData[[#This Row],[Sales]]</f>
        <v>0.3125</v>
      </c>
      <c r="J2952">
        <f>YEAR(SalesData[[#This Row],[Order Date]])</f>
        <v>2015</v>
      </c>
      <c r="K2952" t="str">
        <f>TEXT(SalesData[[#This Row],[Order Date]],"mmm")</f>
        <v>Sep</v>
      </c>
      <c r="L2952">
        <f>MONTH(SalesData[[#This Row],[Order Date]])</f>
        <v>9</v>
      </c>
      <c r="M2952">
        <f>SalesData[[#This Row],[Sales]]/SalesData[[#This Row],[Quantity]]</f>
        <v>10.4</v>
      </c>
      <c r="N2952" t="str">
        <f>IF(SalesData[[#This Row],[Profit]]&gt;0,"Profit","Loss")</f>
        <v>Profit</v>
      </c>
    </row>
    <row r="2953" spans="1:14" x14ac:dyDescent="0.3">
      <c r="A2953" t="s">
        <v>1613</v>
      </c>
      <c r="B2953" s="3">
        <v>42249</v>
      </c>
      <c r="C2953" t="s">
        <v>9</v>
      </c>
      <c r="D2953" t="s">
        <v>21</v>
      </c>
      <c r="E2953" t="s">
        <v>523</v>
      </c>
      <c r="F2953" s="1">
        <v>40.095999999999997</v>
      </c>
      <c r="G2953">
        <v>4</v>
      </c>
      <c r="H2953" s="1">
        <v>13.532400000000001</v>
      </c>
      <c r="I2953" s="4">
        <f>SalesData[[#This Row],[Profit]]/SalesData[[#This Row],[Sales]]</f>
        <v>0.33750000000000008</v>
      </c>
      <c r="J2953">
        <f>YEAR(SalesData[[#This Row],[Order Date]])</f>
        <v>2015</v>
      </c>
      <c r="K2953" t="str">
        <f>TEXT(SalesData[[#This Row],[Order Date]],"mmm")</f>
        <v>Sep</v>
      </c>
      <c r="L2953">
        <f>MONTH(SalesData[[#This Row],[Order Date]])</f>
        <v>9</v>
      </c>
      <c r="M2953">
        <f>SalesData[[#This Row],[Sales]]/SalesData[[#This Row],[Quantity]]</f>
        <v>10.023999999999999</v>
      </c>
      <c r="N2953" t="str">
        <f>IF(SalesData[[#This Row],[Profit]]&gt;0,"Profit","Loss")</f>
        <v>Profit</v>
      </c>
    </row>
    <row r="2954" spans="1:14" x14ac:dyDescent="0.3">
      <c r="A2954" t="s">
        <v>1613</v>
      </c>
      <c r="B2954" s="3">
        <v>42249</v>
      </c>
      <c r="C2954" t="s">
        <v>9</v>
      </c>
      <c r="D2954" t="s">
        <v>14</v>
      </c>
      <c r="E2954" t="s">
        <v>844</v>
      </c>
      <c r="F2954" s="1">
        <v>40.783999999999999</v>
      </c>
      <c r="G2954">
        <v>2</v>
      </c>
      <c r="H2954" s="1">
        <v>-30.588000000000001</v>
      </c>
      <c r="I2954" s="4">
        <f>SalesData[[#This Row],[Profit]]/SalesData[[#This Row],[Sales]]</f>
        <v>-0.75</v>
      </c>
      <c r="J2954">
        <f>YEAR(SalesData[[#This Row],[Order Date]])</f>
        <v>2015</v>
      </c>
      <c r="K2954" t="str">
        <f>TEXT(SalesData[[#This Row],[Order Date]],"mmm")</f>
        <v>Sep</v>
      </c>
      <c r="L2954">
        <f>MONTH(SalesData[[#This Row],[Order Date]])</f>
        <v>9</v>
      </c>
      <c r="M2954">
        <f>SalesData[[#This Row],[Sales]]/SalesData[[#This Row],[Quantity]]</f>
        <v>20.391999999999999</v>
      </c>
      <c r="N2954" t="str">
        <f>IF(SalesData[[#This Row],[Profit]]&gt;0,"Profit","Loss")</f>
        <v>Loss</v>
      </c>
    </row>
    <row r="2955" spans="1:14" x14ac:dyDescent="0.3">
      <c r="A2955" t="s">
        <v>1614</v>
      </c>
      <c r="B2955" s="3">
        <v>42249</v>
      </c>
      <c r="C2955" t="s">
        <v>13</v>
      </c>
      <c r="D2955" t="s">
        <v>14</v>
      </c>
      <c r="E2955" t="s">
        <v>265</v>
      </c>
      <c r="F2955" s="1">
        <v>203.92</v>
      </c>
      <c r="G2955">
        <v>5</v>
      </c>
      <c r="H2955" s="1">
        <v>22.940999999999999</v>
      </c>
      <c r="I2955" s="4">
        <f>SalesData[[#This Row],[Profit]]/SalesData[[#This Row],[Sales]]</f>
        <v>0.1125</v>
      </c>
      <c r="J2955">
        <f>YEAR(SalesData[[#This Row],[Order Date]])</f>
        <v>2015</v>
      </c>
      <c r="K2955" t="str">
        <f>TEXT(SalesData[[#This Row],[Order Date]],"mmm")</f>
        <v>Sep</v>
      </c>
      <c r="L2955">
        <f>MONTH(SalesData[[#This Row],[Order Date]])</f>
        <v>9</v>
      </c>
      <c r="M2955">
        <f>SalesData[[#This Row],[Sales]]/SalesData[[#This Row],[Quantity]]</f>
        <v>40.783999999999999</v>
      </c>
      <c r="N2955" t="str">
        <f>IF(SalesData[[#This Row],[Profit]]&gt;0,"Profit","Loss")</f>
        <v>Profit</v>
      </c>
    </row>
    <row r="2956" spans="1:14" x14ac:dyDescent="0.3">
      <c r="A2956" t="s">
        <v>1615</v>
      </c>
      <c r="B2956" s="3">
        <v>42249</v>
      </c>
      <c r="C2956" t="s">
        <v>9</v>
      </c>
      <c r="D2956" t="s">
        <v>10</v>
      </c>
      <c r="E2956" t="s">
        <v>652</v>
      </c>
      <c r="F2956" s="1">
        <v>479.952</v>
      </c>
      <c r="G2956">
        <v>6</v>
      </c>
      <c r="H2956" s="1">
        <v>89.991</v>
      </c>
      <c r="I2956" s="4">
        <f>SalesData[[#This Row],[Profit]]/SalesData[[#This Row],[Sales]]</f>
        <v>0.1875</v>
      </c>
      <c r="J2956">
        <f>YEAR(SalesData[[#This Row],[Order Date]])</f>
        <v>2015</v>
      </c>
      <c r="K2956" t="str">
        <f>TEXT(SalesData[[#This Row],[Order Date]],"mmm")</f>
        <v>Sep</v>
      </c>
      <c r="L2956">
        <f>MONTH(SalesData[[#This Row],[Order Date]])</f>
        <v>9</v>
      </c>
      <c r="M2956">
        <f>SalesData[[#This Row],[Sales]]/SalesData[[#This Row],[Quantity]]</f>
        <v>79.992000000000004</v>
      </c>
      <c r="N2956" t="str">
        <f>IF(SalesData[[#This Row],[Profit]]&gt;0,"Profit","Loss")</f>
        <v>Profit</v>
      </c>
    </row>
    <row r="2957" spans="1:14" x14ac:dyDescent="0.3">
      <c r="A2957" t="s">
        <v>1616</v>
      </c>
      <c r="B2957" s="3">
        <v>42250</v>
      </c>
      <c r="C2957" t="s">
        <v>9</v>
      </c>
      <c r="D2957" t="s">
        <v>10</v>
      </c>
      <c r="E2957" t="s">
        <v>354</v>
      </c>
      <c r="F2957" s="1">
        <v>113.52</v>
      </c>
      <c r="G2957">
        <v>5</v>
      </c>
      <c r="H2957" s="1">
        <v>29.798999999999999</v>
      </c>
      <c r="I2957" s="4">
        <f>SalesData[[#This Row],[Profit]]/SalesData[[#This Row],[Sales]]</f>
        <v>0.26250000000000001</v>
      </c>
      <c r="J2957">
        <f>YEAR(SalesData[[#This Row],[Order Date]])</f>
        <v>2015</v>
      </c>
      <c r="K2957" t="str">
        <f>TEXT(SalesData[[#This Row],[Order Date]],"mmm")</f>
        <v>Sep</v>
      </c>
      <c r="L2957">
        <f>MONTH(SalesData[[#This Row],[Order Date]])</f>
        <v>9</v>
      </c>
      <c r="M2957">
        <f>SalesData[[#This Row],[Sales]]/SalesData[[#This Row],[Quantity]]</f>
        <v>22.704000000000001</v>
      </c>
      <c r="N2957" t="str">
        <f>IF(SalesData[[#This Row],[Profit]]&gt;0,"Profit","Loss")</f>
        <v>Profit</v>
      </c>
    </row>
    <row r="2958" spans="1:14" x14ac:dyDescent="0.3">
      <c r="A2958" t="s">
        <v>1616</v>
      </c>
      <c r="B2958" s="3">
        <v>42250</v>
      </c>
      <c r="C2958" t="s">
        <v>9</v>
      </c>
      <c r="D2958" t="s">
        <v>10</v>
      </c>
      <c r="E2958" t="s">
        <v>477</v>
      </c>
      <c r="F2958" s="1">
        <v>359.88</v>
      </c>
      <c r="G2958">
        <v>3</v>
      </c>
      <c r="H2958" s="1">
        <v>22.4925</v>
      </c>
      <c r="I2958" s="4">
        <f>SalesData[[#This Row],[Profit]]/SalesData[[#This Row],[Sales]]</f>
        <v>6.25E-2</v>
      </c>
      <c r="J2958">
        <f>YEAR(SalesData[[#This Row],[Order Date]])</f>
        <v>2015</v>
      </c>
      <c r="K2958" t="str">
        <f>TEXT(SalesData[[#This Row],[Order Date]],"mmm")</f>
        <v>Sep</v>
      </c>
      <c r="L2958">
        <f>MONTH(SalesData[[#This Row],[Order Date]])</f>
        <v>9</v>
      </c>
      <c r="M2958">
        <f>SalesData[[#This Row],[Sales]]/SalesData[[#This Row],[Quantity]]</f>
        <v>119.96</v>
      </c>
      <c r="N2958" t="str">
        <f>IF(SalesData[[#This Row],[Profit]]&gt;0,"Profit","Loss")</f>
        <v>Profit</v>
      </c>
    </row>
    <row r="2959" spans="1:14" x14ac:dyDescent="0.3">
      <c r="A2959" t="s">
        <v>1617</v>
      </c>
      <c r="B2959" s="3">
        <v>42250</v>
      </c>
      <c r="C2959" t="s">
        <v>46</v>
      </c>
      <c r="D2959" t="s">
        <v>21</v>
      </c>
      <c r="E2959" t="s">
        <v>259</v>
      </c>
      <c r="F2959" s="1">
        <v>4.6079999999999997</v>
      </c>
      <c r="G2959">
        <v>2</v>
      </c>
      <c r="H2959" s="1">
        <v>1.6704000000000001</v>
      </c>
      <c r="I2959" s="4">
        <f>SalesData[[#This Row],[Profit]]/SalesData[[#This Row],[Sales]]</f>
        <v>0.36250000000000004</v>
      </c>
      <c r="J2959">
        <f>YEAR(SalesData[[#This Row],[Order Date]])</f>
        <v>2015</v>
      </c>
      <c r="K2959" t="str">
        <f>TEXT(SalesData[[#This Row],[Order Date]],"mmm")</f>
        <v>Sep</v>
      </c>
      <c r="L2959">
        <f>MONTH(SalesData[[#This Row],[Order Date]])</f>
        <v>9</v>
      </c>
      <c r="M2959">
        <f>SalesData[[#This Row],[Sales]]/SalesData[[#This Row],[Quantity]]</f>
        <v>2.3039999999999998</v>
      </c>
      <c r="N2959" t="str">
        <f>IF(SalesData[[#This Row],[Profit]]&gt;0,"Profit","Loss")</f>
        <v>Profit</v>
      </c>
    </row>
    <row r="2960" spans="1:14" x14ac:dyDescent="0.3">
      <c r="A2960" t="s">
        <v>1618</v>
      </c>
      <c r="B2960" s="3">
        <v>42251</v>
      </c>
      <c r="C2960" t="s">
        <v>13</v>
      </c>
      <c r="D2960" t="s">
        <v>14</v>
      </c>
      <c r="E2960" t="s">
        <v>1619</v>
      </c>
      <c r="F2960" s="1">
        <v>369.91199999999998</v>
      </c>
      <c r="G2960">
        <v>3</v>
      </c>
      <c r="H2960" s="1">
        <v>-13.871700000000001</v>
      </c>
      <c r="I2960" s="4">
        <f>SalesData[[#This Row],[Profit]]/SalesData[[#This Row],[Sales]]</f>
        <v>-3.7500000000000006E-2</v>
      </c>
      <c r="J2960">
        <f>YEAR(SalesData[[#This Row],[Order Date]])</f>
        <v>2015</v>
      </c>
      <c r="K2960" t="str">
        <f>TEXT(SalesData[[#This Row],[Order Date]],"mmm")</f>
        <v>Sep</v>
      </c>
      <c r="L2960">
        <f>MONTH(SalesData[[#This Row],[Order Date]])</f>
        <v>9</v>
      </c>
      <c r="M2960">
        <f>SalesData[[#This Row],[Sales]]/SalesData[[#This Row],[Quantity]]</f>
        <v>123.30399999999999</v>
      </c>
      <c r="N2960" t="str">
        <f>IF(SalesData[[#This Row],[Profit]]&gt;0,"Profit","Loss")</f>
        <v>Loss</v>
      </c>
    </row>
    <row r="2961" spans="1:14" x14ac:dyDescent="0.3">
      <c r="A2961" t="s">
        <v>1620</v>
      </c>
      <c r="B2961" s="3">
        <v>42251</v>
      </c>
      <c r="C2961" t="s">
        <v>17</v>
      </c>
      <c r="D2961" t="s">
        <v>21</v>
      </c>
      <c r="E2961" t="s">
        <v>761</v>
      </c>
      <c r="F2961" s="1">
        <v>17.940000000000001</v>
      </c>
      <c r="G2961">
        <v>3</v>
      </c>
      <c r="H2961" s="1">
        <v>3.0497999999999998</v>
      </c>
      <c r="I2961" s="4">
        <f>SalesData[[#This Row],[Profit]]/SalesData[[#This Row],[Sales]]</f>
        <v>0.16999999999999998</v>
      </c>
      <c r="J2961">
        <f>YEAR(SalesData[[#This Row],[Order Date]])</f>
        <v>2015</v>
      </c>
      <c r="K2961" t="str">
        <f>TEXT(SalesData[[#This Row],[Order Date]],"mmm")</f>
        <v>Sep</v>
      </c>
      <c r="L2961">
        <f>MONTH(SalesData[[#This Row],[Order Date]])</f>
        <v>9</v>
      </c>
      <c r="M2961">
        <f>SalesData[[#This Row],[Sales]]/SalesData[[#This Row],[Quantity]]</f>
        <v>5.98</v>
      </c>
      <c r="N2961" t="str">
        <f>IF(SalesData[[#This Row],[Profit]]&gt;0,"Profit","Loss")</f>
        <v>Profit</v>
      </c>
    </row>
    <row r="2962" spans="1:14" x14ac:dyDescent="0.3">
      <c r="A2962" t="s">
        <v>1621</v>
      </c>
      <c r="B2962" s="3">
        <v>42251</v>
      </c>
      <c r="C2962" t="s">
        <v>17</v>
      </c>
      <c r="D2962" t="s">
        <v>21</v>
      </c>
      <c r="E2962" t="s">
        <v>1622</v>
      </c>
      <c r="F2962" s="1">
        <v>370.14</v>
      </c>
      <c r="G2962">
        <v>3</v>
      </c>
      <c r="H2962" s="1">
        <v>144.3546</v>
      </c>
      <c r="I2962" s="4">
        <f>SalesData[[#This Row],[Profit]]/SalesData[[#This Row],[Sales]]</f>
        <v>0.39</v>
      </c>
      <c r="J2962">
        <f>YEAR(SalesData[[#This Row],[Order Date]])</f>
        <v>2015</v>
      </c>
      <c r="K2962" t="str">
        <f>TEXT(SalesData[[#This Row],[Order Date]],"mmm")</f>
        <v>Sep</v>
      </c>
      <c r="L2962">
        <f>MONTH(SalesData[[#This Row],[Order Date]])</f>
        <v>9</v>
      </c>
      <c r="M2962">
        <f>SalesData[[#This Row],[Sales]]/SalesData[[#This Row],[Quantity]]</f>
        <v>123.38</v>
      </c>
      <c r="N2962" t="str">
        <f>IF(SalesData[[#This Row],[Profit]]&gt;0,"Profit","Loss")</f>
        <v>Profit</v>
      </c>
    </row>
    <row r="2963" spans="1:14" x14ac:dyDescent="0.3">
      <c r="A2963" t="s">
        <v>1623</v>
      </c>
      <c r="B2963" s="3">
        <v>42252</v>
      </c>
      <c r="C2963" t="s">
        <v>46</v>
      </c>
      <c r="D2963" t="s">
        <v>21</v>
      </c>
      <c r="E2963" t="s">
        <v>379</v>
      </c>
      <c r="F2963" s="1">
        <v>48.81</v>
      </c>
      <c r="G2963">
        <v>3</v>
      </c>
      <c r="H2963" s="1">
        <v>23.916899999999998</v>
      </c>
      <c r="I2963" s="4">
        <f>SalesData[[#This Row],[Profit]]/SalesData[[#This Row],[Sales]]</f>
        <v>0.48999999999999994</v>
      </c>
      <c r="J2963">
        <f>YEAR(SalesData[[#This Row],[Order Date]])</f>
        <v>2015</v>
      </c>
      <c r="K2963" t="str">
        <f>TEXT(SalesData[[#This Row],[Order Date]],"mmm")</f>
        <v>Sep</v>
      </c>
      <c r="L2963">
        <f>MONTH(SalesData[[#This Row],[Order Date]])</f>
        <v>9</v>
      </c>
      <c r="M2963">
        <f>SalesData[[#This Row],[Sales]]/SalesData[[#This Row],[Quantity]]</f>
        <v>16.27</v>
      </c>
      <c r="N2963" t="str">
        <f>IF(SalesData[[#This Row],[Profit]]&gt;0,"Profit","Loss")</f>
        <v>Profit</v>
      </c>
    </row>
    <row r="2964" spans="1:14" x14ac:dyDescent="0.3">
      <c r="A2964" t="s">
        <v>1624</v>
      </c>
      <c r="B2964" s="3">
        <v>42253</v>
      </c>
      <c r="C2964" t="s">
        <v>46</v>
      </c>
      <c r="D2964" t="s">
        <v>21</v>
      </c>
      <c r="E2964" t="s">
        <v>424</v>
      </c>
      <c r="F2964" s="1">
        <v>113.1</v>
      </c>
      <c r="G2964">
        <v>3</v>
      </c>
      <c r="H2964" s="1">
        <v>56.55</v>
      </c>
      <c r="I2964" s="4">
        <f>SalesData[[#This Row],[Profit]]/SalesData[[#This Row],[Sales]]</f>
        <v>0.5</v>
      </c>
      <c r="J2964">
        <f>YEAR(SalesData[[#This Row],[Order Date]])</f>
        <v>2015</v>
      </c>
      <c r="K2964" t="str">
        <f>TEXT(SalesData[[#This Row],[Order Date]],"mmm")</f>
        <v>Sep</v>
      </c>
      <c r="L2964">
        <f>MONTH(SalesData[[#This Row],[Order Date]])</f>
        <v>9</v>
      </c>
      <c r="M2964">
        <f>SalesData[[#This Row],[Sales]]/SalesData[[#This Row],[Quantity]]</f>
        <v>37.699999999999996</v>
      </c>
      <c r="N2964" t="str">
        <f>IF(SalesData[[#This Row],[Profit]]&gt;0,"Profit","Loss")</f>
        <v>Profit</v>
      </c>
    </row>
    <row r="2965" spans="1:14" x14ac:dyDescent="0.3">
      <c r="A2965" t="s">
        <v>1625</v>
      </c>
      <c r="B2965" s="3">
        <v>42253</v>
      </c>
      <c r="C2965" t="s">
        <v>9</v>
      </c>
      <c r="D2965" t="s">
        <v>21</v>
      </c>
      <c r="E2965" t="s">
        <v>419</v>
      </c>
      <c r="F2965" s="1">
        <v>12.96</v>
      </c>
      <c r="G2965">
        <v>2</v>
      </c>
      <c r="H2965" s="1">
        <v>6.2207999999999997</v>
      </c>
      <c r="I2965" s="4">
        <f>SalesData[[#This Row],[Profit]]/SalesData[[#This Row],[Sales]]</f>
        <v>0.47999999999999993</v>
      </c>
      <c r="J2965">
        <f>YEAR(SalesData[[#This Row],[Order Date]])</f>
        <v>2015</v>
      </c>
      <c r="K2965" t="str">
        <f>TEXT(SalesData[[#This Row],[Order Date]],"mmm")</f>
        <v>Sep</v>
      </c>
      <c r="L2965">
        <f>MONTH(SalesData[[#This Row],[Order Date]])</f>
        <v>9</v>
      </c>
      <c r="M2965">
        <f>SalesData[[#This Row],[Sales]]/SalesData[[#This Row],[Quantity]]</f>
        <v>6.48</v>
      </c>
      <c r="N2965" t="str">
        <f>IF(SalesData[[#This Row],[Profit]]&gt;0,"Profit","Loss")</f>
        <v>Profit</v>
      </c>
    </row>
    <row r="2966" spans="1:14" x14ac:dyDescent="0.3">
      <c r="A2966" t="s">
        <v>1626</v>
      </c>
      <c r="B2966" s="3">
        <v>42253</v>
      </c>
      <c r="C2966" t="s">
        <v>13</v>
      </c>
      <c r="D2966" t="s">
        <v>14</v>
      </c>
      <c r="E2966" t="s">
        <v>140</v>
      </c>
      <c r="F2966" s="1">
        <v>355.36</v>
      </c>
      <c r="G2966">
        <v>4</v>
      </c>
      <c r="H2966" s="1">
        <v>92.393600000000006</v>
      </c>
      <c r="I2966" s="4">
        <f>SalesData[[#This Row],[Profit]]/SalesData[[#This Row],[Sales]]</f>
        <v>0.26</v>
      </c>
      <c r="J2966">
        <f>YEAR(SalesData[[#This Row],[Order Date]])</f>
        <v>2015</v>
      </c>
      <c r="K2966" t="str">
        <f>TEXT(SalesData[[#This Row],[Order Date]],"mmm")</f>
        <v>Sep</v>
      </c>
      <c r="L2966">
        <f>MONTH(SalesData[[#This Row],[Order Date]])</f>
        <v>9</v>
      </c>
      <c r="M2966">
        <f>SalesData[[#This Row],[Sales]]/SalesData[[#This Row],[Quantity]]</f>
        <v>88.84</v>
      </c>
      <c r="N2966" t="str">
        <f>IF(SalesData[[#This Row],[Profit]]&gt;0,"Profit","Loss")</f>
        <v>Profit</v>
      </c>
    </row>
    <row r="2967" spans="1:14" x14ac:dyDescent="0.3">
      <c r="A2967" t="s">
        <v>1626</v>
      </c>
      <c r="B2967" s="3">
        <v>42253</v>
      </c>
      <c r="C2967" t="s">
        <v>13</v>
      </c>
      <c r="D2967" t="s">
        <v>10</v>
      </c>
      <c r="E2967" t="s">
        <v>1627</v>
      </c>
      <c r="F2967" s="1">
        <v>140.376</v>
      </c>
      <c r="G2967">
        <v>3</v>
      </c>
      <c r="H2967" s="1">
        <v>8.7735000000000003</v>
      </c>
      <c r="I2967" s="4">
        <f>SalesData[[#This Row],[Profit]]/SalesData[[#This Row],[Sales]]</f>
        <v>6.25E-2</v>
      </c>
      <c r="J2967">
        <f>YEAR(SalesData[[#This Row],[Order Date]])</f>
        <v>2015</v>
      </c>
      <c r="K2967" t="str">
        <f>TEXT(SalesData[[#This Row],[Order Date]],"mmm")</f>
        <v>Sep</v>
      </c>
      <c r="L2967">
        <f>MONTH(SalesData[[#This Row],[Order Date]])</f>
        <v>9</v>
      </c>
      <c r="M2967">
        <f>SalesData[[#This Row],[Sales]]/SalesData[[#This Row],[Quantity]]</f>
        <v>46.792000000000002</v>
      </c>
      <c r="N2967" t="str">
        <f>IF(SalesData[[#This Row],[Profit]]&gt;0,"Profit","Loss")</f>
        <v>Profit</v>
      </c>
    </row>
    <row r="2968" spans="1:14" x14ac:dyDescent="0.3">
      <c r="A2968" t="s">
        <v>1628</v>
      </c>
      <c r="B2968" s="3">
        <v>42253</v>
      </c>
      <c r="C2968" t="s">
        <v>46</v>
      </c>
      <c r="D2968" t="s">
        <v>21</v>
      </c>
      <c r="E2968" t="s">
        <v>661</v>
      </c>
      <c r="F2968" s="1">
        <v>64.2</v>
      </c>
      <c r="G2968">
        <v>5</v>
      </c>
      <c r="H2968" s="1">
        <v>-42.8</v>
      </c>
      <c r="I2968" s="4">
        <f>SalesData[[#This Row],[Profit]]/SalesData[[#This Row],[Sales]]</f>
        <v>-0.66666666666666663</v>
      </c>
      <c r="J2968">
        <f>YEAR(SalesData[[#This Row],[Order Date]])</f>
        <v>2015</v>
      </c>
      <c r="K2968" t="str">
        <f>TEXT(SalesData[[#This Row],[Order Date]],"mmm")</f>
        <v>Sep</v>
      </c>
      <c r="L2968">
        <f>MONTH(SalesData[[#This Row],[Order Date]])</f>
        <v>9</v>
      </c>
      <c r="M2968">
        <f>SalesData[[#This Row],[Sales]]/SalesData[[#This Row],[Quantity]]</f>
        <v>12.84</v>
      </c>
      <c r="N2968" t="str">
        <f>IF(SalesData[[#This Row],[Profit]]&gt;0,"Profit","Loss")</f>
        <v>Loss</v>
      </c>
    </row>
    <row r="2969" spans="1:14" x14ac:dyDescent="0.3">
      <c r="A2969" t="s">
        <v>1628</v>
      </c>
      <c r="B2969" s="3">
        <v>42253</v>
      </c>
      <c r="C2969" t="s">
        <v>46</v>
      </c>
      <c r="D2969" t="s">
        <v>21</v>
      </c>
      <c r="E2969" t="s">
        <v>1629</v>
      </c>
      <c r="F2969" s="1">
        <v>38.520000000000003</v>
      </c>
      <c r="G2969">
        <v>3</v>
      </c>
      <c r="H2969" s="1">
        <v>-26.963999999999999</v>
      </c>
      <c r="I2969" s="4">
        <f>SalesData[[#This Row],[Profit]]/SalesData[[#This Row],[Sales]]</f>
        <v>-0.7</v>
      </c>
      <c r="J2969">
        <f>YEAR(SalesData[[#This Row],[Order Date]])</f>
        <v>2015</v>
      </c>
      <c r="K2969" t="str">
        <f>TEXT(SalesData[[#This Row],[Order Date]],"mmm")</f>
        <v>Sep</v>
      </c>
      <c r="L2969">
        <f>MONTH(SalesData[[#This Row],[Order Date]])</f>
        <v>9</v>
      </c>
      <c r="M2969">
        <f>SalesData[[#This Row],[Sales]]/SalesData[[#This Row],[Quantity]]</f>
        <v>12.840000000000002</v>
      </c>
      <c r="N2969" t="str">
        <f>IF(SalesData[[#This Row],[Profit]]&gt;0,"Profit","Loss")</f>
        <v>Loss</v>
      </c>
    </row>
    <row r="2970" spans="1:14" x14ac:dyDescent="0.3">
      <c r="A2970" t="s">
        <v>1628</v>
      </c>
      <c r="B2970" s="3">
        <v>42253</v>
      </c>
      <c r="C2970" t="s">
        <v>46</v>
      </c>
      <c r="D2970" t="s">
        <v>10</v>
      </c>
      <c r="E2970" t="s">
        <v>1630</v>
      </c>
      <c r="F2970" s="1">
        <v>72.599999999999994</v>
      </c>
      <c r="G2970">
        <v>5</v>
      </c>
      <c r="H2970" s="1">
        <v>-8.1675000000000004</v>
      </c>
      <c r="I2970" s="4">
        <f>SalesData[[#This Row],[Profit]]/SalesData[[#This Row],[Sales]]</f>
        <v>-0.11250000000000002</v>
      </c>
      <c r="J2970">
        <f>YEAR(SalesData[[#This Row],[Order Date]])</f>
        <v>2015</v>
      </c>
      <c r="K2970" t="str">
        <f>TEXT(SalesData[[#This Row],[Order Date]],"mmm")</f>
        <v>Sep</v>
      </c>
      <c r="L2970">
        <f>MONTH(SalesData[[#This Row],[Order Date]])</f>
        <v>9</v>
      </c>
      <c r="M2970">
        <f>SalesData[[#This Row],[Sales]]/SalesData[[#This Row],[Quantity]]</f>
        <v>14.52</v>
      </c>
      <c r="N2970" t="str">
        <f>IF(SalesData[[#This Row],[Profit]]&gt;0,"Profit","Loss")</f>
        <v>Loss</v>
      </c>
    </row>
    <row r="2971" spans="1:14" x14ac:dyDescent="0.3">
      <c r="A2971" t="s">
        <v>1631</v>
      </c>
      <c r="B2971" s="3">
        <v>42254</v>
      </c>
      <c r="C2971" t="s">
        <v>17</v>
      </c>
      <c r="D2971" t="s">
        <v>21</v>
      </c>
      <c r="E2971" t="s">
        <v>1632</v>
      </c>
      <c r="F2971" s="1">
        <v>6.58</v>
      </c>
      <c r="G2971">
        <v>2</v>
      </c>
      <c r="H2971" s="1">
        <v>3.0268000000000002</v>
      </c>
      <c r="I2971" s="4">
        <f>SalesData[[#This Row],[Profit]]/SalesData[[#This Row],[Sales]]</f>
        <v>0.46</v>
      </c>
      <c r="J2971">
        <f>YEAR(SalesData[[#This Row],[Order Date]])</f>
        <v>2015</v>
      </c>
      <c r="K2971" t="str">
        <f>TEXT(SalesData[[#This Row],[Order Date]],"mmm")</f>
        <v>Sep</v>
      </c>
      <c r="L2971">
        <f>MONTH(SalesData[[#This Row],[Order Date]])</f>
        <v>9</v>
      </c>
      <c r="M2971">
        <f>SalesData[[#This Row],[Sales]]/SalesData[[#This Row],[Quantity]]</f>
        <v>3.29</v>
      </c>
      <c r="N2971" t="str">
        <f>IF(SalesData[[#This Row],[Profit]]&gt;0,"Profit","Loss")</f>
        <v>Profit</v>
      </c>
    </row>
    <row r="2972" spans="1:14" x14ac:dyDescent="0.3">
      <c r="A2972" t="s">
        <v>1631</v>
      </c>
      <c r="B2972" s="3">
        <v>42254</v>
      </c>
      <c r="C2972" t="s">
        <v>17</v>
      </c>
      <c r="D2972" t="s">
        <v>21</v>
      </c>
      <c r="E2972" t="s">
        <v>666</v>
      </c>
      <c r="F2972" s="1">
        <v>122.94</v>
      </c>
      <c r="G2972">
        <v>3</v>
      </c>
      <c r="H2972" s="1">
        <v>59.011200000000002</v>
      </c>
      <c r="I2972" s="4">
        <f>SalesData[[#This Row],[Profit]]/SalesData[[#This Row],[Sales]]</f>
        <v>0.48000000000000004</v>
      </c>
      <c r="J2972">
        <f>YEAR(SalesData[[#This Row],[Order Date]])</f>
        <v>2015</v>
      </c>
      <c r="K2972" t="str">
        <f>TEXT(SalesData[[#This Row],[Order Date]],"mmm")</f>
        <v>Sep</v>
      </c>
      <c r="L2972">
        <f>MONTH(SalesData[[#This Row],[Order Date]])</f>
        <v>9</v>
      </c>
      <c r="M2972">
        <f>SalesData[[#This Row],[Sales]]/SalesData[[#This Row],[Quantity]]</f>
        <v>40.98</v>
      </c>
      <c r="N2972" t="str">
        <f>IF(SalesData[[#This Row],[Profit]]&gt;0,"Profit","Loss")</f>
        <v>Profit</v>
      </c>
    </row>
    <row r="2973" spans="1:14" x14ac:dyDescent="0.3">
      <c r="A2973" t="s">
        <v>1633</v>
      </c>
      <c r="B2973" s="3">
        <v>42254</v>
      </c>
      <c r="C2973" t="s">
        <v>46</v>
      </c>
      <c r="D2973" t="s">
        <v>21</v>
      </c>
      <c r="E2973" t="s">
        <v>1577</v>
      </c>
      <c r="F2973" s="1">
        <v>5.16</v>
      </c>
      <c r="G2973">
        <v>3</v>
      </c>
      <c r="H2973" s="1">
        <v>0.83850000000000002</v>
      </c>
      <c r="I2973" s="4">
        <f>SalesData[[#This Row],[Profit]]/SalesData[[#This Row],[Sales]]</f>
        <v>0.16250000000000001</v>
      </c>
      <c r="J2973">
        <f>YEAR(SalesData[[#This Row],[Order Date]])</f>
        <v>2015</v>
      </c>
      <c r="K2973" t="str">
        <f>TEXT(SalesData[[#This Row],[Order Date]],"mmm")</f>
        <v>Sep</v>
      </c>
      <c r="L2973">
        <f>MONTH(SalesData[[#This Row],[Order Date]])</f>
        <v>9</v>
      </c>
      <c r="M2973">
        <f>SalesData[[#This Row],[Sales]]/SalesData[[#This Row],[Quantity]]</f>
        <v>1.72</v>
      </c>
      <c r="N2973" t="str">
        <f>IF(SalesData[[#This Row],[Profit]]&gt;0,"Profit","Loss")</f>
        <v>Profit</v>
      </c>
    </row>
    <row r="2974" spans="1:14" x14ac:dyDescent="0.3">
      <c r="A2974" t="s">
        <v>1634</v>
      </c>
      <c r="B2974" s="3">
        <v>42254</v>
      </c>
      <c r="C2974" t="s">
        <v>17</v>
      </c>
      <c r="D2974" t="s">
        <v>21</v>
      </c>
      <c r="E2974" t="s">
        <v>1635</v>
      </c>
      <c r="F2974" s="1">
        <v>15.8</v>
      </c>
      <c r="G2974">
        <v>4</v>
      </c>
      <c r="H2974" s="1">
        <v>5.056</v>
      </c>
      <c r="I2974" s="4">
        <f>SalesData[[#This Row],[Profit]]/SalesData[[#This Row],[Sales]]</f>
        <v>0.32</v>
      </c>
      <c r="J2974">
        <f>YEAR(SalesData[[#This Row],[Order Date]])</f>
        <v>2015</v>
      </c>
      <c r="K2974" t="str">
        <f>TEXT(SalesData[[#This Row],[Order Date]],"mmm")</f>
        <v>Sep</v>
      </c>
      <c r="L2974">
        <f>MONTH(SalesData[[#This Row],[Order Date]])</f>
        <v>9</v>
      </c>
      <c r="M2974">
        <f>SalesData[[#This Row],[Sales]]/SalesData[[#This Row],[Quantity]]</f>
        <v>3.95</v>
      </c>
      <c r="N2974" t="str">
        <f>IF(SalesData[[#This Row],[Profit]]&gt;0,"Profit","Loss")</f>
        <v>Profit</v>
      </c>
    </row>
    <row r="2975" spans="1:14" x14ac:dyDescent="0.3">
      <c r="A2975" t="s">
        <v>1634</v>
      </c>
      <c r="B2975" s="3">
        <v>42254</v>
      </c>
      <c r="C2975" t="s">
        <v>17</v>
      </c>
      <c r="D2975" t="s">
        <v>10</v>
      </c>
      <c r="E2975" t="s">
        <v>1636</v>
      </c>
      <c r="F2975" s="1">
        <v>464.97</v>
      </c>
      <c r="G2975">
        <v>3</v>
      </c>
      <c r="H2975" s="1">
        <v>209.23650000000001</v>
      </c>
      <c r="I2975" s="4">
        <f>SalesData[[#This Row],[Profit]]/SalesData[[#This Row],[Sales]]</f>
        <v>0.45</v>
      </c>
      <c r="J2975">
        <f>YEAR(SalesData[[#This Row],[Order Date]])</f>
        <v>2015</v>
      </c>
      <c r="K2975" t="str">
        <f>TEXT(SalesData[[#This Row],[Order Date]],"mmm")</f>
        <v>Sep</v>
      </c>
      <c r="L2975">
        <f>MONTH(SalesData[[#This Row],[Order Date]])</f>
        <v>9</v>
      </c>
      <c r="M2975">
        <f>SalesData[[#This Row],[Sales]]/SalesData[[#This Row],[Quantity]]</f>
        <v>154.99</v>
      </c>
      <c r="N2975" t="str">
        <f>IF(SalesData[[#This Row],[Profit]]&gt;0,"Profit","Loss")</f>
        <v>Profit</v>
      </c>
    </row>
    <row r="2976" spans="1:14" x14ac:dyDescent="0.3">
      <c r="A2976" t="s">
        <v>1634</v>
      </c>
      <c r="B2976" s="3">
        <v>42254</v>
      </c>
      <c r="C2976" t="s">
        <v>17</v>
      </c>
      <c r="D2976" t="s">
        <v>14</v>
      </c>
      <c r="E2976" t="s">
        <v>1637</v>
      </c>
      <c r="F2976" s="1">
        <v>181.96</v>
      </c>
      <c r="G2976">
        <v>2</v>
      </c>
      <c r="H2976" s="1">
        <v>20.015599999999999</v>
      </c>
      <c r="I2976" s="4">
        <f>SalesData[[#This Row],[Profit]]/SalesData[[#This Row],[Sales]]</f>
        <v>0.10999999999999999</v>
      </c>
      <c r="J2976">
        <f>YEAR(SalesData[[#This Row],[Order Date]])</f>
        <v>2015</v>
      </c>
      <c r="K2976" t="str">
        <f>TEXT(SalesData[[#This Row],[Order Date]],"mmm")</f>
        <v>Sep</v>
      </c>
      <c r="L2976">
        <f>MONTH(SalesData[[#This Row],[Order Date]])</f>
        <v>9</v>
      </c>
      <c r="M2976">
        <f>SalesData[[#This Row],[Sales]]/SalesData[[#This Row],[Quantity]]</f>
        <v>90.98</v>
      </c>
      <c r="N2976" t="str">
        <f>IF(SalesData[[#This Row],[Profit]]&gt;0,"Profit","Loss")</f>
        <v>Profit</v>
      </c>
    </row>
    <row r="2977" spans="1:14" x14ac:dyDescent="0.3">
      <c r="A2977" t="s">
        <v>1634</v>
      </c>
      <c r="B2977" s="3">
        <v>42254</v>
      </c>
      <c r="C2977" t="s">
        <v>17</v>
      </c>
      <c r="D2977" t="s">
        <v>21</v>
      </c>
      <c r="E2977" t="s">
        <v>1638</v>
      </c>
      <c r="F2977" s="1">
        <v>12.39</v>
      </c>
      <c r="G2977">
        <v>3</v>
      </c>
      <c r="H2977" s="1">
        <v>5.6993999999999998</v>
      </c>
      <c r="I2977" s="4">
        <f>SalesData[[#This Row],[Profit]]/SalesData[[#This Row],[Sales]]</f>
        <v>0.45999999999999996</v>
      </c>
      <c r="J2977">
        <f>YEAR(SalesData[[#This Row],[Order Date]])</f>
        <v>2015</v>
      </c>
      <c r="K2977" t="str">
        <f>TEXT(SalesData[[#This Row],[Order Date]],"mmm")</f>
        <v>Sep</v>
      </c>
      <c r="L2977">
        <f>MONTH(SalesData[[#This Row],[Order Date]])</f>
        <v>9</v>
      </c>
      <c r="M2977">
        <f>SalesData[[#This Row],[Sales]]/SalesData[[#This Row],[Quantity]]</f>
        <v>4.13</v>
      </c>
      <c r="N2977" t="str">
        <f>IF(SalesData[[#This Row],[Profit]]&gt;0,"Profit","Loss")</f>
        <v>Profit</v>
      </c>
    </row>
    <row r="2978" spans="1:14" x14ac:dyDescent="0.3">
      <c r="A2978" t="s">
        <v>1634</v>
      </c>
      <c r="B2978" s="3">
        <v>42254</v>
      </c>
      <c r="C2978" t="s">
        <v>17</v>
      </c>
      <c r="D2978" t="s">
        <v>21</v>
      </c>
      <c r="E2978" t="s">
        <v>999</v>
      </c>
      <c r="F2978" s="1">
        <v>84.09</v>
      </c>
      <c r="G2978">
        <v>3</v>
      </c>
      <c r="H2978" s="1">
        <v>42.045000000000002</v>
      </c>
      <c r="I2978" s="4">
        <f>SalesData[[#This Row],[Profit]]/SalesData[[#This Row],[Sales]]</f>
        <v>0.5</v>
      </c>
      <c r="J2978">
        <f>YEAR(SalesData[[#This Row],[Order Date]])</f>
        <v>2015</v>
      </c>
      <c r="K2978" t="str">
        <f>TEXT(SalesData[[#This Row],[Order Date]],"mmm")</f>
        <v>Sep</v>
      </c>
      <c r="L2978">
        <f>MONTH(SalesData[[#This Row],[Order Date]])</f>
        <v>9</v>
      </c>
      <c r="M2978">
        <f>SalesData[[#This Row],[Sales]]/SalesData[[#This Row],[Quantity]]</f>
        <v>28.03</v>
      </c>
      <c r="N2978" t="str">
        <f>IF(SalesData[[#This Row],[Profit]]&gt;0,"Profit","Loss")</f>
        <v>Profit</v>
      </c>
    </row>
    <row r="2979" spans="1:14" x14ac:dyDescent="0.3">
      <c r="A2979" t="s">
        <v>1634</v>
      </c>
      <c r="B2979" s="3">
        <v>42254</v>
      </c>
      <c r="C2979" t="s">
        <v>17</v>
      </c>
      <c r="D2979" t="s">
        <v>21</v>
      </c>
      <c r="E2979" t="s">
        <v>981</v>
      </c>
      <c r="F2979" s="1">
        <v>79.36</v>
      </c>
      <c r="G2979">
        <v>4</v>
      </c>
      <c r="H2979" s="1">
        <v>32.537599999999998</v>
      </c>
      <c r="I2979" s="4">
        <f>SalesData[[#This Row],[Profit]]/SalesData[[#This Row],[Sales]]</f>
        <v>0.41</v>
      </c>
      <c r="J2979">
        <f>YEAR(SalesData[[#This Row],[Order Date]])</f>
        <v>2015</v>
      </c>
      <c r="K2979" t="str">
        <f>TEXT(SalesData[[#This Row],[Order Date]],"mmm")</f>
        <v>Sep</v>
      </c>
      <c r="L2979">
        <f>MONTH(SalesData[[#This Row],[Order Date]])</f>
        <v>9</v>
      </c>
      <c r="M2979">
        <f>SalesData[[#This Row],[Sales]]/SalesData[[#This Row],[Quantity]]</f>
        <v>19.84</v>
      </c>
      <c r="N2979" t="str">
        <f>IF(SalesData[[#This Row],[Profit]]&gt;0,"Profit","Loss")</f>
        <v>Profit</v>
      </c>
    </row>
    <row r="2980" spans="1:14" x14ac:dyDescent="0.3">
      <c r="A2980" t="s">
        <v>1634</v>
      </c>
      <c r="B2980" s="3">
        <v>42254</v>
      </c>
      <c r="C2980" t="s">
        <v>17</v>
      </c>
      <c r="D2980" t="s">
        <v>21</v>
      </c>
      <c r="E2980" t="s">
        <v>1639</v>
      </c>
      <c r="F2980" s="1">
        <v>153.36000000000001</v>
      </c>
      <c r="G2980">
        <v>9</v>
      </c>
      <c r="H2980" s="1">
        <v>70.545599999999993</v>
      </c>
      <c r="I2980" s="4">
        <f>SalesData[[#This Row],[Profit]]/SalesData[[#This Row],[Sales]]</f>
        <v>0.45999999999999991</v>
      </c>
      <c r="J2980">
        <f>YEAR(SalesData[[#This Row],[Order Date]])</f>
        <v>2015</v>
      </c>
      <c r="K2980" t="str">
        <f>TEXT(SalesData[[#This Row],[Order Date]],"mmm")</f>
        <v>Sep</v>
      </c>
      <c r="L2980">
        <f>MONTH(SalesData[[#This Row],[Order Date]])</f>
        <v>9</v>
      </c>
      <c r="M2980">
        <f>SalesData[[#This Row],[Sales]]/SalesData[[#This Row],[Quantity]]</f>
        <v>17.040000000000003</v>
      </c>
      <c r="N2980" t="str">
        <f>IF(SalesData[[#This Row],[Profit]]&gt;0,"Profit","Loss")</f>
        <v>Profit</v>
      </c>
    </row>
    <row r="2981" spans="1:14" x14ac:dyDescent="0.3">
      <c r="A2981" t="s">
        <v>1634</v>
      </c>
      <c r="B2981" s="3">
        <v>42254</v>
      </c>
      <c r="C2981" t="s">
        <v>17</v>
      </c>
      <c r="D2981" t="s">
        <v>21</v>
      </c>
      <c r="E2981" t="s">
        <v>1640</v>
      </c>
      <c r="F2981" s="1">
        <v>43.68</v>
      </c>
      <c r="G2981">
        <v>6</v>
      </c>
      <c r="H2981" s="1">
        <v>21.403199999999998</v>
      </c>
      <c r="I2981" s="4">
        <f>SalesData[[#This Row],[Profit]]/SalesData[[#This Row],[Sales]]</f>
        <v>0.48999999999999994</v>
      </c>
      <c r="J2981">
        <f>YEAR(SalesData[[#This Row],[Order Date]])</f>
        <v>2015</v>
      </c>
      <c r="K2981" t="str">
        <f>TEXT(SalesData[[#This Row],[Order Date]],"mmm")</f>
        <v>Sep</v>
      </c>
      <c r="L2981">
        <f>MONTH(SalesData[[#This Row],[Order Date]])</f>
        <v>9</v>
      </c>
      <c r="M2981">
        <f>SalesData[[#This Row],[Sales]]/SalesData[[#This Row],[Quantity]]</f>
        <v>7.28</v>
      </c>
      <c r="N2981" t="str">
        <f>IF(SalesData[[#This Row],[Profit]]&gt;0,"Profit","Loss")</f>
        <v>Profit</v>
      </c>
    </row>
    <row r="2982" spans="1:14" x14ac:dyDescent="0.3">
      <c r="A2982" t="s">
        <v>1634</v>
      </c>
      <c r="B2982" s="3">
        <v>42254</v>
      </c>
      <c r="C2982" t="s">
        <v>17</v>
      </c>
      <c r="D2982" t="s">
        <v>21</v>
      </c>
      <c r="E2982" t="s">
        <v>1641</v>
      </c>
      <c r="F2982" s="1">
        <v>98.21</v>
      </c>
      <c r="G2982">
        <v>7</v>
      </c>
      <c r="H2982" s="1">
        <v>28.480899999999998</v>
      </c>
      <c r="I2982" s="4">
        <f>SalesData[[#This Row],[Profit]]/SalesData[[#This Row],[Sales]]</f>
        <v>0.28999999999999998</v>
      </c>
      <c r="J2982">
        <f>YEAR(SalesData[[#This Row],[Order Date]])</f>
        <v>2015</v>
      </c>
      <c r="K2982" t="str">
        <f>TEXT(SalesData[[#This Row],[Order Date]],"mmm")</f>
        <v>Sep</v>
      </c>
      <c r="L2982">
        <f>MONTH(SalesData[[#This Row],[Order Date]])</f>
        <v>9</v>
      </c>
      <c r="M2982">
        <f>SalesData[[#This Row],[Sales]]/SalesData[[#This Row],[Quantity]]</f>
        <v>14.03</v>
      </c>
      <c r="N2982" t="str">
        <f>IF(SalesData[[#This Row],[Profit]]&gt;0,"Profit","Loss")</f>
        <v>Profit</v>
      </c>
    </row>
    <row r="2983" spans="1:14" x14ac:dyDescent="0.3">
      <c r="A2983" t="s">
        <v>1642</v>
      </c>
      <c r="B2983" s="3">
        <v>42254</v>
      </c>
      <c r="C2983" t="s">
        <v>17</v>
      </c>
      <c r="D2983" t="s">
        <v>10</v>
      </c>
      <c r="E2983" t="s">
        <v>1643</v>
      </c>
      <c r="F2983" s="1">
        <v>269.98200000000003</v>
      </c>
      <c r="G2983">
        <v>3</v>
      </c>
      <c r="H2983" s="1">
        <v>40.497300000000003</v>
      </c>
      <c r="I2983" s="4">
        <f>SalesData[[#This Row],[Profit]]/SalesData[[#This Row],[Sales]]</f>
        <v>0.15</v>
      </c>
      <c r="J2983">
        <f>YEAR(SalesData[[#This Row],[Order Date]])</f>
        <v>2015</v>
      </c>
      <c r="K2983" t="str">
        <f>TEXT(SalesData[[#This Row],[Order Date]],"mmm")</f>
        <v>Sep</v>
      </c>
      <c r="L2983">
        <f>MONTH(SalesData[[#This Row],[Order Date]])</f>
        <v>9</v>
      </c>
      <c r="M2983">
        <f>SalesData[[#This Row],[Sales]]/SalesData[[#This Row],[Quantity]]</f>
        <v>89.994000000000014</v>
      </c>
      <c r="N2983" t="str">
        <f>IF(SalesData[[#This Row],[Profit]]&gt;0,"Profit","Loss")</f>
        <v>Profit</v>
      </c>
    </row>
    <row r="2984" spans="1:14" x14ac:dyDescent="0.3">
      <c r="A2984" t="s">
        <v>1644</v>
      </c>
      <c r="B2984" s="3">
        <v>42254</v>
      </c>
      <c r="C2984" t="s">
        <v>9</v>
      </c>
      <c r="D2984" t="s">
        <v>21</v>
      </c>
      <c r="E2984" t="s">
        <v>1645</v>
      </c>
      <c r="F2984" s="1">
        <v>48.631999999999998</v>
      </c>
      <c r="G2984">
        <v>2</v>
      </c>
      <c r="H2984" s="1">
        <v>-121.58</v>
      </c>
      <c r="I2984" s="4">
        <f>SalesData[[#This Row],[Profit]]/SalesData[[#This Row],[Sales]]</f>
        <v>-2.5</v>
      </c>
      <c r="J2984">
        <f>YEAR(SalesData[[#This Row],[Order Date]])</f>
        <v>2015</v>
      </c>
      <c r="K2984" t="str">
        <f>TEXT(SalesData[[#This Row],[Order Date]],"mmm")</f>
        <v>Sep</v>
      </c>
      <c r="L2984">
        <f>MONTH(SalesData[[#This Row],[Order Date]])</f>
        <v>9</v>
      </c>
      <c r="M2984">
        <f>SalesData[[#This Row],[Sales]]/SalesData[[#This Row],[Quantity]]</f>
        <v>24.315999999999999</v>
      </c>
      <c r="N2984" t="str">
        <f>IF(SalesData[[#This Row],[Profit]]&gt;0,"Profit","Loss")</f>
        <v>Loss</v>
      </c>
    </row>
    <row r="2985" spans="1:14" x14ac:dyDescent="0.3">
      <c r="A2985" t="s">
        <v>1646</v>
      </c>
      <c r="B2985" s="3">
        <v>42255</v>
      </c>
      <c r="C2985" t="s">
        <v>9</v>
      </c>
      <c r="D2985" t="s">
        <v>21</v>
      </c>
      <c r="E2985" t="s">
        <v>1647</v>
      </c>
      <c r="F2985" s="1">
        <v>2.2000000000000002</v>
      </c>
      <c r="G2985">
        <v>1</v>
      </c>
      <c r="H2985" s="1">
        <v>0.96799999999999997</v>
      </c>
      <c r="I2985" s="4">
        <f>SalesData[[#This Row],[Profit]]/SalesData[[#This Row],[Sales]]</f>
        <v>0.43999999999999995</v>
      </c>
      <c r="J2985">
        <f>YEAR(SalesData[[#This Row],[Order Date]])</f>
        <v>2015</v>
      </c>
      <c r="K2985" t="str">
        <f>TEXT(SalesData[[#This Row],[Order Date]],"mmm")</f>
        <v>Sep</v>
      </c>
      <c r="L2985">
        <f>MONTH(SalesData[[#This Row],[Order Date]])</f>
        <v>9</v>
      </c>
      <c r="M2985">
        <f>SalesData[[#This Row],[Sales]]/SalesData[[#This Row],[Quantity]]</f>
        <v>2.2000000000000002</v>
      </c>
      <c r="N2985" t="str">
        <f>IF(SalesData[[#This Row],[Profit]]&gt;0,"Profit","Loss")</f>
        <v>Profit</v>
      </c>
    </row>
    <row r="2986" spans="1:14" x14ac:dyDescent="0.3">
      <c r="A2986" t="s">
        <v>1646</v>
      </c>
      <c r="B2986" s="3">
        <v>42255</v>
      </c>
      <c r="C2986" t="s">
        <v>9</v>
      </c>
      <c r="D2986" t="s">
        <v>14</v>
      </c>
      <c r="E2986" t="s">
        <v>651</v>
      </c>
      <c r="F2986" s="1">
        <v>622.45000000000005</v>
      </c>
      <c r="G2986">
        <v>5</v>
      </c>
      <c r="H2986" s="1">
        <v>136.93899999999999</v>
      </c>
      <c r="I2986" s="4">
        <f>SalesData[[#This Row],[Profit]]/SalesData[[#This Row],[Sales]]</f>
        <v>0.21999999999999997</v>
      </c>
      <c r="J2986">
        <f>YEAR(SalesData[[#This Row],[Order Date]])</f>
        <v>2015</v>
      </c>
      <c r="K2986" t="str">
        <f>TEXT(SalesData[[#This Row],[Order Date]],"mmm")</f>
        <v>Sep</v>
      </c>
      <c r="L2986">
        <f>MONTH(SalesData[[#This Row],[Order Date]])</f>
        <v>9</v>
      </c>
      <c r="M2986">
        <f>SalesData[[#This Row],[Sales]]/SalesData[[#This Row],[Quantity]]</f>
        <v>124.49000000000001</v>
      </c>
      <c r="N2986" t="str">
        <f>IF(SalesData[[#This Row],[Profit]]&gt;0,"Profit","Loss")</f>
        <v>Profit</v>
      </c>
    </row>
    <row r="2987" spans="1:14" x14ac:dyDescent="0.3">
      <c r="A2987" t="s">
        <v>1646</v>
      </c>
      <c r="B2987" s="3">
        <v>42255</v>
      </c>
      <c r="C2987" t="s">
        <v>9</v>
      </c>
      <c r="D2987" t="s">
        <v>21</v>
      </c>
      <c r="E2987" t="s">
        <v>552</v>
      </c>
      <c r="F2987" s="1">
        <v>21.98</v>
      </c>
      <c r="G2987">
        <v>1</v>
      </c>
      <c r="H2987" s="1">
        <v>0.2198</v>
      </c>
      <c r="I2987" s="4">
        <f>SalesData[[#This Row],[Profit]]/SalesData[[#This Row],[Sales]]</f>
        <v>0.01</v>
      </c>
      <c r="J2987">
        <f>YEAR(SalesData[[#This Row],[Order Date]])</f>
        <v>2015</v>
      </c>
      <c r="K2987" t="str">
        <f>TEXT(SalesData[[#This Row],[Order Date]],"mmm")</f>
        <v>Sep</v>
      </c>
      <c r="L2987">
        <f>MONTH(SalesData[[#This Row],[Order Date]])</f>
        <v>9</v>
      </c>
      <c r="M2987">
        <f>SalesData[[#This Row],[Sales]]/SalesData[[#This Row],[Quantity]]</f>
        <v>21.98</v>
      </c>
      <c r="N2987" t="str">
        <f>IF(SalesData[[#This Row],[Profit]]&gt;0,"Profit","Loss")</f>
        <v>Profit</v>
      </c>
    </row>
    <row r="2988" spans="1:14" x14ac:dyDescent="0.3">
      <c r="A2988" t="s">
        <v>1648</v>
      </c>
      <c r="B2988" s="3">
        <v>42255</v>
      </c>
      <c r="C2988" t="s">
        <v>17</v>
      </c>
      <c r="D2988" t="s">
        <v>10</v>
      </c>
      <c r="E2988" t="s">
        <v>1544</v>
      </c>
      <c r="F2988" s="1">
        <v>307.98</v>
      </c>
      <c r="G2988">
        <v>2</v>
      </c>
      <c r="H2988" s="1">
        <v>89.3142</v>
      </c>
      <c r="I2988" s="4">
        <f>SalesData[[#This Row],[Profit]]/SalesData[[#This Row],[Sales]]</f>
        <v>0.28999999999999998</v>
      </c>
      <c r="J2988">
        <f>YEAR(SalesData[[#This Row],[Order Date]])</f>
        <v>2015</v>
      </c>
      <c r="K2988" t="str">
        <f>TEXT(SalesData[[#This Row],[Order Date]],"mmm")</f>
        <v>Sep</v>
      </c>
      <c r="L2988">
        <f>MONTH(SalesData[[#This Row],[Order Date]])</f>
        <v>9</v>
      </c>
      <c r="M2988">
        <f>SalesData[[#This Row],[Sales]]/SalesData[[#This Row],[Quantity]]</f>
        <v>153.99</v>
      </c>
      <c r="N2988" t="str">
        <f>IF(SalesData[[#This Row],[Profit]]&gt;0,"Profit","Loss")</f>
        <v>Profit</v>
      </c>
    </row>
    <row r="2989" spans="1:14" x14ac:dyDescent="0.3">
      <c r="A2989" t="s">
        <v>1648</v>
      </c>
      <c r="B2989" s="3">
        <v>42255</v>
      </c>
      <c r="C2989" t="s">
        <v>17</v>
      </c>
      <c r="D2989" t="s">
        <v>14</v>
      </c>
      <c r="E2989" t="s">
        <v>1649</v>
      </c>
      <c r="F2989" s="1">
        <v>382.80599999999998</v>
      </c>
      <c r="G2989">
        <v>9</v>
      </c>
      <c r="H2989" s="1">
        <v>-153.1224</v>
      </c>
      <c r="I2989" s="4">
        <f>SalesData[[#This Row],[Profit]]/SalesData[[#This Row],[Sales]]</f>
        <v>-0.4</v>
      </c>
      <c r="J2989">
        <f>YEAR(SalesData[[#This Row],[Order Date]])</f>
        <v>2015</v>
      </c>
      <c r="K2989" t="str">
        <f>TEXT(SalesData[[#This Row],[Order Date]],"mmm")</f>
        <v>Sep</v>
      </c>
      <c r="L2989">
        <f>MONTH(SalesData[[#This Row],[Order Date]])</f>
        <v>9</v>
      </c>
      <c r="M2989">
        <f>SalesData[[#This Row],[Sales]]/SalesData[[#This Row],[Quantity]]</f>
        <v>42.533999999999999</v>
      </c>
      <c r="N2989" t="str">
        <f>IF(SalesData[[#This Row],[Profit]]&gt;0,"Profit","Loss")</f>
        <v>Loss</v>
      </c>
    </row>
    <row r="2990" spans="1:14" x14ac:dyDescent="0.3">
      <c r="A2990" t="s">
        <v>1648</v>
      </c>
      <c r="B2990" s="3">
        <v>42255</v>
      </c>
      <c r="C2990" t="s">
        <v>17</v>
      </c>
      <c r="D2990" t="s">
        <v>21</v>
      </c>
      <c r="E2990" t="s">
        <v>540</v>
      </c>
      <c r="F2990" s="1">
        <v>41.96</v>
      </c>
      <c r="G2990">
        <v>2</v>
      </c>
      <c r="H2990" s="1">
        <v>2.9371999999999998</v>
      </c>
      <c r="I2990" s="4">
        <f>SalesData[[#This Row],[Profit]]/SalesData[[#This Row],[Sales]]</f>
        <v>6.9999999999999993E-2</v>
      </c>
      <c r="J2990">
        <f>YEAR(SalesData[[#This Row],[Order Date]])</f>
        <v>2015</v>
      </c>
      <c r="K2990" t="str">
        <f>TEXT(SalesData[[#This Row],[Order Date]],"mmm")</f>
        <v>Sep</v>
      </c>
      <c r="L2990">
        <f>MONTH(SalesData[[#This Row],[Order Date]])</f>
        <v>9</v>
      </c>
      <c r="M2990">
        <f>SalesData[[#This Row],[Sales]]/SalesData[[#This Row],[Quantity]]</f>
        <v>20.98</v>
      </c>
      <c r="N2990" t="str">
        <f>IF(SalesData[[#This Row],[Profit]]&gt;0,"Profit","Loss")</f>
        <v>Profit</v>
      </c>
    </row>
    <row r="2991" spans="1:14" x14ac:dyDescent="0.3">
      <c r="A2991" t="s">
        <v>1648</v>
      </c>
      <c r="B2991" s="3">
        <v>42255</v>
      </c>
      <c r="C2991" t="s">
        <v>17</v>
      </c>
      <c r="D2991" t="s">
        <v>21</v>
      </c>
      <c r="E2991" t="s">
        <v>1315</v>
      </c>
      <c r="F2991" s="1">
        <v>1217.568</v>
      </c>
      <c r="G2991">
        <v>2</v>
      </c>
      <c r="H2991" s="1">
        <v>456.58800000000002</v>
      </c>
      <c r="I2991" s="4">
        <f>SalesData[[#This Row],[Profit]]/SalesData[[#This Row],[Sales]]</f>
        <v>0.375</v>
      </c>
      <c r="J2991">
        <f>YEAR(SalesData[[#This Row],[Order Date]])</f>
        <v>2015</v>
      </c>
      <c r="K2991" t="str">
        <f>TEXT(SalesData[[#This Row],[Order Date]],"mmm")</f>
        <v>Sep</v>
      </c>
      <c r="L2991">
        <f>MONTH(SalesData[[#This Row],[Order Date]])</f>
        <v>9</v>
      </c>
      <c r="M2991">
        <f>SalesData[[#This Row],[Sales]]/SalesData[[#This Row],[Quantity]]</f>
        <v>608.78399999999999</v>
      </c>
      <c r="N2991" t="str">
        <f>IF(SalesData[[#This Row],[Profit]]&gt;0,"Profit","Loss")</f>
        <v>Profit</v>
      </c>
    </row>
    <row r="2992" spans="1:14" x14ac:dyDescent="0.3">
      <c r="A2992" t="s">
        <v>1648</v>
      </c>
      <c r="B2992" s="3">
        <v>42255</v>
      </c>
      <c r="C2992" t="s">
        <v>17</v>
      </c>
      <c r="D2992" t="s">
        <v>14</v>
      </c>
      <c r="E2992" t="s">
        <v>1650</v>
      </c>
      <c r="F2992" s="1">
        <v>47.04</v>
      </c>
      <c r="G2992">
        <v>3</v>
      </c>
      <c r="H2992" s="1">
        <v>18.345600000000001</v>
      </c>
      <c r="I2992" s="4">
        <f>SalesData[[#This Row],[Profit]]/SalesData[[#This Row],[Sales]]</f>
        <v>0.39</v>
      </c>
      <c r="J2992">
        <f>YEAR(SalesData[[#This Row],[Order Date]])</f>
        <v>2015</v>
      </c>
      <c r="K2992" t="str">
        <f>TEXT(SalesData[[#This Row],[Order Date]],"mmm")</f>
        <v>Sep</v>
      </c>
      <c r="L2992">
        <f>MONTH(SalesData[[#This Row],[Order Date]])</f>
        <v>9</v>
      </c>
      <c r="M2992">
        <f>SalesData[[#This Row],[Sales]]/SalesData[[#This Row],[Quantity]]</f>
        <v>15.68</v>
      </c>
      <c r="N2992" t="str">
        <f>IF(SalesData[[#This Row],[Profit]]&gt;0,"Profit","Loss")</f>
        <v>Profit</v>
      </c>
    </row>
    <row r="2993" spans="1:14" x14ac:dyDescent="0.3">
      <c r="A2993" t="s">
        <v>1648</v>
      </c>
      <c r="B2993" s="3">
        <v>42255</v>
      </c>
      <c r="C2993" t="s">
        <v>17</v>
      </c>
      <c r="D2993" t="s">
        <v>14</v>
      </c>
      <c r="E2993" t="s">
        <v>1049</v>
      </c>
      <c r="F2993" s="1">
        <v>6.16</v>
      </c>
      <c r="G2993">
        <v>2</v>
      </c>
      <c r="H2993" s="1">
        <v>2.9567999999999999</v>
      </c>
      <c r="I2993" s="4">
        <f>SalesData[[#This Row],[Profit]]/SalesData[[#This Row],[Sales]]</f>
        <v>0.48</v>
      </c>
      <c r="J2993">
        <f>YEAR(SalesData[[#This Row],[Order Date]])</f>
        <v>2015</v>
      </c>
      <c r="K2993" t="str">
        <f>TEXT(SalesData[[#This Row],[Order Date]],"mmm")</f>
        <v>Sep</v>
      </c>
      <c r="L2993">
        <f>MONTH(SalesData[[#This Row],[Order Date]])</f>
        <v>9</v>
      </c>
      <c r="M2993">
        <f>SalesData[[#This Row],[Sales]]/SalesData[[#This Row],[Quantity]]</f>
        <v>3.08</v>
      </c>
      <c r="N2993" t="str">
        <f>IF(SalesData[[#This Row],[Profit]]&gt;0,"Profit","Loss")</f>
        <v>Profit</v>
      </c>
    </row>
    <row r="2994" spans="1:14" x14ac:dyDescent="0.3">
      <c r="A2994" t="s">
        <v>1648</v>
      </c>
      <c r="B2994" s="3">
        <v>42255</v>
      </c>
      <c r="C2994" t="s">
        <v>17</v>
      </c>
      <c r="D2994" t="s">
        <v>10</v>
      </c>
      <c r="E2994" t="s">
        <v>281</v>
      </c>
      <c r="F2994" s="1">
        <v>979.95</v>
      </c>
      <c r="G2994">
        <v>5</v>
      </c>
      <c r="H2994" s="1">
        <v>274.38600000000002</v>
      </c>
      <c r="I2994" s="4">
        <f>SalesData[[#This Row],[Profit]]/SalesData[[#This Row],[Sales]]</f>
        <v>0.28000000000000003</v>
      </c>
      <c r="J2994">
        <f>YEAR(SalesData[[#This Row],[Order Date]])</f>
        <v>2015</v>
      </c>
      <c r="K2994" t="str">
        <f>TEXT(SalesData[[#This Row],[Order Date]],"mmm")</f>
        <v>Sep</v>
      </c>
      <c r="L2994">
        <f>MONTH(SalesData[[#This Row],[Order Date]])</f>
        <v>9</v>
      </c>
      <c r="M2994">
        <f>SalesData[[#This Row],[Sales]]/SalesData[[#This Row],[Quantity]]</f>
        <v>195.99</v>
      </c>
      <c r="N2994" t="str">
        <f>IF(SalesData[[#This Row],[Profit]]&gt;0,"Profit","Loss")</f>
        <v>Profit</v>
      </c>
    </row>
    <row r="2995" spans="1:14" x14ac:dyDescent="0.3">
      <c r="A2995" t="s">
        <v>1648</v>
      </c>
      <c r="B2995" s="3">
        <v>42255</v>
      </c>
      <c r="C2995" t="s">
        <v>17</v>
      </c>
      <c r="D2995" t="s">
        <v>21</v>
      </c>
      <c r="E2995" t="s">
        <v>1520</v>
      </c>
      <c r="F2995" s="1">
        <v>143.69999999999999</v>
      </c>
      <c r="G2995">
        <v>3</v>
      </c>
      <c r="H2995" s="1">
        <v>68.975999999999999</v>
      </c>
      <c r="I2995" s="4">
        <f>SalesData[[#This Row],[Profit]]/SalesData[[#This Row],[Sales]]</f>
        <v>0.48000000000000004</v>
      </c>
      <c r="J2995">
        <f>YEAR(SalesData[[#This Row],[Order Date]])</f>
        <v>2015</v>
      </c>
      <c r="K2995" t="str">
        <f>TEXT(SalesData[[#This Row],[Order Date]],"mmm")</f>
        <v>Sep</v>
      </c>
      <c r="L2995">
        <f>MONTH(SalesData[[#This Row],[Order Date]])</f>
        <v>9</v>
      </c>
      <c r="M2995">
        <f>SalesData[[#This Row],[Sales]]/SalesData[[#This Row],[Quantity]]</f>
        <v>47.9</v>
      </c>
      <c r="N2995" t="str">
        <f>IF(SalesData[[#This Row],[Profit]]&gt;0,"Profit","Loss")</f>
        <v>Profit</v>
      </c>
    </row>
    <row r="2996" spans="1:14" x14ac:dyDescent="0.3">
      <c r="A2996" t="s">
        <v>1648</v>
      </c>
      <c r="B2996" s="3">
        <v>42255</v>
      </c>
      <c r="C2996" t="s">
        <v>17</v>
      </c>
      <c r="D2996" t="s">
        <v>21</v>
      </c>
      <c r="E2996" t="s">
        <v>65</v>
      </c>
      <c r="F2996" s="1">
        <v>10.65</v>
      </c>
      <c r="G2996">
        <v>3</v>
      </c>
      <c r="H2996" s="1">
        <v>5.0054999999999996</v>
      </c>
      <c r="I2996" s="4">
        <f>SalesData[[#This Row],[Profit]]/SalesData[[#This Row],[Sales]]</f>
        <v>0.47</v>
      </c>
      <c r="J2996">
        <f>YEAR(SalesData[[#This Row],[Order Date]])</f>
        <v>2015</v>
      </c>
      <c r="K2996" t="str">
        <f>TEXT(SalesData[[#This Row],[Order Date]],"mmm")</f>
        <v>Sep</v>
      </c>
      <c r="L2996">
        <f>MONTH(SalesData[[#This Row],[Order Date]])</f>
        <v>9</v>
      </c>
      <c r="M2996">
        <f>SalesData[[#This Row],[Sales]]/SalesData[[#This Row],[Quantity]]</f>
        <v>3.5500000000000003</v>
      </c>
      <c r="N2996" t="str">
        <f>IF(SalesData[[#This Row],[Profit]]&gt;0,"Profit","Loss")</f>
        <v>Profit</v>
      </c>
    </row>
    <row r="2997" spans="1:14" x14ac:dyDescent="0.3">
      <c r="A2997" t="s">
        <v>1648</v>
      </c>
      <c r="B2997" s="3">
        <v>42255</v>
      </c>
      <c r="C2997" t="s">
        <v>17</v>
      </c>
      <c r="D2997" t="s">
        <v>10</v>
      </c>
      <c r="E2997" t="s">
        <v>1651</v>
      </c>
      <c r="F2997" s="1">
        <v>247.8</v>
      </c>
      <c r="G2997">
        <v>4</v>
      </c>
      <c r="H2997" s="1">
        <v>34.692</v>
      </c>
      <c r="I2997" s="4">
        <f>SalesData[[#This Row],[Profit]]/SalesData[[#This Row],[Sales]]</f>
        <v>0.13999999999999999</v>
      </c>
      <c r="J2997">
        <f>YEAR(SalesData[[#This Row],[Order Date]])</f>
        <v>2015</v>
      </c>
      <c r="K2997" t="str">
        <f>TEXT(SalesData[[#This Row],[Order Date]],"mmm")</f>
        <v>Sep</v>
      </c>
      <c r="L2997">
        <f>MONTH(SalesData[[#This Row],[Order Date]])</f>
        <v>9</v>
      </c>
      <c r="M2997">
        <f>SalesData[[#This Row],[Sales]]/SalesData[[#This Row],[Quantity]]</f>
        <v>61.95</v>
      </c>
      <c r="N2997" t="str">
        <f>IF(SalesData[[#This Row],[Profit]]&gt;0,"Profit","Loss")</f>
        <v>Profit</v>
      </c>
    </row>
    <row r="2998" spans="1:14" x14ac:dyDescent="0.3">
      <c r="A2998" t="s">
        <v>1652</v>
      </c>
      <c r="B2998" s="3">
        <v>42255</v>
      </c>
      <c r="C2998" t="s">
        <v>46</v>
      </c>
      <c r="D2998" t="s">
        <v>21</v>
      </c>
      <c r="E2998" t="s">
        <v>1653</v>
      </c>
      <c r="F2998" s="1">
        <v>4.6079999999999997</v>
      </c>
      <c r="G2998">
        <v>2</v>
      </c>
      <c r="H2998" s="1">
        <v>1.6704000000000001</v>
      </c>
      <c r="I2998" s="4">
        <f>SalesData[[#This Row],[Profit]]/SalesData[[#This Row],[Sales]]</f>
        <v>0.36250000000000004</v>
      </c>
      <c r="J2998">
        <f>YEAR(SalesData[[#This Row],[Order Date]])</f>
        <v>2015</v>
      </c>
      <c r="K2998" t="str">
        <f>TEXT(SalesData[[#This Row],[Order Date]],"mmm")</f>
        <v>Sep</v>
      </c>
      <c r="L2998">
        <f>MONTH(SalesData[[#This Row],[Order Date]])</f>
        <v>9</v>
      </c>
      <c r="M2998">
        <f>SalesData[[#This Row],[Sales]]/SalesData[[#This Row],[Quantity]]</f>
        <v>2.3039999999999998</v>
      </c>
      <c r="N2998" t="str">
        <f>IF(SalesData[[#This Row],[Profit]]&gt;0,"Profit","Loss")</f>
        <v>Profit</v>
      </c>
    </row>
    <row r="2999" spans="1:14" x14ac:dyDescent="0.3">
      <c r="A2999" t="s">
        <v>1654</v>
      </c>
      <c r="B2999" s="3">
        <v>42255</v>
      </c>
      <c r="C2999" t="s">
        <v>9</v>
      </c>
      <c r="D2999" t="s">
        <v>14</v>
      </c>
      <c r="E2999" t="s">
        <v>1655</v>
      </c>
      <c r="F2999" s="1">
        <v>687.4</v>
      </c>
      <c r="G2999">
        <v>5</v>
      </c>
      <c r="H2999" s="1">
        <v>48.118000000000002</v>
      </c>
      <c r="I2999" s="4">
        <f>SalesData[[#This Row],[Profit]]/SalesData[[#This Row],[Sales]]</f>
        <v>7.0000000000000007E-2</v>
      </c>
      <c r="J2999">
        <f>YEAR(SalesData[[#This Row],[Order Date]])</f>
        <v>2015</v>
      </c>
      <c r="K2999" t="str">
        <f>TEXT(SalesData[[#This Row],[Order Date]],"mmm")</f>
        <v>Sep</v>
      </c>
      <c r="L2999">
        <f>MONTH(SalesData[[#This Row],[Order Date]])</f>
        <v>9</v>
      </c>
      <c r="M2999">
        <f>SalesData[[#This Row],[Sales]]/SalesData[[#This Row],[Quantity]]</f>
        <v>137.47999999999999</v>
      </c>
      <c r="N2999" t="str">
        <f>IF(SalesData[[#This Row],[Profit]]&gt;0,"Profit","Loss")</f>
        <v>Profit</v>
      </c>
    </row>
    <row r="3000" spans="1:14" x14ac:dyDescent="0.3">
      <c r="A3000" t="s">
        <v>1656</v>
      </c>
      <c r="B3000" s="3">
        <v>42255</v>
      </c>
      <c r="C3000" t="s">
        <v>17</v>
      </c>
      <c r="D3000" t="s">
        <v>14</v>
      </c>
      <c r="E3000" t="s">
        <v>455</v>
      </c>
      <c r="F3000" s="1">
        <v>10.02</v>
      </c>
      <c r="G3000">
        <v>3</v>
      </c>
      <c r="H3000" s="1">
        <v>4.4088000000000003</v>
      </c>
      <c r="I3000" s="4">
        <f>SalesData[[#This Row],[Profit]]/SalesData[[#This Row],[Sales]]</f>
        <v>0.44000000000000006</v>
      </c>
      <c r="J3000">
        <f>YEAR(SalesData[[#This Row],[Order Date]])</f>
        <v>2015</v>
      </c>
      <c r="K3000" t="str">
        <f>TEXT(SalesData[[#This Row],[Order Date]],"mmm")</f>
        <v>Sep</v>
      </c>
      <c r="L3000">
        <f>MONTH(SalesData[[#This Row],[Order Date]])</f>
        <v>9</v>
      </c>
      <c r="M3000">
        <f>SalesData[[#This Row],[Sales]]/SalesData[[#This Row],[Quantity]]</f>
        <v>3.34</v>
      </c>
      <c r="N3000" t="str">
        <f>IF(SalesData[[#This Row],[Profit]]&gt;0,"Profit","Loss")</f>
        <v>Profit</v>
      </c>
    </row>
    <row r="3001" spans="1:14" x14ac:dyDescent="0.3">
      <c r="A3001" t="s">
        <v>1656</v>
      </c>
      <c r="B3001" s="3">
        <v>42255</v>
      </c>
      <c r="C3001" t="s">
        <v>17</v>
      </c>
      <c r="D3001" t="s">
        <v>21</v>
      </c>
      <c r="E3001" t="s">
        <v>1657</v>
      </c>
      <c r="F3001" s="1">
        <v>144.12</v>
      </c>
      <c r="G3001">
        <v>3</v>
      </c>
      <c r="H3001" s="1">
        <v>69.177599999999998</v>
      </c>
      <c r="I3001" s="4">
        <f>SalesData[[#This Row],[Profit]]/SalesData[[#This Row],[Sales]]</f>
        <v>0.48</v>
      </c>
      <c r="J3001">
        <f>YEAR(SalesData[[#This Row],[Order Date]])</f>
        <v>2015</v>
      </c>
      <c r="K3001" t="str">
        <f>TEXT(SalesData[[#This Row],[Order Date]],"mmm")</f>
        <v>Sep</v>
      </c>
      <c r="L3001">
        <f>MONTH(SalesData[[#This Row],[Order Date]])</f>
        <v>9</v>
      </c>
      <c r="M3001">
        <f>SalesData[[#This Row],[Sales]]/SalesData[[#This Row],[Quantity]]</f>
        <v>48.04</v>
      </c>
      <c r="N3001" t="str">
        <f>IF(SalesData[[#This Row],[Profit]]&gt;0,"Profit","Loss")</f>
        <v>Profit</v>
      </c>
    </row>
    <row r="3002" spans="1:14" x14ac:dyDescent="0.3">
      <c r="A3002" t="s">
        <v>1658</v>
      </c>
      <c r="B3002" s="3">
        <v>42257</v>
      </c>
      <c r="C3002" t="s">
        <v>46</v>
      </c>
      <c r="D3002" t="s">
        <v>21</v>
      </c>
      <c r="E3002" t="s">
        <v>803</v>
      </c>
      <c r="F3002" s="1">
        <v>30.84</v>
      </c>
      <c r="G3002">
        <v>2</v>
      </c>
      <c r="H3002" s="1">
        <v>8.3268000000000004</v>
      </c>
      <c r="I3002" s="4">
        <f>SalesData[[#This Row],[Profit]]/SalesData[[#This Row],[Sales]]</f>
        <v>0.27</v>
      </c>
      <c r="J3002">
        <f>YEAR(SalesData[[#This Row],[Order Date]])</f>
        <v>2015</v>
      </c>
      <c r="K3002" t="str">
        <f>TEXT(SalesData[[#This Row],[Order Date]],"mmm")</f>
        <v>Sep</v>
      </c>
      <c r="L3002">
        <f>MONTH(SalesData[[#This Row],[Order Date]])</f>
        <v>9</v>
      </c>
      <c r="M3002">
        <f>SalesData[[#This Row],[Sales]]/SalesData[[#This Row],[Quantity]]</f>
        <v>15.42</v>
      </c>
      <c r="N3002" t="str">
        <f>IF(SalesData[[#This Row],[Profit]]&gt;0,"Profit","Loss")</f>
        <v>Profit</v>
      </c>
    </row>
    <row r="3003" spans="1:14" x14ac:dyDescent="0.3">
      <c r="A3003" t="s">
        <v>1659</v>
      </c>
      <c r="B3003" s="3">
        <v>42257</v>
      </c>
      <c r="C3003" t="s">
        <v>17</v>
      </c>
      <c r="D3003" t="s">
        <v>10</v>
      </c>
      <c r="E3003" t="s">
        <v>898</v>
      </c>
      <c r="F3003" s="1">
        <v>631.96</v>
      </c>
      <c r="G3003">
        <v>4</v>
      </c>
      <c r="H3003" s="1">
        <v>303.3408</v>
      </c>
      <c r="I3003" s="4">
        <f>SalesData[[#This Row],[Profit]]/SalesData[[#This Row],[Sales]]</f>
        <v>0.48</v>
      </c>
      <c r="J3003">
        <f>YEAR(SalesData[[#This Row],[Order Date]])</f>
        <v>2015</v>
      </c>
      <c r="K3003" t="str">
        <f>TEXT(SalesData[[#This Row],[Order Date]],"mmm")</f>
        <v>Sep</v>
      </c>
      <c r="L3003">
        <f>MONTH(SalesData[[#This Row],[Order Date]])</f>
        <v>9</v>
      </c>
      <c r="M3003">
        <f>SalesData[[#This Row],[Sales]]/SalesData[[#This Row],[Quantity]]</f>
        <v>157.99</v>
      </c>
      <c r="N3003" t="str">
        <f>IF(SalesData[[#This Row],[Profit]]&gt;0,"Profit","Loss")</f>
        <v>Profit</v>
      </c>
    </row>
    <row r="3004" spans="1:14" x14ac:dyDescent="0.3">
      <c r="A3004" t="s">
        <v>1659</v>
      </c>
      <c r="B3004" s="3">
        <v>42257</v>
      </c>
      <c r="C3004" t="s">
        <v>17</v>
      </c>
      <c r="D3004" t="s">
        <v>21</v>
      </c>
      <c r="E3004" t="s">
        <v>757</v>
      </c>
      <c r="F3004" s="1">
        <v>23.92</v>
      </c>
      <c r="G3004">
        <v>4</v>
      </c>
      <c r="H3004" s="1">
        <v>10.763999999999999</v>
      </c>
      <c r="I3004" s="4">
        <f>SalesData[[#This Row],[Profit]]/SalesData[[#This Row],[Sales]]</f>
        <v>0.44999999999999996</v>
      </c>
      <c r="J3004">
        <f>YEAR(SalesData[[#This Row],[Order Date]])</f>
        <v>2015</v>
      </c>
      <c r="K3004" t="str">
        <f>TEXT(SalesData[[#This Row],[Order Date]],"mmm")</f>
        <v>Sep</v>
      </c>
      <c r="L3004">
        <f>MONTH(SalesData[[#This Row],[Order Date]])</f>
        <v>9</v>
      </c>
      <c r="M3004">
        <f>SalesData[[#This Row],[Sales]]/SalesData[[#This Row],[Quantity]]</f>
        <v>5.98</v>
      </c>
      <c r="N3004" t="str">
        <f>IF(SalesData[[#This Row],[Profit]]&gt;0,"Profit","Loss")</f>
        <v>Profit</v>
      </c>
    </row>
    <row r="3005" spans="1:14" x14ac:dyDescent="0.3">
      <c r="A3005" t="s">
        <v>1660</v>
      </c>
      <c r="B3005" s="3">
        <v>42257</v>
      </c>
      <c r="C3005" t="s">
        <v>9</v>
      </c>
      <c r="D3005" t="s">
        <v>10</v>
      </c>
      <c r="E3005" t="s">
        <v>1296</v>
      </c>
      <c r="F3005" s="1">
        <v>619.95000000000005</v>
      </c>
      <c r="G3005">
        <v>5</v>
      </c>
      <c r="H3005" s="1">
        <v>111.59099999999999</v>
      </c>
      <c r="I3005" s="4">
        <f>SalesData[[#This Row],[Profit]]/SalesData[[#This Row],[Sales]]</f>
        <v>0.17999999999999997</v>
      </c>
      <c r="J3005">
        <f>YEAR(SalesData[[#This Row],[Order Date]])</f>
        <v>2015</v>
      </c>
      <c r="K3005" t="str">
        <f>TEXT(SalesData[[#This Row],[Order Date]],"mmm")</f>
        <v>Sep</v>
      </c>
      <c r="L3005">
        <f>MONTH(SalesData[[#This Row],[Order Date]])</f>
        <v>9</v>
      </c>
      <c r="M3005">
        <f>SalesData[[#This Row],[Sales]]/SalesData[[#This Row],[Quantity]]</f>
        <v>123.99000000000001</v>
      </c>
      <c r="N3005" t="str">
        <f>IF(SalesData[[#This Row],[Profit]]&gt;0,"Profit","Loss")</f>
        <v>Profit</v>
      </c>
    </row>
    <row r="3006" spans="1:14" x14ac:dyDescent="0.3">
      <c r="A3006" t="s">
        <v>1660</v>
      </c>
      <c r="B3006" s="3">
        <v>42257</v>
      </c>
      <c r="C3006" t="s">
        <v>9</v>
      </c>
      <c r="D3006" t="s">
        <v>10</v>
      </c>
      <c r="E3006" t="s">
        <v>1661</v>
      </c>
      <c r="F3006" s="1">
        <v>29.16</v>
      </c>
      <c r="G3006">
        <v>3</v>
      </c>
      <c r="H3006" s="1">
        <v>8.4564000000000004</v>
      </c>
      <c r="I3006" s="4">
        <f>SalesData[[#This Row],[Profit]]/SalesData[[#This Row],[Sales]]</f>
        <v>0.29000000000000004</v>
      </c>
      <c r="J3006">
        <f>YEAR(SalesData[[#This Row],[Order Date]])</f>
        <v>2015</v>
      </c>
      <c r="K3006" t="str">
        <f>TEXT(SalesData[[#This Row],[Order Date]],"mmm")</f>
        <v>Sep</v>
      </c>
      <c r="L3006">
        <f>MONTH(SalesData[[#This Row],[Order Date]])</f>
        <v>9</v>
      </c>
      <c r="M3006">
        <f>SalesData[[#This Row],[Sales]]/SalesData[[#This Row],[Quantity]]</f>
        <v>9.7200000000000006</v>
      </c>
      <c r="N3006" t="str">
        <f>IF(SalesData[[#This Row],[Profit]]&gt;0,"Profit","Loss")</f>
        <v>Profit</v>
      </c>
    </row>
    <row r="3007" spans="1:14" x14ac:dyDescent="0.3">
      <c r="A3007" t="s">
        <v>1660</v>
      </c>
      <c r="B3007" s="3">
        <v>42257</v>
      </c>
      <c r="C3007" t="s">
        <v>9</v>
      </c>
      <c r="D3007" t="s">
        <v>21</v>
      </c>
      <c r="E3007" t="s">
        <v>127</v>
      </c>
      <c r="F3007" s="1">
        <v>57.96</v>
      </c>
      <c r="G3007">
        <v>7</v>
      </c>
      <c r="H3007" s="1">
        <v>27.241199999999999</v>
      </c>
      <c r="I3007" s="4">
        <f>SalesData[[#This Row],[Profit]]/SalesData[[#This Row],[Sales]]</f>
        <v>0.47</v>
      </c>
      <c r="J3007">
        <f>YEAR(SalesData[[#This Row],[Order Date]])</f>
        <v>2015</v>
      </c>
      <c r="K3007" t="str">
        <f>TEXT(SalesData[[#This Row],[Order Date]],"mmm")</f>
        <v>Sep</v>
      </c>
      <c r="L3007">
        <f>MONTH(SalesData[[#This Row],[Order Date]])</f>
        <v>9</v>
      </c>
      <c r="M3007">
        <f>SalesData[[#This Row],[Sales]]/SalesData[[#This Row],[Quantity]]</f>
        <v>8.2799999999999994</v>
      </c>
      <c r="N3007" t="str">
        <f>IF(SalesData[[#This Row],[Profit]]&gt;0,"Profit","Loss")</f>
        <v>Profit</v>
      </c>
    </row>
    <row r="3008" spans="1:14" x14ac:dyDescent="0.3">
      <c r="A3008" t="s">
        <v>1660</v>
      </c>
      <c r="B3008" s="3">
        <v>42257</v>
      </c>
      <c r="C3008" t="s">
        <v>9</v>
      </c>
      <c r="D3008" t="s">
        <v>21</v>
      </c>
      <c r="E3008" t="s">
        <v>142</v>
      </c>
      <c r="F3008" s="1">
        <v>29.402999999999999</v>
      </c>
      <c r="G3008">
        <v>3</v>
      </c>
      <c r="H3008" s="1">
        <v>5.2271999999999998</v>
      </c>
      <c r="I3008" s="4">
        <f>SalesData[[#This Row],[Profit]]/SalesData[[#This Row],[Sales]]</f>
        <v>0.17777777777777778</v>
      </c>
      <c r="J3008">
        <f>YEAR(SalesData[[#This Row],[Order Date]])</f>
        <v>2015</v>
      </c>
      <c r="K3008" t="str">
        <f>TEXT(SalesData[[#This Row],[Order Date]],"mmm")</f>
        <v>Sep</v>
      </c>
      <c r="L3008">
        <f>MONTH(SalesData[[#This Row],[Order Date]])</f>
        <v>9</v>
      </c>
      <c r="M3008">
        <f>SalesData[[#This Row],[Sales]]/SalesData[[#This Row],[Quantity]]</f>
        <v>9.8010000000000002</v>
      </c>
      <c r="N3008" t="str">
        <f>IF(SalesData[[#This Row],[Profit]]&gt;0,"Profit","Loss")</f>
        <v>Profit</v>
      </c>
    </row>
    <row r="3009" spans="1:14" x14ac:dyDescent="0.3">
      <c r="A3009" t="s">
        <v>1662</v>
      </c>
      <c r="B3009" s="3">
        <v>42257</v>
      </c>
      <c r="C3009" t="s">
        <v>46</v>
      </c>
      <c r="D3009" t="s">
        <v>21</v>
      </c>
      <c r="E3009" t="s">
        <v>36</v>
      </c>
      <c r="F3009" s="1">
        <v>1.8720000000000001</v>
      </c>
      <c r="G3009">
        <v>2</v>
      </c>
      <c r="H3009" s="1">
        <v>-1.3104</v>
      </c>
      <c r="I3009" s="4">
        <f>SalesData[[#This Row],[Profit]]/SalesData[[#This Row],[Sales]]</f>
        <v>-0.7</v>
      </c>
      <c r="J3009">
        <f>YEAR(SalesData[[#This Row],[Order Date]])</f>
        <v>2015</v>
      </c>
      <c r="K3009" t="str">
        <f>TEXT(SalesData[[#This Row],[Order Date]],"mmm")</f>
        <v>Sep</v>
      </c>
      <c r="L3009">
        <f>MONTH(SalesData[[#This Row],[Order Date]])</f>
        <v>9</v>
      </c>
      <c r="M3009">
        <f>SalesData[[#This Row],[Sales]]/SalesData[[#This Row],[Quantity]]</f>
        <v>0.93600000000000005</v>
      </c>
      <c r="N3009" t="str">
        <f>IF(SalesData[[#This Row],[Profit]]&gt;0,"Profit","Loss")</f>
        <v>Loss</v>
      </c>
    </row>
    <row r="3010" spans="1:14" x14ac:dyDescent="0.3">
      <c r="A3010" t="s">
        <v>1662</v>
      </c>
      <c r="B3010" s="3">
        <v>42257</v>
      </c>
      <c r="C3010" t="s">
        <v>46</v>
      </c>
      <c r="D3010" t="s">
        <v>21</v>
      </c>
      <c r="E3010" t="s">
        <v>1663</v>
      </c>
      <c r="F3010" s="1">
        <v>11.214</v>
      </c>
      <c r="G3010">
        <v>2</v>
      </c>
      <c r="H3010" s="1">
        <v>-8.5974000000000004</v>
      </c>
      <c r="I3010" s="4">
        <f>SalesData[[#This Row],[Profit]]/SalesData[[#This Row],[Sales]]</f>
        <v>-0.76666666666666672</v>
      </c>
      <c r="J3010">
        <f>YEAR(SalesData[[#This Row],[Order Date]])</f>
        <v>2015</v>
      </c>
      <c r="K3010" t="str">
        <f>TEXT(SalesData[[#This Row],[Order Date]],"mmm")</f>
        <v>Sep</v>
      </c>
      <c r="L3010">
        <f>MONTH(SalesData[[#This Row],[Order Date]])</f>
        <v>9</v>
      </c>
      <c r="M3010">
        <f>SalesData[[#This Row],[Sales]]/SalesData[[#This Row],[Quantity]]</f>
        <v>5.6070000000000002</v>
      </c>
      <c r="N3010" t="str">
        <f>IF(SalesData[[#This Row],[Profit]]&gt;0,"Profit","Loss")</f>
        <v>Loss</v>
      </c>
    </row>
    <row r="3011" spans="1:14" x14ac:dyDescent="0.3">
      <c r="A3011" t="s">
        <v>1662</v>
      </c>
      <c r="B3011" s="3">
        <v>42257</v>
      </c>
      <c r="C3011" t="s">
        <v>46</v>
      </c>
      <c r="D3011" t="s">
        <v>21</v>
      </c>
      <c r="E3011" t="s">
        <v>1664</v>
      </c>
      <c r="F3011" s="1">
        <v>37.375999999999998</v>
      </c>
      <c r="G3011">
        <v>8</v>
      </c>
      <c r="H3011" s="1">
        <v>7.4752000000000001</v>
      </c>
      <c r="I3011" s="4">
        <f>SalesData[[#This Row],[Profit]]/SalesData[[#This Row],[Sales]]</f>
        <v>0.2</v>
      </c>
      <c r="J3011">
        <f>YEAR(SalesData[[#This Row],[Order Date]])</f>
        <v>2015</v>
      </c>
      <c r="K3011" t="str">
        <f>TEXT(SalesData[[#This Row],[Order Date]],"mmm")</f>
        <v>Sep</v>
      </c>
      <c r="L3011">
        <f>MONTH(SalesData[[#This Row],[Order Date]])</f>
        <v>9</v>
      </c>
      <c r="M3011">
        <f>SalesData[[#This Row],[Sales]]/SalesData[[#This Row],[Quantity]]</f>
        <v>4.6719999999999997</v>
      </c>
      <c r="N3011" t="str">
        <f>IF(SalesData[[#This Row],[Profit]]&gt;0,"Profit","Loss")</f>
        <v>Profit</v>
      </c>
    </row>
    <row r="3012" spans="1:14" x14ac:dyDescent="0.3">
      <c r="A3012" t="s">
        <v>1665</v>
      </c>
      <c r="B3012" s="3">
        <v>42257</v>
      </c>
      <c r="C3012" t="s">
        <v>9</v>
      </c>
      <c r="D3012" t="s">
        <v>14</v>
      </c>
      <c r="E3012" t="s">
        <v>1666</v>
      </c>
      <c r="F3012" s="1">
        <v>389.97</v>
      </c>
      <c r="G3012">
        <v>3</v>
      </c>
      <c r="H3012" s="1">
        <v>35.097299999999997</v>
      </c>
      <c r="I3012" s="4">
        <f>SalesData[[#This Row],[Profit]]/SalesData[[#This Row],[Sales]]</f>
        <v>8.9999999999999983E-2</v>
      </c>
      <c r="J3012">
        <f>YEAR(SalesData[[#This Row],[Order Date]])</f>
        <v>2015</v>
      </c>
      <c r="K3012" t="str">
        <f>TEXT(SalesData[[#This Row],[Order Date]],"mmm")</f>
        <v>Sep</v>
      </c>
      <c r="L3012">
        <f>MONTH(SalesData[[#This Row],[Order Date]])</f>
        <v>9</v>
      </c>
      <c r="M3012">
        <f>SalesData[[#This Row],[Sales]]/SalesData[[#This Row],[Quantity]]</f>
        <v>129.99</v>
      </c>
      <c r="N3012" t="str">
        <f>IF(SalesData[[#This Row],[Profit]]&gt;0,"Profit","Loss")</f>
        <v>Profit</v>
      </c>
    </row>
    <row r="3013" spans="1:14" x14ac:dyDescent="0.3">
      <c r="A3013" t="s">
        <v>1665</v>
      </c>
      <c r="B3013" s="3">
        <v>42257</v>
      </c>
      <c r="C3013" t="s">
        <v>9</v>
      </c>
      <c r="D3013" t="s">
        <v>21</v>
      </c>
      <c r="E3013" t="s">
        <v>1667</v>
      </c>
      <c r="F3013" s="1">
        <v>269.91000000000003</v>
      </c>
      <c r="G3013">
        <v>5</v>
      </c>
      <c r="H3013" s="1">
        <v>53.981999999999999</v>
      </c>
      <c r="I3013" s="4">
        <f>SalesData[[#This Row],[Profit]]/SalesData[[#This Row],[Sales]]</f>
        <v>0.19999999999999998</v>
      </c>
      <c r="J3013">
        <f>YEAR(SalesData[[#This Row],[Order Date]])</f>
        <v>2015</v>
      </c>
      <c r="K3013" t="str">
        <f>TEXT(SalesData[[#This Row],[Order Date]],"mmm")</f>
        <v>Sep</v>
      </c>
      <c r="L3013">
        <f>MONTH(SalesData[[#This Row],[Order Date]])</f>
        <v>9</v>
      </c>
      <c r="M3013">
        <f>SalesData[[#This Row],[Sales]]/SalesData[[#This Row],[Quantity]]</f>
        <v>53.982000000000006</v>
      </c>
      <c r="N3013" t="str">
        <f>IF(SalesData[[#This Row],[Profit]]&gt;0,"Profit","Loss")</f>
        <v>Profit</v>
      </c>
    </row>
    <row r="3014" spans="1:14" x14ac:dyDescent="0.3">
      <c r="A3014" t="s">
        <v>1668</v>
      </c>
      <c r="B3014" s="3">
        <v>42258</v>
      </c>
      <c r="C3014" t="s">
        <v>17</v>
      </c>
      <c r="D3014" t="s">
        <v>21</v>
      </c>
      <c r="E3014" t="s">
        <v>1669</v>
      </c>
      <c r="F3014" s="1">
        <v>11.352</v>
      </c>
      <c r="G3014">
        <v>3</v>
      </c>
      <c r="H3014" s="1">
        <v>4.1151</v>
      </c>
      <c r="I3014" s="4">
        <f>SalesData[[#This Row],[Profit]]/SalesData[[#This Row],[Sales]]</f>
        <v>0.36249999999999999</v>
      </c>
      <c r="J3014">
        <f>YEAR(SalesData[[#This Row],[Order Date]])</f>
        <v>2015</v>
      </c>
      <c r="K3014" t="str">
        <f>TEXT(SalesData[[#This Row],[Order Date]],"mmm")</f>
        <v>Sep</v>
      </c>
      <c r="L3014">
        <f>MONTH(SalesData[[#This Row],[Order Date]])</f>
        <v>9</v>
      </c>
      <c r="M3014">
        <f>SalesData[[#This Row],[Sales]]/SalesData[[#This Row],[Quantity]]</f>
        <v>3.7840000000000003</v>
      </c>
      <c r="N3014" t="str">
        <f>IF(SalesData[[#This Row],[Profit]]&gt;0,"Profit","Loss")</f>
        <v>Profit</v>
      </c>
    </row>
    <row r="3015" spans="1:14" x14ac:dyDescent="0.3">
      <c r="A3015" t="s">
        <v>1670</v>
      </c>
      <c r="B3015" s="3">
        <v>42258</v>
      </c>
      <c r="C3015" t="s">
        <v>9</v>
      </c>
      <c r="D3015" t="s">
        <v>21</v>
      </c>
      <c r="E3015" t="s">
        <v>1671</v>
      </c>
      <c r="F3015" s="1">
        <v>17.22</v>
      </c>
      <c r="G3015">
        <v>3</v>
      </c>
      <c r="H3015" s="1">
        <v>7.9211999999999998</v>
      </c>
      <c r="I3015" s="4">
        <f>SalesData[[#This Row],[Profit]]/SalesData[[#This Row],[Sales]]</f>
        <v>0.46</v>
      </c>
      <c r="J3015">
        <f>YEAR(SalesData[[#This Row],[Order Date]])</f>
        <v>2015</v>
      </c>
      <c r="K3015" t="str">
        <f>TEXT(SalesData[[#This Row],[Order Date]],"mmm")</f>
        <v>Sep</v>
      </c>
      <c r="L3015">
        <f>MONTH(SalesData[[#This Row],[Order Date]])</f>
        <v>9</v>
      </c>
      <c r="M3015">
        <f>SalesData[[#This Row],[Sales]]/SalesData[[#This Row],[Quantity]]</f>
        <v>5.7399999999999993</v>
      </c>
      <c r="N3015" t="str">
        <f>IF(SalesData[[#This Row],[Profit]]&gt;0,"Profit","Loss")</f>
        <v>Profit</v>
      </c>
    </row>
    <row r="3016" spans="1:14" x14ac:dyDescent="0.3">
      <c r="A3016" t="s">
        <v>1670</v>
      </c>
      <c r="B3016" s="3">
        <v>42258</v>
      </c>
      <c r="C3016" t="s">
        <v>9</v>
      </c>
      <c r="D3016" t="s">
        <v>14</v>
      </c>
      <c r="E3016" t="s">
        <v>1672</v>
      </c>
      <c r="F3016" s="1">
        <v>1024.3800000000001</v>
      </c>
      <c r="G3016">
        <v>7</v>
      </c>
      <c r="H3016" s="1">
        <v>215.1198</v>
      </c>
      <c r="I3016" s="4">
        <f>SalesData[[#This Row],[Profit]]/SalesData[[#This Row],[Sales]]</f>
        <v>0.20999999999999996</v>
      </c>
      <c r="J3016">
        <f>YEAR(SalesData[[#This Row],[Order Date]])</f>
        <v>2015</v>
      </c>
      <c r="K3016" t="str">
        <f>TEXT(SalesData[[#This Row],[Order Date]],"mmm")</f>
        <v>Sep</v>
      </c>
      <c r="L3016">
        <f>MONTH(SalesData[[#This Row],[Order Date]])</f>
        <v>9</v>
      </c>
      <c r="M3016">
        <f>SalesData[[#This Row],[Sales]]/SalesData[[#This Row],[Quantity]]</f>
        <v>146.34</v>
      </c>
      <c r="N3016" t="str">
        <f>IF(SalesData[[#This Row],[Profit]]&gt;0,"Profit","Loss")</f>
        <v>Profit</v>
      </c>
    </row>
    <row r="3017" spans="1:14" x14ac:dyDescent="0.3">
      <c r="A3017" t="s">
        <v>1670</v>
      </c>
      <c r="B3017" s="3">
        <v>42258</v>
      </c>
      <c r="C3017" t="s">
        <v>9</v>
      </c>
      <c r="D3017" t="s">
        <v>21</v>
      </c>
      <c r="E3017" t="s">
        <v>521</v>
      </c>
      <c r="F3017" s="1">
        <v>26.22</v>
      </c>
      <c r="G3017">
        <v>3</v>
      </c>
      <c r="H3017" s="1">
        <v>12.323399999999999</v>
      </c>
      <c r="I3017" s="4">
        <f>SalesData[[#This Row],[Profit]]/SalesData[[#This Row],[Sales]]</f>
        <v>0.47</v>
      </c>
      <c r="J3017">
        <f>YEAR(SalesData[[#This Row],[Order Date]])</f>
        <v>2015</v>
      </c>
      <c r="K3017" t="str">
        <f>TEXT(SalesData[[#This Row],[Order Date]],"mmm")</f>
        <v>Sep</v>
      </c>
      <c r="L3017">
        <f>MONTH(SalesData[[#This Row],[Order Date]])</f>
        <v>9</v>
      </c>
      <c r="M3017">
        <f>SalesData[[#This Row],[Sales]]/SalesData[[#This Row],[Quantity]]</f>
        <v>8.74</v>
      </c>
      <c r="N3017" t="str">
        <f>IF(SalesData[[#This Row],[Profit]]&gt;0,"Profit","Loss")</f>
        <v>Profit</v>
      </c>
    </row>
    <row r="3018" spans="1:14" x14ac:dyDescent="0.3">
      <c r="A3018" t="s">
        <v>1670</v>
      </c>
      <c r="B3018" s="3">
        <v>42258</v>
      </c>
      <c r="C3018" t="s">
        <v>9</v>
      </c>
      <c r="D3018" t="s">
        <v>21</v>
      </c>
      <c r="E3018" t="s">
        <v>1673</v>
      </c>
      <c r="F3018" s="1">
        <v>17.34</v>
      </c>
      <c r="G3018">
        <v>3</v>
      </c>
      <c r="H3018" s="1">
        <v>8.4966000000000008</v>
      </c>
      <c r="I3018" s="4">
        <f>SalesData[[#This Row],[Profit]]/SalesData[[#This Row],[Sales]]</f>
        <v>0.49000000000000005</v>
      </c>
      <c r="J3018">
        <f>YEAR(SalesData[[#This Row],[Order Date]])</f>
        <v>2015</v>
      </c>
      <c r="K3018" t="str">
        <f>TEXT(SalesData[[#This Row],[Order Date]],"mmm")</f>
        <v>Sep</v>
      </c>
      <c r="L3018">
        <f>MONTH(SalesData[[#This Row],[Order Date]])</f>
        <v>9</v>
      </c>
      <c r="M3018">
        <f>SalesData[[#This Row],[Sales]]/SalesData[[#This Row],[Quantity]]</f>
        <v>5.78</v>
      </c>
      <c r="N3018" t="str">
        <f>IF(SalesData[[#This Row],[Profit]]&gt;0,"Profit","Loss")</f>
        <v>Profit</v>
      </c>
    </row>
    <row r="3019" spans="1:14" x14ac:dyDescent="0.3">
      <c r="A3019" t="s">
        <v>1674</v>
      </c>
      <c r="B3019" s="3">
        <v>42258</v>
      </c>
      <c r="C3019" t="s">
        <v>17</v>
      </c>
      <c r="D3019" t="s">
        <v>10</v>
      </c>
      <c r="E3019" t="s">
        <v>1596</v>
      </c>
      <c r="F3019" s="1">
        <v>2321.9</v>
      </c>
      <c r="G3019">
        <v>2</v>
      </c>
      <c r="H3019" s="1">
        <v>1114.5119999999999</v>
      </c>
      <c r="I3019" s="4">
        <f>SalesData[[#This Row],[Profit]]/SalesData[[#This Row],[Sales]]</f>
        <v>0.48</v>
      </c>
      <c r="J3019">
        <f>YEAR(SalesData[[#This Row],[Order Date]])</f>
        <v>2015</v>
      </c>
      <c r="K3019" t="str">
        <f>TEXT(SalesData[[#This Row],[Order Date]],"mmm")</f>
        <v>Sep</v>
      </c>
      <c r="L3019">
        <f>MONTH(SalesData[[#This Row],[Order Date]])</f>
        <v>9</v>
      </c>
      <c r="M3019">
        <f>SalesData[[#This Row],[Sales]]/SalesData[[#This Row],[Quantity]]</f>
        <v>1160.95</v>
      </c>
      <c r="N3019" t="str">
        <f>IF(SalesData[[#This Row],[Profit]]&gt;0,"Profit","Loss")</f>
        <v>Profit</v>
      </c>
    </row>
    <row r="3020" spans="1:14" x14ac:dyDescent="0.3">
      <c r="A3020" t="s">
        <v>1674</v>
      </c>
      <c r="B3020" s="3">
        <v>42258</v>
      </c>
      <c r="C3020" t="s">
        <v>17</v>
      </c>
      <c r="D3020" t="s">
        <v>21</v>
      </c>
      <c r="E3020" t="s">
        <v>761</v>
      </c>
      <c r="F3020" s="1">
        <v>17.940000000000001</v>
      </c>
      <c r="G3020">
        <v>3</v>
      </c>
      <c r="H3020" s="1">
        <v>3.0497999999999998</v>
      </c>
      <c r="I3020" s="4">
        <f>SalesData[[#This Row],[Profit]]/SalesData[[#This Row],[Sales]]</f>
        <v>0.16999999999999998</v>
      </c>
      <c r="J3020">
        <f>YEAR(SalesData[[#This Row],[Order Date]])</f>
        <v>2015</v>
      </c>
      <c r="K3020" t="str">
        <f>TEXT(SalesData[[#This Row],[Order Date]],"mmm")</f>
        <v>Sep</v>
      </c>
      <c r="L3020">
        <f>MONTH(SalesData[[#This Row],[Order Date]])</f>
        <v>9</v>
      </c>
      <c r="M3020">
        <f>SalesData[[#This Row],[Sales]]/SalesData[[#This Row],[Quantity]]</f>
        <v>5.98</v>
      </c>
      <c r="N3020" t="str">
        <f>IF(SalesData[[#This Row],[Profit]]&gt;0,"Profit","Loss")</f>
        <v>Profit</v>
      </c>
    </row>
    <row r="3021" spans="1:14" x14ac:dyDescent="0.3">
      <c r="A3021" t="s">
        <v>1675</v>
      </c>
      <c r="B3021" s="3">
        <v>42258</v>
      </c>
      <c r="C3021" t="s">
        <v>17</v>
      </c>
      <c r="D3021" t="s">
        <v>21</v>
      </c>
      <c r="E3021" t="s">
        <v>1115</v>
      </c>
      <c r="F3021" s="1">
        <v>244.55</v>
      </c>
      <c r="G3021">
        <v>5</v>
      </c>
      <c r="H3021" s="1">
        <v>4.891</v>
      </c>
      <c r="I3021" s="4">
        <f>SalesData[[#This Row],[Profit]]/SalesData[[#This Row],[Sales]]</f>
        <v>0.02</v>
      </c>
      <c r="J3021">
        <f>YEAR(SalesData[[#This Row],[Order Date]])</f>
        <v>2015</v>
      </c>
      <c r="K3021" t="str">
        <f>TEXT(SalesData[[#This Row],[Order Date]],"mmm")</f>
        <v>Sep</v>
      </c>
      <c r="L3021">
        <f>MONTH(SalesData[[#This Row],[Order Date]])</f>
        <v>9</v>
      </c>
      <c r="M3021">
        <f>SalesData[[#This Row],[Sales]]/SalesData[[#This Row],[Quantity]]</f>
        <v>48.910000000000004</v>
      </c>
      <c r="N3021" t="str">
        <f>IF(SalesData[[#This Row],[Profit]]&gt;0,"Profit","Loss")</f>
        <v>Profit</v>
      </c>
    </row>
    <row r="3022" spans="1:14" x14ac:dyDescent="0.3">
      <c r="A3022" t="s">
        <v>1675</v>
      </c>
      <c r="B3022" s="3">
        <v>42258</v>
      </c>
      <c r="C3022" t="s">
        <v>17</v>
      </c>
      <c r="D3022" t="s">
        <v>21</v>
      </c>
      <c r="E3022" t="s">
        <v>1676</v>
      </c>
      <c r="F3022" s="1">
        <v>12.24</v>
      </c>
      <c r="G3022">
        <v>6</v>
      </c>
      <c r="H3022" s="1">
        <v>5.7527999999999997</v>
      </c>
      <c r="I3022" s="4">
        <f>SalesData[[#This Row],[Profit]]/SalesData[[#This Row],[Sales]]</f>
        <v>0.47</v>
      </c>
      <c r="J3022">
        <f>YEAR(SalesData[[#This Row],[Order Date]])</f>
        <v>2015</v>
      </c>
      <c r="K3022" t="str">
        <f>TEXT(SalesData[[#This Row],[Order Date]],"mmm")</f>
        <v>Sep</v>
      </c>
      <c r="L3022">
        <f>MONTH(SalesData[[#This Row],[Order Date]])</f>
        <v>9</v>
      </c>
      <c r="M3022">
        <f>SalesData[[#This Row],[Sales]]/SalesData[[#This Row],[Quantity]]</f>
        <v>2.04</v>
      </c>
      <c r="N3022" t="str">
        <f>IF(SalesData[[#This Row],[Profit]]&gt;0,"Profit","Loss")</f>
        <v>Profit</v>
      </c>
    </row>
    <row r="3023" spans="1:14" x14ac:dyDescent="0.3">
      <c r="A3023" t="s">
        <v>1675</v>
      </c>
      <c r="B3023" s="3">
        <v>42258</v>
      </c>
      <c r="C3023" t="s">
        <v>17</v>
      </c>
      <c r="D3023" t="s">
        <v>10</v>
      </c>
      <c r="E3023" t="s">
        <v>1677</v>
      </c>
      <c r="F3023" s="1">
        <v>13.98</v>
      </c>
      <c r="G3023">
        <v>2</v>
      </c>
      <c r="H3023" s="1">
        <v>6.0114000000000001</v>
      </c>
      <c r="I3023" s="4">
        <f>SalesData[[#This Row],[Profit]]/SalesData[[#This Row],[Sales]]</f>
        <v>0.43</v>
      </c>
      <c r="J3023">
        <f>YEAR(SalesData[[#This Row],[Order Date]])</f>
        <v>2015</v>
      </c>
      <c r="K3023" t="str">
        <f>TEXT(SalesData[[#This Row],[Order Date]],"mmm")</f>
        <v>Sep</v>
      </c>
      <c r="L3023">
        <f>MONTH(SalesData[[#This Row],[Order Date]])</f>
        <v>9</v>
      </c>
      <c r="M3023">
        <f>SalesData[[#This Row],[Sales]]/SalesData[[#This Row],[Quantity]]</f>
        <v>6.99</v>
      </c>
      <c r="N3023" t="str">
        <f>IF(SalesData[[#This Row],[Profit]]&gt;0,"Profit","Loss")</f>
        <v>Profit</v>
      </c>
    </row>
    <row r="3024" spans="1:14" x14ac:dyDescent="0.3">
      <c r="A3024" t="s">
        <v>1675</v>
      </c>
      <c r="B3024" s="3">
        <v>42258</v>
      </c>
      <c r="C3024" t="s">
        <v>17</v>
      </c>
      <c r="D3024" t="s">
        <v>10</v>
      </c>
      <c r="E3024" t="s">
        <v>1453</v>
      </c>
      <c r="F3024" s="1">
        <v>899.95</v>
      </c>
      <c r="G3024">
        <v>5</v>
      </c>
      <c r="H3024" s="1">
        <v>53.997</v>
      </c>
      <c r="I3024" s="4">
        <f>SalesData[[#This Row],[Profit]]/SalesData[[#This Row],[Sales]]</f>
        <v>0.06</v>
      </c>
      <c r="J3024">
        <f>YEAR(SalesData[[#This Row],[Order Date]])</f>
        <v>2015</v>
      </c>
      <c r="K3024" t="str">
        <f>TEXT(SalesData[[#This Row],[Order Date]],"mmm")</f>
        <v>Sep</v>
      </c>
      <c r="L3024">
        <f>MONTH(SalesData[[#This Row],[Order Date]])</f>
        <v>9</v>
      </c>
      <c r="M3024">
        <f>SalesData[[#This Row],[Sales]]/SalesData[[#This Row],[Quantity]]</f>
        <v>179.99</v>
      </c>
      <c r="N3024" t="str">
        <f>IF(SalesData[[#This Row],[Profit]]&gt;0,"Profit","Loss")</f>
        <v>Profit</v>
      </c>
    </row>
    <row r="3025" spans="1:14" x14ac:dyDescent="0.3">
      <c r="A3025" t="s">
        <v>1678</v>
      </c>
      <c r="B3025" s="3">
        <v>42258</v>
      </c>
      <c r="C3025" t="s">
        <v>13</v>
      </c>
      <c r="D3025" t="s">
        <v>21</v>
      </c>
      <c r="E3025" t="s">
        <v>1679</v>
      </c>
      <c r="F3025" s="1">
        <v>2.48</v>
      </c>
      <c r="G3025">
        <v>2</v>
      </c>
      <c r="H3025" s="1">
        <v>1.1656</v>
      </c>
      <c r="I3025" s="4">
        <f>SalesData[[#This Row],[Profit]]/SalesData[[#This Row],[Sales]]</f>
        <v>0.47</v>
      </c>
      <c r="J3025">
        <f>YEAR(SalesData[[#This Row],[Order Date]])</f>
        <v>2015</v>
      </c>
      <c r="K3025" t="str">
        <f>TEXT(SalesData[[#This Row],[Order Date]],"mmm")</f>
        <v>Sep</v>
      </c>
      <c r="L3025">
        <f>MONTH(SalesData[[#This Row],[Order Date]])</f>
        <v>9</v>
      </c>
      <c r="M3025">
        <f>SalesData[[#This Row],[Sales]]/SalesData[[#This Row],[Quantity]]</f>
        <v>1.24</v>
      </c>
      <c r="N3025" t="str">
        <f>IF(SalesData[[#This Row],[Profit]]&gt;0,"Profit","Loss")</f>
        <v>Profit</v>
      </c>
    </row>
    <row r="3026" spans="1:14" x14ac:dyDescent="0.3">
      <c r="A3026" t="s">
        <v>1680</v>
      </c>
      <c r="B3026" s="3">
        <v>42258</v>
      </c>
      <c r="C3026" t="s">
        <v>9</v>
      </c>
      <c r="D3026" t="s">
        <v>21</v>
      </c>
      <c r="E3026" t="s">
        <v>1071</v>
      </c>
      <c r="F3026" s="1">
        <v>10.74</v>
      </c>
      <c r="G3026">
        <v>3</v>
      </c>
      <c r="H3026" s="1">
        <v>5.1551999999999998</v>
      </c>
      <c r="I3026" s="4">
        <f>SalesData[[#This Row],[Profit]]/SalesData[[#This Row],[Sales]]</f>
        <v>0.48</v>
      </c>
      <c r="J3026">
        <f>YEAR(SalesData[[#This Row],[Order Date]])</f>
        <v>2015</v>
      </c>
      <c r="K3026" t="str">
        <f>TEXT(SalesData[[#This Row],[Order Date]],"mmm")</f>
        <v>Sep</v>
      </c>
      <c r="L3026">
        <f>MONTH(SalesData[[#This Row],[Order Date]])</f>
        <v>9</v>
      </c>
      <c r="M3026">
        <f>SalesData[[#This Row],[Sales]]/SalesData[[#This Row],[Quantity]]</f>
        <v>3.58</v>
      </c>
      <c r="N3026" t="str">
        <f>IF(SalesData[[#This Row],[Profit]]&gt;0,"Profit","Loss")</f>
        <v>Profit</v>
      </c>
    </row>
    <row r="3027" spans="1:14" x14ac:dyDescent="0.3">
      <c r="A3027" t="s">
        <v>1681</v>
      </c>
      <c r="B3027" s="3">
        <v>42259</v>
      </c>
      <c r="C3027" t="s">
        <v>9</v>
      </c>
      <c r="D3027" t="s">
        <v>21</v>
      </c>
      <c r="E3027" t="s">
        <v>1391</v>
      </c>
      <c r="F3027" s="1">
        <v>34.020000000000003</v>
      </c>
      <c r="G3027">
        <v>3</v>
      </c>
      <c r="H3027" s="1">
        <v>16.669799999999999</v>
      </c>
      <c r="I3027" s="4">
        <f>SalesData[[#This Row],[Profit]]/SalesData[[#This Row],[Sales]]</f>
        <v>0.48999999999999994</v>
      </c>
      <c r="J3027">
        <f>YEAR(SalesData[[#This Row],[Order Date]])</f>
        <v>2015</v>
      </c>
      <c r="K3027" t="str">
        <f>TEXT(SalesData[[#This Row],[Order Date]],"mmm")</f>
        <v>Sep</v>
      </c>
      <c r="L3027">
        <f>MONTH(SalesData[[#This Row],[Order Date]])</f>
        <v>9</v>
      </c>
      <c r="M3027">
        <f>SalesData[[#This Row],[Sales]]/SalesData[[#This Row],[Quantity]]</f>
        <v>11.340000000000002</v>
      </c>
      <c r="N3027" t="str">
        <f>IF(SalesData[[#This Row],[Profit]]&gt;0,"Profit","Loss")</f>
        <v>Profit</v>
      </c>
    </row>
    <row r="3028" spans="1:14" x14ac:dyDescent="0.3">
      <c r="A3028" t="s">
        <v>1682</v>
      </c>
      <c r="B3028" s="3">
        <v>42278</v>
      </c>
      <c r="C3028" t="s">
        <v>17</v>
      </c>
      <c r="D3028" t="s">
        <v>14</v>
      </c>
      <c r="E3028" t="s">
        <v>1683</v>
      </c>
      <c r="F3028" s="1">
        <v>1018.104</v>
      </c>
      <c r="G3028">
        <v>4</v>
      </c>
      <c r="H3028" s="1">
        <v>-373.3048</v>
      </c>
      <c r="I3028" s="4">
        <f>SalesData[[#This Row],[Profit]]/SalesData[[#This Row],[Sales]]</f>
        <v>-0.36666666666666664</v>
      </c>
      <c r="J3028">
        <f>YEAR(SalesData[[#This Row],[Order Date]])</f>
        <v>2015</v>
      </c>
      <c r="K3028" t="str">
        <f>TEXT(SalesData[[#This Row],[Order Date]],"mmm")</f>
        <v>Oct</v>
      </c>
      <c r="L3028">
        <f>MONTH(SalesData[[#This Row],[Order Date]])</f>
        <v>10</v>
      </c>
      <c r="M3028">
        <f>SalesData[[#This Row],[Sales]]/SalesData[[#This Row],[Quantity]]</f>
        <v>254.52600000000001</v>
      </c>
      <c r="N3028" t="str">
        <f>IF(SalesData[[#This Row],[Profit]]&gt;0,"Profit","Loss")</f>
        <v>Loss</v>
      </c>
    </row>
    <row r="3029" spans="1:14" x14ac:dyDescent="0.3">
      <c r="A3029" t="s">
        <v>1684</v>
      </c>
      <c r="B3029" s="3">
        <v>42279</v>
      </c>
      <c r="C3029" t="s">
        <v>17</v>
      </c>
      <c r="D3029" t="s">
        <v>21</v>
      </c>
      <c r="E3029" t="s">
        <v>1162</v>
      </c>
      <c r="F3029" s="1">
        <v>77.239999999999995</v>
      </c>
      <c r="G3029">
        <v>5</v>
      </c>
      <c r="H3029" s="1">
        <v>7.7240000000000002</v>
      </c>
      <c r="I3029" s="4">
        <f>SalesData[[#This Row],[Profit]]/SalesData[[#This Row],[Sales]]</f>
        <v>0.1</v>
      </c>
      <c r="J3029">
        <f>YEAR(SalesData[[#This Row],[Order Date]])</f>
        <v>2015</v>
      </c>
      <c r="K3029" t="str">
        <f>TEXT(SalesData[[#This Row],[Order Date]],"mmm")</f>
        <v>Oct</v>
      </c>
      <c r="L3029">
        <f>MONTH(SalesData[[#This Row],[Order Date]])</f>
        <v>10</v>
      </c>
      <c r="M3029">
        <f>SalesData[[#This Row],[Sales]]/SalesData[[#This Row],[Quantity]]</f>
        <v>15.447999999999999</v>
      </c>
      <c r="N3029" t="str">
        <f>IF(SalesData[[#This Row],[Profit]]&gt;0,"Profit","Loss")</f>
        <v>Profit</v>
      </c>
    </row>
    <row r="3030" spans="1:14" x14ac:dyDescent="0.3">
      <c r="A3030" t="s">
        <v>1685</v>
      </c>
      <c r="B3030" s="3">
        <v>42280</v>
      </c>
      <c r="C3030" t="s">
        <v>9</v>
      </c>
      <c r="D3030" t="s">
        <v>21</v>
      </c>
      <c r="E3030" t="s">
        <v>1686</v>
      </c>
      <c r="F3030" s="1">
        <v>1.1120000000000001</v>
      </c>
      <c r="G3030">
        <v>2</v>
      </c>
      <c r="H3030" s="1">
        <v>-1.8904000000000001</v>
      </c>
      <c r="I3030" s="4">
        <f>SalesData[[#This Row],[Profit]]/SalesData[[#This Row],[Sales]]</f>
        <v>-1.7</v>
      </c>
      <c r="J3030">
        <f>YEAR(SalesData[[#This Row],[Order Date]])</f>
        <v>2015</v>
      </c>
      <c r="K3030" t="str">
        <f>TEXT(SalesData[[#This Row],[Order Date]],"mmm")</f>
        <v>Oct</v>
      </c>
      <c r="L3030">
        <f>MONTH(SalesData[[#This Row],[Order Date]])</f>
        <v>10</v>
      </c>
      <c r="M3030">
        <f>SalesData[[#This Row],[Sales]]/SalesData[[#This Row],[Quantity]]</f>
        <v>0.55600000000000005</v>
      </c>
      <c r="N3030" t="str">
        <f>IF(SalesData[[#This Row],[Profit]]&gt;0,"Profit","Loss")</f>
        <v>Loss</v>
      </c>
    </row>
    <row r="3031" spans="1:14" x14ac:dyDescent="0.3">
      <c r="A3031" t="s">
        <v>1687</v>
      </c>
      <c r="B3031" s="3">
        <v>42280</v>
      </c>
      <c r="C3031" t="s">
        <v>17</v>
      </c>
      <c r="D3031" t="s">
        <v>21</v>
      </c>
      <c r="E3031" t="s">
        <v>693</v>
      </c>
      <c r="F3031" s="1">
        <v>89.82</v>
      </c>
      <c r="G3031">
        <v>6</v>
      </c>
      <c r="H3031" s="1">
        <v>25.1496</v>
      </c>
      <c r="I3031" s="4">
        <f>SalesData[[#This Row],[Profit]]/SalesData[[#This Row],[Sales]]</f>
        <v>0.28000000000000003</v>
      </c>
      <c r="J3031">
        <f>YEAR(SalesData[[#This Row],[Order Date]])</f>
        <v>2015</v>
      </c>
      <c r="K3031" t="str">
        <f>TEXT(SalesData[[#This Row],[Order Date]],"mmm")</f>
        <v>Oct</v>
      </c>
      <c r="L3031">
        <f>MONTH(SalesData[[#This Row],[Order Date]])</f>
        <v>10</v>
      </c>
      <c r="M3031">
        <f>SalesData[[#This Row],[Sales]]/SalesData[[#This Row],[Quantity]]</f>
        <v>14.969999999999999</v>
      </c>
      <c r="N3031" t="str">
        <f>IF(SalesData[[#This Row],[Profit]]&gt;0,"Profit","Loss")</f>
        <v>Profit</v>
      </c>
    </row>
    <row r="3032" spans="1:14" x14ac:dyDescent="0.3">
      <c r="A3032" t="s">
        <v>1688</v>
      </c>
      <c r="B3032" s="3">
        <v>42281</v>
      </c>
      <c r="C3032" t="s">
        <v>13</v>
      </c>
      <c r="D3032" t="s">
        <v>21</v>
      </c>
      <c r="E3032" t="s">
        <v>1382</v>
      </c>
      <c r="F3032" s="1">
        <v>12.832000000000001</v>
      </c>
      <c r="G3032">
        <v>2</v>
      </c>
      <c r="H3032" s="1">
        <v>4.3308</v>
      </c>
      <c r="I3032" s="4">
        <f>SalesData[[#This Row],[Profit]]/SalesData[[#This Row],[Sales]]</f>
        <v>0.33749999999999997</v>
      </c>
      <c r="J3032">
        <f>YEAR(SalesData[[#This Row],[Order Date]])</f>
        <v>2015</v>
      </c>
      <c r="K3032" t="str">
        <f>TEXT(SalesData[[#This Row],[Order Date]],"mmm")</f>
        <v>Oct</v>
      </c>
      <c r="L3032">
        <f>MONTH(SalesData[[#This Row],[Order Date]])</f>
        <v>10</v>
      </c>
      <c r="M3032">
        <f>SalesData[[#This Row],[Sales]]/SalesData[[#This Row],[Quantity]]</f>
        <v>6.4160000000000004</v>
      </c>
      <c r="N3032" t="str">
        <f>IF(SalesData[[#This Row],[Profit]]&gt;0,"Profit","Loss")</f>
        <v>Profit</v>
      </c>
    </row>
    <row r="3033" spans="1:14" x14ac:dyDescent="0.3">
      <c r="A3033" t="s">
        <v>1689</v>
      </c>
      <c r="B3033" s="3">
        <v>42281</v>
      </c>
      <c r="C3033" t="s">
        <v>17</v>
      </c>
      <c r="D3033" t="s">
        <v>21</v>
      </c>
      <c r="E3033" t="s">
        <v>1690</v>
      </c>
      <c r="F3033" s="1">
        <v>142.04</v>
      </c>
      <c r="G3033">
        <v>4</v>
      </c>
      <c r="H3033" s="1">
        <v>38.3508</v>
      </c>
      <c r="I3033" s="4">
        <f>SalesData[[#This Row],[Profit]]/SalesData[[#This Row],[Sales]]</f>
        <v>0.27</v>
      </c>
      <c r="J3033">
        <f>YEAR(SalesData[[#This Row],[Order Date]])</f>
        <v>2015</v>
      </c>
      <c r="K3033" t="str">
        <f>TEXT(SalesData[[#This Row],[Order Date]],"mmm")</f>
        <v>Oct</v>
      </c>
      <c r="L3033">
        <f>MONTH(SalesData[[#This Row],[Order Date]])</f>
        <v>10</v>
      </c>
      <c r="M3033">
        <f>SalesData[[#This Row],[Sales]]/SalesData[[#This Row],[Quantity]]</f>
        <v>35.51</v>
      </c>
      <c r="N3033" t="str">
        <f>IF(SalesData[[#This Row],[Profit]]&gt;0,"Profit","Loss")</f>
        <v>Profit</v>
      </c>
    </row>
    <row r="3034" spans="1:14" x14ac:dyDescent="0.3">
      <c r="A3034" t="s">
        <v>1689</v>
      </c>
      <c r="B3034" s="3">
        <v>42281</v>
      </c>
      <c r="C3034" t="s">
        <v>17</v>
      </c>
      <c r="D3034" t="s">
        <v>21</v>
      </c>
      <c r="E3034" t="s">
        <v>1691</v>
      </c>
      <c r="F3034" s="1">
        <v>14.67</v>
      </c>
      <c r="G3034">
        <v>3</v>
      </c>
      <c r="H3034" s="1">
        <v>6.0147000000000004</v>
      </c>
      <c r="I3034" s="4">
        <f>SalesData[[#This Row],[Profit]]/SalesData[[#This Row],[Sales]]</f>
        <v>0.41000000000000003</v>
      </c>
      <c r="J3034">
        <f>YEAR(SalesData[[#This Row],[Order Date]])</f>
        <v>2015</v>
      </c>
      <c r="K3034" t="str">
        <f>TEXT(SalesData[[#This Row],[Order Date]],"mmm")</f>
        <v>Oct</v>
      </c>
      <c r="L3034">
        <f>MONTH(SalesData[[#This Row],[Order Date]])</f>
        <v>10</v>
      </c>
      <c r="M3034">
        <f>SalesData[[#This Row],[Sales]]/SalesData[[#This Row],[Quantity]]</f>
        <v>4.8899999999999997</v>
      </c>
      <c r="N3034" t="str">
        <f>IF(SalesData[[#This Row],[Profit]]&gt;0,"Profit","Loss")</f>
        <v>Profit</v>
      </c>
    </row>
    <row r="3035" spans="1:14" x14ac:dyDescent="0.3">
      <c r="A3035" t="s">
        <v>1692</v>
      </c>
      <c r="B3035" s="3">
        <v>42282</v>
      </c>
      <c r="C3035" t="s">
        <v>9</v>
      </c>
      <c r="D3035" t="s">
        <v>21</v>
      </c>
      <c r="E3035" t="s">
        <v>1693</v>
      </c>
      <c r="F3035" s="1">
        <v>70.97</v>
      </c>
      <c r="G3035">
        <v>5</v>
      </c>
      <c r="H3035" s="1">
        <v>-191.619</v>
      </c>
      <c r="I3035" s="4">
        <f>SalesData[[#This Row],[Profit]]/SalesData[[#This Row],[Sales]]</f>
        <v>-2.7</v>
      </c>
      <c r="J3035">
        <f>YEAR(SalesData[[#This Row],[Order Date]])</f>
        <v>2015</v>
      </c>
      <c r="K3035" t="str">
        <f>TEXT(SalesData[[#This Row],[Order Date]],"mmm")</f>
        <v>Oct</v>
      </c>
      <c r="L3035">
        <f>MONTH(SalesData[[#This Row],[Order Date]])</f>
        <v>10</v>
      </c>
      <c r="M3035">
        <f>SalesData[[#This Row],[Sales]]/SalesData[[#This Row],[Quantity]]</f>
        <v>14.193999999999999</v>
      </c>
      <c r="N3035" t="str">
        <f>IF(SalesData[[#This Row],[Profit]]&gt;0,"Profit","Loss")</f>
        <v>Loss</v>
      </c>
    </row>
    <row r="3036" spans="1:14" x14ac:dyDescent="0.3">
      <c r="A3036" t="s">
        <v>1692</v>
      </c>
      <c r="B3036" s="3">
        <v>42282</v>
      </c>
      <c r="C3036" t="s">
        <v>9</v>
      </c>
      <c r="D3036" t="s">
        <v>21</v>
      </c>
      <c r="E3036" t="s">
        <v>437</v>
      </c>
      <c r="F3036" s="1">
        <v>36.783999999999999</v>
      </c>
      <c r="G3036">
        <v>2</v>
      </c>
      <c r="H3036" s="1">
        <v>3.6783999999999999</v>
      </c>
      <c r="I3036" s="4">
        <f>SalesData[[#This Row],[Profit]]/SalesData[[#This Row],[Sales]]</f>
        <v>0.1</v>
      </c>
      <c r="J3036">
        <f>YEAR(SalesData[[#This Row],[Order Date]])</f>
        <v>2015</v>
      </c>
      <c r="K3036" t="str">
        <f>TEXT(SalesData[[#This Row],[Order Date]],"mmm")</f>
        <v>Oct</v>
      </c>
      <c r="L3036">
        <f>MONTH(SalesData[[#This Row],[Order Date]])</f>
        <v>10</v>
      </c>
      <c r="M3036">
        <f>SalesData[[#This Row],[Sales]]/SalesData[[#This Row],[Quantity]]</f>
        <v>18.391999999999999</v>
      </c>
      <c r="N3036" t="str">
        <f>IF(SalesData[[#This Row],[Profit]]&gt;0,"Profit","Loss")</f>
        <v>Profit</v>
      </c>
    </row>
    <row r="3037" spans="1:14" x14ac:dyDescent="0.3">
      <c r="A3037" t="s">
        <v>1694</v>
      </c>
      <c r="B3037" s="3">
        <v>42282</v>
      </c>
      <c r="C3037" t="s">
        <v>13</v>
      </c>
      <c r="D3037" t="s">
        <v>10</v>
      </c>
      <c r="E3037" t="s">
        <v>604</v>
      </c>
      <c r="F3037" s="1">
        <v>46.688000000000002</v>
      </c>
      <c r="G3037">
        <v>4</v>
      </c>
      <c r="H3037" s="1">
        <v>-2.9180000000000001</v>
      </c>
      <c r="I3037" s="4">
        <f>SalesData[[#This Row],[Profit]]/SalesData[[#This Row],[Sales]]</f>
        <v>-6.25E-2</v>
      </c>
      <c r="J3037">
        <f>YEAR(SalesData[[#This Row],[Order Date]])</f>
        <v>2015</v>
      </c>
      <c r="K3037" t="str">
        <f>TEXT(SalesData[[#This Row],[Order Date]],"mmm")</f>
        <v>Oct</v>
      </c>
      <c r="L3037">
        <f>MONTH(SalesData[[#This Row],[Order Date]])</f>
        <v>10</v>
      </c>
      <c r="M3037">
        <f>SalesData[[#This Row],[Sales]]/SalesData[[#This Row],[Quantity]]</f>
        <v>11.672000000000001</v>
      </c>
      <c r="N3037" t="str">
        <f>IF(SalesData[[#This Row],[Profit]]&gt;0,"Profit","Loss")</f>
        <v>Loss</v>
      </c>
    </row>
    <row r="3038" spans="1:14" x14ac:dyDescent="0.3">
      <c r="A3038" t="s">
        <v>1695</v>
      </c>
      <c r="B3038" s="3">
        <v>42284</v>
      </c>
      <c r="C3038" t="s">
        <v>13</v>
      </c>
      <c r="D3038" t="s">
        <v>21</v>
      </c>
      <c r="E3038" t="s">
        <v>1086</v>
      </c>
      <c r="F3038" s="1">
        <v>3.3660000000000001</v>
      </c>
      <c r="G3038">
        <v>3</v>
      </c>
      <c r="H3038" s="1">
        <v>-2.2440000000000002</v>
      </c>
      <c r="I3038" s="4">
        <f>SalesData[[#This Row],[Profit]]/SalesData[[#This Row],[Sales]]</f>
        <v>-0.66666666666666674</v>
      </c>
      <c r="J3038">
        <f>YEAR(SalesData[[#This Row],[Order Date]])</f>
        <v>2015</v>
      </c>
      <c r="K3038" t="str">
        <f>TEXT(SalesData[[#This Row],[Order Date]],"mmm")</f>
        <v>Oct</v>
      </c>
      <c r="L3038">
        <f>MONTH(SalesData[[#This Row],[Order Date]])</f>
        <v>10</v>
      </c>
      <c r="M3038">
        <f>SalesData[[#This Row],[Sales]]/SalesData[[#This Row],[Quantity]]</f>
        <v>1.1220000000000001</v>
      </c>
      <c r="N3038" t="str">
        <f>IF(SalesData[[#This Row],[Profit]]&gt;0,"Profit","Loss")</f>
        <v>Loss</v>
      </c>
    </row>
    <row r="3039" spans="1:14" x14ac:dyDescent="0.3">
      <c r="A3039" t="s">
        <v>1696</v>
      </c>
      <c r="B3039" s="3">
        <v>42284</v>
      </c>
      <c r="C3039" t="s">
        <v>13</v>
      </c>
      <c r="D3039" t="s">
        <v>21</v>
      </c>
      <c r="E3039" t="s">
        <v>475</v>
      </c>
      <c r="F3039" s="1">
        <v>39.92</v>
      </c>
      <c r="G3039">
        <v>2</v>
      </c>
      <c r="H3039" s="1">
        <v>12.974</v>
      </c>
      <c r="I3039" s="4">
        <f>SalesData[[#This Row],[Profit]]/SalesData[[#This Row],[Sales]]</f>
        <v>0.32500000000000001</v>
      </c>
      <c r="J3039">
        <f>YEAR(SalesData[[#This Row],[Order Date]])</f>
        <v>2015</v>
      </c>
      <c r="K3039" t="str">
        <f>TEXT(SalesData[[#This Row],[Order Date]],"mmm")</f>
        <v>Oct</v>
      </c>
      <c r="L3039">
        <f>MONTH(SalesData[[#This Row],[Order Date]])</f>
        <v>10</v>
      </c>
      <c r="M3039">
        <f>SalesData[[#This Row],[Sales]]/SalesData[[#This Row],[Quantity]]</f>
        <v>19.96</v>
      </c>
      <c r="N3039" t="str">
        <f>IF(SalesData[[#This Row],[Profit]]&gt;0,"Profit","Loss")</f>
        <v>Profit</v>
      </c>
    </row>
    <row r="3040" spans="1:14" x14ac:dyDescent="0.3">
      <c r="A3040" t="s">
        <v>1697</v>
      </c>
      <c r="B3040" s="3">
        <v>42285</v>
      </c>
      <c r="C3040" t="s">
        <v>9</v>
      </c>
      <c r="D3040" t="s">
        <v>21</v>
      </c>
      <c r="E3040" t="s">
        <v>495</v>
      </c>
      <c r="F3040" s="1">
        <v>3.75</v>
      </c>
      <c r="G3040">
        <v>1</v>
      </c>
      <c r="H3040" s="1">
        <v>1.8</v>
      </c>
      <c r="I3040" s="4">
        <f>SalesData[[#This Row],[Profit]]/SalesData[[#This Row],[Sales]]</f>
        <v>0.48000000000000004</v>
      </c>
      <c r="J3040">
        <f>YEAR(SalesData[[#This Row],[Order Date]])</f>
        <v>2015</v>
      </c>
      <c r="K3040" t="str">
        <f>TEXT(SalesData[[#This Row],[Order Date]],"mmm")</f>
        <v>Oct</v>
      </c>
      <c r="L3040">
        <f>MONTH(SalesData[[#This Row],[Order Date]])</f>
        <v>10</v>
      </c>
      <c r="M3040">
        <f>SalesData[[#This Row],[Sales]]/SalesData[[#This Row],[Quantity]]</f>
        <v>3.75</v>
      </c>
      <c r="N3040" t="str">
        <f>IF(SalesData[[#This Row],[Profit]]&gt;0,"Profit","Loss")</f>
        <v>Profit</v>
      </c>
    </row>
    <row r="3041" spans="1:14" x14ac:dyDescent="0.3">
      <c r="A3041" t="s">
        <v>1697</v>
      </c>
      <c r="B3041" s="3">
        <v>42285</v>
      </c>
      <c r="C3041" t="s">
        <v>9</v>
      </c>
      <c r="D3041" t="s">
        <v>21</v>
      </c>
      <c r="E3041" t="s">
        <v>1698</v>
      </c>
      <c r="F3041" s="1">
        <v>41.4</v>
      </c>
      <c r="G3041">
        <v>4</v>
      </c>
      <c r="H3041" s="1">
        <v>19.872</v>
      </c>
      <c r="I3041" s="4">
        <f>SalesData[[#This Row],[Profit]]/SalesData[[#This Row],[Sales]]</f>
        <v>0.48000000000000004</v>
      </c>
      <c r="J3041">
        <f>YEAR(SalesData[[#This Row],[Order Date]])</f>
        <v>2015</v>
      </c>
      <c r="K3041" t="str">
        <f>TEXT(SalesData[[#This Row],[Order Date]],"mmm")</f>
        <v>Oct</v>
      </c>
      <c r="L3041">
        <f>MONTH(SalesData[[#This Row],[Order Date]])</f>
        <v>10</v>
      </c>
      <c r="M3041">
        <f>SalesData[[#This Row],[Sales]]/SalesData[[#This Row],[Quantity]]</f>
        <v>10.35</v>
      </c>
      <c r="N3041" t="str">
        <f>IF(SalesData[[#This Row],[Profit]]&gt;0,"Profit","Loss")</f>
        <v>Profit</v>
      </c>
    </row>
    <row r="3042" spans="1:14" x14ac:dyDescent="0.3">
      <c r="A3042" t="s">
        <v>1697</v>
      </c>
      <c r="B3042" s="3">
        <v>42285</v>
      </c>
      <c r="C3042" t="s">
        <v>9</v>
      </c>
      <c r="D3042" t="s">
        <v>21</v>
      </c>
      <c r="E3042" t="s">
        <v>1699</v>
      </c>
      <c r="F3042" s="1">
        <v>29.79</v>
      </c>
      <c r="G3042">
        <v>3</v>
      </c>
      <c r="H3042" s="1">
        <v>12.511799999999999</v>
      </c>
      <c r="I3042" s="4">
        <f>SalesData[[#This Row],[Profit]]/SalesData[[#This Row],[Sales]]</f>
        <v>0.42</v>
      </c>
      <c r="J3042">
        <f>YEAR(SalesData[[#This Row],[Order Date]])</f>
        <v>2015</v>
      </c>
      <c r="K3042" t="str">
        <f>TEXT(SalesData[[#This Row],[Order Date]],"mmm")</f>
        <v>Oct</v>
      </c>
      <c r="L3042">
        <f>MONTH(SalesData[[#This Row],[Order Date]])</f>
        <v>10</v>
      </c>
      <c r="M3042">
        <f>SalesData[[#This Row],[Sales]]/SalesData[[#This Row],[Quantity]]</f>
        <v>9.93</v>
      </c>
      <c r="N3042" t="str">
        <f>IF(SalesData[[#This Row],[Profit]]&gt;0,"Profit","Loss")</f>
        <v>Profit</v>
      </c>
    </row>
    <row r="3043" spans="1:14" x14ac:dyDescent="0.3">
      <c r="A3043" t="s">
        <v>1700</v>
      </c>
      <c r="B3043" s="3">
        <v>42285</v>
      </c>
      <c r="C3043" t="s">
        <v>13</v>
      </c>
      <c r="D3043" t="s">
        <v>10</v>
      </c>
      <c r="E3043" t="s">
        <v>975</v>
      </c>
      <c r="F3043" s="1">
        <v>438.36799999999999</v>
      </c>
      <c r="G3043">
        <v>4</v>
      </c>
      <c r="H3043" s="1">
        <v>38.357199999999999</v>
      </c>
      <c r="I3043" s="4">
        <f>SalesData[[#This Row],[Profit]]/SalesData[[#This Row],[Sales]]</f>
        <v>8.7499999999999994E-2</v>
      </c>
      <c r="J3043">
        <f>YEAR(SalesData[[#This Row],[Order Date]])</f>
        <v>2015</v>
      </c>
      <c r="K3043" t="str">
        <f>TEXT(SalesData[[#This Row],[Order Date]],"mmm")</f>
        <v>Oct</v>
      </c>
      <c r="L3043">
        <f>MONTH(SalesData[[#This Row],[Order Date]])</f>
        <v>10</v>
      </c>
      <c r="M3043">
        <f>SalesData[[#This Row],[Sales]]/SalesData[[#This Row],[Quantity]]</f>
        <v>109.592</v>
      </c>
      <c r="N3043" t="str">
        <f>IF(SalesData[[#This Row],[Profit]]&gt;0,"Profit","Loss")</f>
        <v>Profit</v>
      </c>
    </row>
    <row r="3044" spans="1:14" x14ac:dyDescent="0.3">
      <c r="A3044" t="s">
        <v>1700</v>
      </c>
      <c r="B3044" s="3">
        <v>42285</v>
      </c>
      <c r="C3044" t="s">
        <v>13</v>
      </c>
      <c r="D3044" t="s">
        <v>10</v>
      </c>
      <c r="E3044" t="s">
        <v>1413</v>
      </c>
      <c r="F3044" s="1">
        <v>139.94399999999999</v>
      </c>
      <c r="G3044">
        <v>7</v>
      </c>
      <c r="H3044" s="1">
        <v>-31.487400000000001</v>
      </c>
      <c r="I3044" s="4">
        <f>SalesData[[#This Row],[Profit]]/SalesData[[#This Row],[Sales]]</f>
        <v>-0.22500000000000003</v>
      </c>
      <c r="J3044">
        <f>YEAR(SalesData[[#This Row],[Order Date]])</f>
        <v>2015</v>
      </c>
      <c r="K3044" t="str">
        <f>TEXT(SalesData[[#This Row],[Order Date]],"mmm")</f>
        <v>Oct</v>
      </c>
      <c r="L3044">
        <f>MONTH(SalesData[[#This Row],[Order Date]])</f>
        <v>10</v>
      </c>
      <c r="M3044">
        <f>SalesData[[#This Row],[Sales]]/SalesData[[#This Row],[Quantity]]</f>
        <v>19.991999999999997</v>
      </c>
      <c r="N3044" t="str">
        <f>IF(SalesData[[#This Row],[Profit]]&gt;0,"Profit","Loss")</f>
        <v>Loss</v>
      </c>
    </row>
    <row r="3045" spans="1:14" x14ac:dyDescent="0.3">
      <c r="A3045" t="s">
        <v>1700</v>
      </c>
      <c r="B3045" s="3">
        <v>42285</v>
      </c>
      <c r="C3045" t="s">
        <v>13</v>
      </c>
      <c r="D3045" t="s">
        <v>21</v>
      </c>
      <c r="E3045" t="s">
        <v>482</v>
      </c>
      <c r="F3045" s="1">
        <v>133.47200000000001</v>
      </c>
      <c r="G3045">
        <v>4</v>
      </c>
      <c r="H3045" s="1">
        <v>15.015599999999999</v>
      </c>
      <c r="I3045" s="4">
        <f>SalesData[[#This Row],[Profit]]/SalesData[[#This Row],[Sales]]</f>
        <v>0.11249999999999999</v>
      </c>
      <c r="J3045">
        <f>YEAR(SalesData[[#This Row],[Order Date]])</f>
        <v>2015</v>
      </c>
      <c r="K3045" t="str">
        <f>TEXT(SalesData[[#This Row],[Order Date]],"mmm")</f>
        <v>Oct</v>
      </c>
      <c r="L3045">
        <f>MONTH(SalesData[[#This Row],[Order Date]])</f>
        <v>10</v>
      </c>
      <c r="M3045">
        <f>SalesData[[#This Row],[Sales]]/SalesData[[#This Row],[Quantity]]</f>
        <v>33.368000000000002</v>
      </c>
      <c r="N3045" t="str">
        <f>IF(SalesData[[#This Row],[Profit]]&gt;0,"Profit","Loss")</f>
        <v>Profit</v>
      </c>
    </row>
    <row r="3046" spans="1:14" x14ac:dyDescent="0.3">
      <c r="A3046" t="s">
        <v>1701</v>
      </c>
      <c r="B3046" s="3">
        <v>42285</v>
      </c>
      <c r="C3046" t="s">
        <v>9</v>
      </c>
      <c r="D3046" t="s">
        <v>21</v>
      </c>
      <c r="E3046" t="s">
        <v>1702</v>
      </c>
      <c r="F3046" s="1">
        <v>64.75</v>
      </c>
      <c r="G3046">
        <v>5</v>
      </c>
      <c r="H3046" s="1">
        <v>29.137499999999999</v>
      </c>
      <c r="I3046" s="4">
        <f>SalesData[[#This Row],[Profit]]/SalesData[[#This Row],[Sales]]</f>
        <v>0.45</v>
      </c>
      <c r="J3046">
        <f>YEAR(SalesData[[#This Row],[Order Date]])</f>
        <v>2015</v>
      </c>
      <c r="K3046" t="str">
        <f>TEXT(SalesData[[#This Row],[Order Date]],"mmm")</f>
        <v>Oct</v>
      </c>
      <c r="L3046">
        <f>MONTH(SalesData[[#This Row],[Order Date]])</f>
        <v>10</v>
      </c>
      <c r="M3046">
        <f>SalesData[[#This Row],[Sales]]/SalesData[[#This Row],[Quantity]]</f>
        <v>12.95</v>
      </c>
      <c r="N3046" t="str">
        <f>IF(SalesData[[#This Row],[Profit]]&gt;0,"Profit","Loss")</f>
        <v>Profit</v>
      </c>
    </row>
    <row r="3047" spans="1:14" x14ac:dyDescent="0.3">
      <c r="A3047" t="s">
        <v>1703</v>
      </c>
      <c r="B3047" s="3">
        <v>42286</v>
      </c>
      <c r="C3047" t="s">
        <v>13</v>
      </c>
      <c r="D3047" t="s">
        <v>21</v>
      </c>
      <c r="E3047" t="s">
        <v>501</v>
      </c>
      <c r="F3047" s="1">
        <v>51.52</v>
      </c>
      <c r="G3047">
        <v>4</v>
      </c>
      <c r="H3047" s="1">
        <v>1.5456000000000001</v>
      </c>
      <c r="I3047" s="4">
        <f>SalesData[[#This Row],[Profit]]/SalesData[[#This Row],[Sales]]</f>
        <v>0.03</v>
      </c>
      <c r="J3047">
        <f>YEAR(SalesData[[#This Row],[Order Date]])</f>
        <v>2015</v>
      </c>
      <c r="K3047" t="str">
        <f>TEXT(SalesData[[#This Row],[Order Date]],"mmm")</f>
        <v>Oct</v>
      </c>
      <c r="L3047">
        <f>MONTH(SalesData[[#This Row],[Order Date]])</f>
        <v>10</v>
      </c>
      <c r="M3047">
        <f>SalesData[[#This Row],[Sales]]/SalesData[[#This Row],[Quantity]]</f>
        <v>12.88</v>
      </c>
      <c r="N3047" t="str">
        <f>IF(SalesData[[#This Row],[Profit]]&gt;0,"Profit","Loss")</f>
        <v>Profit</v>
      </c>
    </row>
    <row r="3048" spans="1:14" x14ac:dyDescent="0.3">
      <c r="A3048" t="s">
        <v>1704</v>
      </c>
      <c r="B3048" s="3">
        <v>42286</v>
      </c>
      <c r="C3048" t="s">
        <v>9</v>
      </c>
      <c r="D3048" t="s">
        <v>21</v>
      </c>
      <c r="E3048" t="s">
        <v>1705</v>
      </c>
      <c r="F3048" s="1">
        <v>14.94</v>
      </c>
      <c r="G3048">
        <v>3</v>
      </c>
      <c r="H3048" s="1">
        <v>7.0217999999999998</v>
      </c>
      <c r="I3048" s="4">
        <f>SalesData[[#This Row],[Profit]]/SalesData[[#This Row],[Sales]]</f>
        <v>0.47000000000000003</v>
      </c>
      <c r="J3048">
        <f>YEAR(SalesData[[#This Row],[Order Date]])</f>
        <v>2015</v>
      </c>
      <c r="K3048" t="str">
        <f>TEXT(SalesData[[#This Row],[Order Date]],"mmm")</f>
        <v>Oct</v>
      </c>
      <c r="L3048">
        <f>MONTH(SalesData[[#This Row],[Order Date]])</f>
        <v>10</v>
      </c>
      <c r="M3048">
        <f>SalesData[[#This Row],[Sales]]/SalesData[[#This Row],[Quantity]]</f>
        <v>4.9799999999999995</v>
      </c>
      <c r="N3048" t="str">
        <f>IF(SalesData[[#This Row],[Profit]]&gt;0,"Profit","Loss")</f>
        <v>Profit</v>
      </c>
    </row>
    <row r="3049" spans="1:14" x14ac:dyDescent="0.3">
      <c r="A3049" t="s">
        <v>1706</v>
      </c>
      <c r="B3049" s="3">
        <v>42286</v>
      </c>
      <c r="C3049" t="s">
        <v>17</v>
      </c>
      <c r="D3049" t="s">
        <v>21</v>
      </c>
      <c r="E3049" t="s">
        <v>135</v>
      </c>
      <c r="F3049" s="1">
        <v>61.96</v>
      </c>
      <c r="G3049">
        <v>2</v>
      </c>
      <c r="H3049" s="1">
        <v>16.1096</v>
      </c>
      <c r="I3049" s="4">
        <f>SalesData[[#This Row],[Profit]]/SalesData[[#This Row],[Sales]]</f>
        <v>0.26</v>
      </c>
      <c r="J3049">
        <f>YEAR(SalesData[[#This Row],[Order Date]])</f>
        <v>2015</v>
      </c>
      <c r="K3049" t="str">
        <f>TEXT(SalesData[[#This Row],[Order Date]],"mmm")</f>
        <v>Oct</v>
      </c>
      <c r="L3049">
        <f>MONTH(SalesData[[#This Row],[Order Date]])</f>
        <v>10</v>
      </c>
      <c r="M3049">
        <f>SalesData[[#This Row],[Sales]]/SalesData[[#This Row],[Quantity]]</f>
        <v>30.98</v>
      </c>
      <c r="N3049" t="str">
        <f>IF(SalesData[[#This Row],[Profit]]&gt;0,"Profit","Loss")</f>
        <v>Profit</v>
      </c>
    </row>
    <row r="3050" spans="1:14" x14ac:dyDescent="0.3">
      <c r="A3050" t="s">
        <v>1706</v>
      </c>
      <c r="B3050" s="3">
        <v>42286</v>
      </c>
      <c r="C3050" t="s">
        <v>17</v>
      </c>
      <c r="D3050" t="s">
        <v>14</v>
      </c>
      <c r="E3050" t="s">
        <v>1122</v>
      </c>
      <c r="F3050" s="1">
        <v>361.96</v>
      </c>
      <c r="G3050">
        <v>2</v>
      </c>
      <c r="H3050" s="1">
        <v>83.250799999999998</v>
      </c>
      <c r="I3050" s="4">
        <f>SalesData[[#This Row],[Profit]]/SalesData[[#This Row],[Sales]]</f>
        <v>0.23</v>
      </c>
      <c r="J3050">
        <f>YEAR(SalesData[[#This Row],[Order Date]])</f>
        <v>2015</v>
      </c>
      <c r="K3050" t="str">
        <f>TEXT(SalesData[[#This Row],[Order Date]],"mmm")</f>
        <v>Oct</v>
      </c>
      <c r="L3050">
        <f>MONTH(SalesData[[#This Row],[Order Date]])</f>
        <v>10</v>
      </c>
      <c r="M3050">
        <f>SalesData[[#This Row],[Sales]]/SalesData[[#This Row],[Quantity]]</f>
        <v>180.98</v>
      </c>
      <c r="N3050" t="str">
        <f>IF(SalesData[[#This Row],[Profit]]&gt;0,"Profit","Loss")</f>
        <v>Profit</v>
      </c>
    </row>
    <row r="3051" spans="1:14" x14ac:dyDescent="0.3">
      <c r="A3051" t="s">
        <v>1706</v>
      </c>
      <c r="B3051" s="3">
        <v>42286</v>
      </c>
      <c r="C3051" t="s">
        <v>17</v>
      </c>
      <c r="D3051" t="s">
        <v>21</v>
      </c>
      <c r="E3051" t="s">
        <v>1444</v>
      </c>
      <c r="F3051" s="1">
        <v>278.82</v>
      </c>
      <c r="G3051">
        <v>9</v>
      </c>
      <c r="H3051" s="1">
        <v>125.46899999999999</v>
      </c>
      <c r="I3051" s="4">
        <f>SalesData[[#This Row],[Profit]]/SalesData[[#This Row],[Sales]]</f>
        <v>0.45</v>
      </c>
      <c r="J3051">
        <f>YEAR(SalesData[[#This Row],[Order Date]])</f>
        <v>2015</v>
      </c>
      <c r="K3051" t="str">
        <f>TEXT(SalesData[[#This Row],[Order Date]],"mmm")</f>
        <v>Oct</v>
      </c>
      <c r="L3051">
        <f>MONTH(SalesData[[#This Row],[Order Date]])</f>
        <v>10</v>
      </c>
      <c r="M3051">
        <f>SalesData[[#This Row],[Sales]]/SalesData[[#This Row],[Quantity]]</f>
        <v>30.98</v>
      </c>
      <c r="N3051" t="str">
        <f>IF(SalesData[[#This Row],[Profit]]&gt;0,"Profit","Loss")</f>
        <v>Profit</v>
      </c>
    </row>
    <row r="3052" spans="1:14" x14ac:dyDescent="0.3">
      <c r="A3052" t="s">
        <v>1707</v>
      </c>
      <c r="B3052" s="3">
        <v>42286</v>
      </c>
      <c r="C3052" t="s">
        <v>13</v>
      </c>
      <c r="D3052" t="s">
        <v>21</v>
      </c>
      <c r="E3052" t="s">
        <v>1708</v>
      </c>
      <c r="F3052" s="1">
        <v>353.88</v>
      </c>
      <c r="G3052">
        <v>6</v>
      </c>
      <c r="H3052" s="1">
        <v>17.693999999999999</v>
      </c>
      <c r="I3052" s="4">
        <f>SalesData[[#This Row],[Profit]]/SalesData[[#This Row],[Sales]]</f>
        <v>4.9999999999999996E-2</v>
      </c>
      <c r="J3052">
        <f>YEAR(SalesData[[#This Row],[Order Date]])</f>
        <v>2015</v>
      </c>
      <c r="K3052" t="str">
        <f>TEXT(SalesData[[#This Row],[Order Date]],"mmm")</f>
        <v>Oct</v>
      </c>
      <c r="L3052">
        <f>MONTH(SalesData[[#This Row],[Order Date]])</f>
        <v>10</v>
      </c>
      <c r="M3052">
        <f>SalesData[[#This Row],[Sales]]/SalesData[[#This Row],[Quantity]]</f>
        <v>58.98</v>
      </c>
      <c r="N3052" t="str">
        <f>IF(SalesData[[#This Row],[Profit]]&gt;0,"Profit","Loss")</f>
        <v>Profit</v>
      </c>
    </row>
    <row r="3053" spans="1:14" x14ac:dyDescent="0.3">
      <c r="A3053" t="s">
        <v>1709</v>
      </c>
      <c r="B3053" s="3">
        <v>42286</v>
      </c>
      <c r="C3053" t="s">
        <v>17</v>
      </c>
      <c r="D3053" t="s">
        <v>21</v>
      </c>
      <c r="E3053" t="s">
        <v>1710</v>
      </c>
      <c r="F3053" s="1">
        <v>6.08</v>
      </c>
      <c r="G3053">
        <v>2</v>
      </c>
      <c r="H3053" s="1">
        <v>2.0672000000000001</v>
      </c>
      <c r="I3053" s="4">
        <f>SalesData[[#This Row],[Profit]]/SalesData[[#This Row],[Sales]]</f>
        <v>0.34</v>
      </c>
      <c r="J3053">
        <f>YEAR(SalesData[[#This Row],[Order Date]])</f>
        <v>2015</v>
      </c>
      <c r="K3053" t="str">
        <f>TEXT(SalesData[[#This Row],[Order Date]],"mmm")</f>
        <v>Oct</v>
      </c>
      <c r="L3053">
        <f>MONTH(SalesData[[#This Row],[Order Date]])</f>
        <v>10</v>
      </c>
      <c r="M3053">
        <f>SalesData[[#This Row],[Sales]]/SalesData[[#This Row],[Quantity]]</f>
        <v>3.04</v>
      </c>
      <c r="N3053" t="str">
        <f>IF(SalesData[[#This Row],[Profit]]&gt;0,"Profit","Loss")</f>
        <v>Profit</v>
      </c>
    </row>
    <row r="3054" spans="1:14" x14ac:dyDescent="0.3">
      <c r="A3054" t="s">
        <v>1711</v>
      </c>
      <c r="B3054" s="3">
        <v>42286</v>
      </c>
      <c r="C3054" t="s">
        <v>13</v>
      </c>
      <c r="D3054" t="s">
        <v>14</v>
      </c>
      <c r="E3054" t="s">
        <v>1712</v>
      </c>
      <c r="F3054" s="1">
        <v>106.68</v>
      </c>
      <c r="G3054">
        <v>6</v>
      </c>
      <c r="H3054" s="1">
        <v>33.070799999999998</v>
      </c>
      <c r="I3054" s="4">
        <f>SalesData[[#This Row],[Profit]]/SalesData[[#This Row],[Sales]]</f>
        <v>0.30999999999999994</v>
      </c>
      <c r="J3054">
        <f>YEAR(SalesData[[#This Row],[Order Date]])</f>
        <v>2015</v>
      </c>
      <c r="K3054" t="str">
        <f>TEXT(SalesData[[#This Row],[Order Date]],"mmm")</f>
        <v>Oct</v>
      </c>
      <c r="L3054">
        <f>MONTH(SalesData[[#This Row],[Order Date]])</f>
        <v>10</v>
      </c>
      <c r="M3054">
        <f>SalesData[[#This Row],[Sales]]/SalesData[[#This Row],[Quantity]]</f>
        <v>17.78</v>
      </c>
      <c r="N3054" t="str">
        <f>IF(SalesData[[#This Row],[Profit]]&gt;0,"Profit","Loss")</f>
        <v>Profit</v>
      </c>
    </row>
    <row r="3055" spans="1:14" x14ac:dyDescent="0.3">
      <c r="A3055" t="s">
        <v>1713</v>
      </c>
      <c r="B3055" s="3">
        <v>42286</v>
      </c>
      <c r="C3055" t="s">
        <v>9</v>
      </c>
      <c r="D3055" t="s">
        <v>14</v>
      </c>
      <c r="E3055" t="s">
        <v>1714</v>
      </c>
      <c r="F3055" s="1">
        <v>179.886</v>
      </c>
      <c r="G3055">
        <v>1</v>
      </c>
      <c r="H3055" s="1">
        <v>-2.5697999999999999</v>
      </c>
      <c r="I3055" s="4">
        <f>SalesData[[#This Row],[Profit]]/SalesData[[#This Row],[Sales]]</f>
        <v>-1.4285714285714285E-2</v>
      </c>
      <c r="J3055">
        <f>YEAR(SalesData[[#This Row],[Order Date]])</f>
        <v>2015</v>
      </c>
      <c r="K3055" t="str">
        <f>TEXT(SalesData[[#This Row],[Order Date]],"mmm")</f>
        <v>Oct</v>
      </c>
      <c r="L3055">
        <f>MONTH(SalesData[[#This Row],[Order Date]])</f>
        <v>10</v>
      </c>
      <c r="M3055">
        <f>SalesData[[#This Row],[Sales]]/SalesData[[#This Row],[Quantity]]</f>
        <v>179.886</v>
      </c>
      <c r="N3055" t="str">
        <f>IF(SalesData[[#This Row],[Profit]]&gt;0,"Profit","Loss")</f>
        <v>Loss</v>
      </c>
    </row>
    <row r="3056" spans="1:14" x14ac:dyDescent="0.3">
      <c r="A3056" t="s">
        <v>1715</v>
      </c>
      <c r="B3056" s="3">
        <v>42287</v>
      </c>
      <c r="C3056" t="s">
        <v>13</v>
      </c>
      <c r="D3056" t="s">
        <v>21</v>
      </c>
      <c r="E3056" t="s">
        <v>1716</v>
      </c>
      <c r="F3056" s="1">
        <v>45.36</v>
      </c>
      <c r="G3056">
        <v>7</v>
      </c>
      <c r="H3056" s="1">
        <v>21.7728</v>
      </c>
      <c r="I3056" s="4">
        <f>SalesData[[#This Row],[Profit]]/SalesData[[#This Row],[Sales]]</f>
        <v>0.48</v>
      </c>
      <c r="J3056">
        <f>YEAR(SalesData[[#This Row],[Order Date]])</f>
        <v>2015</v>
      </c>
      <c r="K3056" t="str">
        <f>TEXT(SalesData[[#This Row],[Order Date]],"mmm")</f>
        <v>Oct</v>
      </c>
      <c r="L3056">
        <f>MONTH(SalesData[[#This Row],[Order Date]])</f>
        <v>10</v>
      </c>
      <c r="M3056">
        <f>SalesData[[#This Row],[Sales]]/SalesData[[#This Row],[Quantity]]</f>
        <v>6.4799999999999995</v>
      </c>
      <c r="N3056" t="str">
        <f>IF(SalesData[[#This Row],[Profit]]&gt;0,"Profit","Loss")</f>
        <v>Profit</v>
      </c>
    </row>
    <row r="3057" spans="1:14" x14ac:dyDescent="0.3">
      <c r="A3057" t="s">
        <v>1717</v>
      </c>
      <c r="B3057" s="3">
        <v>42287</v>
      </c>
      <c r="C3057" t="s">
        <v>46</v>
      </c>
      <c r="D3057" t="s">
        <v>21</v>
      </c>
      <c r="E3057" t="s">
        <v>929</v>
      </c>
      <c r="F3057" s="1">
        <v>1801.6320000000001</v>
      </c>
      <c r="G3057">
        <v>6</v>
      </c>
      <c r="H3057" s="1">
        <v>-337.80599999999998</v>
      </c>
      <c r="I3057" s="4">
        <f>SalesData[[#This Row],[Profit]]/SalesData[[#This Row],[Sales]]</f>
        <v>-0.18749999999999997</v>
      </c>
      <c r="J3057">
        <f>YEAR(SalesData[[#This Row],[Order Date]])</f>
        <v>2015</v>
      </c>
      <c r="K3057" t="str">
        <f>TEXT(SalesData[[#This Row],[Order Date]],"mmm")</f>
        <v>Oct</v>
      </c>
      <c r="L3057">
        <f>MONTH(SalesData[[#This Row],[Order Date]])</f>
        <v>10</v>
      </c>
      <c r="M3057">
        <f>SalesData[[#This Row],[Sales]]/SalesData[[#This Row],[Quantity]]</f>
        <v>300.27199999999999</v>
      </c>
      <c r="N3057" t="str">
        <f>IF(SalesData[[#This Row],[Profit]]&gt;0,"Profit","Loss")</f>
        <v>Loss</v>
      </c>
    </row>
    <row r="3058" spans="1:14" x14ac:dyDescent="0.3">
      <c r="A3058" t="s">
        <v>1718</v>
      </c>
      <c r="B3058" s="3">
        <v>42287</v>
      </c>
      <c r="C3058" t="s">
        <v>9</v>
      </c>
      <c r="D3058" t="s">
        <v>21</v>
      </c>
      <c r="E3058" t="s">
        <v>1034</v>
      </c>
      <c r="F3058" s="1">
        <v>8.016</v>
      </c>
      <c r="G3058">
        <v>3</v>
      </c>
      <c r="H3058" s="1">
        <v>1.002</v>
      </c>
      <c r="I3058" s="4">
        <f>SalesData[[#This Row],[Profit]]/SalesData[[#This Row],[Sales]]</f>
        <v>0.125</v>
      </c>
      <c r="J3058">
        <f>YEAR(SalesData[[#This Row],[Order Date]])</f>
        <v>2015</v>
      </c>
      <c r="K3058" t="str">
        <f>TEXT(SalesData[[#This Row],[Order Date]],"mmm")</f>
        <v>Oct</v>
      </c>
      <c r="L3058">
        <f>MONTH(SalesData[[#This Row],[Order Date]])</f>
        <v>10</v>
      </c>
      <c r="M3058">
        <f>SalesData[[#This Row],[Sales]]/SalesData[[#This Row],[Quantity]]</f>
        <v>2.6720000000000002</v>
      </c>
      <c r="N3058" t="str">
        <f>IF(SalesData[[#This Row],[Profit]]&gt;0,"Profit","Loss")</f>
        <v>Profit</v>
      </c>
    </row>
    <row r="3059" spans="1:14" x14ac:dyDescent="0.3">
      <c r="A3059" t="s">
        <v>1719</v>
      </c>
      <c r="B3059" s="3">
        <v>42287</v>
      </c>
      <c r="C3059" t="s">
        <v>13</v>
      </c>
      <c r="D3059" t="s">
        <v>14</v>
      </c>
      <c r="E3059" t="s">
        <v>1720</v>
      </c>
      <c r="F3059" s="1">
        <v>362.13600000000002</v>
      </c>
      <c r="G3059">
        <v>3</v>
      </c>
      <c r="H3059" s="1">
        <v>-54.320399999999999</v>
      </c>
      <c r="I3059" s="4">
        <f>SalesData[[#This Row],[Profit]]/SalesData[[#This Row],[Sales]]</f>
        <v>-0.15</v>
      </c>
      <c r="J3059">
        <f>YEAR(SalesData[[#This Row],[Order Date]])</f>
        <v>2015</v>
      </c>
      <c r="K3059" t="str">
        <f>TEXT(SalesData[[#This Row],[Order Date]],"mmm")</f>
        <v>Oct</v>
      </c>
      <c r="L3059">
        <f>MONTH(SalesData[[#This Row],[Order Date]])</f>
        <v>10</v>
      </c>
      <c r="M3059">
        <f>SalesData[[#This Row],[Sales]]/SalesData[[#This Row],[Quantity]]</f>
        <v>120.712</v>
      </c>
      <c r="N3059" t="str">
        <f>IF(SalesData[[#This Row],[Profit]]&gt;0,"Profit","Loss")</f>
        <v>Loss</v>
      </c>
    </row>
    <row r="3060" spans="1:14" x14ac:dyDescent="0.3">
      <c r="A3060" t="s">
        <v>1719</v>
      </c>
      <c r="B3060" s="3">
        <v>42287</v>
      </c>
      <c r="C3060" t="s">
        <v>13</v>
      </c>
      <c r="D3060" t="s">
        <v>21</v>
      </c>
      <c r="E3060" t="s">
        <v>1721</v>
      </c>
      <c r="F3060" s="1">
        <v>31.05</v>
      </c>
      <c r="G3060">
        <v>3</v>
      </c>
      <c r="H3060" s="1">
        <v>14.904</v>
      </c>
      <c r="I3060" s="4">
        <f>SalesData[[#This Row],[Profit]]/SalesData[[#This Row],[Sales]]</f>
        <v>0.48</v>
      </c>
      <c r="J3060">
        <f>YEAR(SalesData[[#This Row],[Order Date]])</f>
        <v>2015</v>
      </c>
      <c r="K3060" t="str">
        <f>TEXT(SalesData[[#This Row],[Order Date]],"mmm")</f>
        <v>Oct</v>
      </c>
      <c r="L3060">
        <f>MONTH(SalesData[[#This Row],[Order Date]])</f>
        <v>10</v>
      </c>
      <c r="M3060">
        <f>SalesData[[#This Row],[Sales]]/SalesData[[#This Row],[Quantity]]</f>
        <v>10.35</v>
      </c>
      <c r="N3060" t="str">
        <f>IF(SalesData[[#This Row],[Profit]]&gt;0,"Profit","Loss")</f>
        <v>Profit</v>
      </c>
    </row>
    <row r="3061" spans="1:14" x14ac:dyDescent="0.3">
      <c r="A3061" t="s">
        <v>1722</v>
      </c>
      <c r="B3061" s="3">
        <v>42288</v>
      </c>
      <c r="C3061" t="s">
        <v>13</v>
      </c>
      <c r="D3061" t="s">
        <v>10</v>
      </c>
      <c r="E3061" t="s">
        <v>1465</v>
      </c>
      <c r="F3061" s="1">
        <v>79.900000000000006</v>
      </c>
      <c r="G3061">
        <v>2</v>
      </c>
      <c r="H3061" s="1">
        <v>35.155999999999999</v>
      </c>
      <c r="I3061" s="4">
        <f>SalesData[[#This Row],[Profit]]/SalesData[[#This Row],[Sales]]</f>
        <v>0.43999999999999995</v>
      </c>
      <c r="J3061">
        <f>YEAR(SalesData[[#This Row],[Order Date]])</f>
        <v>2015</v>
      </c>
      <c r="K3061" t="str">
        <f>TEXT(SalesData[[#This Row],[Order Date]],"mmm")</f>
        <v>Oct</v>
      </c>
      <c r="L3061">
        <f>MONTH(SalesData[[#This Row],[Order Date]])</f>
        <v>10</v>
      </c>
      <c r="M3061">
        <f>SalesData[[#This Row],[Sales]]/SalesData[[#This Row],[Quantity]]</f>
        <v>39.950000000000003</v>
      </c>
      <c r="N3061" t="str">
        <f>IF(SalesData[[#This Row],[Profit]]&gt;0,"Profit","Loss")</f>
        <v>Profit</v>
      </c>
    </row>
    <row r="3062" spans="1:14" x14ac:dyDescent="0.3">
      <c r="A3062" t="s">
        <v>1723</v>
      </c>
      <c r="B3062" s="3">
        <v>42288</v>
      </c>
      <c r="C3062" t="s">
        <v>9</v>
      </c>
      <c r="D3062" t="s">
        <v>21</v>
      </c>
      <c r="E3062" t="s">
        <v>1724</v>
      </c>
      <c r="F3062" s="1">
        <v>714.3</v>
      </c>
      <c r="G3062">
        <v>5</v>
      </c>
      <c r="H3062" s="1">
        <v>207.14699999999999</v>
      </c>
      <c r="I3062" s="4">
        <f>SalesData[[#This Row],[Profit]]/SalesData[[#This Row],[Sales]]</f>
        <v>0.28999999999999998</v>
      </c>
      <c r="J3062">
        <f>YEAR(SalesData[[#This Row],[Order Date]])</f>
        <v>2015</v>
      </c>
      <c r="K3062" t="str">
        <f>TEXT(SalesData[[#This Row],[Order Date]],"mmm")</f>
        <v>Oct</v>
      </c>
      <c r="L3062">
        <f>MONTH(SalesData[[#This Row],[Order Date]])</f>
        <v>10</v>
      </c>
      <c r="M3062">
        <f>SalesData[[#This Row],[Sales]]/SalesData[[#This Row],[Quantity]]</f>
        <v>142.85999999999999</v>
      </c>
      <c r="N3062" t="str">
        <f>IF(SalesData[[#This Row],[Profit]]&gt;0,"Profit","Loss")</f>
        <v>Profit</v>
      </c>
    </row>
    <row r="3063" spans="1:14" x14ac:dyDescent="0.3">
      <c r="A3063" t="s">
        <v>1725</v>
      </c>
      <c r="B3063" s="3">
        <v>42288</v>
      </c>
      <c r="C3063" t="s">
        <v>9</v>
      </c>
      <c r="D3063" t="s">
        <v>21</v>
      </c>
      <c r="E3063" t="s">
        <v>1273</v>
      </c>
      <c r="F3063" s="1">
        <v>715.64</v>
      </c>
      <c r="G3063">
        <v>2</v>
      </c>
      <c r="H3063" s="1">
        <v>178.91</v>
      </c>
      <c r="I3063" s="4">
        <f>SalesData[[#This Row],[Profit]]/SalesData[[#This Row],[Sales]]</f>
        <v>0.25</v>
      </c>
      <c r="J3063">
        <f>YEAR(SalesData[[#This Row],[Order Date]])</f>
        <v>2015</v>
      </c>
      <c r="K3063" t="str">
        <f>TEXT(SalesData[[#This Row],[Order Date]],"mmm")</f>
        <v>Oct</v>
      </c>
      <c r="L3063">
        <f>MONTH(SalesData[[#This Row],[Order Date]])</f>
        <v>10</v>
      </c>
      <c r="M3063">
        <f>SalesData[[#This Row],[Sales]]/SalesData[[#This Row],[Quantity]]</f>
        <v>357.82</v>
      </c>
      <c r="N3063" t="str">
        <f>IF(SalesData[[#This Row],[Profit]]&gt;0,"Profit","Loss")</f>
        <v>Profit</v>
      </c>
    </row>
    <row r="3064" spans="1:14" x14ac:dyDescent="0.3">
      <c r="A3064" t="s">
        <v>1725</v>
      </c>
      <c r="B3064" s="3">
        <v>42288</v>
      </c>
      <c r="C3064" t="s">
        <v>9</v>
      </c>
      <c r="D3064" t="s">
        <v>21</v>
      </c>
      <c r="E3064" t="s">
        <v>785</v>
      </c>
      <c r="F3064" s="1">
        <v>795.51</v>
      </c>
      <c r="G3064">
        <v>3</v>
      </c>
      <c r="H3064" s="1">
        <v>143.1918</v>
      </c>
      <c r="I3064" s="4">
        <f>SalesData[[#This Row],[Profit]]/SalesData[[#This Row],[Sales]]</f>
        <v>0.18</v>
      </c>
      <c r="J3064">
        <f>YEAR(SalesData[[#This Row],[Order Date]])</f>
        <v>2015</v>
      </c>
      <c r="K3064" t="str">
        <f>TEXT(SalesData[[#This Row],[Order Date]],"mmm")</f>
        <v>Oct</v>
      </c>
      <c r="L3064">
        <f>MONTH(SalesData[[#This Row],[Order Date]])</f>
        <v>10</v>
      </c>
      <c r="M3064">
        <f>SalesData[[#This Row],[Sales]]/SalesData[[#This Row],[Quantity]]</f>
        <v>265.17</v>
      </c>
      <c r="N3064" t="str">
        <f>IF(SalesData[[#This Row],[Profit]]&gt;0,"Profit","Loss")</f>
        <v>Profit</v>
      </c>
    </row>
    <row r="3065" spans="1:14" x14ac:dyDescent="0.3">
      <c r="A3065" t="s">
        <v>1725</v>
      </c>
      <c r="B3065" s="3">
        <v>42288</v>
      </c>
      <c r="C3065" t="s">
        <v>9</v>
      </c>
      <c r="D3065" t="s">
        <v>10</v>
      </c>
      <c r="E3065" t="s">
        <v>113</v>
      </c>
      <c r="F3065" s="1">
        <v>549.99</v>
      </c>
      <c r="G3065">
        <v>1</v>
      </c>
      <c r="H3065" s="1">
        <v>274.995</v>
      </c>
      <c r="I3065" s="4">
        <f>SalesData[[#This Row],[Profit]]/SalesData[[#This Row],[Sales]]</f>
        <v>0.5</v>
      </c>
      <c r="J3065">
        <f>YEAR(SalesData[[#This Row],[Order Date]])</f>
        <v>2015</v>
      </c>
      <c r="K3065" t="str">
        <f>TEXT(SalesData[[#This Row],[Order Date]],"mmm")</f>
        <v>Oct</v>
      </c>
      <c r="L3065">
        <f>MONTH(SalesData[[#This Row],[Order Date]])</f>
        <v>10</v>
      </c>
      <c r="M3065">
        <f>SalesData[[#This Row],[Sales]]/SalesData[[#This Row],[Quantity]]</f>
        <v>549.99</v>
      </c>
      <c r="N3065" t="str">
        <f>IF(SalesData[[#This Row],[Profit]]&gt;0,"Profit","Loss")</f>
        <v>Profit</v>
      </c>
    </row>
    <row r="3066" spans="1:14" x14ac:dyDescent="0.3">
      <c r="A3066" t="s">
        <v>1725</v>
      </c>
      <c r="B3066" s="3">
        <v>42288</v>
      </c>
      <c r="C3066" t="s">
        <v>9</v>
      </c>
      <c r="D3066" t="s">
        <v>21</v>
      </c>
      <c r="E3066" t="s">
        <v>104</v>
      </c>
      <c r="F3066" s="1">
        <v>74.760000000000005</v>
      </c>
      <c r="G3066">
        <v>3</v>
      </c>
      <c r="H3066" s="1">
        <v>34.389600000000002</v>
      </c>
      <c r="I3066" s="4">
        <f>SalesData[[#This Row],[Profit]]/SalesData[[#This Row],[Sales]]</f>
        <v>0.45999999999999996</v>
      </c>
      <c r="J3066">
        <f>YEAR(SalesData[[#This Row],[Order Date]])</f>
        <v>2015</v>
      </c>
      <c r="K3066" t="str">
        <f>TEXT(SalesData[[#This Row],[Order Date]],"mmm")</f>
        <v>Oct</v>
      </c>
      <c r="L3066">
        <f>MONTH(SalesData[[#This Row],[Order Date]])</f>
        <v>10</v>
      </c>
      <c r="M3066">
        <f>SalesData[[#This Row],[Sales]]/SalesData[[#This Row],[Quantity]]</f>
        <v>24.92</v>
      </c>
      <c r="N3066" t="str">
        <f>IF(SalesData[[#This Row],[Profit]]&gt;0,"Profit","Loss")</f>
        <v>Profit</v>
      </c>
    </row>
    <row r="3067" spans="1:14" x14ac:dyDescent="0.3">
      <c r="A3067" t="s">
        <v>1725</v>
      </c>
      <c r="B3067" s="3">
        <v>42288</v>
      </c>
      <c r="C3067" t="s">
        <v>9</v>
      </c>
      <c r="D3067" t="s">
        <v>14</v>
      </c>
      <c r="E3067" t="s">
        <v>1278</v>
      </c>
      <c r="F3067" s="1">
        <v>29.22</v>
      </c>
      <c r="G3067">
        <v>3</v>
      </c>
      <c r="H3067" s="1">
        <v>12.8568</v>
      </c>
      <c r="I3067" s="4">
        <f>SalesData[[#This Row],[Profit]]/SalesData[[#This Row],[Sales]]</f>
        <v>0.44</v>
      </c>
      <c r="J3067">
        <f>YEAR(SalesData[[#This Row],[Order Date]])</f>
        <v>2015</v>
      </c>
      <c r="K3067" t="str">
        <f>TEXT(SalesData[[#This Row],[Order Date]],"mmm")</f>
        <v>Oct</v>
      </c>
      <c r="L3067">
        <f>MONTH(SalesData[[#This Row],[Order Date]])</f>
        <v>10</v>
      </c>
      <c r="M3067">
        <f>SalesData[[#This Row],[Sales]]/SalesData[[#This Row],[Quantity]]</f>
        <v>9.74</v>
      </c>
      <c r="N3067" t="str">
        <f>IF(SalesData[[#This Row],[Profit]]&gt;0,"Profit","Loss")</f>
        <v>Profit</v>
      </c>
    </row>
    <row r="3068" spans="1:14" x14ac:dyDescent="0.3">
      <c r="A3068" t="s">
        <v>1726</v>
      </c>
      <c r="B3068" s="3">
        <v>42288</v>
      </c>
      <c r="C3068" t="s">
        <v>17</v>
      </c>
      <c r="D3068" t="s">
        <v>21</v>
      </c>
      <c r="E3068" t="s">
        <v>1230</v>
      </c>
      <c r="F3068" s="1">
        <v>577.58399999999995</v>
      </c>
      <c r="G3068">
        <v>6</v>
      </c>
      <c r="H3068" s="1">
        <v>43.318800000000003</v>
      </c>
      <c r="I3068" s="4">
        <f>SalesData[[#This Row],[Profit]]/SalesData[[#This Row],[Sales]]</f>
        <v>7.5000000000000011E-2</v>
      </c>
      <c r="J3068">
        <f>YEAR(SalesData[[#This Row],[Order Date]])</f>
        <v>2015</v>
      </c>
      <c r="K3068" t="str">
        <f>TEXT(SalesData[[#This Row],[Order Date]],"mmm")</f>
        <v>Oct</v>
      </c>
      <c r="L3068">
        <f>MONTH(SalesData[[#This Row],[Order Date]])</f>
        <v>10</v>
      </c>
      <c r="M3068">
        <f>SalesData[[#This Row],[Sales]]/SalesData[[#This Row],[Quantity]]</f>
        <v>96.263999999999996</v>
      </c>
      <c r="N3068" t="str">
        <f>IF(SalesData[[#This Row],[Profit]]&gt;0,"Profit","Loss")</f>
        <v>Profit</v>
      </c>
    </row>
    <row r="3069" spans="1:14" x14ac:dyDescent="0.3">
      <c r="A3069" t="s">
        <v>1727</v>
      </c>
      <c r="B3069" s="3">
        <v>42289</v>
      </c>
      <c r="C3069" t="s">
        <v>9</v>
      </c>
      <c r="D3069" t="s">
        <v>21</v>
      </c>
      <c r="E3069" t="s">
        <v>863</v>
      </c>
      <c r="F3069" s="1">
        <v>3.9</v>
      </c>
      <c r="G3069">
        <v>2</v>
      </c>
      <c r="H3069" s="1">
        <v>1.5209999999999999</v>
      </c>
      <c r="I3069" s="4">
        <f>SalesData[[#This Row],[Profit]]/SalesData[[#This Row],[Sales]]</f>
        <v>0.38999999999999996</v>
      </c>
      <c r="J3069">
        <f>YEAR(SalesData[[#This Row],[Order Date]])</f>
        <v>2015</v>
      </c>
      <c r="K3069" t="str">
        <f>TEXT(SalesData[[#This Row],[Order Date]],"mmm")</f>
        <v>Oct</v>
      </c>
      <c r="L3069">
        <f>MONTH(SalesData[[#This Row],[Order Date]])</f>
        <v>10</v>
      </c>
      <c r="M3069">
        <f>SalesData[[#This Row],[Sales]]/SalesData[[#This Row],[Quantity]]</f>
        <v>1.95</v>
      </c>
      <c r="N3069" t="str">
        <f>IF(SalesData[[#This Row],[Profit]]&gt;0,"Profit","Loss")</f>
        <v>Profit</v>
      </c>
    </row>
    <row r="3070" spans="1:14" x14ac:dyDescent="0.3">
      <c r="A3070" t="s">
        <v>1727</v>
      </c>
      <c r="B3070" s="3">
        <v>42289</v>
      </c>
      <c r="C3070" t="s">
        <v>9</v>
      </c>
      <c r="D3070" t="s">
        <v>14</v>
      </c>
      <c r="E3070" t="s">
        <v>1508</v>
      </c>
      <c r="F3070" s="1">
        <v>801.96</v>
      </c>
      <c r="G3070">
        <v>2</v>
      </c>
      <c r="H3070" s="1">
        <v>200.49</v>
      </c>
      <c r="I3070" s="4">
        <f>SalesData[[#This Row],[Profit]]/SalesData[[#This Row],[Sales]]</f>
        <v>0.25</v>
      </c>
      <c r="J3070">
        <f>YEAR(SalesData[[#This Row],[Order Date]])</f>
        <v>2015</v>
      </c>
      <c r="K3070" t="str">
        <f>TEXT(SalesData[[#This Row],[Order Date]],"mmm")</f>
        <v>Oct</v>
      </c>
      <c r="L3070">
        <f>MONTH(SalesData[[#This Row],[Order Date]])</f>
        <v>10</v>
      </c>
      <c r="M3070">
        <f>SalesData[[#This Row],[Sales]]/SalesData[[#This Row],[Quantity]]</f>
        <v>400.98</v>
      </c>
      <c r="N3070" t="str">
        <f>IF(SalesData[[#This Row],[Profit]]&gt;0,"Profit","Loss")</f>
        <v>Profit</v>
      </c>
    </row>
    <row r="3071" spans="1:14" x14ac:dyDescent="0.3">
      <c r="A3071" t="s">
        <v>1727</v>
      </c>
      <c r="B3071" s="3">
        <v>42289</v>
      </c>
      <c r="C3071" t="s">
        <v>9</v>
      </c>
      <c r="D3071" t="s">
        <v>14</v>
      </c>
      <c r="E3071" t="s">
        <v>707</v>
      </c>
      <c r="F3071" s="1">
        <v>191.96</v>
      </c>
      <c r="G3071">
        <v>2</v>
      </c>
      <c r="H3071" s="1">
        <v>32.633200000000002</v>
      </c>
      <c r="I3071" s="4">
        <f>SalesData[[#This Row],[Profit]]/SalesData[[#This Row],[Sales]]</f>
        <v>0.17</v>
      </c>
      <c r="J3071">
        <f>YEAR(SalesData[[#This Row],[Order Date]])</f>
        <v>2015</v>
      </c>
      <c r="K3071" t="str">
        <f>TEXT(SalesData[[#This Row],[Order Date]],"mmm")</f>
        <v>Oct</v>
      </c>
      <c r="L3071">
        <f>MONTH(SalesData[[#This Row],[Order Date]])</f>
        <v>10</v>
      </c>
      <c r="M3071">
        <f>SalesData[[#This Row],[Sales]]/SalesData[[#This Row],[Quantity]]</f>
        <v>95.98</v>
      </c>
      <c r="N3071" t="str">
        <f>IF(SalesData[[#This Row],[Profit]]&gt;0,"Profit","Loss")</f>
        <v>Profit</v>
      </c>
    </row>
    <row r="3072" spans="1:14" x14ac:dyDescent="0.3">
      <c r="A3072" t="s">
        <v>1727</v>
      </c>
      <c r="B3072" s="3">
        <v>42289</v>
      </c>
      <c r="C3072" t="s">
        <v>9</v>
      </c>
      <c r="D3072" t="s">
        <v>21</v>
      </c>
      <c r="E3072" t="s">
        <v>1728</v>
      </c>
      <c r="F3072" s="1">
        <v>2.61</v>
      </c>
      <c r="G3072">
        <v>1</v>
      </c>
      <c r="H3072" s="1">
        <v>1.2005999999999999</v>
      </c>
      <c r="I3072" s="4">
        <f>SalesData[[#This Row],[Profit]]/SalesData[[#This Row],[Sales]]</f>
        <v>0.45999999999999996</v>
      </c>
      <c r="J3072">
        <f>YEAR(SalesData[[#This Row],[Order Date]])</f>
        <v>2015</v>
      </c>
      <c r="K3072" t="str">
        <f>TEXT(SalesData[[#This Row],[Order Date]],"mmm")</f>
        <v>Oct</v>
      </c>
      <c r="L3072">
        <f>MONTH(SalesData[[#This Row],[Order Date]])</f>
        <v>10</v>
      </c>
      <c r="M3072">
        <f>SalesData[[#This Row],[Sales]]/SalesData[[#This Row],[Quantity]]</f>
        <v>2.61</v>
      </c>
      <c r="N3072" t="str">
        <f>IF(SalesData[[#This Row],[Profit]]&gt;0,"Profit","Loss")</f>
        <v>Profit</v>
      </c>
    </row>
    <row r="3073" spans="1:14" x14ac:dyDescent="0.3">
      <c r="A3073" t="s">
        <v>1729</v>
      </c>
      <c r="B3073" s="3">
        <v>42289</v>
      </c>
      <c r="C3073" t="s">
        <v>46</v>
      </c>
      <c r="D3073" t="s">
        <v>21</v>
      </c>
      <c r="E3073" t="s">
        <v>1730</v>
      </c>
      <c r="F3073" s="1">
        <v>1.78</v>
      </c>
      <c r="G3073">
        <v>1</v>
      </c>
      <c r="H3073" s="1">
        <v>0.49840000000000001</v>
      </c>
      <c r="I3073" s="4">
        <f>SalesData[[#This Row],[Profit]]/SalesData[[#This Row],[Sales]]</f>
        <v>0.28000000000000003</v>
      </c>
      <c r="J3073">
        <f>YEAR(SalesData[[#This Row],[Order Date]])</f>
        <v>2015</v>
      </c>
      <c r="K3073" t="str">
        <f>TEXT(SalesData[[#This Row],[Order Date]],"mmm")</f>
        <v>Oct</v>
      </c>
      <c r="L3073">
        <f>MONTH(SalesData[[#This Row],[Order Date]])</f>
        <v>10</v>
      </c>
      <c r="M3073">
        <f>SalesData[[#This Row],[Sales]]/SalesData[[#This Row],[Quantity]]</f>
        <v>1.78</v>
      </c>
      <c r="N3073" t="str">
        <f>IF(SalesData[[#This Row],[Profit]]&gt;0,"Profit","Loss")</f>
        <v>Profit</v>
      </c>
    </row>
    <row r="3074" spans="1:14" x14ac:dyDescent="0.3">
      <c r="A3074" t="s">
        <v>1729</v>
      </c>
      <c r="B3074" s="3">
        <v>42289</v>
      </c>
      <c r="C3074" t="s">
        <v>46</v>
      </c>
      <c r="D3074" t="s">
        <v>21</v>
      </c>
      <c r="E3074" t="s">
        <v>1731</v>
      </c>
      <c r="F3074" s="1">
        <v>25.92</v>
      </c>
      <c r="G3074">
        <v>4</v>
      </c>
      <c r="H3074" s="1">
        <v>12.441599999999999</v>
      </c>
      <c r="I3074" s="4">
        <f>SalesData[[#This Row],[Profit]]/SalesData[[#This Row],[Sales]]</f>
        <v>0.47999999999999993</v>
      </c>
      <c r="J3074">
        <f>YEAR(SalesData[[#This Row],[Order Date]])</f>
        <v>2015</v>
      </c>
      <c r="K3074" t="str">
        <f>TEXT(SalesData[[#This Row],[Order Date]],"mmm")</f>
        <v>Oct</v>
      </c>
      <c r="L3074">
        <f>MONTH(SalesData[[#This Row],[Order Date]])</f>
        <v>10</v>
      </c>
      <c r="M3074">
        <f>SalesData[[#This Row],[Sales]]/SalesData[[#This Row],[Quantity]]</f>
        <v>6.48</v>
      </c>
      <c r="N3074" t="str">
        <f>IF(SalesData[[#This Row],[Profit]]&gt;0,"Profit","Loss")</f>
        <v>Profit</v>
      </c>
    </row>
    <row r="3075" spans="1:14" x14ac:dyDescent="0.3">
      <c r="A3075" t="s">
        <v>1729</v>
      </c>
      <c r="B3075" s="3">
        <v>42289</v>
      </c>
      <c r="C3075" t="s">
        <v>46</v>
      </c>
      <c r="D3075" t="s">
        <v>10</v>
      </c>
      <c r="E3075" t="s">
        <v>1732</v>
      </c>
      <c r="F3075" s="1">
        <v>101.94</v>
      </c>
      <c r="G3075">
        <v>6</v>
      </c>
      <c r="H3075" s="1">
        <v>21.407399999999999</v>
      </c>
      <c r="I3075" s="4">
        <f>SalesData[[#This Row],[Profit]]/SalesData[[#This Row],[Sales]]</f>
        <v>0.21</v>
      </c>
      <c r="J3075">
        <f>YEAR(SalesData[[#This Row],[Order Date]])</f>
        <v>2015</v>
      </c>
      <c r="K3075" t="str">
        <f>TEXT(SalesData[[#This Row],[Order Date]],"mmm")</f>
        <v>Oct</v>
      </c>
      <c r="L3075">
        <f>MONTH(SalesData[[#This Row],[Order Date]])</f>
        <v>10</v>
      </c>
      <c r="M3075">
        <f>SalesData[[#This Row],[Sales]]/SalesData[[#This Row],[Quantity]]</f>
        <v>16.989999999999998</v>
      </c>
      <c r="N3075" t="str">
        <f>IF(SalesData[[#This Row],[Profit]]&gt;0,"Profit","Loss")</f>
        <v>Profit</v>
      </c>
    </row>
    <row r="3076" spans="1:14" x14ac:dyDescent="0.3">
      <c r="A3076" t="s">
        <v>1733</v>
      </c>
      <c r="B3076" s="3">
        <v>42289</v>
      </c>
      <c r="C3076" t="s">
        <v>17</v>
      </c>
      <c r="D3076" t="s">
        <v>21</v>
      </c>
      <c r="E3076" t="s">
        <v>1734</v>
      </c>
      <c r="F3076" s="1">
        <v>7.31</v>
      </c>
      <c r="G3076">
        <v>1</v>
      </c>
      <c r="H3076" s="1">
        <v>3.4357000000000002</v>
      </c>
      <c r="I3076" s="4">
        <f>SalesData[[#This Row],[Profit]]/SalesData[[#This Row],[Sales]]</f>
        <v>0.47000000000000003</v>
      </c>
      <c r="J3076">
        <f>YEAR(SalesData[[#This Row],[Order Date]])</f>
        <v>2015</v>
      </c>
      <c r="K3076" t="str">
        <f>TEXT(SalesData[[#This Row],[Order Date]],"mmm")</f>
        <v>Oct</v>
      </c>
      <c r="L3076">
        <f>MONTH(SalesData[[#This Row],[Order Date]])</f>
        <v>10</v>
      </c>
      <c r="M3076">
        <f>SalesData[[#This Row],[Sales]]/SalesData[[#This Row],[Quantity]]</f>
        <v>7.31</v>
      </c>
      <c r="N3076" t="str">
        <f>IF(SalesData[[#This Row],[Profit]]&gt;0,"Profit","Loss")</f>
        <v>Profit</v>
      </c>
    </row>
    <row r="3077" spans="1:14" x14ac:dyDescent="0.3">
      <c r="A3077" t="s">
        <v>1733</v>
      </c>
      <c r="B3077" s="3">
        <v>42289</v>
      </c>
      <c r="C3077" t="s">
        <v>17</v>
      </c>
      <c r="D3077" t="s">
        <v>10</v>
      </c>
      <c r="E3077" t="s">
        <v>1455</v>
      </c>
      <c r="F3077" s="1">
        <v>799.98400000000004</v>
      </c>
      <c r="G3077">
        <v>2</v>
      </c>
      <c r="H3077" s="1">
        <v>249.995</v>
      </c>
      <c r="I3077" s="4">
        <f>SalesData[[#This Row],[Profit]]/SalesData[[#This Row],[Sales]]</f>
        <v>0.3125</v>
      </c>
      <c r="J3077">
        <f>YEAR(SalesData[[#This Row],[Order Date]])</f>
        <v>2015</v>
      </c>
      <c r="K3077" t="str">
        <f>TEXT(SalesData[[#This Row],[Order Date]],"mmm")</f>
        <v>Oct</v>
      </c>
      <c r="L3077">
        <f>MONTH(SalesData[[#This Row],[Order Date]])</f>
        <v>10</v>
      </c>
      <c r="M3077">
        <f>SalesData[[#This Row],[Sales]]/SalesData[[#This Row],[Quantity]]</f>
        <v>399.99200000000002</v>
      </c>
      <c r="N3077" t="str">
        <f>IF(SalesData[[#This Row],[Profit]]&gt;0,"Profit","Loss")</f>
        <v>Profit</v>
      </c>
    </row>
    <row r="3078" spans="1:14" x14ac:dyDescent="0.3">
      <c r="A3078" t="s">
        <v>1733</v>
      </c>
      <c r="B3078" s="3">
        <v>42289</v>
      </c>
      <c r="C3078" t="s">
        <v>17</v>
      </c>
      <c r="D3078" t="s">
        <v>21</v>
      </c>
      <c r="E3078" t="s">
        <v>1735</v>
      </c>
      <c r="F3078" s="1">
        <v>41.28</v>
      </c>
      <c r="G3078">
        <v>6</v>
      </c>
      <c r="H3078" s="1">
        <v>18.988800000000001</v>
      </c>
      <c r="I3078" s="4">
        <f>SalesData[[#This Row],[Profit]]/SalesData[[#This Row],[Sales]]</f>
        <v>0.46</v>
      </c>
      <c r="J3078">
        <f>YEAR(SalesData[[#This Row],[Order Date]])</f>
        <v>2015</v>
      </c>
      <c r="K3078" t="str">
        <f>TEXT(SalesData[[#This Row],[Order Date]],"mmm")</f>
        <v>Oct</v>
      </c>
      <c r="L3078">
        <f>MONTH(SalesData[[#This Row],[Order Date]])</f>
        <v>10</v>
      </c>
      <c r="M3078">
        <f>SalesData[[#This Row],[Sales]]/SalesData[[#This Row],[Quantity]]</f>
        <v>6.88</v>
      </c>
      <c r="N3078" t="str">
        <f>IF(SalesData[[#This Row],[Profit]]&gt;0,"Profit","Loss")</f>
        <v>Profit</v>
      </c>
    </row>
    <row r="3079" spans="1:14" x14ac:dyDescent="0.3">
      <c r="A3079" t="s">
        <v>1733</v>
      </c>
      <c r="B3079" s="3">
        <v>42289</v>
      </c>
      <c r="C3079" t="s">
        <v>17</v>
      </c>
      <c r="D3079" t="s">
        <v>21</v>
      </c>
      <c r="E3079" t="s">
        <v>1736</v>
      </c>
      <c r="F3079" s="1">
        <v>184.66</v>
      </c>
      <c r="G3079">
        <v>7</v>
      </c>
      <c r="H3079" s="1">
        <v>84.943600000000004</v>
      </c>
      <c r="I3079" s="4">
        <f>SalesData[[#This Row],[Profit]]/SalesData[[#This Row],[Sales]]</f>
        <v>0.46</v>
      </c>
      <c r="J3079">
        <f>YEAR(SalesData[[#This Row],[Order Date]])</f>
        <v>2015</v>
      </c>
      <c r="K3079" t="str">
        <f>TEXT(SalesData[[#This Row],[Order Date]],"mmm")</f>
        <v>Oct</v>
      </c>
      <c r="L3079">
        <f>MONTH(SalesData[[#This Row],[Order Date]])</f>
        <v>10</v>
      </c>
      <c r="M3079">
        <f>SalesData[[#This Row],[Sales]]/SalesData[[#This Row],[Quantity]]</f>
        <v>26.38</v>
      </c>
      <c r="N3079" t="str">
        <f>IF(SalesData[[#This Row],[Profit]]&gt;0,"Profit","Loss")</f>
        <v>Profit</v>
      </c>
    </row>
    <row r="3080" spans="1:14" x14ac:dyDescent="0.3">
      <c r="A3080" t="s">
        <v>1737</v>
      </c>
      <c r="B3080" s="3">
        <v>42289</v>
      </c>
      <c r="C3080" t="s">
        <v>17</v>
      </c>
      <c r="D3080" t="s">
        <v>21</v>
      </c>
      <c r="E3080" t="s">
        <v>1710</v>
      </c>
      <c r="F3080" s="1">
        <v>27.36</v>
      </c>
      <c r="G3080">
        <v>9</v>
      </c>
      <c r="H3080" s="1">
        <v>9.3024000000000004</v>
      </c>
      <c r="I3080" s="4">
        <f>SalesData[[#This Row],[Profit]]/SalesData[[#This Row],[Sales]]</f>
        <v>0.34</v>
      </c>
      <c r="J3080">
        <f>YEAR(SalesData[[#This Row],[Order Date]])</f>
        <v>2015</v>
      </c>
      <c r="K3080" t="str">
        <f>TEXT(SalesData[[#This Row],[Order Date]],"mmm")</f>
        <v>Oct</v>
      </c>
      <c r="L3080">
        <f>MONTH(SalesData[[#This Row],[Order Date]])</f>
        <v>10</v>
      </c>
      <c r="M3080">
        <f>SalesData[[#This Row],[Sales]]/SalesData[[#This Row],[Quantity]]</f>
        <v>3.04</v>
      </c>
      <c r="N3080" t="str">
        <f>IF(SalesData[[#This Row],[Profit]]&gt;0,"Profit","Loss")</f>
        <v>Profit</v>
      </c>
    </row>
    <row r="3081" spans="1:14" x14ac:dyDescent="0.3">
      <c r="A3081" t="s">
        <v>1737</v>
      </c>
      <c r="B3081" s="3">
        <v>42289</v>
      </c>
      <c r="C3081" t="s">
        <v>17</v>
      </c>
      <c r="D3081" t="s">
        <v>21</v>
      </c>
      <c r="E3081" t="s">
        <v>804</v>
      </c>
      <c r="F3081" s="1">
        <v>44.75</v>
      </c>
      <c r="G3081">
        <v>5</v>
      </c>
      <c r="H3081" s="1">
        <v>20.585000000000001</v>
      </c>
      <c r="I3081" s="4">
        <f>SalesData[[#This Row],[Profit]]/SalesData[[#This Row],[Sales]]</f>
        <v>0.46</v>
      </c>
      <c r="J3081">
        <f>YEAR(SalesData[[#This Row],[Order Date]])</f>
        <v>2015</v>
      </c>
      <c r="K3081" t="str">
        <f>TEXT(SalesData[[#This Row],[Order Date]],"mmm")</f>
        <v>Oct</v>
      </c>
      <c r="L3081">
        <f>MONTH(SalesData[[#This Row],[Order Date]])</f>
        <v>10</v>
      </c>
      <c r="M3081">
        <f>SalesData[[#This Row],[Sales]]/SalesData[[#This Row],[Quantity]]</f>
        <v>8.9499999999999993</v>
      </c>
      <c r="N3081" t="str">
        <f>IF(SalesData[[#This Row],[Profit]]&gt;0,"Profit","Loss")</f>
        <v>Profit</v>
      </c>
    </row>
    <row r="3082" spans="1:14" x14ac:dyDescent="0.3">
      <c r="A3082" t="s">
        <v>1737</v>
      </c>
      <c r="B3082" s="3">
        <v>42289</v>
      </c>
      <c r="C3082" t="s">
        <v>17</v>
      </c>
      <c r="D3082" t="s">
        <v>10</v>
      </c>
      <c r="E3082" t="s">
        <v>850</v>
      </c>
      <c r="F3082" s="1">
        <v>134.99</v>
      </c>
      <c r="G3082">
        <v>1</v>
      </c>
      <c r="H3082" s="1">
        <v>36.447299999999998</v>
      </c>
      <c r="I3082" s="4">
        <f>SalesData[[#This Row],[Profit]]/SalesData[[#This Row],[Sales]]</f>
        <v>0.26999999999999996</v>
      </c>
      <c r="J3082">
        <f>YEAR(SalesData[[#This Row],[Order Date]])</f>
        <v>2015</v>
      </c>
      <c r="K3082" t="str">
        <f>TEXT(SalesData[[#This Row],[Order Date]],"mmm")</f>
        <v>Oct</v>
      </c>
      <c r="L3082">
        <f>MONTH(SalesData[[#This Row],[Order Date]])</f>
        <v>10</v>
      </c>
      <c r="M3082">
        <f>SalesData[[#This Row],[Sales]]/SalesData[[#This Row],[Quantity]]</f>
        <v>134.99</v>
      </c>
      <c r="N3082" t="str">
        <f>IF(SalesData[[#This Row],[Profit]]&gt;0,"Profit","Loss")</f>
        <v>Profit</v>
      </c>
    </row>
    <row r="3083" spans="1:14" x14ac:dyDescent="0.3">
      <c r="A3083" t="s">
        <v>1737</v>
      </c>
      <c r="B3083" s="3">
        <v>42289</v>
      </c>
      <c r="C3083" t="s">
        <v>17</v>
      </c>
      <c r="D3083" t="s">
        <v>21</v>
      </c>
      <c r="E3083" t="s">
        <v>816</v>
      </c>
      <c r="F3083" s="1">
        <v>26.4</v>
      </c>
      <c r="G3083">
        <v>5</v>
      </c>
      <c r="H3083" s="1">
        <v>12.672000000000001</v>
      </c>
      <c r="I3083" s="4">
        <f>SalesData[[#This Row],[Profit]]/SalesData[[#This Row],[Sales]]</f>
        <v>0.48000000000000004</v>
      </c>
      <c r="J3083">
        <f>YEAR(SalesData[[#This Row],[Order Date]])</f>
        <v>2015</v>
      </c>
      <c r="K3083" t="str">
        <f>TEXT(SalesData[[#This Row],[Order Date]],"mmm")</f>
        <v>Oct</v>
      </c>
      <c r="L3083">
        <f>MONTH(SalesData[[#This Row],[Order Date]])</f>
        <v>10</v>
      </c>
      <c r="M3083">
        <f>SalesData[[#This Row],[Sales]]/SalesData[[#This Row],[Quantity]]</f>
        <v>5.2799999999999994</v>
      </c>
      <c r="N3083" t="str">
        <f>IF(SalesData[[#This Row],[Profit]]&gt;0,"Profit","Loss")</f>
        <v>Profit</v>
      </c>
    </row>
    <row r="3084" spans="1:14" x14ac:dyDescent="0.3">
      <c r="A3084" t="s">
        <v>1737</v>
      </c>
      <c r="B3084" s="3">
        <v>42289</v>
      </c>
      <c r="C3084" t="s">
        <v>17</v>
      </c>
      <c r="D3084" t="s">
        <v>14</v>
      </c>
      <c r="E3084" t="s">
        <v>1567</v>
      </c>
      <c r="F3084" s="1">
        <v>542.94000000000005</v>
      </c>
      <c r="G3084">
        <v>3</v>
      </c>
      <c r="H3084" s="1">
        <v>141.1644</v>
      </c>
      <c r="I3084" s="4">
        <f>SalesData[[#This Row],[Profit]]/SalesData[[#This Row],[Sales]]</f>
        <v>0.25999999999999995</v>
      </c>
      <c r="J3084">
        <f>YEAR(SalesData[[#This Row],[Order Date]])</f>
        <v>2015</v>
      </c>
      <c r="K3084" t="str">
        <f>TEXT(SalesData[[#This Row],[Order Date]],"mmm")</f>
        <v>Oct</v>
      </c>
      <c r="L3084">
        <f>MONTH(SalesData[[#This Row],[Order Date]])</f>
        <v>10</v>
      </c>
      <c r="M3084">
        <f>SalesData[[#This Row],[Sales]]/SalesData[[#This Row],[Quantity]]</f>
        <v>180.98000000000002</v>
      </c>
      <c r="N3084" t="str">
        <f>IF(SalesData[[#This Row],[Profit]]&gt;0,"Profit","Loss")</f>
        <v>Profit</v>
      </c>
    </row>
    <row r="3085" spans="1:14" x14ac:dyDescent="0.3">
      <c r="A3085" t="s">
        <v>1738</v>
      </c>
      <c r="B3085" s="3">
        <v>42289</v>
      </c>
      <c r="C3085" t="s">
        <v>13</v>
      </c>
      <c r="D3085" t="s">
        <v>21</v>
      </c>
      <c r="E3085" t="s">
        <v>952</v>
      </c>
      <c r="F3085" s="1">
        <v>56.3</v>
      </c>
      <c r="G3085">
        <v>2</v>
      </c>
      <c r="H3085" s="1">
        <v>15.763999999999999</v>
      </c>
      <c r="I3085" s="4">
        <f>SalesData[[#This Row],[Profit]]/SalesData[[#This Row],[Sales]]</f>
        <v>0.28000000000000003</v>
      </c>
      <c r="J3085">
        <f>YEAR(SalesData[[#This Row],[Order Date]])</f>
        <v>2015</v>
      </c>
      <c r="K3085" t="str">
        <f>TEXT(SalesData[[#This Row],[Order Date]],"mmm")</f>
        <v>Oct</v>
      </c>
      <c r="L3085">
        <f>MONTH(SalesData[[#This Row],[Order Date]])</f>
        <v>10</v>
      </c>
      <c r="M3085">
        <f>SalesData[[#This Row],[Sales]]/SalesData[[#This Row],[Quantity]]</f>
        <v>28.15</v>
      </c>
      <c r="N3085" t="str">
        <f>IF(SalesData[[#This Row],[Profit]]&gt;0,"Profit","Loss")</f>
        <v>Profit</v>
      </c>
    </row>
    <row r="3086" spans="1:14" x14ac:dyDescent="0.3">
      <c r="A3086" t="s">
        <v>1739</v>
      </c>
      <c r="B3086" s="3">
        <v>42289</v>
      </c>
      <c r="C3086" t="s">
        <v>9</v>
      </c>
      <c r="D3086" t="s">
        <v>21</v>
      </c>
      <c r="E3086" t="s">
        <v>1740</v>
      </c>
      <c r="F3086" s="1">
        <v>53.088000000000001</v>
      </c>
      <c r="G3086">
        <v>7</v>
      </c>
      <c r="H3086" s="1">
        <v>-108.8304</v>
      </c>
      <c r="I3086" s="4">
        <f>SalesData[[#This Row],[Profit]]/SalesData[[#This Row],[Sales]]</f>
        <v>-2.0499999999999998</v>
      </c>
      <c r="J3086">
        <f>YEAR(SalesData[[#This Row],[Order Date]])</f>
        <v>2015</v>
      </c>
      <c r="K3086" t="str">
        <f>TEXT(SalesData[[#This Row],[Order Date]],"mmm")</f>
        <v>Oct</v>
      </c>
      <c r="L3086">
        <f>MONTH(SalesData[[#This Row],[Order Date]])</f>
        <v>10</v>
      </c>
      <c r="M3086">
        <f>SalesData[[#This Row],[Sales]]/SalesData[[#This Row],[Quantity]]</f>
        <v>7.5840000000000005</v>
      </c>
      <c r="N3086" t="str">
        <f>IF(SalesData[[#This Row],[Profit]]&gt;0,"Profit","Loss")</f>
        <v>Loss</v>
      </c>
    </row>
    <row r="3087" spans="1:14" x14ac:dyDescent="0.3">
      <c r="A3087" t="s">
        <v>1741</v>
      </c>
      <c r="B3087" s="3">
        <v>42289</v>
      </c>
      <c r="C3087" t="s">
        <v>13</v>
      </c>
      <c r="D3087" t="s">
        <v>21</v>
      </c>
      <c r="E3087" t="s">
        <v>1653</v>
      </c>
      <c r="F3087" s="1">
        <v>5.76</v>
      </c>
      <c r="G3087">
        <v>2</v>
      </c>
      <c r="H3087" s="1">
        <v>2.8224</v>
      </c>
      <c r="I3087" s="4">
        <f>SalesData[[#This Row],[Profit]]/SalesData[[#This Row],[Sales]]</f>
        <v>0.49000000000000005</v>
      </c>
      <c r="J3087">
        <f>YEAR(SalesData[[#This Row],[Order Date]])</f>
        <v>2015</v>
      </c>
      <c r="K3087" t="str">
        <f>TEXT(SalesData[[#This Row],[Order Date]],"mmm")</f>
        <v>Oct</v>
      </c>
      <c r="L3087">
        <f>MONTH(SalesData[[#This Row],[Order Date]])</f>
        <v>10</v>
      </c>
      <c r="M3087">
        <f>SalesData[[#This Row],[Sales]]/SalesData[[#This Row],[Quantity]]</f>
        <v>2.88</v>
      </c>
      <c r="N3087" t="str">
        <f>IF(SalesData[[#This Row],[Profit]]&gt;0,"Profit","Loss")</f>
        <v>Profit</v>
      </c>
    </row>
    <row r="3088" spans="1:14" x14ac:dyDescent="0.3">
      <c r="A3088" t="s">
        <v>1742</v>
      </c>
      <c r="B3088" s="3">
        <v>42289</v>
      </c>
      <c r="C3088" t="s">
        <v>17</v>
      </c>
      <c r="D3088" t="s">
        <v>10</v>
      </c>
      <c r="E3088" t="s">
        <v>457</v>
      </c>
      <c r="F3088" s="1">
        <v>25.488</v>
      </c>
      <c r="G3088">
        <v>2</v>
      </c>
      <c r="H3088" s="1">
        <v>4.4603999999999999</v>
      </c>
      <c r="I3088" s="4">
        <f>SalesData[[#This Row],[Profit]]/SalesData[[#This Row],[Sales]]</f>
        <v>0.17499999999999999</v>
      </c>
      <c r="J3088">
        <f>YEAR(SalesData[[#This Row],[Order Date]])</f>
        <v>2015</v>
      </c>
      <c r="K3088" t="str">
        <f>TEXT(SalesData[[#This Row],[Order Date]],"mmm")</f>
        <v>Oct</v>
      </c>
      <c r="L3088">
        <f>MONTH(SalesData[[#This Row],[Order Date]])</f>
        <v>10</v>
      </c>
      <c r="M3088">
        <f>SalesData[[#This Row],[Sales]]/SalesData[[#This Row],[Quantity]]</f>
        <v>12.744</v>
      </c>
      <c r="N3088" t="str">
        <f>IF(SalesData[[#This Row],[Profit]]&gt;0,"Profit","Loss")</f>
        <v>Profit</v>
      </c>
    </row>
    <row r="3089" spans="1:14" x14ac:dyDescent="0.3">
      <c r="A3089" t="s">
        <v>1743</v>
      </c>
      <c r="B3089" s="3">
        <v>42312</v>
      </c>
      <c r="C3089" t="s">
        <v>17</v>
      </c>
      <c r="D3089" t="s">
        <v>10</v>
      </c>
      <c r="E3089" t="s">
        <v>354</v>
      </c>
      <c r="F3089" s="1">
        <v>85.14</v>
      </c>
      <c r="G3089">
        <v>3</v>
      </c>
      <c r="H3089" s="1">
        <v>34.907400000000003</v>
      </c>
      <c r="I3089" s="4">
        <f>SalesData[[#This Row],[Profit]]/SalesData[[#This Row],[Sales]]</f>
        <v>0.41000000000000003</v>
      </c>
      <c r="J3089">
        <f>YEAR(SalesData[[#This Row],[Order Date]])</f>
        <v>2015</v>
      </c>
      <c r="K3089" t="str">
        <f>TEXT(SalesData[[#This Row],[Order Date]],"mmm")</f>
        <v>Nov</v>
      </c>
      <c r="L3089">
        <f>MONTH(SalesData[[#This Row],[Order Date]])</f>
        <v>11</v>
      </c>
      <c r="M3089">
        <f>SalesData[[#This Row],[Sales]]/SalesData[[#This Row],[Quantity]]</f>
        <v>28.38</v>
      </c>
      <c r="N3089" t="str">
        <f>IF(SalesData[[#This Row],[Profit]]&gt;0,"Profit","Loss")</f>
        <v>Profit</v>
      </c>
    </row>
    <row r="3090" spans="1:14" x14ac:dyDescent="0.3">
      <c r="A3090" t="s">
        <v>1743</v>
      </c>
      <c r="B3090" s="3">
        <v>42312</v>
      </c>
      <c r="C3090" t="s">
        <v>17</v>
      </c>
      <c r="D3090" t="s">
        <v>10</v>
      </c>
      <c r="E3090" t="s">
        <v>1744</v>
      </c>
      <c r="F3090" s="1">
        <v>21.99</v>
      </c>
      <c r="G3090">
        <v>1</v>
      </c>
      <c r="H3090" s="1">
        <v>10.555199999999999</v>
      </c>
      <c r="I3090" s="4">
        <f>SalesData[[#This Row],[Profit]]/SalesData[[#This Row],[Sales]]</f>
        <v>0.48</v>
      </c>
      <c r="J3090">
        <f>YEAR(SalesData[[#This Row],[Order Date]])</f>
        <v>2015</v>
      </c>
      <c r="K3090" t="str">
        <f>TEXT(SalesData[[#This Row],[Order Date]],"mmm")</f>
        <v>Nov</v>
      </c>
      <c r="L3090">
        <f>MONTH(SalesData[[#This Row],[Order Date]])</f>
        <v>11</v>
      </c>
      <c r="M3090">
        <f>SalesData[[#This Row],[Sales]]/SalesData[[#This Row],[Quantity]]</f>
        <v>21.99</v>
      </c>
      <c r="N3090" t="str">
        <f>IF(SalesData[[#This Row],[Profit]]&gt;0,"Profit","Loss")</f>
        <v>Profit</v>
      </c>
    </row>
    <row r="3091" spans="1:14" x14ac:dyDescent="0.3">
      <c r="A3091" t="s">
        <v>1743</v>
      </c>
      <c r="B3091" s="3">
        <v>42312</v>
      </c>
      <c r="C3091" t="s">
        <v>17</v>
      </c>
      <c r="D3091" t="s">
        <v>21</v>
      </c>
      <c r="E3091" t="s">
        <v>1745</v>
      </c>
      <c r="F3091" s="1">
        <v>406.6</v>
      </c>
      <c r="G3091">
        <v>5</v>
      </c>
      <c r="H3091" s="1">
        <v>113.848</v>
      </c>
      <c r="I3091" s="4">
        <f>SalesData[[#This Row],[Profit]]/SalesData[[#This Row],[Sales]]</f>
        <v>0.27999999999999997</v>
      </c>
      <c r="J3091">
        <f>YEAR(SalesData[[#This Row],[Order Date]])</f>
        <v>2015</v>
      </c>
      <c r="K3091" t="str">
        <f>TEXT(SalesData[[#This Row],[Order Date]],"mmm")</f>
        <v>Nov</v>
      </c>
      <c r="L3091">
        <f>MONTH(SalesData[[#This Row],[Order Date]])</f>
        <v>11</v>
      </c>
      <c r="M3091">
        <f>SalesData[[#This Row],[Sales]]/SalesData[[#This Row],[Quantity]]</f>
        <v>81.320000000000007</v>
      </c>
      <c r="N3091" t="str">
        <f>IF(SalesData[[#This Row],[Profit]]&gt;0,"Profit","Loss")</f>
        <v>Profit</v>
      </c>
    </row>
    <row r="3092" spans="1:14" x14ac:dyDescent="0.3">
      <c r="A3092" t="s">
        <v>1746</v>
      </c>
      <c r="B3092" s="3">
        <v>42312</v>
      </c>
      <c r="C3092" t="s">
        <v>46</v>
      </c>
      <c r="D3092" t="s">
        <v>14</v>
      </c>
      <c r="E3092" t="s">
        <v>1747</v>
      </c>
      <c r="F3092" s="1">
        <v>67.36</v>
      </c>
      <c r="G3092">
        <v>2</v>
      </c>
      <c r="H3092" s="1">
        <v>10.103999999999999</v>
      </c>
      <c r="I3092" s="4">
        <f>SalesData[[#This Row],[Profit]]/SalesData[[#This Row],[Sales]]</f>
        <v>0.15</v>
      </c>
      <c r="J3092">
        <f>YEAR(SalesData[[#This Row],[Order Date]])</f>
        <v>2015</v>
      </c>
      <c r="K3092" t="str">
        <f>TEXT(SalesData[[#This Row],[Order Date]],"mmm")</f>
        <v>Nov</v>
      </c>
      <c r="L3092">
        <f>MONTH(SalesData[[#This Row],[Order Date]])</f>
        <v>11</v>
      </c>
      <c r="M3092">
        <f>SalesData[[#This Row],[Sales]]/SalesData[[#This Row],[Quantity]]</f>
        <v>33.68</v>
      </c>
      <c r="N3092" t="str">
        <f>IF(SalesData[[#This Row],[Profit]]&gt;0,"Profit","Loss")</f>
        <v>Profit</v>
      </c>
    </row>
    <row r="3093" spans="1:14" x14ac:dyDescent="0.3">
      <c r="A3093" t="s">
        <v>1746</v>
      </c>
      <c r="B3093" s="3">
        <v>42312</v>
      </c>
      <c r="C3093" t="s">
        <v>46</v>
      </c>
      <c r="D3093" t="s">
        <v>14</v>
      </c>
      <c r="E3093" t="s">
        <v>1748</v>
      </c>
      <c r="F3093" s="1">
        <v>54.527999999999999</v>
      </c>
      <c r="G3093">
        <v>3</v>
      </c>
      <c r="H3093" s="1">
        <v>14.313599999999999</v>
      </c>
      <c r="I3093" s="4">
        <f>SalesData[[#This Row],[Profit]]/SalesData[[#This Row],[Sales]]</f>
        <v>0.26250000000000001</v>
      </c>
      <c r="J3093">
        <f>YEAR(SalesData[[#This Row],[Order Date]])</f>
        <v>2015</v>
      </c>
      <c r="K3093" t="str">
        <f>TEXT(SalesData[[#This Row],[Order Date]],"mmm")</f>
        <v>Nov</v>
      </c>
      <c r="L3093">
        <f>MONTH(SalesData[[#This Row],[Order Date]])</f>
        <v>11</v>
      </c>
      <c r="M3093">
        <f>SalesData[[#This Row],[Sales]]/SalesData[[#This Row],[Quantity]]</f>
        <v>18.175999999999998</v>
      </c>
      <c r="N3093" t="str">
        <f>IF(SalesData[[#This Row],[Profit]]&gt;0,"Profit","Loss")</f>
        <v>Profit</v>
      </c>
    </row>
    <row r="3094" spans="1:14" x14ac:dyDescent="0.3">
      <c r="A3094" t="s">
        <v>1749</v>
      </c>
      <c r="B3094" s="3">
        <v>42312</v>
      </c>
      <c r="C3094" t="s">
        <v>13</v>
      </c>
      <c r="D3094" t="s">
        <v>10</v>
      </c>
      <c r="E3094" t="s">
        <v>1750</v>
      </c>
      <c r="F3094" s="1">
        <v>639.96799999999996</v>
      </c>
      <c r="G3094">
        <v>4</v>
      </c>
      <c r="H3094" s="1">
        <v>215.98920000000001</v>
      </c>
      <c r="I3094" s="4">
        <f>SalesData[[#This Row],[Profit]]/SalesData[[#This Row],[Sales]]</f>
        <v>0.33750000000000002</v>
      </c>
      <c r="J3094">
        <f>YEAR(SalesData[[#This Row],[Order Date]])</f>
        <v>2015</v>
      </c>
      <c r="K3094" t="str">
        <f>TEXT(SalesData[[#This Row],[Order Date]],"mmm")</f>
        <v>Nov</v>
      </c>
      <c r="L3094">
        <f>MONTH(SalesData[[#This Row],[Order Date]])</f>
        <v>11</v>
      </c>
      <c r="M3094">
        <f>SalesData[[#This Row],[Sales]]/SalesData[[#This Row],[Quantity]]</f>
        <v>159.99199999999999</v>
      </c>
      <c r="N3094" t="str">
        <f>IF(SalesData[[#This Row],[Profit]]&gt;0,"Profit","Loss")</f>
        <v>Profit</v>
      </c>
    </row>
    <row r="3095" spans="1:14" x14ac:dyDescent="0.3">
      <c r="A3095" t="s">
        <v>1749</v>
      </c>
      <c r="B3095" s="3">
        <v>42312</v>
      </c>
      <c r="C3095" t="s">
        <v>13</v>
      </c>
      <c r="D3095" t="s">
        <v>21</v>
      </c>
      <c r="E3095" t="s">
        <v>94</v>
      </c>
      <c r="F3095" s="1">
        <v>52.76</v>
      </c>
      <c r="G3095">
        <v>2</v>
      </c>
      <c r="H3095" s="1">
        <v>24.269600000000001</v>
      </c>
      <c r="I3095" s="4">
        <f>SalesData[[#This Row],[Profit]]/SalesData[[#This Row],[Sales]]</f>
        <v>0.46</v>
      </c>
      <c r="J3095">
        <f>YEAR(SalesData[[#This Row],[Order Date]])</f>
        <v>2015</v>
      </c>
      <c r="K3095" t="str">
        <f>TEXT(SalesData[[#This Row],[Order Date]],"mmm")</f>
        <v>Nov</v>
      </c>
      <c r="L3095">
        <f>MONTH(SalesData[[#This Row],[Order Date]])</f>
        <v>11</v>
      </c>
      <c r="M3095">
        <f>SalesData[[#This Row],[Sales]]/SalesData[[#This Row],[Quantity]]</f>
        <v>26.38</v>
      </c>
      <c r="N3095" t="str">
        <f>IF(SalesData[[#This Row],[Profit]]&gt;0,"Profit","Loss")</f>
        <v>Profit</v>
      </c>
    </row>
    <row r="3096" spans="1:14" x14ac:dyDescent="0.3">
      <c r="A3096" t="s">
        <v>1751</v>
      </c>
      <c r="B3096" s="3">
        <v>42313</v>
      </c>
      <c r="C3096" t="s">
        <v>13</v>
      </c>
      <c r="D3096" t="s">
        <v>14</v>
      </c>
      <c r="E3096" t="s">
        <v>1752</v>
      </c>
      <c r="F3096" s="1">
        <v>191.96799999999999</v>
      </c>
      <c r="G3096">
        <v>7</v>
      </c>
      <c r="H3096" s="1">
        <v>16.7972</v>
      </c>
      <c r="I3096" s="4">
        <f>SalesData[[#This Row],[Profit]]/SalesData[[#This Row],[Sales]]</f>
        <v>8.7500000000000008E-2</v>
      </c>
      <c r="J3096">
        <f>YEAR(SalesData[[#This Row],[Order Date]])</f>
        <v>2015</v>
      </c>
      <c r="K3096" t="str">
        <f>TEXT(SalesData[[#This Row],[Order Date]],"mmm")</f>
        <v>Nov</v>
      </c>
      <c r="L3096">
        <f>MONTH(SalesData[[#This Row],[Order Date]])</f>
        <v>11</v>
      </c>
      <c r="M3096">
        <f>SalesData[[#This Row],[Sales]]/SalesData[[#This Row],[Quantity]]</f>
        <v>27.423999999999999</v>
      </c>
      <c r="N3096" t="str">
        <f>IF(SalesData[[#This Row],[Profit]]&gt;0,"Profit","Loss")</f>
        <v>Profit</v>
      </c>
    </row>
    <row r="3097" spans="1:14" x14ac:dyDescent="0.3">
      <c r="A3097" t="s">
        <v>1753</v>
      </c>
      <c r="B3097" s="3">
        <v>42314</v>
      </c>
      <c r="C3097" t="s">
        <v>46</v>
      </c>
      <c r="D3097" t="s">
        <v>10</v>
      </c>
      <c r="E3097" t="s">
        <v>179</v>
      </c>
      <c r="F3097" s="1">
        <v>53.7</v>
      </c>
      <c r="G3097">
        <v>6</v>
      </c>
      <c r="H3097" s="1">
        <v>10.202999999999999</v>
      </c>
      <c r="I3097" s="4">
        <f>SalesData[[#This Row],[Profit]]/SalesData[[#This Row],[Sales]]</f>
        <v>0.18999999999999997</v>
      </c>
      <c r="J3097">
        <f>YEAR(SalesData[[#This Row],[Order Date]])</f>
        <v>2015</v>
      </c>
      <c r="K3097" t="str">
        <f>TEXT(SalesData[[#This Row],[Order Date]],"mmm")</f>
        <v>Nov</v>
      </c>
      <c r="L3097">
        <f>MONTH(SalesData[[#This Row],[Order Date]])</f>
        <v>11</v>
      </c>
      <c r="M3097">
        <f>SalesData[[#This Row],[Sales]]/SalesData[[#This Row],[Quantity]]</f>
        <v>8.9500000000000011</v>
      </c>
      <c r="N3097" t="str">
        <f>IF(SalesData[[#This Row],[Profit]]&gt;0,"Profit","Loss")</f>
        <v>Profit</v>
      </c>
    </row>
    <row r="3098" spans="1:14" x14ac:dyDescent="0.3">
      <c r="A3098" t="s">
        <v>1753</v>
      </c>
      <c r="B3098" s="3">
        <v>42314</v>
      </c>
      <c r="C3098" t="s">
        <v>46</v>
      </c>
      <c r="D3098" t="s">
        <v>21</v>
      </c>
      <c r="E3098" t="s">
        <v>1435</v>
      </c>
      <c r="F3098" s="1">
        <v>36.26</v>
      </c>
      <c r="G3098">
        <v>7</v>
      </c>
      <c r="H3098" s="1">
        <v>16.679600000000001</v>
      </c>
      <c r="I3098" s="4">
        <f>SalesData[[#This Row],[Profit]]/SalesData[[#This Row],[Sales]]</f>
        <v>0.46</v>
      </c>
      <c r="J3098">
        <f>YEAR(SalesData[[#This Row],[Order Date]])</f>
        <v>2015</v>
      </c>
      <c r="K3098" t="str">
        <f>TEXT(SalesData[[#This Row],[Order Date]],"mmm")</f>
        <v>Nov</v>
      </c>
      <c r="L3098">
        <f>MONTH(SalesData[[#This Row],[Order Date]])</f>
        <v>11</v>
      </c>
      <c r="M3098">
        <f>SalesData[[#This Row],[Sales]]/SalesData[[#This Row],[Quantity]]</f>
        <v>5.18</v>
      </c>
      <c r="N3098" t="str">
        <f>IF(SalesData[[#This Row],[Profit]]&gt;0,"Profit","Loss")</f>
        <v>Profit</v>
      </c>
    </row>
    <row r="3099" spans="1:14" x14ac:dyDescent="0.3">
      <c r="A3099" t="s">
        <v>1753</v>
      </c>
      <c r="B3099" s="3">
        <v>42314</v>
      </c>
      <c r="C3099" t="s">
        <v>46</v>
      </c>
      <c r="D3099" t="s">
        <v>21</v>
      </c>
      <c r="E3099" t="s">
        <v>952</v>
      </c>
      <c r="F3099" s="1">
        <v>56.3</v>
      </c>
      <c r="G3099">
        <v>2</v>
      </c>
      <c r="H3099" s="1">
        <v>15.763999999999999</v>
      </c>
      <c r="I3099" s="4">
        <f>SalesData[[#This Row],[Profit]]/SalesData[[#This Row],[Sales]]</f>
        <v>0.28000000000000003</v>
      </c>
      <c r="J3099">
        <f>YEAR(SalesData[[#This Row],[Order Date]])</f>
        <v>2015</v>
      </c>
      <c r="K3099" t="str">
        <f>TEXT(SalesData[[#This Row],[Order Date]],"mmm")</f>
        <v>Nov</v>
      </c>
      <c r="L3099">
        <f>MONTH(SalesData[[#This Row],[Order Date]])</f>
        <v>11</v>
      </c>
      <c r="M3099">
        <f>SalesData[[#This Row],[Sales]]/SalesData[[#This Row],[Quantity]]</f>
        <v>28.15</v>
      </c>
      <c r="N3099" t="str">
        <f>IF(SalesData[[#This Row],[Profit]]&gt;0,"Profit","Loss")</f>
        <v>Profit</v>
      </c>
    </row>
    <row r="3100" spans="1:14" x14ac:dyDescent="0.3">
      <c r="A3100" t="s">
        <v>1753</v>
      </c>
      <c r="B3100" s="3">
        <v>42314</v>
      </c>
      <c r="C3100" t="s">
        <v>46</v>
      </c>
      <c r="D3100" t="s">
        <v>21</v>
      </c>
      <c r="E3100" t="s">
        <v>1754</v>
      </c>
      <c r="F3100" s="1">
        <v>32.4</v>
      </c>
      <c r="G3100">
        <v>5</v>
      </c>
      <c r="H3100" s="1">
        <v>15.552</v>
      </c>
      <c r="I3100" s="4">
        <f>SalesData[[#This Row],[Profit]]/SalesData[[#This Row],[Sales]]</f>
        <v>0.48</v>
      </c>
      <c r="J3100">
        <f>YEAR(SalesData[[#This Row],[Order Date]])</f>
        <v>2015</v>
      </c>
      <c r="K3100" t="str">
        <f>TEXT(SalesData[[#This Row],[Order Date]],"mmm")</f>
        <v>Nov</v>
      </c>
      <c r="L3100">
        <f>MONTH(SalesData[[#This Row],[Order Date]])</f>
        <v>11</v>
      </c>
      <c r="M3100">
        <f>SalesData[[#This Row],[Sales]]/SalesData[[#This Row],[Quantity]]</f>
        <v>6.4799999999999995</v>
      </c>
      <c r="N3100" t="str">
        <f>IF(SalesData[[#This Row],[Profit]]&gt;0,"Profit","Loss")</f>
        <v>Profit</v>
      </c>
    </row>
    <row r="3101" spans="1:14" x14ac:dyDescent="0.3">
      <c r="A3101" t="s">
        <v>1753</v>
      </c>
      <c r="B3101" s="3">
        <v>42314</v>
      </c>
      <c r="C3101" t="s">
        <v>46</v>
      </c>
      <c r="D3101" t="s">
        <v>14</v>
      </c>
      <c r="E3101" t="s">
        <v>1755</v>
      </c>
      <c r="F3101" s="1">
        <v>29.16</v>
      </c>
      <c r="G3101">
        <v>2</v>
      </c>
      <c r="H3101" s="1">
        <v>10.789199999999999</v>
      </c>
      <c r="I3101" s="4">
        <f>SalesData[[#This Row],[Profit]]/SalesData[[#This Row],[Sales]]</f>
        <v>0.37</v>
      </c>
      <c r="J3101">
        <f>YEAR(SalesData[[#This Row],[Order Date]])</f>
        <v>2015</v>
      </c>
      <c r="K3101" t="str">
        <f>TEXT(SalesData[[#This Row],[Order Date]],"mmm")</f>
        <v>Nov</v>
      </c>
      <c r="L3101">
        <f>MONTH(SalesData[[#This Row],[Order Date]])</f>
        <v>11</v>
      </c>
      <c r="M3101">
        <f>SalesData[[#This Row],[Sales]]/SalesData[[#This Row],[Quantity]]</f>
        <v>14.58</v>
      </c>
      <c r="N3101" t="str">
        <f>IF(SalesData[[#This Row],[Profit]]&gt;0,"Profit","Loss")</f>
        <v>Profit</v>
      </c>
    </row>
    <row r="3102" spans="1:14" x14ac:dyDescent="0.3">
      <c r="A3102" t="s">
        <v>1756</v>
      </c>
      <c r="B3102" s="3">
        <v>42314</v>
      </c>
      <c r="C3102" t="s">
        <v>46</v>
      </c>
      <c r="D3102" t="s">
        <v>14</v>
      </c>
      <c r="E3102" t="s">
        <v>1757</v>
      </c>
      <c r="F3102" s="1">
        <v>1123.92</v>
      </c>
      <c r="G3102">
        <v>5</v>
      </c>
      <c r="H3102" s="1">
        <v>-182.637</v>
      </c>
      <c r="I3102" s="4">
        <f>SalesData[[#This Row],[Profit]]/SalesData[[#This Row],[Sales]]</f>
        <v>-0.16249999999999998</v>
      </c>
      <c r="J3102">
        <f>YEAR(SalesData[[#This Row],[Order Date]])</f>
        <v>2015</v>
      </c>
      <c r="K3102" t="str">
        <f>TEXT(SalesData[[#This Row],[Order Date]],"mmm")</f>
        <v>Nov</v>
      </c>
      <c r="L3102">
        <f>MONTH(SalesData[[#This Row],[Order Date]])</f>
        <v>11</v>
      </c>
      <c r="M3102">
        <f>SalesData[[#This Row],[Sales]]/SalesData[[#This Row],[Quantity]]</f>
        <v>224.78400000000002</v>
      </c>
      <c r="N3102" t="str">
        <f>IF(SalesData[[#This Row],[Profit]]&gt;0,"Profit","Loss")</f>
        <v>Loss</v>
      </c>
    </row>
    <row r="3103" spans="1:14" x14ac:dyDescent="0.3">
      <c r="A3103" t="s">
        <v>1756</v>
      </c>
      <c r="B3103" s="3">
        <v>42314</v>
      </c>
      <c r="C3103" t="s">
        <v>46</v>
      </c>
      <c r="D3103" t="s">
        <v>10</v>
      </c>
      <c r="E3103" t="s">
        <v>1084</v>
      </c>
      <c r="F3103" s="1">
        <v>249.584</v>
      </c>
      <c r="G3103">
        <v>2</v>
      </c>
      <c r="H3103" s="1">
        <v>31.198</v>
      </c>
      <c r="I3103" s="4">
        <f>SalesData[[#This Row],[Profit]]/SalesData[[#This Row],[Sales]]</f>
        <v>0.125</v>
      </c>
      <c r="J3103">
        <f>YEAR(SalesData[[#This Row],[Order Date]])</f>
        <v>2015</v>
      </c>
      <c r="K3103" t="str">
        <f>TEXT(SalesData[[#This Row],[Order Date]],"mmm")</f>
        <v>Nov</v>
      </c>
      <c r="L3103">
        <f>MONTH(SalesData[[#This Row],[Order Date]])</f>
        <v>11</v>
      </c>
      <c r="M3103">
        <f>SalesData[[#This Row],[Sales]]/SalesData[[#This Row],[Quantity]]</f>
        <v>124.792</v>
      </c>
      <c r="N3103" t="str">
        <f>IF(SalesData[[#This Row],[Profit]]&gt;0,"Profit","Loss")</f>
        <v>Profit</v>
      </c>
    </row>
    <row r="3104" spans="1:14" x14ac:dyDescent="0.3">
      <c r="A3104" t="s">
        <v>1756</v>
      </c>
      <c r="B3104" s="3">
        <v>42314</v>
      </c>
      <c r="C3104" t="s">
        <v>46</v>
      </c>
      <c r="D3104" t="s">
        <v>14</v>
      </c>
      <c r="E3104" t="s">
        <v>1019</v>
      </c>
      <c r="F3104" s="1">
        <v>48.671999999999997</v>
      </c>
      <c r="G3104">
        <v>3</v>
      </c>
      <c r="H3104" s="1">
        <v>7.3007999999999997</v>
      </c>
      <c r="I3104" s="4">
        <f>SalesData[[#This Row],[Profit]]/SalesData[[#This Row],[Sales]]</f>
        <v>0.15</v>
      </c>
      <c r="J3104">
        <f>YEAR(SalesData[[#This Row],[Order Date]])</f>
        <v>2015</v>
      </c>
      <c r="K3104" t="str">
        <f>TEXT(SalesData[[#This Row],[Order Date]],"mmm")</f>
        <v>Nov</v>
      </c>
      <c r="L3104">
        <f>MONTH(SalesData[[#This Row],[Order Date]])</f>
        <v>11</v>
      </c>
      <c r="M3104">
        <f>SalesData[[#This Row],[Sales]]/SalesData[[#This Row],[Quantity]]</f>
        <v>16.224</v>
      </c>
      <c r="N3104" t="str">
        <f>IF(SalesData[[#This Row],[Profit]]&gt;0,"Profit","Loss")</f>
        <v>Profit</v>
      </c>
    </row>
    <row r="3105" spans="1:14" x14ac:dyDescent="0.3">
      <c r="A3105" t="s">
        <v>1756</v>
      </c>
      <c r="B3105" s="3">
        <v>42314</v>
      </c>
      <c r="C3105" t="s">
        <v>46</v>
      </c>
      <c r="D3105" t="s">
        <v>21</v>
      </c>
      <c r="E3105" t="s">
        <v>701</v>
      </c>
      <c r="F3105" s="1">
        <v>60.768000000000001</v>
      </c>
      <c r="G3105">
        <v>2</v>
      </c>
      <c r="H3105" s="1">
        <v>7.5960000000000001</v>
      </c>
      <c r="I3105" s="4">
        <f>SalesData[[#This Row],[Profit]]/SalesData[[#This Row],[Sales]]</f>
        <v>0.125</v>
      </c>
      <c r="J3105">
        <f>YEAR(SalesData[[#This Row],[Order Date]])</f>
        <v>2015</v>
      </c>
      <c r="K3105" t="str">
        <f>TEXT(SalesData[[#This Row],[Order Date]],"mmm")</f>
        <v>Nov</v>
      </c>
      <c r="L3105">
        <f>MONTH(SalesData[[#This Row],[Order Date]])</f>
        <v>11</v>
      </c>
      <c r="M3105">
        <f>SalesData[[#This Row],[Sales]]/SalesData[[#This Row],[Quantity]]</f>
        <v>30.384</v>
      </c>
      <c r="N3105" t="str">
        <f>IF(SalesData[[#This Row],[Profit]]&gt;0,"Profit","Loss")</f>
        <v>Profit</v>
      </c>
    </row>
    <row r="3106" spans="1:14" x14ac:dyDescent="0.3">
      <c r="A3106" t="s">
        <v>1756</v>
      </c>
      <c r="B3106" s="3">
        <v>42314</v>
      </c>
      <c r="C3106" t="s">
        <v>46</v>
      </c>
      <c r="D3106" t="s">
        <v>21</v>
      </c>
      <c r="E3106" t="s">
        <v>219</v>
      </c>
      <c r="F3106" s="1">
        <v>78.599999999999994</v>
      </c>
      <c r="G3106">
        <v>5</v>
      </c>
      <c r="H3106" s="1">
        <v>-62.88</v>
      </c>
      <c r="I3106" s="4">
        <f>SalesData[[#This Row],[Profit]]/SalesData[[#This Row],[Sales]]</f>
        <v>-0.8</v>
      </c>
      <c r="J3106">
        <f>YEAR(SalesData[[#This Row],[Order Date]])</f>
        <v>2015</v>
      </c>
      <c r="K3106" t="str">
        <f>TEXT(SalesData[[#This Row],[Order Date]],"mmm")</f>
        <v>Nov</v>
      </c>
      <c r="L3106">
        <f>MONTH(SalesData[[#This Row],[Order Date]])</f>
        <v>11</v>
      </c>
      <c r="M3106">
        <f>SalesData[[#This Row],[Sales]]/SalesData[[#This Row],[Quantity]]</f>
        <v>15.719999999999999</v>
      </c>
      <c r="N3106" t="str">
        <f>IF(SalesData[[#This Row],[Profit]]&gt;0,"Profit","Loss")</f>
        <v>Loss</v>
      </c>
    </row>
    <row r="3107" spans="1:14" x14ac:dyDescent="0.3">
      <c r="A3107" t="s">
        <v>1756</v>
      </c>
      <c r="B3107" s="3">
        <v>42314</v>
      </c>
      <c r="C3107" t="s">
        <v>46</v>
      </c>
      <c r="D3107" t="s">
        <v>21</v>
      </c>
      <c r="E3107" t="s">
        <v>1758</v>
      </c>
      <c r="F3107" s="1">
        <v>3.7679999999999998</v>
      </c>
      <c r="G3107">
        <v>2</v>
      </c>
      <c r="H3107" s="1">
        <v>-3.14</v>
      </c>
      <c r="I3107" s="4">
        <f>SalesData[[#This Row],[Profit]]/SalesData[[#This Row],[Sales]]</f>
        <v>-0.83333333333333337</v>
      </c>
      <c r="J3107">
        <f>YEAR(SalesData[[#This Row],[Order Date]])</f>
        <v>2015</v>
      </c>
      <c r="K3107" t="str">
        <f>TEXT(SalesData[[#This Row],[Order Date]],"mmm")</f>
        <v>Nov</v>
      </c>
      <c r="L3107">
        <f>MONTH(SalesData[[#This Row],[Order Date]])</f>
        <v>11</v>
      </c>
      <c r="M3107">
        <f>SalesData[[#This Row],[Sales]]/SalesData[[#This Row],[Quantity]]</f>
        <v>1.8839999999999999</v>
      </c>
      <c r="N3107" t="str">
        <f>IF(SalesData[[#This Row],[Profit]]&gt;0,"Profit","Loss")</f>
        <v>Loss</v>
      </c>
    </row>
    <row r="3108" spans="1:14" x14ac:dyDescent="0.3">
      <c r="A3108" t="s">
        <v>1756</v>
      </c>
      <c r="B3108" s="3">
        <v>42314</v>
      </c>
      <c r="C3108" t="s">
        <v>46</v>
      </c>
      <c r="D3108" t="s">
        <v>21</v>
      </c>
      <c r="E3108" t="s">
        <v>1759</v>
      </c>
      <c r="F3108" s="1">
        <v>1036.624</v>
      </c>
      <c r="G3108">
        <v>2</v>
      </c>
      <c r="H3108" s="1">
        <v>51.831200000000003</v>
      </c>
      <c r="I3108" s="4">
        <f>SalesData[[#This Row],[Profit]]/SalesData[[#This Row],[Sales]]</f>
        <v>0.05</v>
      </c>
      <c r="J3108">
        <f>YEAR(SalesData[[#This Row],[Order Date]])</f>
        <v>2015</v>
      </c>
      <c r="K3108" t="str">
        <f>TEXT(SalesData[[#This Row],[Order Date]],"mmm")</f>
        <v>Nov</v>
      </c>
      <c r="L3108">
        <f>MONTH(SalesData[[#This Row],[Order Date]])</f>
        <v>11</v>
      </c>
      <c r="M3108">
        <f>SalesData[[#This Row],[Sales]]/SalesData[[#This Row],[Quantity]]</f>
        <v>518.31200000000001</v>
      </c>
      <c r="N3108" t="str">
        <f>IF(SalesData[[#This Row],[Profit]]&gt;0,"Profit","Loss")</f>
        <v>Profit</v>
      </c>
    </row>
    <row r="3109" spans="1:14" x14ac:dyDescent="0.3">
      <c r="A3109" t="s">
        <v>1756</v>
      </c>
      <c r="B3109" s="3">
        <v>42314</v>
      </c>
      <c r="C3109" t="s">
        <v>46</v>
      </c>
      <c r="D3109" t="s">
        <v>21</v>
      </c>
      <c r="E3109" t="s">
        <v>933</v>
      </c>
      <c r="F3109" s="1">
        <v>563.80799999999999</v>
      </c>
      <c r="G3109">
        <v>4</v>
      </c>
      <c r="H3109" s="1">
        <v>21.142800000000001</v>
      </c>
      <c r="I3109" s="4">
        <f>SalesData[[#This Row],[Profit]]/SalesData[[#This Row],[Sales]]</f>
        <v>3.7500000000000006E-2</v>
      </c>
      <c r="J3109">
        <f>YEAR(SalesData[[#This Row],[Order Date]])</f>
        <v>2015</v>
      </c>
      <c r="K3109" t="str">
        <f>TEXT(SalesData[[#This Row],[Order Date]],"mmm")</f>
        <v>Nov</v>
      </c>
      <c r="L3109">
        <f>MONTH(SalesData[[#This Row],[Order Date]])</f>
        <v>11</v>
      </c>
      <c r="M3109">
        <f>SalesData[[#This Row],[Sales]]/SalesData[[#This Row],[Quantity]]</f>
        <v>140.952</v>
      </c>
      <c r="N3109" t="str">
        <f>IF(SalesData[[#This Row],[Profit]]&gt;0,"Profit","Loss")</f>
        <v>Profit</v>
      </c>
    </row>
    <row r="3110" spans="1:14" x14ac:dyDescent="0.3">
      <c r="A3110" t="s">
        <v>1760</v>
      </c>
      <c r="B3110" s="3">
        <v>42315</v>
      </c>
      <c r="C3110" t="s">
        <v>17</v>
      </c>
      <c r="D3110" t="s">
        <v>14</v>
      </c>
      <c r="E3110" t="s">
        <v>1761</v>
      </c>
      <c r="F3110" s="1">
        <v>289.8</v>
      </c>
      <c r="G3110">
        <v>7</v>
      </c>
      <c r="H3110" s="1">
        <v>36.225000000000001</v>
      </c>
      <c r="I3110" s="4">
        <f>SalesData[[#This Row],[Profit]]/SalesData[[#This Row],[Sales]]</f>
        <v>0.125</v>
      </c>
      <c r="J3110">
        <f>YEAR(SalesData[[#This Row],[Order Date]])</f>
        <v>2015</v>
      </c>
      <c r="K3110" t="str">
        <f>TEXT(SalesData[[#This Row],[Order Date]],"mmm")</f>
        <v>Nov</v>
      </c>
      <c r="L3110">
        <f>MONTH(SalesData[[#This Row],[Order Date]])</f>
        <v>11</v>
      </c>
      <c r="M3110">
        <f>SalesData[[#This Row],[Sales]]/SalesData[[#This Row],[Quantity]]</f>
        <v>41.4</v>
      </c>
      <c r="N3110" t="str">
        <f>IF(SalesData[[#This Row],[Profit]]&gt;0,"Profit","Loss")</f>
        <v>Profit</v>
      </c>
    </row>
    <row r="3111" spans="1:14" x14ac:dyDescent="0.3">
      <c r="A3111" t="s">
        <v>1760</v>
      </c>
      <c r="B3111" s="3">
        <v>42315</v>
      </c>
      <c r="C3111" t="s">
        <v>17</v>
      </c>
      <c r="D3111" t="s">
        <v>21</v>
      </c>
      <c r="E3111" t="s">
        <v>1686</v>
      </c>
      <c r="F3111" s="1">
        <v>2.5019999999999998</v>
      </c>
      <c r="G3111">
        <v>3</v>
      </c>
      <c r="H3111" s="1">
        <v>-2.0015999999999998</v>
      </c>
      <c r="I3111" s="4">
        <f>SalesData[[#This Row],[Profit]]/SalesData[[#This Row],[Sales]]</f>
        <v>-0.8</v>
      </c>
      <c r="J3111">
        <f>YEAR(SalesData[[#This Row],[Order Date]])</f>
        <v>2015</v>
      </c>
      <c r="K3111" t="str">
        <f>TEXT(SalesData[[#This Row],[Order Date]],"mmm")</f>
        <v>Nov</v>
      </c>
      <c r="L3111">
        <f>MONTH(SalesData[[#This Row],[Order Date]])</f>
        <v>11</v>
      </c>
      <c r="M3111">
        <f>SalesData[[#This Row],[Sales]]/SalesData[[#This Row],[Quantity]]</f>
        <v>0.83399999999999996</v>
      </c>
      <c r="N3111" t="str">
        <f>IF(SalesData[[#This Row],[Profit]]&gt;0,"Profit","Loss")</f>
        <v>Loss</v>
      </c>
    </row>
    <row r="3112" spans="1:14" x14ac:dyDescent="0.3">
      <c r="A3112" t="s">
        <v>1760</v>
      </c>
      <c r="B3112" s="3">
        <v>42315</v>
      </c>
      <c r="C3112" t="s">
        <v>17</v>
      </c>
      <c r="D3112" t="s">
        <v>21</v>
      </c>
      <c r="E3112" t="s">
        <v>1762</v>
      </c>
      <c r="F3112" s="1">
        <v>6.48</v>
      </c>
      <c r="G3112">
        <v>4</v>
      </c>
      <c r="H3112" s="1">
        <v>-4.7519999999999998</v>
      </c>
      <c r="I3112" s="4">
        <f>SalesData[[#This Row],[Profit]]/SalesData[[#This Row],[Sales]]</f>
        <v>-0.73333333333333328</v>
      </c>
      <c r="J3112">
        <f>YEAR(SalesData[[#This Row],[Order Date]])</f>
        <v>2015</v>
      </c>
      <c r="K3112" t="str">
        <f>TEXT(SalesData[[#This Row],[Order Date]],"mmm")</f>
        <v>Nov</v>
      </c>
      <c r="L3112">
        <f>MONTH(SalesData[[#This Row],[Order Date]])</f>
        <v>11</v>
      </c>
      <c r="M3112">
        <f>SalesData[[#This Row],[Sales]]/SalesData[[#This Row],[Quantity]]</f>
        <v>1.62</v>
      </c>
      <c r="N3112" t="str">
        <f>IF(SalesData[[#This Row],[Profit]]&gt;0,"Profit","Loss")</f>
        <v>Loss</v>
      </c>
    </row>
    <row r="3113" spans="1:14" x14ac:dyDescent="0.3">
      <c r="A3113" t="s">
        <v>1760</v>
      </c>
      <c r="B3113" s="3">
        <v>42315</v>
      </c>
      <c r="C3113" t="s">
        <v>17</v>
      </c>
      <c r="D3113" t="s">
        <v>14</v>
      </c>
      <c r="E3113" t="s">
        <v>1763</v>
      </c>
      <c r="F3113" s="1">
        <v>341.488</v>
      </c>
      <c r="G3113">
        <v>8</v>
      </c>
      <c r="H3113" s="1">
        <v>-73.176000000000002</v>
      </c>
      <c r="I3113" s="4">
        <f>SalesData[[#This Row],[Profit]]/SalesData[[#This Row],[Sales]]</f>
        <v>-0.2142857142857143</v>
      </c>
      <c r="J3113">
        <f>YEAR(SalesData[[#This Row],[Order Date]])</f>
        <v>2015</v>
      </c>
      <c r="K3113" t="str">
        <f>TEXT(SalesData[[#This Row],[Order Date]],"mmm")</f>
        <v>Nov</v>
      </c>
      <c r="L3113">
        <f>MONTH(SalesData[[#This Row],[Order Date]])</f>
        <v>11</v>
      </c>
      <c r="M3113">
        <f>SalesData[[#This Row],[Sales]]/SalesData[[#This Row],[Quantity]]</f>
        <v>42.686</v>
      </c>
      <c r="N3113" t="str">
        <f>IF(SalesData[[#This Row],[Profit]]&gt;0,"Profit","Loss")</f>
        <v>Loss</v>
      </c>
    </row>
    <row r="3114" spans="1:14" x14ac:dyDescent="0.3">
      <c r="A3114" t="s">
        <v>1760</v>
      </c>
      <c r="B3114" s="3">
        <v>42315</v>
      </c>
      <c r="C3114" t="s">
        <v>17</v>
      </c>
      <c r="D3114" t="s">
        <v>21</v>
      </c>
      <c r="E3114" t="s">
        <v>1419</v>
      </c>
      <c r="F3114" s="1">
        <v>11.12</v>
      </c>
      <c r="G3114">
        <v>5</v>
      </c>
      <c r="H3114" s="1">
        <v>0.83399999999999996</v>
      </c>
      <c r="I3114" s="4">
        <f>SalesData[[#This Row],[Profit]]/SalesData[[#This Row],[Sales]]</f>
        <v>7.4999999999999997E-2</v>
      </c>
      <c r="J3114">
        <f>YEAR(SalesData[[#This Row],[Order Date]])</f>
        <v>2015</v>
      </c>
      <c r="K3114" t="str">
        <f>TEXT(SalesData[[#This Row],[Order Date]],"mmm")</f>
        <v>Nov</v>
      </c>
      <c r="L3114">
        <f>MONTH(SalesData[[#This Row],[Order Date]])</f>
        <v>11</v>
      </c>
      <c r="M3114">
        <f>SalesData[[#This Row],[Sales]]/SalesData[[#This Row],[Quantity]]</f>
        <v>2.2239999999999998</v>
      </c>
      <c r="N3114" t="str">
        <f>IF(SalesData[[#This Row],[Profit]]&gt;0,"Profit","Loss")</f>
        <v>Profit</v>
      </c>
    </row>
    <row r="3115" spans="1:14" x14ac:dyDescent="0.3">
      <c r="A3115" t="s">
        <v>1760</v>
      </c>
      <c r="B3115" s="3">
        <v>42315</v>
      </c>
      <c r="C3115" t="s">
        <v>17</v>
      </c>
      <c r="D3115" t="s">
        <v>14</v>
      </c>
      <c r="E3115" t="s">
        <v>98</v>
      </c>
      <c r="F3115" s="1">
        <v>25.344000000000001</v>
      </c>
      <c r="G3115">
        <v>6</v>
      </c>
      <c r="H3115" s="1">
        <v>3.4847999999999999</v>
      </c>
      <c r="I3115" s="4">
        <f>SalesData[[#This Row],[Profit]]/SalesData[[#This Row],[Sales]]</f>
        <v>0.13749999999999998</v>
      </c>
      <c r="J3115">
        <f>YEAR(SalesData[[#This Row],[Order Date]])</f>
        <v>2015</v>
      </c>
      <c r="K3115" t="str">
        <f>TEXT(SalesData[[#This Row],[Order Date]],"mmm")</f>
        <v>Nov</v>
      </c>
      <c r="L3115">
        <f>MONTH(SalesData[[#This Row],[Order Date]])</f>
        <v>11</v>
      </c>
      <c r="M3115">
        <f>SalesData[[#This Row],[Sales]]/SalesData[[#This Row],[Quantity]]</f>
        <v>4.2240000000000002</v>
      </c>
      <c r="N3115" t="str">
        <f>IF(SalesData[[#This Row],[Profit]]&gt;0,"Profit","Loss")</f>
        <v>Profit</v>
      </c>
    </row>
    <row r="3116" spans="1:14" x14ac:dyDescent="0.3">
      <c r="A3116" t="s">
        <v>1764</v>
      </c>
      <c r="B3116" s="3">
        <v>42315</v>
      </c>
      <c r="C3116" t="s">
        <v>13</v>
      </c>
      <c r="D3116" t="s">
        <v>21</v>
      </c>
      <c r="E3116" t="s">
        <v>1765</v>
      </c>
      <c r="F3116" s="1">
        <v>29.97</v>
      </c>
      <c r="G3116">
        <v>3</v>
      </c>
      <c r="H3116" s="1">
        <v>13.486499999999999</v>
      </c>
      <c r="I3116" s="4">
        <f>SalesData[[#This Row],[Profit]]/SalesData[[#This Row],[Sales]]</f>
        <v>0.45</v>
      </c>
      <c r="J3116">
        <f>YEAR(SalesData[[#This Row],[Order Date]])</f>
        <v>2015</v>
      </c>
      <c r="K3116" t="str">
        <f>TEXT(SalesData[[#This Row],[Order Date]],"mmm")</f>
        <v>Nov</v>
      </c>
      <c r="L3116">
        <f>MONTH(SalesData[[#This Row],[Order Date]])</f>
        <v>11</v>
      </c>
      <c r="M3116">
        <f>SalesData[[#This Row],[Sales]]/SalesData[[#This Row],[Quantity]]</f>
        <v>9.99</v>
      </c>
      <c r="N3116" t="str">
        <f>IF(SalesData[[#This Row],[Profit]]&gt;0,"Profit","Loss")</f>
        <v>Profit</v>
      </c>
    </row>
    <row r="3117" spans="1:14" x14ac:dyDescent="0.3">
      <c r="A3117" t="s">
        <v>1764</v>
      </c>
      <c r="B3117" s="3">
        <v>42315</v>
      </c>
      <c r="C3117" t="s">
        <v>13</v>
      </c>
      <c r="D3117" t="s">
        <v>21</v>
      </c>
      <c r="E3117" t="s">
        <v>666</v>
      </c>
      <c r="F3117" s="1">
        <v>98.352000000000004</v>
      </c>
      <c r="G3117">
        <v>3</v>
      </c>
      <c r="H3117" s="1">
        <v>34.423200000000001</v>
      </c>
      <c r="I3117" s="4">
        <f>SalesData[[#This Row],[Profit]]/SalesData[[#This Row],[Sales]]</f>
        <v>0.35</v>
      </c>
      <c r="J3117">
        <f>YEAR(SalesData[[#This Row],[Order Date]])</f>
        <v>2015</v>
      </c>
      <c r="K3117" t="str">
        <f>TEXT(SalesData[[#This Row],[Order Date]],"mmm")</f>
        <v>Nov</v>
      </c>
      <c r="L3117">
        <f>MONTH(SalesData[[#This Row],[Order Date]])</f>
        <v>11</v>
      </c>
      <c r="M3117">
        <f>SalesData[[#This Row],[Sales]]/SalesData[[#This Row],[Quantity]]</f>
        <v>32.783999999999999</v>
      </c>
      <c r="N3117" t="str">
        <f>IF(SalesData[[#This Row],[Profit]]&gt;0,"Profit","Loss")</f>
        <v>Profit</v>
      </c>
    </row>
    <row r="3118" spans="1:14" x14ac:dyDescent="0.3">
      <c r="A3118" t="s">
        <v>1766</v>
      </c>
      <c r="B3118" s="3">
        <v>42315</v>
      </c>
      <c r="C3118" t="s">
        <v>17</v>
      </c>
      <c r="D3118" t="s">
        <v>14</v>
      </c>
      <c r="E3118" t="s">
        <v>1767</v>
      </c>
      <c r="F3118" s="1">
        <v>199.83600000000001</v>
      </c>
      <c r="G3118">
        <v>4</v>
      </c>
      <c r="H3118" s="1">
        <v>-37.112400000000001</v>
      </c>
      <c r="I3118" s="4">
        <f>SalesData[[#This Row],[Profit]]/SalesData[[#This Row],[Sales]]</f>
        <v>-0.18571428571428572</v>
      </c>
      <c r="J3118">
        <f>YEAR(SalesData[[#This Row],[Order Date]])</f>
        <v>2015</v>
      </c>
      <c r="K3118" t="str">
        <f>TEXT(SalesData[[#This Row],[Order Date]],"mmm")</f>
        <v>Nov</v>
      </c>
      <c r="L3118">
        <f>MONTH(SalesData[[#This Row],[Order Date]])</f>
        <v>11</v>
      </c>
      <c r="M3118">
        <f>SalesData[[#This Row],[Sales]]/SalesData[[#This Row],[Quantity]]</f>
        <v>49.959000000000003</v>
      </c>
      <c r="N3118" t="str">
        <f>IF(SalesData[[#This Row],[Profit]]&gt;0,"Profit","Loss")</f>
        <v>Loss</v>
      </c>
    </row>
    <row r="3119" spans="1:14" x14ac:dyDescent="0.3">
      <c r="A3119" t="s">
        <v>1766</v>
      </c>
      <c r="B3119" s="3">
        <v>42315</v>
      </c>
      <c r="C3119" t="s">
        <v>17</v>
      </c>
      <c r="D3119" t="s">
        <v>10</v>
      </c>
      <c r="E3119" t="s">
        <v>832</v>
      </c>
      <c r="F3119" s="1">
        <v>716</v>
      </c>
      <c r="G3119">
        <v>2</v>
      </c>
      <c r="H3119" s="1">
        <v>193.32</v>
      </c>
      <c r="I3119" s="4">
        <f>SalesData[[#This Row],[Profit]]/SalesData[[#This Row],[Sales]]</f>
        <v>0.27</v>
      </c>
      <c r="J3119">
        <f>YEAR(SalesData[[#This Row],[Order Date]])</f>
        <v>2015</v>
      </c>
      <c r="K3119" t="str">
        <f>TEXT(SalesData[[#This Row],[Order Date]],"mmm")</f>
        <v>Nov</v>
      </c>
      <c r="L3119">
        <f>MONTH(SalesData[[#This Row],[Order Date]])</f>
        <v>11</v>
      </c>
      <c r="M3119">
        <f>SalesData[[#This Row],[Sales]]/SalesData[[#This Row],[Quantity]]</f>
        <v>358</v>
      </c>
      <c r="N3119" t="str">
        <f>IF(SalesData[[#This Row],[Profit]]&gt;0,"Profit","Loss")</f>
        <v>Profit</v>
      </c>
    </row>
    <row r="3120" spans="1:14" x14ac:dyDescent="0.3">
      <c r="A3120" t="s">
        <v>1766</v>
      </c>
      <c r="B3120" s="3">
        <v>42315</v>
      </c>
      <c r="C3120" t="s">
        <v>17</v>
      </c>
      <c r="D3120" t="s">
        <v>21</v>
      </c>
      <c r="E3120" t="s">
        <v>1768</v>
      </c>
      <c r="F3120" s="1">
        <v>221.06</v>
      </c>
      <c r="G3120">
        <v>7</v>
      </c>
      <c r="H3120" s="1">
        <v>103.8982</v>
      </c>
      <c r="I3120" s="4">
        <f>SalesData[[#This Row],[Profit]]/SalesData[[#This Row],[Sales]]</f>
        <v>0.47000000000000003</v>
      </c>
      <c r="J3120">
        <f>YEAR(SalesData[[#This Row],[Order Date]])</f>
        <v>2015</v>
      </c>
      <c r="K3120" t="str">
        <f>TEXT(SalesData[[#This Row],[Order Date]],"mmm")</f>
        <v>Nov</v>
      </c>
      <c r="L3120">
        <f>MONTH(SalesData[[#This Row],[Order Date]])</f>
        <v>11</v>
      </c>
      <c r="M3120">
        <f>SalesData[[#This Row],[Sales]]/SalesData[[#This Row],[Quantity]]</f>
        <v>31.580000000000002</v>
      </c>
      <c r="N3120" t="str">
        <f>IF(SalesData[[#This Row],[Profit]]&gt;0,"Profit","Loss")</f>
        <v>Profit</v>
      </c>
    </row>
    <row r="3121" spans="1:14" x14ac:dyDescent="0.3">
      <c r="A3121" t="s">
        <v>1769</v>
      </c>
      <c r="B3121" s="3">
        <v>42316</v>
      </c>
      <c r="C3121" t="s">
        <v>46</v>
      </c>
      <c r="D3121" t="s">
        <v>14</v>
      </c>
      <c r="E3121" t="s">
        <v>595</v>
      </c>
      <c r="F3121" s="1">
        <v>46.152000000000001</v>
      </c>
      <c r="G3121">
        <v>3</v>
      </c>
      <c r="H3121" s="1">
        <v>12.1149</v>
      </c>
      <c r="I3121" s="4">
        <f>SalesData[[#This Row],[Profit]]/SalesData[[#This Row],[Sales]]</f>
        <v>0.26250000000000001</v>
      </c>
      <c r="J3121">
        <f>YEAR(SalesData[[#This Row],[Order Date]])</f>
        <v>2015</v>
      </c>
      <c r="K3121" t="str">
        <f>TEXT(SalesData[[#This Row],[Order Date]],"mmm")</f>
        <v>Nov</v>
      </c>
      <c r="L3121">
        <f>MONTH(SalesData[[#This Row],[Order Date]])</f>
        <v>11</v>
      </c>
      <c r="M3121">
        <f>SalesData[[#This Row],[Sales]]/SalesData[[#This Row],[Quantity]]</f>
        <v>15.384</v>
      </c>
      <c r="N3121" t="str">
        <f>IF(SalesData[[#This Row],[Profit]]&gt;0,"Profit","Loss")</f>
        <v>Profit</v>
      </c>
    </row>
    <row r="3122" spans="1:14" x14ac:dyDescent="0.3">
      <c r="A3122" t="s">
        <v>1770</v>
      </c>
      <c r="B3122" s="3">
        <v>42316</v>
      </c>
      <c r="C3122" t="s">
        <v>17</v>
      </c>
      <c r="D3122" t="s">
        <v>21</v>
      </c>
      <c r="E3122" t="s">
        <v>565</v>
      </c>
      <c r="F3122" s="1">
        <v>11.96</v>
      </c>
      <c r="G3122">
        <v>2</v>
      </c>
      <c r="H3122" s="1">
        <v>3.1095999999999999</v>
      </c>
      <c r="I3122" s="4">
        <f>SalesData[[#This Row],[Profit]]/SalesData[[#This Row],[Sales]]</f>
        <v>0.25999999999999995</v>
      </c>
      <c r="J3122">
        <f>YEAR(SalesData[[#This Row],[Order Date]])</f>
        <v>2015</v>
      </c>
      <c r="K3122" t="str">
        <f>TEXT(SalesData[[#This Row],[Order Date]],"mmm")</f>
        <v>Nov</v>
      </c>
      <c r="L3122">
        <f>MONTH(SalesData[[#This Row],[Order Date]])</f>
        <v>11</v>
      </c>
      <c r="M3122">
        <f>SalesData[[#This Row],[Sales]]/SalesData[[#This Row],[Quantity]]</f>
        <v>5.98</v>
      </c>
      <c r="N3122" t="str">
        <f>IF(SalesData[[#This Row],[Profit]]&gt;0,"Profit","Loss")</f>
        <v>Profit</v>
      </c>
    </row>
    <row r="3123" spans="1:14" x14ac:dyDescent="0.3">
      <c r="A3123" t="s">
        <v>1770</v>
      </c>
      <c r="B3123" s="3">
        <v>42316</v>
      </c>
      <c r="C3123" t="s">
        <v>17</v>
      </c>
      <c r="D3123" t="s">
        <v>10</v>
      </c>
      <c r="E3123" t="s">
        <v>1771</v>
      </c>
      <c r="F3123" s="1">
        <v>138</v>
      </c>
      <c r="G3123">
        <v>2</v>
      </c>
      <c r="H3123" s="1">
        <v>34.5</v>
      </c>
      <c r="I3123" s="4">
        <f>SalesData[[#This Row],[Profit]]/SalesData[[#This Row],[Sales]]</f>
        <v>0.25</v>
      </c>
      <c r="J3123">
        <f>YEAR(SalesData[[#This Row],[Order Date]])</f>
        <v>2015</v>
      </c>
      <c r="K3123" t="str">
        <f>TEXT(SalesData[[#This Row],[Order Date]],"mmm")</f>
        <v>Nov</v>
      </c>
      <c r="L3123">
        <f>MONTH(SalesData[[#This Row],[Order Date]])</f>
        <v>11</v>
      </c>
      <c r="M3123">
        <f>SalesData[[#This Row],[Sales]]/SalesData[[#This Row],[Quantity]]</f>
        <v>69</v>
      </c>
      <c r="N3123" t="str">
        <f>IF(SalesData[[#This Row],[Profit]]&gt;0,"Profit","Loss")</f>
        <v>Profit</v>
      </c>
    </row>
    <row r="3124" spans="1:14" x14ac:dyDescent="0.3">
      <c r="A3124" t="s">
        <v>1772</v>
      </c>
      <c r="B3124" s="3">
        <v>42317</v>
      </c>
      <c r="C3124" t="s">
        <v>13</v>
      </c>
      <c r="D3124" t="s">
        <v>21</v>
      </c>
      <c r="E3124" t="s">
        <v>1773</v>
      </c>
      <c r="F3124" s="1">
        <v>181.35</v>
      </c>
      <c r="G3124">
        <v>9</v>
      </c>
      <c r="H3124" s="1">
        <v>48.964500000000001</v>
      </c>
      <c r="I3124" s="4">
        <f>SalesData[[#This Row],[Profit]]/SalesData[[#This Row],[Sales]]</f>
        <v>0.27</v>
      </c>
      <c r="J3124">
        <f>YEAR(SalesData[[#This Row],[Order Date]])</f>
        <v>2015</v>
      </c>
      <c r="K3124" t="str">
        <f>TEXT(SalesData[[#This Row],[Order Date]],"mmm")</f>
        <v>Nov</v>
      </c>
      <c r="L3124">
        <f>MONTH(SalesData[[#This Row],[Order Date]])</f>
        <v>11</v>
      </c>
      <c r="M3124">
        <f>SalesData[[#This Row],[Sales]]/SalesData[[#This Row],[Quantity]]</f>
        <v>20.149999999999999</v>
      </c>
      <c r="N3124" t="str">
        <f>IF(SalesData[[#This Row],[Profit]]&gt;0,"Profit","Loss")</f>
        <v>Profit</v>
      </c>
    </row>
    <row r="3125" spans="1:14" x14ac:dyDescent="0.3">
      <c r="A3125" t="s">
        <v>1772</v>
      </c>
      <c r="B3125" s="3">
        <v>42317</v>
      </c>
      <c r="C3125" t="s">
        <v>13</v>
      </c>
      <c r="D3125" t="s">
        <v>21</v>
      </c>
      <c r="E3125" t="s">
        <v>1774</v>
      </c>
      <c r="F3125" s="1">
        <v>8.64</v>
      </c>
      <c r="G3125">
        <v>3</v>
      </c>
      <c r="H3125" s="1">
        <v>4.2336</v>
      </c>
      <c r="I3125" s="4">
        <f>SalesData[[#This Row],[Profit]]/SalesData[[#This Row],[Sales]]</f>
        <v>0.49</v>
      </c>
      <c r="J3125">
        <f>YEAR(SalesData[[#This Row],[Order Date]])</f>
        <v>2015</v>
      </c>
      <c r="K3125" t="str">
        <f>TEXT(SalesData[[#This Row],[Order Date]],"mmm")</f>
        <v>Nov</v>
      </c>
      <c r="L3125">
        <f>MONTH(SalesData[[#This Row],[Order Date]])</f>
        <v>11</v>
      </c>
      <c r="M3125">
        <f>SalesData[[#This Row],[Sales]]/SalesData[[#This Row],[Quantity]]</f>
        <v>2.8800000000000003</v>
      </c>
      <c r="N3125" t="str">
        <f>IF(SalesData[[#This Row],[Profit]]&gt;0,"Profit","Loss")</f>
        <v>Profit</v>
      </c>
    </row>
    <row r="3126" spans="1:14" x14ac:dyDescent="0.3">
      <c r="A3126" t="s">
        <v>1775</v>
      </c>
      <c r="B3126" s="3">
        <v>42317</v>
      </c>
      <c r="C3126" t="s">
        <v>13</v>
      </c>
      <c r="D3126" t="s">
        <v>21</v>
      </c>
      <c r="E3126" t="s">
        <v>701</v>
      </c>
      <c r="F3126" s="1">
        <v>265.86</v>
      </c>
      <c r="G3126">
        <v>7</v>
      </c>
      <c r="H3126" s="1">
        <v>79.757999999999996</v>
      </c>
      <c r="I3126" s="4">
        <f>SalesData[[#This Row],[Profit]]/SalesData[[#This Row],[Sales]]</f>
        <v>0.3</v>
      </c>
      <c r="J3126">
        <f>YEAR(SalesData[[#This Row],[Order Date]])</f>
        <v>2015</v>
      </c>
      <c r="K3126" t="str">
        <f>TEXT(SalesData[[#This Row],[Order Date]],"mmm")</f>
        <v>Nov</v>
      </c>
      <c r="L3126">
        <f>MONTH(SalesData[[#This Row],[Order Date]])</f>
        <v>11</v>
      </c>
      <c r="M3126">
        <f>SalesData[[#This Row],[Sales]]/SalesData[[#This Row],[Quantity]]</f>
        <v>37.980000000000004</v>
      </c>
      <c r="N3126" t="str">
        <f>IF(SalesData[[#This Row],[Profit]]&gt;0,"Profit","Loss")</f>
        <v>Profit</v>
      </c>
    </row>
    <row r="3127" spans="1:14" x14ac:dyDescent="0.3">
      <c r="A3127" t="s">
        <v>1776</v>
      </c>
      <c r="B3127" s="3">
        <v>42317</v>
      </c>
      <c r="C3127" t="s">
        <v>17</v>
      </c>
      <c r="D3127" t="s">
        <v>14</v>
      </c>
      <c r="E3127" t="s">
        <v>1777</v>
      </c>
      <c r="F3127" s="1">
        <v>210.68</v>
      </c>
      <c r="G3127">
        <v>2</v>
      </c>
      <c r="H3127" s="1">
        <v>50.563200000000002</v>
      </c>
      <c r="I3127" s="4">
        <f>SalesData[[#This Row],[Profit]]/SalesData[[#This Row],[Sales]]</f>
        <v>0.24</v>
      </c>
      <c r="J3127">
        <f>YEAR(SalesData[[#This Row],[Order Date]])</f>
        <v>2015</v>
      </c>
      <c r="K3127" t="str">
        <f>TEXT(SalesData[[#This Row],[Order Date]],"mmm")</f>
        <v>Nov</v>
      </c>
      <c r="L3127">
        <f>MONTH(SalesData[[#This Row],[Order Date]])</f>
        <v>11</v>
      </c>
      <c r="M3127">
        <f>SalesData[[#This Row],[Sales]]/SalesData[[#This Row],[Quantity]]</f>
        <v>105.34</v>
      </c>
      <c r="N3127" t="str">
        <f>IF(SalesData[[#This Row],[Profit]]&gt;0,"Profit","Loss")</f>
        <v>Profit</v>
      </c>
    </row>
    <row r="3128" spans="1:14" x14ac:dyDescent="0.3">
      <c r="A3128" t="s">
        <v>1776</v>
      </c>
      <c r="B3128" s="3">
        <v>42317</v>
      </c>
      <c r="C3128" t="s">
        <v>17</v>
      </c>
      <c r="D3128" t="s">
        <v>21</v>
      </c>
      <c r="E3128" t="s">
        <v>1778</v>
      </c>
      <c r="F3128" s="1">
        <v>78.8</v>
      </c>
      <c r="G3128">
        <v>1</v>
      </c>
      <c r="H3128" s="1">
        <v>1.5760000000000001</v>
      </c>
      <c r="I3128" s="4">
        <f>SalesData[[#This Row],[Profit]]/SalesData[[#This Row],[Sales]]</f>
        <v>0.02</v>
      </c>
      <c r="J3128">
        <f>YEAR(SalesData[[#This Row],[Order Date]])</f>
        <v>2015</v>
      </c>
      <c r="K3128" t="str">
        <f>TEXT(SalesData[[#This Row],[Order Date]],"mmm")</f>
        <v>Nov</v>
      </c>
      <c r="L3128">
        <f>MONTH(SalesData[[#This Row],[Order Date]])</f>
        <v>11</v>
      </c>
      <c r="M3128">
        <f>SalesData[[#This Row],[Sales]]/SalesData[[#This Row],[Quantity]]</f>
        <v>78.8</v>
      </c>
      <c r="N3128" t="str">
        <f>IF(SalesData[[#This Row],[Profit]]&gt;0,"Profit","Loss")</f>
        <v>Profit</v>
      </c>
    </row>
    <row r="3129" spans="1:14" x14ac:dyDescent="0.3">
      <c r="A3129" t="s">
        <v>1776</v>
      </c>
      <c r="B3129" s="3">
        <v>42317</v>
      </c>
      <c r="C3129" t="s">
        <v>17</v>
      </c>
      <c r="D3129" t="s">
        <v>10</v>
      </c>
      <c r="E3129" t="s">
        <v>1779</v>
      </c>
      <c r="F3129" s="1">
        <v>19.989999999999998</v>
      </c>
      <c r="G3129">
        <v>1</v>
      </c>
      <c r="H3129" s="1">
        <v>6.7965999999999998</v>
      </c>
      <c r="I3129" s="4">
        <f>SalesData[[#This Row],[Profit]]/SalesData[[#This Row],[Sales]]</f>
        <v>0.34</v>
      </c>
      <c r="J3129">
        <f>YEAR(SalesData[[#This Row],[Order Date]])</f>
        <v>2015</v>
      </c>
      <c r="K3129" t="str">
        <f>TEXT(SalesData[[#This Row],[Order Date]],"mmm")</f>
        <v>Nov</v>
      </c>
      <c r="L3129">
        <f>MONTH(SalesData[[#This Row],[Order Date]])</f>
        <v>11</v>
      </c>
      <c r="M3129">
        <f>SalesData[[#This Row],[Sales]]/SalesData[[#This Row],[Quantity]]</f>
        <v>19.989999999999998</v>
      </c>
      <c r="N3129" t="str">
        <f>IF(SalesData[[#This Row],[Profit]]&gt;0,"Profit","Loss")</f>
        <v>Profit</v>
      </c>
    </row>
    <row r="3130" spans="1:14" x14ac:dyDescent="0.3">
      <c r="A3130" t="s">
        <v>1776</v>
      </c>
      <c r="B3130" s="3">
        <v>42317</v>
      </c>
      <c r="C3130" t="s">
        <v>17</v>
      </c>
      <c r="D3130" t="s">
        <v>21</v>
      </c>
      <c r="E3130" t="s">
        <v>542</v>
      </c>
      <c r="F3130" s="1">
        <v>772.68</v>
      </c>
      <c r="G3130">
        <v>4</v>
      </c>
      <c r="H3130" s="1">
        <v>108.1752</v>
      </c>
      <c r="I3130" s="4">
        <f>SalesData[[#This Row],[Profit]]/SalesData[[#This Row],[Sales]]</f>
        <v>0.14000000000000001</v>
      </c>
      <c r="J3130">
        <f>YEAR(SalesData[[#This Row],[Order Date]])</f>
        <v>2015</v>
      </c>
      <c r="K3130" t="str">
        <f>TEXT(SalesData[[#This Row],[Order Date]],"mmm")</f>
        <v>Nov</v>
      </c>
      <c r="L3130">
        <f>MONTH(SalesData[[#This Row],[Order Date]])</f>
        <v>11</v>
      </c>
      <c r="M3130">
        <f>SalesData[[#This Row],[Sales]]/SalesData[[#This Row],[Quantity]]</f>
        <v>193.17</v>
      </c>
      <c r="N3130" t="str">
        <f>IF(SalesData[[#This Row],[Profit]]&gt;0,"Profit","Loss")</f>
        <v>Profit</v>
      </c>
    </row>
    <row r="3131" spans="1:14" x14ac:dyDescent="0.3">
      <c r="A3131" t="s">
        <v>1780</v>
      </c>
      <c r="B3131" s="3">
        <v>42317</v>
      </c>
      <c r="C3131" t="s">
        <v>13</v>
      </c>
      <c r="D3131" t="s">
        <v>14</v>
      </c>
      <c r="E3131" t="s">
        <v>1781</v>
      </c>
      <c r="F3131" s="1">
        <v>24.64</v>
      </c>
      <c r="G3131">
        <v>4</v>
      </c>
      <c r="H3131" s="1">
        <v>4.0039999999999996</v>
      </c>
      <c r="I3131" s="4">
        <f>SalesData[[#This Row],[Profit]]/SalesData[[#This Row],[Sales]]</f>
        <v>0.16249999999999998</v>
      </c>
      <c r="J3131">
        <f>YEAR(SalesData[[#This Row],[Order Date]])</f>
        <v>2015</v>
      </c>
      <c r="K3131" t="str">
        <f>TEXT(SalesData[[#This Row],[Order Date]],"mmm")</f>
        <v>Nov</v>
      </c>
      <c r="L3131">
        <f>MONTH(SalesData[[#This Row],[Order Date]])</f>
        <v>11</v>
      </c>
      <c r="M3131">
        <f>SalesData[[#This Row],[Sales]]/SalesData[[#This Row],[Quantity]]</f>
        <v>6.16</v>
      </c>
      <c r="N3131" t="str">
        <f>IF(SalesData[[#This Row],[Profit]]&gt;0,"Profit","Loss")</f>
        <v>Profit</v>
      </c>
    </row>
    <row r="3132" spans="1:14" x14ac:dyDescent="0.3">
      <c r="A3132" t="s">
        <v>1782</v>
      </c>
      <c r="B3132" s="3">
        <v>42317</v>
      </c>
      <c r="C3132" t="s">
        <v>17</v>
      </c>
      <c r="D3132" t="s">
        <v>21</v>
      </c>
      <c r="E3132" t="s">
        <v>1721</v>
      </c>
      <c r="F3132" s="1">
        <v>31.05</v>
      </c>
      <c r="G3132">
        <v>3</v>
      </c>
      <c r="H3132" s="1">
        <v>14.904</v>
      </c>
      <c r="I3132" s="4">
        <f>SalesData[[#This Row],[Profit]]/SalesData[[#This Row],[Sales]]</f>
        <v>0.48</v>
      </c>
      <c r="J3132">
        <f>YEAR(SalesData[[#This Row],[Order Date]])</f>
        <v>2015</v>
      </c>
      <c r="K3132" t="str">
        <f>TEXT(SalesData[[#This Row],[Order Date]],"mmm")</f>
        <v>Nov</v>
      </c>
      <c r="L3132">
        <f>MONTH(SalesData[[#This Row],[Order Date]])</f>
        <v>11</v>
      </c>
      <c r="M3132">
        <f>SalesData[[#This Row],[Sales]]/SalesData[[#This Row],[Quantity]]</f>
        <v>10.35</v>
      </c>
      <c r="N3132" t="str">
        <f>IF(SalesData[[#This Row],[Profit]]&gt;0,"Profit","Loss")</f>
        <v>Profit</v>
      </c>
    </row>
    <row r="3133" spans="1:14" x14ac:dyDescent="0.3">
      <c r="A3133" t="s">
        <v>1782</v>
      </c>
      <c r="B3133" s="3">
        <v>42317</v>
      </c>
      <c r="C3133" t="s">
        <v>17</v>
      </c>
      <c r="D3133" t="s">
        <v>14</v>
      </c>
      <c r="E3133" t="s">
        <v>942</v>
      </c>
      <c r="F3133" s="1">
        <v>8.92</v>
      </c>
      <c r="G3133">
        <v>4</v>
      </c>
      <c r="H3133" s="1">
        <v>3.9247999999999998</v>
      </c>
      <c r="I3133" s="4">
        <f>SalesData[[#This Row],[Profit]]/SalesData[[#This Row],[Sales]]</f>
        <v>0.44</v>
      </c>
      <c r="J3133">
        <f>YEAR(SalesData[[#This Row],[Order Date]])</f>
        <v>2015</v>
      </c>
      <c r="K3133" t="str">
        <f>TEXT(SalesData[[#This Row],[Order Date]],"mmm")</f>
        <v>Nov</v>
      </c>
      <c r="L3133">
        <f>MONTH(SalesData[[#This Row],[Order Date]])</f>
        <v>11</v>
      </c>
      <c r="M3133">
        <f>SalesData[[#This Row],[Sales]]/SalesData[[#This Row],[Quantity]]</f>
        <v>2.23</v>
      </c>
      <c r="N3133" t="str">
        <f>IF(SalesData[[#This Row],[Profit]]&gt;0,"Profit","Loss")</f>
        <v>Profit</v>
      </c>
    </row>
    <row r="3134" spans="1:14" x14ac:dyDescent="0.3">
      <c r="A3134" t="s">
        <v>1782</v>
      </c>
      <c r="B3134" s="3">
        <v>42317</v>
      </c>
      <c r="C3134" t="s">
        <v>17</v>
      </c>
      <c r="D3134" t="s">
        <v>21</v>
      </c>
      <c r="E3134" t="s">
        <v>219</v>
      </c>
      <c r="F3134" s="1">
        <v>209.6</v>
      </c>
      <c r="G3134">
        <v>4</v>
      </c>
      <c r="H3134" s="1">
        <v>96.415999999999997</v>
      </c>
      <c r="I3134" s="4">
        <f>SalesData[[#This Row],[Profit]]/SalesData[[#This Row],[Sales]]</f>
        <v>0.46</v>
      </c>
      <c r="J3134">
        <f>YEAR(SalesData[[#This Row],[Order Date]])</f>
        <v>2015</v>
      </c>
      <c r="K3134" t="str">
        <f>TEXT(SalesData[[#This Row],[Order Date]],"mmm")</f>
        <v>Nov</v>
      </c>
      <c r="L3134">
        <f>MONTH(SalesData[[#This Row],[Order Date]])</f>
        <v>11</v>
      </c>
      <c r="M3134">
        <f>SalesData[[#This Row],[Sales]]/SalesData[[#This Row],[Quantity]]</f>
        <v>52.4</v>
      </c>
      <c r="N3134" t="str">
        <f>IF(SalesData[[#This Row],[Profit]]&gt;0,"Profit","Loss")</f>
        <v>Profit</v>
      </c>
    </row>
    <row r="3135" spans="1:14" x14ac:dyDescent="0.3">
      <c r="A3135" t="s">
        <v>1782</v>
      </c>
      <c r="B3135" s="3">
        <v>42317</v>
      </c>
      <c r="C3135" t="s">
        <v>17</v>
      </c>
      <c r="D3135" t="s">
        <v>21</v>
      </c>
      <c r="E3135" t="s">
        <v>1783</v>
      </c>
      <c r="F3135" s="1">
        <v>111.04</v>
      </c>
      <c r="G3135">
        <v>4</v>
      </c>
      <c r="H3135" s="1">
        <v>29.980799999999999</v>
      </c>
      <c r="I3135" s="4">
        <f>SalesData[[#This Row],[Profit]]/SalesData[[#This Row],[Sales]]</f>
        <v>0.26999999999999996</v>
      </c>
      <c r="J3135">
        <f>YEAR(SalesData[[#This Row],[Order Date]])</f>
        <v>2015</v>
      </c>
      <c r="K3135" t="str">
        <f>TEXT(SalesData[[#This Row],[Order Date]],"mmm")</f>
        <v>Nov</v>
      </c>
      <c r="L3135">
        <f>MONTH(SalesData[[#This Row],[Order Date]])</f>
        <v>11</v>
      </c>
      <c r="M3135">
        <f>SalesData[[#This Row],[Sales]]/SalesData[[#This Row],[Quantity]]</f>
        <v>27.76</v>
      </c>
      <c r="N3135" t="str">
        <f>IF(SalesData[[#This Row],[Profit]]&gt;0,"Profit","Loss")</f>
        <v>Profit</v>
      </c>
    </row>
    <row r="3136" spans="1:14" x14ac:dyDescent="0.3">
      <c r="A3136" t="s">
        <v>1782</v>
      </c>
      <c r="B3136" s="3">
        <v>42317</v>
      </c>
      <c r="C3136" t="s">
        <v>17</v>
      </c>
      <c r="D3136" t="s">
        <v>21</v>
      </c>
      <c r="E3136" t="s">
        <v>1784</v>
      </c>
      <c r="F3136" s="1">
        <v>38.880000000000003</v>
      </c>
      <c r="G3136">
        <v>6</v>
      </c>
      <c r="H3136" s="1">
        <v>18.662400000000002</v>
      </c>
      <c r="I3136" s="4">
        <f>SalesData[[#This Row],[Profit]]/SalesData[[#This Row],[Sales]]</f>
        <v>0.48000000000000004</v>
      </c>
      <c r="J3136">
        <f>YEAR(SalesData[[#This Row],[Order Date]])</f>
        <v>2015</v>
      </c>
      <c r="K3136" t="str">
        <f>TEXT(SalesData[[#This Row],[Order Date]],"mmm")</f>
        <v>Nov</v>
      </c>
      <c r="L3136">
        <f>MONTH(SalesData[[#This Row],[Order Date]])</f>
        <v>11</v>
      </c>
      <c r="M3136">
        <f>SalesData[[#This Row],[Sales]]/SalesData[[#This Row],[Quantity]]</f>
        <v>6.48</v>
      </c>
      <c r="N3136" t="str">
        <f>IF(SalesData[[#This Row],[Profit]]&gt;0,"Profit","Loss")</f>
        <v>Profit</v>
      </c>
    </row>
    <row r="3137" spans="1:14" x14ac:dyDescent="0.3">
      <c r="A3137" t="s">
        <v>1785</v>
      </c>
      <c r="B3137" s="3">
        <v>42318</v>
      </c>
      <c r="C3137" t="s">
        <v>46</v>
      </c>
      <c r="D3137" t="s">
        <v>14</v>
      </c>
      <c r="E3137" t="s">
        <v>1786</v>
      </c>
      <c r="F3137" s="1">
        <v>957.57749999999999</v>
      </c>
      <c r="G3137">
        <v>5</v>
      </c>
      <c r="H3137" s="1">
        <v>-383.03100000000001</v>
      </c>
      <c r="I3137" s="4">
        <f>SalesData[[#This Row],[Profit]]/SalesData[[#This Row],[Sales]]</f>
        <v>-0.4</v>
      </c>
      <c r="J3137">
        <f>YEAR(SalesData[[#This Row],[Order Date]])</f>
        <v>2015</v>
      </c>
      <c r="K3137" t="str">
        <f>TEXT(SalesData[[#This Row],[Order Date]],"mmm")</f>
        <v>Nov</v>
      </c>
      <c r="L3137">
        <f>MONTH(SalesData[[#This Row],[Order Date]])</f>
        <v>11</v>
      </c>
      <c r="M3137">
        <f>SalesData[[#This Row],[Sales]]/SalesData[[#This Row],[Quantity]]</f>
        <v>191.5155</v>
      </c>
      <c r="N3137" t="str">
        <f>IF(SalesData[[#This Row],[Profit]]&gt;0,"Profit","Loss")</f>
        <v>Loss</v>
      </c>
    </row>
    <row r="3138" spans="1:14" x14ac:dyDescent="0.3">
      <c r="A3138" t="s">
        <v>1785</v>
      </c>
      <c r="B3138" s="3">
        <v>42318</v>
      </c>
      <c r="C3138" t="s">
        <v>46</v>
      </c>
      <c r="D3138" t="s">
        <v>21</v>
      </c>
      <c r="E3138" t="s">
        <v>1787</v>
      </c>
      <c r="F3138" s="1">
        <v>22.367999999999999</v>
      </c>
      <c r="G3138">
        <v>2</v>
      </c>
      <c r="H3138" s="1">
        <v>2.5164</v>
      </c>
      <c r="I3138" s="4">
        <f>SalesData[[#This Row],[Profit]]/SalesData[[#This Row],[Sales]]</f>
        <v>0.1125</v>
      </c>
      <c r="J3138">
        <f>YEAR(SalesData[[#This Row],[Order Date]])</f>
        <v>2015</v>
      </c>
      <c r="K3138" t="str">
        <f>TEXT(SalesData[[#This Row],[Order Date]],"mmm")</f>
        <v>Nov</v>
      </c>
      <c r="L3138">
        <f>MONTH(SalesData[[#This Row],[Order Date]])</f>
        <v>11</v>
      </c>
      <c r="M3138">
        <f>SalesData[[#This Row],[Sales]]/SalesData[[#This Row],[Quantity]]</f>
        <v>11.183999999999999</v>
      </c>
      <c r="N3138" t="str">
        <f>IF(SalesData[[#This Row],[Profit]]&gt;0,"Profit","Loss")</f>
        <v>Profit</v>
      </c>
    </row>
    <row r="3139" spans="1:14" x14ac:dyDescent="0.3">
      <c r="A3139" t="s">
        <v>1788</v>
      </c>
      <c r="B3139" s="3">
        <v>42318</v>
      </c>
      <c r="C3139" t="s">
        <v>17</v>
      </c>
      <c r="D3139" t="s">
        <v>10</v>
      </c>
      <c r="E3139" t="s">
        <v>1789</v>
      </c>
      <c r="F3139" s="1">
        <v>31.95</v>
      </c>
      <c r="G3139">
        <v>1</v>
      </c>
      <c r="H3139" s="1">
        <v>2.2364999999999999</v>
      </c>
      <c r="I3139" s="4">
        <f>SalesData[[#This Row],[Profit]]/SalesData[[#This Row],[Sales]]</f>
        <v>6.9999999999999993E-2</v>
      </c>
      <c r="J3139">
        <f>YEAR(SalesData[[#This Row],[Order Date]])</f>
        <v>2015</v>
      </c>
      <c r="K3139" t="str">
        <f>TEXT(SalesData[[#This Row],[Order Date]],"mmm")</f>
        <v>Nov</v>
      </c>
      <c r="L3139">
        <f>MONTH(SalesData[[#This Row],[Order Date]])</f>
        <v>11</v>
      </c>
      <c r="M3139">
        <f>SalesData[[#This Row],[Sales]]/SalesData[[#This Row],[Quantity]]</f>
        <v>31.95</v>
      </c>
      <c r="N3139" t="str">
        <f>IF(SalesData[[#This Row],[Profit]]&gt;0,"Profit","Loss")</f>
        <v>Profit</v>
      </c>
    </row>
    <row r="3140" spans="1:14" x14ac:dyDescent="0.3">
      <c r="A3140" t="s">
        <v>1790</v>
      </c>
      <c r="B3140" s="3">
        <v>42319</v>
      </c>
      <c r="C3140" t="s">
        <v>9</v>
      </c>
      <c r="D3140" t="s">
        <v>21</v>
      </c>
      <c r="E3140" t="s">
        <v>1791</v>
      </c>
      <c r="F3140" s="1">
        <v>418.32</v>
      </c>
      <c r="G3140">
        <v>7</v>
      </c>
      <c r="H3140" s="1">
        <v>117.1296</v>
      </c>
      <c r="I3140" s="4">
        <f>SalesData[[#This Row],[Profit]]/SalesData[[#This Row],[Sales]]</f>
        <v>0.27999999999999997</v>
      </c>
      <c r="J3140">
        <f>YEAR(SalesData[[#This Row],[Order Date]])</f>
        <v>2015</v>
      </c>
      <c r="K3140" t="str">
        <f>TEXT(SalesData[[#This Row],[Order Date]],"mmm")</f>
        <v>Nov</v>
      </c>
      <c r="L3140">
        <f>MONTH(SalesData[[#This Row],[Order Date]])</f>
        <v>11</v>
      </c>
      <c r="M3140">
        <f>SalesData[[#This Row],[Sales]]/SalesData[[#This Row],[Quantity]]</f>
        <v>59.76</v>
      </c>
      <c r="N3140" t="str">
        <f>IF(SalesData[[#This Row],[Profit]]&gt;0,"Profit","Loss")</f>
        <v>Profit</v>
      </c>
    </row>
    <row r="3141" spans="1:14" x14ac:dyDescent="0.3">
      <c r="A3141" t="s">
        <v>1790</v>
      </c>
      <c r="B3141" s="3">
        <v>42319</v>
      </c>
      <c r="C3141" t="s">
        <v>9</v>
      </c>
      <c r="D3141" t="s">
        <v>21</v>
      </c>
      <c r="E3141" t="s">
        <v>1228</v>
      </c>
      <c r="F3141" s="1">
        <v>123.858</v>
      </c>
      <c r="G3141">
        <v>2</v>
      </c>
      <c r="H3141" s="1">
        <v>46.790799999999997</v>
      </c>
      <c r="I3141" s="4">
        <f>SalesData[[#This Row],[Profit]]/SalesData[[#This Row],[Sales]]</f>
        <v>0.37777777777777777</v>
      </c>
      <c r="J3141">
        <f>YEAR(SalesData[[#This Row],[Order Date]])</f>
        <v>2015</v>
      </c>
      <c r="K3141" t="str">
        <f>TEXT(SalesData[[#This Row],[Order Date]],"mmm")</f>
        <v>Nov</v>
      </c>
      <c r="L3141">
        <f>MONTH(SalesData[[#This Row],[Order Date]])</f>
        <v>11</v>
      </c>
      <c r="M3141">
        <f>SalesData[[#This Row],[Sales]]/SalesData[[#This Row],[Quantity]]</f>
        <v>61.929000000000002</v>
      </c>
      <c r="N3141" t="str">
        <f>IF(SalesData[[#This Row],[Profit]]&gt;0,"Profit","Loss")</f>
        <v>Profit</v>
      </c>
    </row>
    <row r="3142" spans="1:14" x14ac:dyDescent="0.3">
      <c r="A3142" t="s">
        <v>1792</v>
      </c>
      <c r="B3142" s="3">
        <v>42320</v>
      </c>
      <c r="C3142" t="s">
        <v>46</v>
      </c>
      <c r="D3142" t="s">
        <v>21</v>
      </c>
      <c r="E3142" t="s">
        <v>836</v>
      </c>
      <c r="F3142" s="1">
        <v>196.62</v>
      </c>
      <c r="G3142">
        <v>2</v>
      </c>
      <c r="H3142" s="1">
        <v>96.343800000000002</v>
      </c>
      <c r="I3142" s="4">
        <f>SalesData[[#This Row],[Profit]]/SalesData[[#This Row],[Sales]]</f>
        <v>0.49</v>
      </c>
      <c r="J3142">
        <f>YEAR(SalesData[[#This Row],[Order Date]])</f>
        <v>2015</v>
      </c>
      <c r="K3142" t="str">
        <f>TEXT(SalesData[[#This Row],[Order Date]],"mmm")</f>
        <v>Nov</v>
      </c>
      <c r="L3142">
        <f>MONTH(SalesData[[#This Row],[Order Date]])</f>
        <v>11</v>
      </c>
      <c r="M3142">
        <f>SalesData[[#This Row],[Sales]]/SalesData[[#This Row],[Quantity]]</f>
        <v>98.31</v>
      </c>
      <c r="N3142" t="str">
        <f>IF(SalesData[[#This Row],[Profit]]&gt;0,"Profit","Loss")</f>
        <v>Profit</v>
      </c>
    </row>
    <row r="3143" spans="1:14" x14ac:dyDescent="0.3">
      <c r="A3143" t="s">
        <v>1793</v>
      </c>
      <c r="B3143" s="3">
        <v>42320</v>
      </c>
      <c r="C3143" t="s">
        <v>9</v>
      </c>
      <c r="D3143" t="s">
        <v>10</v>
      </c>
      <c r="E3143" t="s">
        <v>166</v>
      </c>
      <c r="F3143" s="1">
        <v>159.98400000000001</v>
      </c>
      <c r="G3143">
        <v>2</v>
      </c>
      <c r="H3143" s="1">
        <v>35.996400000000001</v>
      </c>
      <c r="I3143" s="4">
        <f>SalesData[[#This Row],[Profit]]/SalesData[[#This Row],[Sales]]</f>
        <v>0.22500000000000001</v>
      </c>
      <c r="J3143">
        <f>YEAR(SalesData[[#This Row],[Order Date]])</f>
        <v>2015</v>
      </c>
      <c r="K3143" t="str">
        <f>TEXT(SalesData[[#This Row],[Order Date]],"mmm")</f>
        <v>Nov</v>
      </c>
      <c r="L3143">
        <f>MONTH(SalesData[[#This Row],[Order Date]])</f>
        <v>11</v>
      </c>
      <c r="M3143">
        <f>SalesData[[#This Row],[Sales]]/SalesData[[#This Row],[Quantity]]</f>
        <v>79.992000000000004</v>
      </c>
      <c r="N3143" t="str">
        <f>IF(SalesData[[#This Row],[Profit]]&gt;0,"Profit","Loss")</f>
        <v>Profit</v>
      </c>
    </row>
    <row r="3144" spans="1:14" x14ac:dyDescent="0.3">
      <c r="A3144" t="s">
        <v>1793</v>
      </c>
      <c r="B3144" s="3">
        <v>42320</v>
      </c>
      <c r="C3144" t="s">
        <v>9</v>
      </c>
      <c r="D3144" t="s">
        <v>21</v>
      </c>
      <c r="E3144" t="s">
        <v>1162</v>
      </c>
      <c r="F3144" s="1">
        <v>46.344000000000001</v>
      </c>
      <c r="G3144">
        <v>3</v>
      </c>
      <c r="H3144" s="1">
        <v>4.6344000000000003</v>
      </c>
      <c r="I3144" s="4">
        <f>SalesData[[#This Row],[Profit]]/SalesData[[#This Row],[Sales]]</f>
        <v>0.1</v>
      </c>
      <c r="J3144">
        <f>YEAR(SalesData[[#This Row],[Order Date]])</f>
        <v>2015</v>
      </c>
      <c r="K3144" t="str">
        <f>TEXT(SalesData[[#This Row],[Order Date]],"mmm")</f>
        <v>Nov</v>
      </c>
      <c r="L3144">
        <f>MONTH(SalesData[[#This Row],[Order Date]])</f>
        <v>11</v>
      </c>
      <c r="M3144">
        <f>SalesData[[#This Row],[Sales]]/SalesData[[#This Row],[Quantity]]</f>
        <v>15.448</v>
      </c>
      <c r="N3144" t="str">
        <f>IF(SalesData[[#This Row],[Profit]]&gt;0,"Profit","Loss")</f>
        <v>Profit</v>
      </c>
    </row>
    <row r="3145" spans="1:14" x14ac:dyDescent="0.3">
      <c r="A3145" t="s">
        <v>1794</v>
      </c>
      <c r="B3145" s="3">
        <v>42320</v>
      </c>
      <c r="C3145" t="s">
        <v>46</v>
      </c>
      <c r="D3145" t="s">
        <v>21</v>
      </c>
      <c r="E3145" t="s">
        <v>187</v>
      </c>
      <c r="F3145" s="1">
        <v>12.827999999999999</v>
      </c>
      <c r="G3145">
        <v>2</v>
      </c>
      <c r="H3145" s="1">
        <v>-8.9795999999999996</v>
      </c>
      <c r="I3145" s="4">
        <f>SalesData[[#This Row],[Profit]]/SalesData[[#This Row],[Sales]]</f>
        <v>-0.7</v>
      </c>
      <c r="J3145">
        <f>YEAR(SalesData[[#This Row],[Order Date]])</f>
        <v>2015</v>
      </c>
      <c r="K3145" t="str">
        <f>TEXT(SalesData[[#This Row],[Order Date]],"mmm")</f>
        <v>Nov</v>
      </c>
      <c r="L3145">
        <f>MONTH(SalesData[[#This Row],[Order Date]])</f>
        <v>11</v>
      </c>
      <c r="M3145">
        <f>SalesData[[#This Row],[Sales]]/SalesData[[#This Row],[Quantity]]</f>
        <v>6.4139999999999997</v>
      </c>
      <c r="N3145" t="str">
        <f>IF(SalesData[[#This Row],[Profit]]&gt;0,"Profit","Loss")</f>
        <v>Loss</v>
      </c>
    </row>
    <row r="3146" spans="1:14" x14ac:dyDescent="0.3">
      <c r="A3146" t="s">
        <v>1795</v>
      </c>
      <c r="B3146" s="3">
        <v>42320</v>
      </c>
      <c r="C3146" t="s">
        <v>13</v>
      </c>
      <c r="D3146" t="s">
        <v>21</v>
      </c>
      <c r="E3146" t="s">
        <v>1127</v>
      </c>
      <c r="F3146" s="1">
        <v>13.12</v>
      </c>
      <c r="G3146">
        <v>5</v>
      </c>
      <c r="H3146" s="1">
        <v>1.1479999999999999</v>
      </c>
      <c r="I3146" s="4">
        <f>SalesData[[#This Row],[Profit]]/SalesData[[#This Row],[Sales]]</f>
        <v>8.7499999999999994E-2</v>
      </c>
      <c r="J3146">
        <f>YEAR(SalesData[[#This Row],[Order Date]])</f>
        <v>2015</v>
      </c>
      <c r="K3146" t="str">
        <f>TEXT(SalesData[[#This Row],[Order Date]],"mmm")</f>
        <v>Nov</v>
      </c>
      <c r="L3146">
        <f>MONTH(SalesData[[#This Row],[Order Date]])</f>
        <v>11</v>
      </c>
      <c r="M3146">
        <f>SalesData[[#This Row],[Sales]]/SalesData[[#This Row],[Quantity]]</f>
        <v>2.6239999999999997</v>
      </c>
      <c r="N3146" t="str">
        <f>IF(SalesData[[#This Row],[Profit]]&gt;0,"Profit","Loss")</f>
        <v>Profit</v>
      </c>
    </row>
    <row r="3147" spans="1:14" x14ac:dyDescent="0.3">
      <c r="A3147" t="s">
        <v>1795</v>
      </c>
      <c r="B3147" s="3">
        <v>42320</v>
      </c>
      <c r="C3147" t="s">
        <v>13</v>
      </c>
      <c r="D3147" t="s">
        <v>14</v>
      </c>
      <c r="E3147" t="s">
        <v>1796</v>
      </c>
      <c r="F3147" s="1">
        <v>69.575999999999993</v>
      </c>
      <c r="G3147">
        <v>4</v>
      </c>
      <c r="H3147" s="1">
        <v>-143.79040000000001</v>
      </c>
      <c r="I3147" s="4">
        <f>SalesData[[#This Row],[Profit]]/SalesData[[#This Row],[Sales]]</f>
        <v>-2.0666666666666669</v>
      </c>
      <c r="J3147">
        <f>YEAR(SalesData[[#This Row],[Order Date]])</f>
        <v>2015</v>
      </c>
      <c r="K3147" t="str">
        <f>TEXT(SalesData[[#This Row],[Order Date]],"mmm")</f>
        <v>Nov</v>
      </c>
      <c r="L3147">
        <f>MONTH(SalesData[[#This Row],[Order Date]])</f>
        <v>11</v>
      </c>
      <c r="M3147">
        <f>SalesData[[#This Row],[Sales]]/SalesData[[#This Row],[Quantity]]</f>
        <v>17.393999999999998</v>
      </c>
      <c r="N3147" t="str">
        <f>IF(SalesData[[#This Row],[Profit]]&gt;0,"Profit","Loss")</f>
        <v>Loss</v>
      </c>
    </row>
    <row r="3148" spans="1:14" x14ac:dyDescent="0.3">
      <c r="A3148" t="s">
        <v>1795</v>
      </c>
      <c r="B3148" s="3">
        <v>42320</v>
      </c>
      <c r="C3148" t="s">
        <v>13</v>
      </c>
      <c r="D3148" t="s">
        <v>21</v>
      </c>
      <c r="E3148" t="s">
        <v>1797</v>
      </c>
      <c r="F3148" s="1">
        <v>4.2240000000000002</v>
      </c>
      <c r="G3148">
        <v>3</v>
      </c>
      <c r="H3148" s="1">
        <v>0.47520000000000001</v>
      </c>
      <c r="I3148" s="4">
        <f>SalesData[[#This Row],[Profit]]/SalesData[[#This Row],[Sales]]</f>
        <v>0.1125</v>
      </c>
      <c r="J3148">
        <f>YEAR(SalesData[[#This Row],[Order Date]])</f>
        <v>2015</v>
      </c>
      <c r="K3148" t="str">
        <f>TEXT(SalesData[[#This Row],[Order Date]],"mmm")</f>
        <v>Nov</v>
      </c>
      <c r="L3148">
        <f>MONTH(SalesData[[#This Row],[Order Date]])</f>
        <v>11</v>
      </c>
      <c r="M3148">
        <f>SalesData[[#This Row],[Sales]]/SalesData[[#This Row],[Quantity]]</f>
        <v>1.4080000000000001</v>
      </c>
      <c r="N3148" t="str">
        <f>IF(SalesData[[#This Row],[Profit]]&gt;0,"Profit","Loss")</f>
        <v>Profit</v>
      </c>
    </row>
    <row r="3149" spans="1:14" x14ac:dyDescent="0.3">
      <c r="A3149" t="s">
        <v>1795</v>
      </c>
      <c r="B3149" s="3">
        <v>42320</v>
      </c>
      <c r="C3149" t="s">
        <v>13</v>
      </c>
      <c r="D3149" t="s">
        <v>10</v>
      </c>
      <c r="E3149" t="s">
        <v>1630</v>
      </c>
      <c r="F3149" s="1">
        <v>58.08</v>
      </c>
      <c r="G3149">
        <v>4</v>
      </c>
      <c r="H3149" s="1">
        <v>-6.5339999999999998</v>
      </c>
      <c r="I3149" s="4">
        <f>SalesData[[#This Row],[Profit]]/SalesData[[#This Row],[Sales]]</f>
        <v>-0.1125</v>
      </c>
      <c r="J3149">
        <f>YEAR(SalesData[[#This Row],[Order Date]])</f>
        <v>2015</v>
      </c>
      <c r="K3149" t="str">
        <f>TEXT(SalesData[[#This Row],[Order Date]],"mmm")</f>
        <v>Nov</v>
      </c>
      <c r="L3149">
        <f>MONTH(SalesData[[#This Row],[Order Date]])</f>
        <v>11</v>
      </c>
      <c r="M3149">
        <f>SalesData[[#This Row],[Sales]]/SalesData[[#This Row],[Quantity]]</f>
        <v>14.52</v>
      </c>
      <c r="N3149" t="str">
        <f>IF(SalesData[[#This Row],[Profit]]&gt;0,"Profit","Loss")</f>
        <v>Loss</v>
      </c>
    </row>
    <row r="3150" spans="1:14" x14ac:dyDescent="0.3">
      <c r="A3150" t="s">
        <v>1795</v>
      </c>
      <c r="B3150" s="3">
        <v>42320</v>
      </c>
      <c r="C3150" t="s">
        <v>13</v>
      </c>
      <c r="D3150" t="s">
        <v>14</v>
      </c>
      <c r="E3150" t="s">
        <v>789</v>
      </c>
      <c r="F3150" s="1">
        <v>52.415999999999997</v>
      </c>
      <c r="G3150">
        <v>9</v>
      </c>
      <c r="H3150" s="1">
        <v>15.069599999999999</v>
      </c>
      <c r="I3150" s="4">
        <f>SalesData[[#This Row],[Profit]]/SalesData[[#This Row],[Sales]]</f>
        <v>0.28750000000000003</v>
      </c>
      <c r="J3150">
        <f>YEAR(SalesData[[#This Row],[Order Date]])</f>
        <v>2015</v>
      </c>
      <c r="K3150" t="str">
        <f>TEXT(SalesData[[#This Row],[Order Date]],"mmm")</f>
        <v>Nov</v>
      </c>
      <c r="L3150">
        <f>MONTH(SalesData[[#This Row],[Order Date]])</f>
        <v>11</v>
      </c>
      <c r="M3150">
        <f>SalesData[[#This Row],[Sales]]/SalesData[[#This Row],[Quantity]]</f>
        <v>5.8239999999999998</v>
      </c>
      <c r="N3150" t="str">
        <f>IF(SalesData[[#This Row],[Profit]]&gt;0,"Profit","Loss")</f>
        <v>Profit</v>
      </c>
    </row>
    <row r="3151" spans="1:14" x14ac:dyDescent="0.3">
      <c r="A3151" t="s">
        <v>1795</v>
      </c>
      <c r="B3151" s="3">
        <v>42320</v>
      </c>
      <c r="C3151" t="s">
        <v>13</v>
      </c>
      <c r="D3151" t="s">
        <v>14</v>
      </c>
      <c r="E3151" t="s">
        <v>328</v>
      </c>
      <c r="F3151" s="1">
        <v>54.92</v>
      </c>
      <c r="G3151">
        <v>5</v>
      </c>
      <c r="H3151" s="1">
        <v>10.984</v>
      </c>
      <c r="I3151" s="4">
        <f>SalesData[[#This Row],[Profit]]/SalesData[[#This Row],[Sales]]</f>
        <v>0.19999999999999998</v>
      </c>
      <c r="J3151">
        <f>YEAR(SalesData[[#This Row],[Order Date]])</f>
        <v>2015</v>
      </c>
      <c r="K3151" t="str">
        <f>TEXT(SalesData[[#This Row],[Order Date]],"mmm")</f>
        <v>Nov</v>
      </c>
      <c r="L3151">
        <f>MONTH(SalesData[[#This Row],[Order Date]])</f>
        <v>11</v>
      </c>
      <c r="M3151">
        <f>SalesData[[#This Row],[Sales]]/SalesData[[#This Row],[Quantity]]</f>
        <v>10.984</v>
      </c>
      <c r="N3151" t="str">
        <f>IF(SalesData[[#This Row],[Profit]]&gt;0,"Profit","Loss")</f>
        <v>Profit</v>
      </c>
    </row>
    <row r="3152" spans="1:14" x14ac:dyDescent="0.3">
      <c r="A3152" t="s">
        <v>1795</v>
      </c>
      <c r="B3152" s="3">
        <v>42320</v>
      </c>
      <c r="C3152" t="s">
        <v>13</v>
      </c>
      <c r="D3152" t="s">
        <v>14</v>
      </c>
      <c r="E3152" t="s">
        <v>1798</v>
      </c>
      <c r="F3152" s="1">
        <v>364.95</v>
      </c>
      <c r="G3152">
        <v>5</v>
      </c>
      <c r="H3152" s="1">
        <v>-248.166</v>
      </c>
      <c r="I3152" s="4">
        <f>SalesData[[#This Row],[Profit]]/SalesData[[#This Row],[Sales]]</f>
        <v>-0.68</v>
      </c>
      <c r="J3152">
        <f>YEAR(SalesData[[#This Row],[Order Date]])</f>
        <v>2015</v>
      </c>
      <c r="K3152" t="str">
        <f>TEXT(SalesData[[#This Row],[Order Date]],"mmm")</f>
        <v>Nov</v>
      </c>
      <c r="L3152">
        <f>MONTH(SalesData[[#This Row],[Order Date]])</f>
        <v>11</v>
      </c>
      <c r="M3152">
        <f>SalesData[[#This Row],[Sales]]/SalesData[[#This Row],[Quantity]]</f>
        <v>72.989999999999995</v>
      </c>
      <c r="N3152" t="str">
        <f>IF(SalesData[[#This Row],[Profit]]&gt;0,"Profit","Loss")</f>
        <v>Loss</v>
      </c>
    </row>
    <row r="3153" spans="1:14" x14ac:dyDescent="0.3">
      <c r="A3153" t="s">
        <v>1795</v>
      </c>
      <c r="B3153" s="3">
        <v>42320</v>
      </c>
      <c r="C3153" t="s">
        <v>13</v>
      </c>
      <c r="D3153" t="s">
        <v>21</v>
      </c>
      <c r="E3153" t="s">
        <v>1799</v>
      </c>
      <c r="F3153" s="1">
        <v>85.055999999999997</v>
      </c>
      <c r="G3153">
        <v>3</v>
      </c>
      <c r="H3153" s="1">
        <v>28.706399999999999</v>
      </c>
      <c r="I3153" s="4">
        <f>SalesData[[#This Row],[Profit]]/SalesData[[#This Row],[Sales]]</f>
        <v>0.33749999999999997</v>
      </c>
      <c r="J3153">
        <f>YEAR(SalesData[[#This Row],[Order Date]])</f>
        <v>2015</v>
      </c>
      <c r="K3153" t="str">
        <f>TEXT(SalesData[[#This Row],[Order Date]],"mmm")</f>
        <v>Nov</v>
      </c>
      <c r="L3153">
        <f>MONTH(SalesData[[#This Row],[Order Date]])</f>
        <v>11</v>
      </c>
      <c r="M3153">
        <f>SalesData[[#This Row],[Sales]]/SalesData[[#This Row],[Quantity]]</f>
        <v>28.352</v>
      </c>
      <c r="N3153" t="str">
        <f>IF(SalesData[[#This Row],[Profit]]&gt;0,"Profit","Loss")</f>
        <v>Profit</v>
      </c>
    </row>
    <row r="3154" spans="1:14" x14ac:dyDescent="0.3">
      <c r="A3154" t="s">
        <v>1795</v>
      </c>
      <c r="B3154" s="3">
        <v>42320</v>
      </c>
      <c r="C3154" t="s">
        <v>13</v>
      </c>
      <c r="D3154" t="s">
        <v>21</v>
      </c>
      <c r="E3154" t="s">
        <v>1800</v>
      </c>
      <c r="F3154" s="1">
        <v>27.696000000000002</v>
      </c>
      <c r="G3154">
        <v>3</v>
      </c>
      <c r="H3154" s="1">
        <v>9.6936</v>
      </c>
      <c r="I3154" s="4">
        <f>SalesData[[#This Row],[Profit]]/SalesData[[#This Row],[Sales]]</f>
        <v>0.35</v>
      </c>
      <c r="J3154">
        <f>YEAR(SalesData[[#This Row],[Order Date]])</f>
        <v>2015</v>
      </c>
      <c r="K3154" t="str">
        <f>TEXT(SalesData[[#This Row],[Order Date]],"mmm")</f>
        <v>Nov</v>
      </c>
      <c r="L3154">
        <f>MONTH(SalesData[[#This Row],[Order Date]])</f>
        <v>11</v>
      </c>
      <c r="M3154">
        <f>SalesData[[#This Row],[Sales]]/SalesData[[#This Row],[Quantity]]</f>
        <v>9.2320000000000011</v>
      </c>
      <c r="N3154" t="str">
        <f>IF(SalesData[[#This Row],[Profit]]&gt;0,"Profit","Loss")</f>
        <v>Profit</v>
      </c>
    </row>
    <row r="3155" spans="1:14" x14ac:dyDescent="0.3">
      <c r="A3155" t="s">
        <v>1801</v>
      </c>
      <c r="B3155" s="3">
        <v>42320</v>
      </c>
      <c r="C3155" t="s">
        <v>17</v>
      </c>
      <c r="D3155" t="s">
        <v>21</v>
      </c>
      <c r="E3155" t="s">
        <v>1432</v>
      </c>
      <c r="F3155" s="1">
        <v>10.332000000000001</v>
      </c>
      <c r="G3155">
        <v>3</v>
      </c>
      <c r="H3155" s="1">
        <v>-7.5768000000000004</v>
      </c>
      <c r="I3155" s="4">
        <f>SalesData[[#This Row],[Profit]]/SalesData[[#This Row],[Sales]]</f>
        <v>-0.73333333333333328</v>
      </c>
      <c r="J3155">
        <f>YEAR(SalesData[[#This Row],[Order Date]])</f>
        <v>2015</v>
      </c>
      <c r="K3155" t="str">
        <f>TEXT(SalesData[[#This Row],[Order Date]],"mmm")</f>
        <v>Nov</v>
      </c>
      <c r="L3155">
        <f>MONTH(SalesData[[#This Row],[Order Date]])</f>
        <v>11</v>
      </c>
      <c r="M3155">
        <f>SalesData[[#This Row],[Sales]]/SalesData[[#This Row],[Quantity]]</f>
        <v>3.4440000000000004</v>
      </c>
      <c r="N3155" t="str">
        <f>IF(SalesData[[#This Row],[Profit]]&gt;0,"Profit","Loss")</f>
        <v>Loss</v>
      </c>
    </row>
    <row r="3156" spans="1:14" x14ac:dyDescent="0.3">
      <c r="A3156" t="s">
        <v>1802</v>
      </c>
      <c r="B3156" s="3">
        <v>42320</v>
      </c>
      <c r="C3156" t="s">
        <v>13</v>
      </c>
      <c r="D3156" t="s">
        <v>21</v>
      </c>
      <c r="E3156" t="s">
        <v>305</v>
      </c>
      <c r="F3156" s="1">
        <v>110.52800000000001</v>
      </c>
      <c r="G3156">
        <v>4</v>
      </c>
      <c r="H3156" s="1">
        <v>38.684800000000003</v>
      </c>
      <c r="I3156" s="4">
        <f>SalesData[[#This Row],[Profit]]/SalesData[[#This Row],[Sales]]</f>
        <v>0.35000000000000003</v>
      </c>
      <c r="J3156">
        <f>YEAR(SalesData[[#This Row],[Order Date]])</f>
        <v>2015</v>
      </c>
      <c r="K3156" t="str">
        <f>TEXT(SalesData[[#This Row],[Order Date]],"mmm")</f>
        <v>Nov</v>
      </c>
      <c r="L3156">
        <f>MONTH(SalesData[[#This Row],[Order Date]])</f>
        <v>11</v>
      </c>
      <c r="M3156">
        <f>SalesData[[#This Row],[Sales]]/SalesData[[#This Row],[Quantity]]</f>
        <v>27.632000000000001</v>
      </c>
      <c r="N3156" t="str">
        <f>IF(SalesData[[#This Row],[Profit]]&gt;0,"Profit","Loss")</f>
        <v>Profit</v>
      </c>
    </row>
    <row r="3157" spans="1:14" x14ac:dyDescent="0.3">
      <c r="A3157" t="s">
        <v>1803</v>
      </c>
      <c r="B3157" s="3">
        <v>42320</v>
      </c>
      <c r="C3157" t="s">
        <v>9</v>
      </c>
      <c r="D3157" t="s">
        <v>10</v>
      </c>
      <c r="E3157" t="s">
        <v>1804</v>
      </c>
      <c r="F3157" s="1">
        <v>175.23</v>
      </c>
      <c r="G3157">
        <v>11</v>
      </c>
      <c r="H3157" s="1">
        <v>61.330500000000001</v>
      </c>
      <c r="I3157" s="4">
        <f>SalesData[[#This Row],[Profit]]/SalesData[[#This Row],[Sales]]</f>
        <v>0.35000000000000003</v>
      </c>
      <c r="J3157">
        <f>YEAR(SalesData[[#This Row],[Order Date]])</f>
        <v>2015</v>
      </c>
      <c r="K3157" t="str">
        <f>TEXT(SalesData[[#This Row],[Order Date]],"mmm")</f>
        <v>Nov</v>
      </c>
      <c r="L3157">
        <f>MONTH(SalesData[[#This Row],[Order Date]])</f>
        <v>11</v>
      </c>
      <c r="M3157">
        <f>SalesData[[#This Row],[Sales]]/SalesData[[#This Row],[Quantity]]</f>
        <v>15.93</v>
      </c>
      <c r="N3157" t="str">
        <f>IF(SalesData[[#This Row],[Profit]]&gt;0,"Profit","Loss")</f>
        <v>Profit</v>
      </c>
    </row>
    <row r="3158" spans="1:14" x14ac:dyDescent="0.3">
      <c r="A3158" t="s">
        <v>1803</v>
      </c>
      <c r="B3158" s="3">
        <v>42320</v>
      </c>
      <c r="C3158" t="s">
        <v>9</v>
      </c>
      <c r="D3158" t="s">
        <v>10</v>
      </c>
      <c r="E3158" t="s">
        <v>1001</v>
      </c>
      <c r="F3158" s="1">
        <v>125.99</v>
      </c>
      <c r="G3158">
        <v>1</v>
      </c>
      <c r="H3158" s="1">
        <v>31.497499999999999</v>
      </c>
      <c r="I3158" s="4">
        <f>SalesData[[#This Row],[Profit]]/SalesData[[#This Row],[Sales]]</f>
        <v>0.25</v>
      </c>
      <c r="J3158">
        <f>YEAR(SalesData[[#This Row],[Order Date]])</f>
        <v>2015</v>
      </c>
      <c r="K3158" t="str">
        <f>TEXT(SalesData[[#This Row],[Order Date]],"mmm")</f>
        <v>Nov</v>
      </c>
      <c r="L3158">
        <f>MONTH(SalesData[[#This Row],[Order Date]])</f>
        <v>11</v>
      </c>
      <c r="M3158">
        <f>SalesData[[#This Row],[Sales]]/SalesData[[#This Row],[Quantity]]</f>
        <v>125.99</v>
      </c>
      <c r="N3158" t="str">
        <f>IF(SalesData[[#This Row],[Profit]]&gt;0,"Profit","Loss")</f>
        <v>Profit</v>
      </c>
    </row>
    <row r="3159" spans="1:14" x14ac:dyDescent="0.3">
      <c r="A3159" t="s">
        <v>1803</v>
      </c>
      <c r="B3159" s="3">
        <v>42320</v>
      </c>
      <c r="C3159" t="s">
        <v>9</v>
      </c>
      <c r="D3159" t="s">
        <v>21</v>
      </c>
      <c r="E3159" t="s">
        <v>551</v>
      </c>
      <c r="F3159" s="1">
        <v>23</v>
      </c>
      <c r="G3159">
        <v>2</v>
      </c>
      <c r="H3159" s="1">
        <v>10.35</v>
      </c>
      <c r="I3159" s="4">
        <f>SalesData[[#This Row],[Profit]]/SalesData[[#This Row],[Sales]]</f>
        <v>0.45</v>
      </c>
      <c r="J3159">
        <f>YEAR(SalesData[[#This Row],[Order Date]])</f>
        <v>2015</v>
      </c>
      <c r="K3159" t="str">
        <f>TEXT(SalesData[[#This Row],[Order Date]],"mmm")</f>
        <v>Nov</v>
      </c>
      <c r="L3159">
        <f>MONTH(SalesData[[#This Row],[Order Date]])</f>
        <v>11</v>
      </c>
      <c r="M3159">
        <f>SalesData[[#This Row],[Sales]]/SalesData[[#This Row],[Quantity]]</f>
        <v>11.5</v>
      </c>
      <c r="N3159" t="str">
        <f>IF(SalesData[[#This Row],[Profit]]&gt;0,"Profit","Loss")</f>
        <v>Profit</v>
      </c>
    </row>
    <row r="3160" spans="1:14" x14ac:dyDescent="0.3">
      <c r="A3160" t="s">
        <v>1805</v>
      </c>
      <c r="B3160" s="3">
        <v>42339</v>
      </c>
      <c r="C3160" t="s">
        <v>17</v>
      </c>
      <c r="D3160" t="s">
        <v>21</v>
      </c>
      <c r="E3160" t="s">
        <v>1806</v>
      </c>
      <c r="F3160" s="1">
        <v>465.18</v>
      </c>
      <c r="G3160">
        <v>3</v>
      </c>
      <c r="H3160" s="1">
        <v>120.9468</v>
      </c>
      <c r="I3160" s="4">
        <f>SalesData[[#This Row],[Profit]]/SalesData[[#This Row],[Sales]]</f>
        <v>0.26</v>
      </c>
      <c r="J3160">
        <f>YEAR(SalesData[[#This Row],[Order Date]])</f>
        <v>2015</v>
      </c>
      <c r="K3160" t="str">
        <f>TEXT(SalesData[[#This Row],[Order Date]],"mmm")</f>
        <v>Dec</v>
      </c>
      <c r="L3160">
        <f>MONTH(SalesData[[#This Row],[Order Date]])</f>
        <v>12</v>
      </c>
      <c r="M3160">
        <f>SalesData[[#This Row],[Sales]]/SalesData[[#This Row],[Quantity]]</f>
        <v>155.06</v>
      </c>
      <c r="N3160" t="str">
        <f>IF(SalesData[[#This Row],[Profit]]&gt;0,"Profit","Loss")</f>
        <v>Profit</v>
      </c>
    </row>
    <row r="3161" spans="1:14" x14ac:dyDescent="0.3">
      <c r="A3161" t="s">
        <v>1807</v>
      </c>
      <c r="B3161" s="3">
        <v>42339</v>
      </c>
      <c r="C3161" t="s">
        <v>17</v>
      </c>
      <c r="D3161" t="s">
        <v>21</v>
      </c>
      <c r="E3161" t="s">
        <v>312</v>
      </c>
      <c r="F3161" s="1">
        <v>10.368</v>
      </c>
      <c r="G3161">
        <v>2</v>
      </c>
      <c r="H3161" s="1">
        <v>1.5551999999999999</v>
      </c>
      <c r="I3161" s="4">
        <f>SalesData[[#This Row],[Profit]]/SalesData[[#This Row],[Sales]]</f>
        <v>0.15</v>
      </c>
      <c r="J3161">
        <f>YEAR(SalesData[[#This Row],[Order Date]])</f>
        <v>2015</v>
      </c>
      <c r="K3161" t="str">
        <f>TEXT(SalesData[[#This Row],[Order Date]],"mmm")</f>
        <v>Dec</v>
      </c>
      <c r="L3161">
        <f>MONTH(SalesData[[#This Row],[Order Date]])</f>
        <v>12</v>
      </c>
      <c r="M3161">
        <f>SalesData[[#This Row],[Sales]]/SalesData[[#This Row],[Quantity]]</f>
        <v>5.1840000000000002</v>
      </c>
      <c r="N3161" t="str">
        <f>IF(SalesData[[#This Row],[Profit]]&gt;0,"Profit","Loss")</f>
        <v>Profit</v>
      </c>
    </row>
    <row r="3162" spans="1:14" x14ac:dyDescent="0.3">
      <c r="A3162" t="s">
        <v>1807</v>
      </c>
      <c r="B3162" s="3">
        <v>42339</v>
      </c>
      <c r="C3162" t="s">
        <v>17</v>
      </c>
      <c r="D3162" t="s">
        <v>10</v>
      </c>
      <c r="E3162" t="s">
        <v>490</v>
      </c>
      <c r="F3162" s="1">
        <v>235.18799999999999</v>
      </c>
      <c r="G3162">
        <v>2</v>
      </c>
      <c r="H3162" s="1">
        <v>-43.117800000000003</v>
      </c>
      <c r="I3162" s="4">
        <f>SalesData[[#This Row],[Profit]]/SalesData[[#This Row],[Sales]]</f>
        <v>-0.18333333333333335</v>
      </c>
      <c r="J3162">
        <f>YEAR(SalesData[[#This Row],[Order Date]])</f>
        <v>2015</v>
      </c>
      <c r="K3162" t="str">
        <f>TEXT(SalesData[[#This Row],[Order Date]],"mmm")</f>
        <v>Dec</v>
      </c>
      <c r="L3162">
        <f>MONTH(SalesData[[#This Row],[Order Date]])</f>
        <v>12</v>
      </c>
      <c r="M3162">
        <f>SalesData[[#This Row],[Sales]]/SalesData[[#This Row],[Quantity]]</f>
        <v>117.59399999999999</v>
      </c>
      <c r="N3162" t="str">
        <f>IF(SalesData[[#This Row],[Profit]]&gt;0,"Profit","Loss")</f>
        <v>Loss</v>
      </c>
    </row>
    <row r="3163" spans="1:14" x14ac:dyDescent="0.3">
      <c r="A3163" t="s">
        <v>1807</v>
      </c>
      <c r="B3163" s="3">
        <v>42339</v>
      </c>
      <c r="C3163" t="s">
        <v>17</v>
      </c>
      <c r="D3163" t="s">
        <v>10</v>
      </c>
      <c r="E3163" t="s">
        <v>1808</v>
      </c>
      <c r="F3163" s="1">
        <v>26.376000000000001</v>
      </c>
      <c r="G3163">
        <v>4</v>
      </c>
      <c r="H3163" s="1">
        <v>2.6375999999999999</v>
      </c>
      <c r="I3163" s="4">
        <f>SalesData[[#This Row],[Profit]]/SalesData[[#This Row],[Sales]]</f>
        <v>9.9999999999999992E-2</v>
      </c>
      <c r="J3163">
        <f>YEAR(SalesData[[#This Row],[Order Date]])</f>
        <v>2015</v>
      </c>
      <c r="K3163" t="str">
        <f>TEXT(SalesData[[#This Row],[Order Date]],"mmm")</f>
        <v>Dec</v>
      </c>
      <c r="L3163">
        <f>MONTH(SalesData[[#This Row],[Order Date]])</f>
        <v>12</v>
      </c>
      <c r="M3163">
        <f>SalesData[[#This Row],[Sales]]/SalesData[[#This Row],[Quantity]]</f>
        <v>6.5940000000000003</v>
      </c>
      <c r="N3163" t="str">
        <f>IF(SalesData[[#This Row],[Profit]]&gt;0,"Profit","Loss")</f>
        <v>Profit</v>
      </c>
    </row>
    <row r="3164" spans="1:14" x14ac:dyDescent="0.3">
      <c r="A3164" t="s">
        <v>1807</v>
      </c>
      <c r="B3164" s="3">
        <v>42339</v>
      </c>
      <c r="C3164" t="s">
        <v>17</v>
      </c>
      <c r="D3164" t="s">
        <v>10</v>
      </c>
      <c r="E3164" t="s">
        <v>1809</v>
      </c>
      <c r="F3164" s="1">
        <v>10.384</v>
      </c>
      <c r="G3164">
        <v>2</v>
      </c>
      <c r="H3164" s="1">
        <v>2.2065999999999999</v>
      </c>
      <c r="I3164" s="4">
        <f>SalesData[[#This Row],[Profit]]/SalesData[[#This Row],[Sales]]</f>
        <v>0.21249999999999999</v>
      </c>
      <c r="J3164">
        <f>YEAR(SalesData[[#This Row],[Order Date]])</f>
        <v>2015</v>
      </c>
      <c r="K3164" t="str">
        <f>TEXT(SalesData[[#This Row],[Order Date]],"mmm")</f>
        <v>Dec</v>
      </c>
      <c r="L3164">
        <f>MONTH(SalesData[[#This Row],[Order Date]])</f>
        <v>12</v>
      </c>
      <c r="M3164">
        <f>SalesData[[#This Row],[Sales]]/SalesData[[#This Row],[Quantity]]</f>
        <v>5.1920000000000002</v>
      </c>
      <c r="N3164" t="str">
        <f>IF(SalesData[[#This Row],[Profit]]&gt;0,"Profit","Loss")</f>
        <v>Profit</v>
      </c>
    </row>
    <row r="3165" spans="1:14" x14ac:dyDescent="0.3">
      <c r="A3165" t="s">
        <v>1807</v>
      </c>
      <c r="B3165" s="3">
        <v>42339</v>
      </c>
      <c r="C3165" t="s">
        <v>17</v>
      </c>
      <c r="D3165" t="s">
        <v>10</v>
      </c>
      <c r="E3165" t="s">
        <v>1810</v>
      </c>
      <c r="F3165" s="1">
        <v>107.11799999999999</v>
      </c>
      <c r="G3165">
        <v>3</v>
      </c>
      <c r="H3165" s="1">
        <v>-21.4236</v>
      </c>
      <c r="I3165" s="4">
        <f>SalesData[[#This Row],[Profit]]/SalesData[[#This Row],[Sales]]</f>
        <v>-0.2</v>
      </c>
      <c r="J3165">
        <f>YEAR(SalesData[[#This Row],[Order Date]])</f>
        <v>2015</v>
      </c>
      <c r="K3165" t="str">
        <f>TEXT(SalesData[[#This Row],[Order Date]],"mmm")</f>
        <v>Dec</v>
      </c>
      <c r="L3165">
        <f>MONTH(SalesData[[#This Row],[Order Date]])</f>
        <v>12</v>
      </c>
      <c r="M3165">
        <f>SalesData[[#This Row],[Sales]]/SalesData[[#This Row],[Quantity]]</f>
        <v>35.705999999999996</v>
      </c>
      <c r="N3165" t="str">
        <f>IF(SalesData[[#This Row],[Profit]]&gt;0,"Profit","Loss")</f>
        <v>Loss</v>
      </c>
    </row>
    <row r="3166" spans="1:14" x14ac:dyDescent="0.3">
      <c r="A3166" t="s">
        <v>1811</v>
      </c>
      <c r="B3166" s="3">
        <v>42341</v>
      </c>
      <c r="C3166" t="s">
        <v>46</v>
      </c>
      <c r="D3166" t="s">
        <v>21</v>
      </c>
      <c r="E3166" t="s">
        <v>271</v>
      </c>
      <c r="F3166" s="1">
        <v>8.6880000000000006</v>
      </c>
      <c r="G3166">
        <v>3</v>
      </c>
      <c r="H3166" s="1">
        <v>2.9321999999999999</v>
      </c>
      <c r="I3166" s="4">
        <f>SalesData[[#This Row],[Profit]]/SalesData[[#This Row],[Sales]]</f>
        <v>0.33749999999999997</v>
      </c>
      <c r="J3166">
        <f>YEAR(SalesData[[#This Row],[Order Date]])</f>
        <v>2015</v>
      </c>
      <c r="K3166" t="str">
        <f>TEXT(SalesData[[#This Row],[Order Date]],"mmm")</f>
        <v>Dec</v>
      </c>
      <c r="L3166">
        <f>MONTH(SalesData[[#This Row],[Order Date]])</f>
        <v>12</v>
      </c>
      <c r="M3166">
        <f>SalesData[[#This Row],[Sales]]/SalesData[[#This Row],[Quantity]]</f>
        <v>2.8960000000000004</v>
      </c>
      <c r="N3166" t="str">
        <f>IF(SalesData[[#This Row],[Profit]]&gt;0,"Profit","Loss")</f>
        <v>Profit</v>
      </c>
    </row>
    <row r="3167" spans="1:14" x14ac:dyDescent="0.3">
      <c r="A3167" t="s">
        <v>1811</v>
      </c>
      <c r="B3167" s="3">
        <v>42341</v>
      </c>
      <c r="C3167" t="s">
        <v>46</v>
      </c>
      <c r="D3167" t="s">
        <v>14</v>
      </c>
      <c r="E3167" t="s">
        <v>1812</v>
      </c>
      <c r="F3167" s="1">
        <v>30.88</v>
      </c>
      <c r="G3167">
        <v>4</v>
      </c>
      <c r="H3167" s="1">
        <v>3.86</v>
      </c>
      <c r="I3167" s="4">
        <f>SalesData[[#This Row],[Profit]]/SalesData[[#This Row],[Sales]]</f>
        <v>0.125</v>
      </c>
      <c r="J3167">
        <f>YEAR(SalesData[[#This Row],[Order Date]])</f>
        <v>2015</v>
      </c>
      <c r="K3167" t="str">
        <f>TEXT(SalesData[[#This Row],[Order Date]],"mmm")</f>
        <v>Dec</v>
      </c>
      <c r="L3167">
        <f>MONTH(SalesData[[#This Row],[Order Date]])</f>
        <v>12</v>
      </c>
      <c r="M3167">
        <f>SalesData[[#This Row],[Sales]]/SalesData[[#This Row],[Quantity]]</f>
        <v>7.72</v>
      </c>
      <c r="N3167" t="str">
        <f>IF(SalesData[[#This Row],[Profit]]&gt;0,"Profit","Loss")</f>
        <v>Profit</v>
      </c>
    </row>
    <row r="3168" spans="1:14" x14ac:dyDescent="0.3">
      <c r="A3168" t="s">
        <v>1811</v>
      </c>
      <c r="B3168" s="3">
        <v>42341</v>
      </c>
      <c r="C3168" t="s">
        <v>46</v>
      </c>
      <c r="D3168" t="s">
        <v>14</v>
      </c>
      <c r="E3168" t="s">
        <v>1574</v>
      </c>
      <c r="F3168" s="1">
        <v>6.4080000000000004</v>
      </c>
      <c r="G3168">
        <v>3</v>
      </c>
      <c r="H3168" s="1">
        <v>1.4418</v>
      </c>
      <c r="I3168" s="4">
        <f>SalesData[[#This Row],[Profit]]/SalesData[[#This Row],[Sales]]</f>
        <v>0.22499999999999998</v>
      </c>
      <c r="J3168">
        <f>YEAR(SalesData[[#This Row],[Order Date]])</f>
        <v>2015</v>
      </c>
      <c r="K3168" t="str">
        <f>TEXT(SalesData[[#This Row],[Order Date]],"mmm")</f>
        <v>Dec</v>
      </c>
      <c r="L3168">
        <f>MONTH(SalesData[[#This Row],[Order Date]])</f>
        <v>12</v>
      </c>
      <c r="M3168">
        <f>SalesData[[#This Row],[Sales]]/SalesData[[#This Row],[Quantity]]</f>
        <v>2.1360000000000001</v>
      </c>
      <c r="N3168" t="str">
        <f>IF(SalesData[[#This Row],[Profit]]&gt;0,"Profit","Loss")</f>
        <v>Profit</v>
      </c>
    </row>
    <row r="3169" spans="1:14" x14ac:dyDescent="0.3">
      <c r="A3169" t="s">
        <v>1813</v>
      </c>
      <c r="B3169" s="3">
        <v>42341</v>
      </c>
      <c r="C3169" t="s">
        <v>46</v>
      </c>
      <c r="D3169" t="s">
        <v>21</v>
      </c>
      <c r="E3169" t="s">
        <v>314</v>
      </c>
      <c r="F3169" s="1">
        <v>5.04</v>
      </c>
      <c r="G3169">
        <v>2</v>
      </c>
      <c r="H3169" s="1">
        <v>1.764</v>
      </c>
      <c r="I3169" s="4">
        <f>SalesData[[#This Row],[Profit]]/SalesData[[#This Row],[Sales]]</f>
        <v>0.35</v>
      </c>
      <c r="J3169">
        <f>YEAR(SalesData[[#This Row],[Order Date]])</f>
        <v>2015</v>
      </c>
      <c r="K3169" t="str">
        <f>TEXT(SalesData[[#This Row],[Order Date]],"mmm")</f>
        <v>Dec</v>
      </c>
      <c r="L3169">
        <f>MONTH(SalesData[[#This Row],[Order Date]])</f>
        <v>12</v>
      </c>
      <c r="M3169">
        <f>SalesData[[#This Row],[Sales]]/SalesData[[#This Row],[Quantity]]</f>
        <v>2.52</v>
      </c>
      <c r="N3169" t="str">
        <f>IF(SalesData[[#This Row],[Profit]]&gt;0,"Profit","Loss")</f>
        <v>Profit</v>
      </c>
    </row>
    <row r="3170" spans="1:14" x14ac:dyDescent="0.3">
      <c r="A3170" t="s">
        <v>1814</v>
      </c>
      <c r="B3170" s="3">
        <v>42342</v>
      </c>
      <c r="C3170" t="s">
        <v>13</v>
      </c>
      <c r="D3170" t="s">
        <v>21</v>
      </c>
      <c r="E3170" t="s">
        <v>1815</v>
      </c>
      <c r="F3170" s="1">
        <v>40.74</v>
      </c>
      <c r="G3170">
        <v>3</v>
      </c>
      <c r="H3170" s="1">
        <v>0.40739999999999998</v>
      </c>
      <c r="I3170" s="4">
        <f>SalesData[[#This Row],[Profit]]/SalesData[[#This Row],[Sales]]</f>
        <v>9.9999999999999985E-3</v>
      </c>
      <c r="J3170">
        <f>YEAR(SalesData[[#This Row],[Order Date]])</f>
        <v>2015</v>
      </c>
      <c r="K3170" t="str">
        <f>TEXT(SalesData[[#This Row],[Order Date]],"mmm")</f>
        <v>Dec</v>
      </c>
      <c r="L3170">
        <f>MONTH(SalesData[[#This Row],[Order Date]])</f>
        <v>12</v>
      </c>
      <c r="M3170">
        <f>SalesData[[#This Row],[Sales]]/SalesData[[#This Row],[Quantity]]</f>
        <v>13.58</v>
      </c>
      <c r="N3170" t="str">
        <f>IF(SalesData[[#This Row],[Profit]]&gt;0,"Profit","Loss")</f>
        <v>Profit</v>
      </c>
    </row>
    <row r="3171" spans="1:14" x14ac:dyDescent="0.3">
      <c r="A3171" t="s">
        <v>1816</v>
      </c>
      <c r="B3171" s="3">
        <v>42343</v>
      </c>
      <c r="C3171" t="s">
        <v>13</v>
      </c>
      <c r="D3171" t="s">
        <v>21</v>
      </c>
      <c r="E3171" t="s">
        <v>1817</v>
      </c>
      <c r="F3171" s="1">
        <v>12.84</v>
      </c>
      <c r="G3171">
        <v>3</v>
      </c>
      <c r="H3171" s="1">
        <v>5.7779999999999996</v>
      </c>
      <c r="I3171" s="4">
        <f>SalesData[[#This Row],[Profit]]/SalesData[[#This Row],[Sales]]</f>
        <v>0.44999999999999996</v>
      </c>
      <c r="J3171">
        <f>YEAR(SalesData[[#This Row],[Order Date]])</f>
        <v>2015</v>
      </c>
      <c r="K3171" t="str">
        <f>TEXT(SalesData[[#This Row],[Order Date]],"mmm")</f>
        <v>Dec</v>
      </c>
      <c r="L3171">
        <f>MONTH(SalesData[[#This Row],[Order Date]])</f>
        <v>12</v>
      </c>
      <c r="M3171">
        <f>SalesData[[#This Row],[Sales]]/SalesData[[#This Row],[Quantity]]</f>
        <v>4.28</v>
      </c>
      <c r="N3171" t="str">
        <f>IF(SalesData[[#This Row],[Profit]]&gt;0,"Profit","Loss")</f>
        <v>Profit</v>
      </c>
    </row>
    <row r="3172" spans="1:14" x14ac:dyDescent="0.3">
      <c r="A3172" t="s">
        <v>1816</v>
      </c>
      <c r="B3172" s="3">
        <v>42343</v>
      </c>
      <c r="C3172" t="s">
        <v>13</v>
      </c>
      <c r="D3172" t="s">
        <v>21</v>
      </c>
      <c r="E3172" t="s">
        <v>1818</v>
      </c>
      <c r="F3172" s="1">
        <v>25.68</v>
      </c>
      <c r="G3172">
        <v>6</v>
      </c>
      <c r="H3172" s="1">
        <v>11.555999999999999</v>
      </c>
      <c r="I3172" s="4">
        <f>SalesData[[#This Row],[Profit]]/SalesData[[#This Row],[Sales]]</f>
        <v>0.44999999999999996</v>
      </c>
      <c r="J3172">
        <f>YEAR(SalesData[[#This Row],[Order Date]])</f>
        <v>2015</v>
      </c>
      <c r="K3172" t="str">
        <f>TEXT(SalesData[[#This Row],[Order Date]],"mmm")</f>
        <v>Dec</v>
      </c>
      <c r="L3172">
        <f>MONTH(SalesData[[#This Row],[Order Date]])</f>
        <v>12</v>
      </c>
      <c r="M3172">
        <f>SalesData[[#This Row],[Sales]]/SalesData[[#This Row],[Quantity]]</f>
        <v>4.28</v>
      </c>
      <c r="N3172" t="str">
        <f>IF(SalesData[[#This Row],[Profit]]&gt;0,"Profit","Loss")</f>
        <v>Profit</v>
      </c>
    </row>
    <row r="3173" spans="1:14" x14ac:dyDescent="0.3">
      <c r="A3173" t="s">
        <v>1819</v>
      </c>
      <c r="B3173" s="3">
        <v>42343</v>
      </c>
      <c r="C3173" t="s">
        <v>13</v>
      </c>
      <c r="D3173" t="s">
        <v>10</v>
      </c>
      <c r="E3173" t="s">
        <v>1553</v>
      </c>
      <c r="F3173" s="1">
        <v>201.584</v>
      </c>
      <c r="G3173">
        <v>2</v>
      </c>
      <c r="H3173" s="1">
        <v>20.1584</v>
      </c>
      <c r="I3173" s="4">
        <f>SalesData[[#This Row],[Profit]]/SalesData[[#This Row],[Sales]]</f>
        <v>0.1</v>
      </c>
      <c r="J3173">
        <f>YEAR(SalesData[[#This Row],[Order Date]])</f>
        <v>2015</v>
      </c>
      <c r="K3173" t="str">
        <f>TEXT(SalesData[[#This Row],[Order Date]],"mmm")</f>
        <v>Dec</v>
      </c>
      <c r="L3173">
        <f>MONTH(SalesData[[#This Row],[Order Date]])</f>
        <v>12</v>
      </c>
      <c r="M3173">
        <f>SalesData[[#This Row],[Sales]]/SalesData[[#This Row],[Quantity]]</f>
        <v>100.792</v>
      </c>
      <c r="N3173" t="str">
        <f>IF(SalesData[[#This Row],[Profit]]&gt;0,"Profit","Loss")</f>
        <v>Profit</v>
      </c>
    </row>
    <row r="3174" spans="1:14" x14ac:dyDescent="0.3">
      <c r="A3174" t="s">
        <v>1820</v>
      </c>
      <c r="B3174" s="3">
        <v>42343</v>
      </c>
      <c r="C3174" t="s">
        <v>17</v>
      </c>
      <c r="D3174" t="s">
        <v>21</v>
      </c>
      <c r="E3174" t="s">
        <v>629</v>
      </c>
      <c r="F3174" s="1">
        <v>36.630000000000003</v>
      </c>
      <c r="G3174">
        <v>3</v>
      </c>
      <c r="H3174" s="1">
        <v>9.8901000000000003</v>
      </c>
      <c r="I3174" s="4">
        <f>SalesData[[#This Row],[Profit]]/SalesData[[#This Row],[Sales]]</f>
        <v>0.27</v>
      </c>
      <c r="J3174">
        <f>YEAR(SalesData[[#This Row],[Order Date]])</f>
        <v>2015</v>
      </c>
      <c r="K3174" t="str">
        <f>TEXT(SalesData[[#This Row],[Order Date]],"mmm")</f>
        <v>Dec</v>
      </c>
      <c r="L3174">
        <f>MONTH(SalesData[[#This Row],[Order Date]])</f>
        <v>12</v>
      </c>
      <c r="M3174">
        <f>SalesData[[#This Row],[Sales]]/SalesData[[#This Row],[Quantity]]</f>
        <v>12.21</v>
      </c>
      <c r="N3174" t="str">
        <f>IF(SalesData[[#This Row],[Profit]]&gt;0,"Profit","Loss")</f>
        <v>Profit</v>
      </c>
    </row>
    <row r="3175" spans="1:14" x14ac:dyDescent="0.3">
      <c r="A3175" t="s">
        <v>1821</v>
      </c>
      <c r="B3175" s="3">
        <v>42343</v>
      </c>
      <c r="C3175" t="s">
        <v>13</v>
      </c>
      <c r="D3175" t="s">
        <v>21</v>
      </c>
      <c r="E3175" t="s">
        <v>69</v>
      </c>
      <c r="F3175" s="1">
        <v>14.592000000000001</v>
      </c>
      <c r="G3175">
        <v>3</v>
      </c>
      <c r="H3175" s="1">
        <v>4.9248000000000003</v>
      </c>
      <c r="I3175" s="4">
        <f>SalesData[[#This Row],[Profit]]/SalesData[[#This Row],[Sales]]</f>
        <v>0.33750000000000002</v>
      </c>
      <c r="J3175">
        <f>YEAR(SalesData[[#This Row],[Order Date]])</f>
        <v>2015</v>
      </c>
      <c r="K3175" t="str">
        <f>TEXT(SalesData[[#This Row],[Order Date]],"mmm")</f>
        <v>Dec</v>
      </c>
      <c r="L3175">
        <f>MONTH(SalesData[[#This Row],[Order Date]])</f>
        <v>12</v>
      </c>
      <c r="M3175">
        <f>SalesData[[#This Row],[Sales]]/SalesData[[#This Row],[Quantity]]</f>
        <v>4.8639999999999999</v>
      </c>
      <c r="N3175" t="str">
        <f>IF(SalesData[[#This Row],[Profit]]&gt;0,"Profit","Loss")</f>
        <v>Profit</v>
      </c>
    </row>
    <row r="3176" spans="1:14" x14ac:dyDescent="0.3">
      <c r="A3176" t="s">
        <v>1822</v>
      </c>
      <c r="B3176" s="3">
        <v>42343</v>
      </c>
      <c r="C3176" t="s">
        <v>9</v>
      </c>
      <c r="D3176" t="s">
        <v>14</v>
      </c>
      <c r="E3176" t="s">
        <v>967</v>
      </c>
      <c r="F3176" s="1">
        <v>21.968</v>
      </c>
      <c r="G3176">
        <v>4</v>
      </c>
      <c r="H3176" s="1">
        <v>-15.9268</v>
      </c>
      <c r="I3176" s="4">
        <f>SalesData[[#This Row],[Profit]]/SalesData[[#This Row],[Sales]]</f>
        <v>-0.72499999999999998</v>
      </c>
      <c r="J3176">
        <f>YEAR(SalesData[[#This Row],[Order Date]])</f>
        <v>2015</v>
      </c>
      <c r="K3176" t="str">
        <f>TEXT(SalesData[[#This Row],[Order Date]],"mmm")</f>
        <v>Dec</v>
      </c>
      <c r="L3176">
        <f>MONTH(SalesData[[#This Row],[Order Date]])</f>
        <v>12</v>
      </c>
      <c r="M3176">
        <f>SalesData[[#This Row],[Sales]]/SalesData[[#This Row],[Quantity]]</f>
        <v>5.492</v>
      </c>
      <c r="N3176" t="str">
        <f>IF(SalesData[[#This Row],[Profit]]&gt;0,"Profit","Loss")</f>
        <v>Loss</v>
      </c>
    </row>
    <row r="3177" spans="1:14" x14ac:dyDescent="0.3">
      <c r="A3177" t="s">
        <v>1822</v>
      </c>
      <c r="B3177" s="3">
        <v>42343</v>
      </c>
      <c r="C3177" t="s">
        <v>9</v>
      </c>
      <c r="D3177" t="s">
        <v>10</v>
      </c>
      <c r="E3177" t="s">
        <v>1533</v>
      </c>
      <c r="F3177" s="1">
        <v>619.15200000000004</v>
      </c>
      <c r="G3177">
        <v>6</v>
      </c>
      <c r="H3177" s="1">
        <v>69.654600000000002</v>
      </c>
      <c r="I3177" s="4">
        <f>SalesData[[#This Row],[Profit]]/SalesData[[#This Row],[Sales]]</f>
        <v>0.11249999999999999</v>
      </c>
      <c r="J3177">
        <f>YEAR(SalesData[[#This Row],[Order Date]])</f>
        <v>2015</v>
      </c>
      <c r="K3177" t="str">
        <f>TEXT(SalesData[[#This Row],[Order Date]],"mmm")</f>
        <v>Dec</v>
      </c>
      <c r="L3177">
        <f>MONTH(SalesData[[#This Row],[Order Date]])</f>
        <v>12</v>
      </c>
      <c r="M3177">
        <f>SalesData[[#This Row],[Sales]]/SalesData[[#This Row],[Quantity]]</f>
        <v>103.19200000000001</v>
      </c>
      <c r="N3177" t="str">
        <f>IF(SalesData[[#This Row],[Profit]]&gt;0,"Profit","Loss")</f>
        <v>Profit</v>
      </c>
    </row>
    <row r="3178" spans="1:14" x14ac:dyDescent="0.3">
      <c r="A3178" t="s">
        <v>1822</v>
      </c>
      <c r="B3178" s="3">
        <v>42343</v>
      </c>
      <c r="C3178" t="s">
        <v>9</v>
      </c>
      <c r="D3178" t="s">
        <v>21</v>
      </c>
      <c r="E3178" t="s">
        <v>727</v>
      </c>
      <c r="F3178" s="1">
        <v>127.904</v>
      </c>
      <c r="G3178">
        <v>7</v>
      </c>
      <c r="H3178" s="1">
        <v>41.568800000000003</v>
      </c>
      <c r="I3178" s="4">
        <f>SalesData[[#This Row],[Profit]]/SalesData[[#This Row],[Sales]]</f>
        <v>0.32500000000000001</v>
      </c>
      <c r="J3178">
        <f>YEAR(SalesData[[#This Row],[Order Date]])</f>
        <v>2015</v>
      </c>
      <c r="K3178" t="str">
        <f>TEXT(SalesData[[#This Row],[Order Date]],"mmm")</f>
        <v>Dec</v>
      </c>
      <c r="L3178">
        <f>MONTH(SalesData[[#This Row],[Order Date]])</f>
        <v>12</v>
      </c>
      <c r="M3178">
        <f>SalesData[[#This Row],[Sales]]/SalesData[[#This Row],[Quantity]]</f>
        <v>18.271999999999998</v>
      </c>
      <c r="N3178" t="str">
        <f>IF(SalesData[[#This Row],[Profit]]&gt;0,"Profit","Loss")</f>
        <v>Profit</v>
      </c>
    </row>
    <row r="3179" spans="1:14" x14ac:dyDescent="0.3">
      <c r="A3179" t="s">
        <v>1823</v>
      </c>
      <c r="B3179" s="3">
        <v>42344</v>
      </c>
      <c r="C3179" t="s">
        <v>17</v>
      </c>
      <c r="D3179" t="s">
        <v>21</v>
      </c>
      <c r="E3179" t="s">
        <v>1547</v>
      </c>
      <c r="F3179" s="1">
        <v>20.736000000000001</v>
      </c>
      <c r="G3179">
        <v>4</v>
      </c>
      <c r="H3179" s="1">
        <v>7.2576000000000001</v>
      </c>
      <c r="I3179" s="4">
        <f>SalesData[[#This Row],[Profit]]/SalesData[[#This Row],[Sales]]</f>
        <v>0.35</v>
      </c>
      <c r="J3179">
        <f>YEAR(SalesData[[#This Row],[Order Date]])</f>
        <v>2015</v>
      </c>
      <c r="K3179" t="str">
        <f>TEXT(SalesData[[#This Row],[Order Date]],"mmm")</f>
        <v>Dec</v>
      </c>
      <c r="L3179">
        <f>MONTH(SalesData[[#This Row],[Order Date]])</f>
        <v>12</v>
      </c>
      <c r="M3179">
        <f>SalesData[[#This Row],[Sales]]/SalesData[[#This Row],[Quantity]]</f>
        <v>5.1840000000000002</v>
      </c>
      <c r="N3179" t="str">
        <f>IF(SalesData[[#This Row],[Profit]]&gt;0,"Profit","Loss")</f>
        <v>Profit</v>
      </c>
    </row>
    <row r="3180" spans="1:14" x14ac:dyDescent="0.3">
      <c r="A3180" t="s">
        <v>1823</v>
      </c>
      <c r="B3180" s="3">
        <v>42344</v>
      </c>
      <c r="C3180" t="s">
        <v>17</v>
      </c>
      <c r="D3180" t="s">
        <v>14</v>
      </c>
      <c r="E3180" t="s">
        <v>1305</v>
      </c>
      <c r="F3180" s="1">
        <v>43.295999999999999</v>
      </c>
      <c r="G3180">
        <v>2</v>
      </c>
      <c r="H3180" s="1">
        <v>4.3296000000000001</v>
      </c>
      <c r="I3180" s="4">
        <f>SalesData[[#This Row],[Profit]]/SalesData[[#This Row],[Sales]]</f>
        <v>0.1</v>
      </c>
      <c r="J3180">
        <f>YEAR(SalesData[[#This Row],[Order Date]])</f>
        <v>2015</v>
      </c>
      <c r="K3180" t="str">
        <f>TEXT(SalesData[[#This Row],[Order Date]],"mmm")</f>
        <v>Dec</v>
      </c>
      <c r="L3180">
        <f>MONTH(SalesData[[#This Row],[Order Date]])</f>
        <v>12</v>
      </c>
      <c r="M3180">
        <f>SalesData[[#This Row],[Sales]]/SalesData[[#This Row],[Quantity]]</f>
        <v>21.648</v>
      </c>
      <c r="N3180" t="str">
        <f>IF(SalesData[[#This Row],[Profit]]&gt;0,"Profit","Loss")</f>
        <v>Profit</v>
      </c>
    </row>
    <row r="3181" spans="1:14" x14ac:dyDescent="0.3">
      <c r="A3181" t="s">
        <v>1824</v>
      </c>
      <c r="B3181" s="3">
        <v>42344</v>
      </c>
      <c r="C3181" t="s">
        <v>17</v>
      </c>
      <c r="D3181" t="s">
        <v>21</v>
      </c>
      <c r="E3181" t="s">
        <v>761</v>
      </c>
      <c r="F3181" s="1">
        <v>29.9</v>
      </c>
      <c r="G3181">
        <v>5</v>
      </c>
      <c r="H3181" s="1">
        <v>5.0830000000000002</v>
      </c>
      <c r="I3181" s="4">
        <f>SalesData[[#This Row],[Profit]]/SalesData[[#This Row],[Sales]]</f>
        <v>0.17</v>
      </c>
      <c r="J3181">
        <f>YEAR(SalesData[[#This Row],[Order Date]])</f>
        <v>2015</v>
      </c>
      <c r="K3181" t="str">
        <f>TEXT(SalesData[[#This Row],[Order Date]],"mmm")</f>
        <v>Dec</v>
      </c>
      <c r="L3181">
        <f>MONTH(SalesData[[#This Row],[Order Date]])</f>
        <v>12</v>
      </c>
      <c r="M3181">
        <f>SalesData[[#This Row],[Sales]]/SalesData[[#This Row],[Quantity]]</f>
        <v>5.9799999999999995</v>
      </c>
      <c r="N3181" t="str">
        <f>IF(SalesData[[#This Row],[Profit]]&gt;0,"Profit","Loss")</f>
        <v>Profit</v>
      </c>
    </row>
    <row r="3182" spans="1:14" x14ac:dyDescent="0.3">
      <c r="A3182" t="s">
        <v>1825</v>
      </c>
      <c r="B3182" s="3">
        <v>42344</v>
      </c>
      <c r="C3182" t="s">
        <v>46</v>
      </c>
      <c r="D3182" t="s">
        <v>10</v>
      </c>
      <c r="E3182" t="s">
        <v>1123</v>
      </c>
      <c r="F3182" s="1">
        <v>55.984000000000002</v>
      </c>
      <c r="G3182">
        <v>2</v>
      </c>
      <c r="H3182" s="1">
        <v>4.1988000000000003</v>
      </c>
      <c r="I3182" s="4">
        <f>SalesData[[#This Row],[Profit]]/SalesData[[#This Row],[Sales]]</f>
        <v>7.4999999999999997E-2</v>
      </c>
      <c r="J3182">
        <f>YEAR(SalesData[[#This Row],[Order Date]])</f>
        <v>2015</v>
      </c>
      <c r="K3182" t="str">
        <f>TEXT(SalesData[[#This Row],[Order Date]],"mmm")</f>
        <v>Dec</v>
      </c>
      <c r="L3182">
        <f>MONTH(SalesData[[#This Row],[Order Date]])</f>
        <v>12</v>
      </c>
      <c r="M3182">
        <f>SalesData[[#This Row],[Sales]]/SalesData[[#This Row],[Quantity]]</f>
        <v>27.992000000000001</v>
      </c>
      <c r="N3182" t="str">
        <f>IF(SalesData[[#This Row],[Profit]]&gt;0,"Profit","Loss")</f>
        <v>Profit</v>
      </c>
    </row>
    <row r="3183" spans="1:14" x14ac:dyDescent="0.3">
      <c r="A3183" t="s">
        <v>1826</v>
      </c>
      <c r="B3183" s="3">
        <v>42344</v>
      </c>
      <c r="C3183" t="s">
        <v>9</v>
      </c>
      <c r="D3183" t="s">
        <v>21</v>
      </c>
      <c r="E3183" t="s">
        <v>470</v>
      </c>
      <c r="F3183" s="1">
        <v>24.56</v>
      </c>
      <c r="G3183">
        <v>2</v>
      </c>
      <c r="H3183" s="1">
        <v>6.8768000000000002</v>
      </c>
      <c r="I3183" s="4">
        <f>SalesData[[#This Row],[Profit]]/SalesData[[#This Row],[Sales]]</f>
        <v>0.28000000000000003</v>
      </c>
      <c r="J3183">
        <f>YEAR(SalesData[[#This Row],[Order Date]])</f>
        <v>2015</v>
      </c>
      <c r="K3183" t="str">
        <f>TEXT(SalesData[[#This Row],[Order Date]],"mmm")</f>
        <v>Dec</v>
      </c>
      <c r="L3183">
        <f>MONTH(SalesData[[#This Row],[Order Date]])</f>
        <v>12</v>
      </c>
      <c r="M3183">
        <f>SalesData[[#This Row],[Sales]]/SalesData[[#This Row],[Quantity]]</f>
        <v>12.28</v>
      </c>
      <c r="N3183" t="str">
        <f>IF(SalesData[[#This Row],[Profit]]&gt;0,"Profit","Loss")</f>
        <v>Profit</v>
      </c>
    </row>
    <row r="3184" spans="1:14" x14ac:dyDescent="0.3">
      <c r="A3184" t="s">
        <v>1827</v>
      </c>
      <c r="B3184" s="3">
        <v>42345</v>
      </c>
      <c r="C3184" t="s">
        <v>9</v>
      </c>
      <c r="D3184" t="s">
        <v>14</v>
      </c>
      <c r="E3184" t="s">
        <v>564</v>
      </c>
      <c r="F3184" s="1">
        <v>383.60700000000003</v>
      </c>
      <c r="G3184">
        <v>9</v>
      </c>
      <c r="H3184" s="1">
        <v>-5.4801000000000002</v>
      </c>
      <c r="I3184" s="4">
        <f>SalesData[[#This Row],[Profit]]/SalesData[[#This Row],[Sales]]</f>
        <v>-1.4285714285714285E-2</v>
      </c>
      <c r="J3184">
        <f>YEAR(SalesData[[#This Row],[Order Date]])</f>
        <v>2015</v>
      </c>
      <c r="K3184" t="str">
        <f>TEXT(SalesData[[#This Row],[Order Date]],"mmm")</f>
        <v>Dec</v>
      </c>
      <c r="L3184">
        <f>MONTH(SalesData[[#This Row],[Order Date]])</f>
        <v>12</v>
      </c>
      <c r="M3184">
        <f>SalesData[[#This Row],[Sales]]/SalesData[[#This Row],[Quantity]]</f>
        <v>42.623000000000005</v>
      </c>
      <c r="N3184" t="str">
        <f>IF(SalesData[[#This Row],[Profit]]&gt;0,"Profit","Loss")</f>
        <v>Loss</v>
      </c>
    </row>
    <row r="3185" spans="1:14" x14ac:dyDescent="0.3">
      <c r="A3185" t="s">
        <v>1827</v>
      </c>
      <c r="B3185" s="3">
        <v>42345</v>
      </c>
      <c r="C3185" t="s">
        <v>9</v>
      </c>
      <c r="D3185" t="s">
        <v>10</v>
      </c>
      <c r="E3185" t="s">
        <v>954</v>
      </c>
      <c r="F3185" s="1">
        <v>148.47999999999999</v>
      </c>
      <c r="G3185">
        <v>2</v>
      </c>
      <c r="H3185" s="1">
        <v>16.704000000000001</v>
      </c>
      <c r="I3185" s="4">
        <f>SalesData[[#This Row],[Profit]]/SalesData[[#This Row],[Sales]]</f>
        <v>0.11250000000000002</v>
      </c>
      <c r="J3185">
        <f>YEAR(SalesData[[#This Row],[Order Date]])</f>
        <v>2015</v>
      </c>
      <c r="K3185" t="str">
        <f>TEXT(SalesData[[#This Row],[Order Date]],"mmm")</f>
        <v>Dec</v>
      </c>
      <c r="L3185">
        <f>MONTH(SalesData[[#This Row],[Order Date]])</f>
        <v>12</v>
      </c>
      <c r="M3185">
        <f>SalesData[[#This Row],[Sales]]/SalesData[[#This Row],[Quantity]]</f>
        <v>74.239999999999995</v>
      </c>
      <c r="N3185" t="str">
        <f>IF(SalesData[[#This Row],[Profit]]&gt;0,"Profit","Loss")</f>
        <v>Profit</v>
      </c>
    </row>
    <row r="3186" spans="1:14" x14ac:dyDescent="0.3">
      <c r="A3186" t="s">
        <v>1827</v>
      </c>
      <c r="B3186" s="3">
        <v>42345</v>
      </c>
      <c r="C3186" t="s">
        <v>9</v>
      </c>
      <c r="D3186" t="s">
        <v>10</v>
      </c>
      <c r="E3186" t="s">
        <v>1828</v>
      </c>
      <c r="F3186" s="1">
        <v>537.54399999999998</v>
      </c>
      <c r="G3186">
        <v>7</v>
      </c>
      <c r="H3186" s="1">
        <v>53.754399999999997</v>
      </c>
      <c r="I3186" s="4">
        <f>SalesData[[#This Row],[Profit]]/SalesData[[#This Row],[Sales]]</f>
        <v>9.9999999999999992E-2</v>
      </c>
      <c r="J3186">
        <f>YEAR(SalesData[[#This Row],[Order Date]])</f>
        <v>2015</v>
      </c>
      <c r="K3186" t="str">
        <f>TEXT(SalesData[[#This Row],[Order Date]],"mmm")</f>
        <v>Dec</v>
      </c>
      <c r="L3186">
        <f>MONTH(SalesData[[#This Row],[Order Date]])</f>
        <v>12</v>
      </c>
      <c r="M3186">
        <f>SalesData[[#This Row],[Sales]]/SalesData[[#This Row],[Quantity]]</f>
        <v>76.792000000000002</v>
      </c>
      <c r="N3186" t="str">
        <f>IF(SalesData[[#This Row],[Profit]]&gt;0,"Profit","Loss")</f>
        <v>Profit</v>
      </c>
    </row>
    <row r="3187" spans="1:14" x14ac:dyDescent="0.3">
      <c r="A3187" t="s">
        <v>1827</v>
      </c>
      <c r="B3187" s="3">
        <v>42345</v>
      </c>
      <c r="C3187" t="s">
        <v>9</v>
      </c>
      <c r="D3187" t="s">
        <v>21</v>
      </c>
      <c r="E3187" t="s">
        <v>838</v>
      </c>
      <c r="F3187" s="1">
        <v>1.9279999999999999</v>
      </c>
      <c r="G3187">
        <v>2</v>
      </c>
      <c r="H3187" s="1">
        <v>-2.9883999999999999</v>
      </c>
      <c r="I3187" s="4">
        <f>SalesData[[#This Row],[Profit]]/SalesData[[#This Row],[Sales]]</f>
        <v>-1.55</v>
      </c>
      <c r="J3187">
        <f>YEAR(SalesData[[#This Row],[Order Date]])</f>
        <v>2015</v>
      </c>
      <c r="K3187" t="str">
        <f>TEXT(SalesData[[#This Row],[Order Date]],"mmm")</f>
        <v>Dec</v>
      </c>
      <c r="L3187">
        <f>MONTH(SalesData[[#This Row],[Order Date]])</f>
        <v>12</v>
      </c>
      <c r="M3187">
        <f>SalesData[[#This Row],[Sales]]/SalesData[[#This Row],[Quantity]]</f>
        <v>0.96399999999999997</v>
      </c>
      <c r="N3187" t="str">
        <f>IF(SalesData[[#This Row],[Profit]]&gt;0,"Profit","Loss")</f>
        <v>Loss</v>
      </c>
    </row>
    <row r="3188" spans="1:14" x14ac:dyDescent="0.3">
      <c r="A3188" t="s">
        <v>1827</v>
      </c>
      <c r="B3188" s="3">
        <v>42345</v>
      </c>
      <c r="C3188" t="s">
        <v>9</v>
      </c>
      <c r="D3188" t="s">
        <v>21</v>
      </c>
      <c r="E3188" t="s">
        <v>639</v>
      </c>
      <c r="F3188" s="1">
        <v>6.9119999999999999</v>
      </c>
      <c r="G3188">
        <v>3</v>
      </c>
      <c r="H3188" s="1">
        <v>0.69120000000000004</v>
      </c>
      <c r="I3188" s="4">
        <f>SalesData[[#This Row],[Profit]]/SalesData[[#This Row],[Sales]]</f>
        <v>0.1</v>
      </c>
      <c r="J3188">
        <f>YEAR(SalesData[[#This Row],[Order Date]])</f>
        <v>2015</v>
      </c>
      <c r="K3188" t="str">
        <f>TEXT(SalesData[[#This Row],[Order Date]],"mmm")</f>
        <v>Dec</v>
      </c>
      <c r="L3188">
        <f>MONTH(SalesData[[#This Row],[Order Date]])</f>
        <v>12</v>
      </c>
      <c r="M3188">
        <f>SalesData[[#This Row],[Sales]]/SalesData[[#This Row],[Quantity]]</f>
        <v>2.3039999999999998</v>
      </c>
      <c r="N3188" t="str">
        <f>IF(SalesData[[#This Row],[Profit]]&gt;0,"Profit","Loss")</f>
        <v>Profit</v>
      </c>
    </row>
    <row r="3189" spans="1:14" x14ac:dyDescent="0.3">
      <c r="A3189" t="s">
        <v>1827</v>
      </c>
      <c r="B3189" s="3">
        <v>42345</v>
      </c>
      <c r="C3189" t="s">
        <v>9</v>
      </c>
      <c r="D3189" t="s">
        <v>14</v>
      </c>
      <c r="E3189" t="s">
        <v>109</v>
      </c>
      <c r="F3189" s="1">
        <v>7.76</v>
      </c>
      <c r="G3189">
        <v>1</v>
      </c>
      <c r="H3189" s="1">
        <v>-2.1339999999999999</v>
      </c>
      <c r="I3189" s="4">
        <f>SalesData[[#This Row],[Profit]]/SalesData[[#This Row],[Sales]]</f>
        <v>-0.27499999999999997</v>
      </c>
      <c r="J3189">
        <f>YEAR(SalesData[[#This Row],[Order Date]])</f>
        <v>2015</v>
      </c>
      <c r="K3189" t="str">
        <f>TEXT(SalesData[[#This Row],[Order Date]],"mmm")</f>
        <v>Dec</v>
      </c>
      <c r="L3189">
        <f>MONTH(SalesData[[#This Row],[Order Date]])</f>
        <v>12</v>
      </c>
      <c r="M3189">
        <f>SalesData[[#This Row],[Sales]]/SalesData[[#This Row],[Quantity]]</f>
        <v>7.76</v>
      </c>
      <c r="N3189" t="str">
        <f>IF(SalesData[[#This Row],[Profit]]&gt;0,"Profit","Loss")</f>
        <v>Loss</v>
      </c>
    </row>
    <row r="3190" spans="1:14" x14ac:dyDescent="0.3">
      <c r="A3190" t="s">
        <v>1827</v>
      </c>
      <c r="B3190" s="3">
        <v>42345</v>
      </c>
      <c r="C3190" t="s">
        <v>9</v>
      </c>
      <c r="D3190" t="s">
        <v>10</v>
      </c>
      <c r="E3190" t="s">
        <v>1829</v>
      </c>
      <c r="F3190" s="1">
        <v>659.16800000000001</v>
      </c>
      <c r="G3190">
        <v>4</v>
      </c>
      <c r="H3190" s="1">
        <v>49.437600000000003</v>
      </c>
      <c r="I3190" s="4">
        <f>SalesData[[#This Row],[Profit]]/SalesData[[#This Row],[Sales]]</f>
        <v>7.5000000000000011E-2</v>
      </c>
      <c r="J3190">
        <f>YEAR(SalesData[[#This Row],[Order Date]])</f>
        <v>2015</v>
      </c>
      <c r="K3190" t="str">
        <f>TEXT(SalesData[[#This Row],[Order Date]],"mmm")</f>
        <v>Dec</v>
      </c>
      <c r="L3190">
        <f>MONTH(SalesData[[#This Row],[Order Date]])</f>
        <v>12</v>
      </c>
      <c r="M3190">
        <f>SalesData[[#This Row],[Sales]]/SalesData[[#This Row],[Quantity]]</f>
        <v>164.792</v>
      </c>
      <c r="N3190" t="str">
        <f>IF(SalesData[[#This Row],[Profit]]&gt;0,"Profit","Loss")</f>
        <v>Profit</v>
      </c>
    </row>
    <row r="3191" spans="1:14" x14ac:dyDescent="0.3">
      <c r="A3191" t="s">
        <v>1830</v>
      </c>
      <c r="B3191" s="3">
        <v>42345</v>
      </c>
      <c r="C3191" t="s">
        <v>9</v>
      </c>
      <c r="D3191" t="s">
        <v>10</v>
      </c>
      <c r="E3191" t="s">
        <v>1828</v>
      </c>
      <c r="F3191" s="1">
        <v>307.16800000000001</v>
      </c>
      <c r="G3191">
        <v>4</v>
      </c>
      <c r="H3191" s="1">
        <v>30.716799999999999</v>
      </c>
      <c r="I3191" s="4">
        <f>SalesData[[#This Row],[Profit]]/SalesData[[#This Row],[Sales]]</f>
        <v>9.9999999999999992E-2</v>
      </c>
      <c r="J3191">
        <f>YEAR(SalesData[[#This Row],[Order Date]])</f>
        <v>2015</v>
      </c>
      <c r="K3191" t="str">
        <f>TEXT(SalesData[[#This Row],[Order Date]],"mmm")</f>
        <v>Dec</v>
      </c>
      <c r="L3191">
        <f>MONTH(SalesData[[#This Row],[Order Date]])</f>
        <v>12</v>
      </c>
      <c r="M3191">
        <f>SalesData[[#This Row],[Sales]]/SalesData[[#This Row],[Quantity]]</f>
        <v>76.792000000000002</v>
      </c>
      <c r="N3191" t="str">
        <f>IF(SalesData[[#This Row],[Profit]]&gt;0,"Profit","Loss")</f>
        <v>Profit</v>
      </c>
    </row>
    <row r="3192" spans="1:14" x14ac:dyDescent="0.3">
      <c r="A3192" t="s">
        <v>1831</v>
      </c>
      <c r="B3192" s="3">
        <v>42347</v>
      </c>
      <c r="C3192" t="s">
        <v>17</v>
      </c>
      <c r="D3192" t="s">
        <v>10</v>
      </c>
      <c r="E3192" t="s">
        <v>1832</v>
      </c>
      <c r="F3192" s="1">
        <v>479.98399999999998</v>
      </c>
      <c r="G3192">
        <v>2</v>
      </c>
      <c r="H3192" s="1">
        <v>59.997999999999998</v>
      </c>
      <c r="I3192" s="4">
        <f>SalesData[[#This Row],[Profit]]/SalesData[[#This Row],[Sales]]</f>
        <v>0.125</v>
      </c>
      <c r="J3192">
        <f>YEAR(SalesData[[#This Row],[Order Date]])</f>
        <v>2015</v>
      </c>
      <c r="K3192" t="str">
        <f>TEXT(SalesData[[#This Row],[Order Date]],"mmm")</f>
        <v>Dec</v>
      </c>
      <c r="L3192">
        <f>MONTH(SalesData[[#This Row],[Order Date]])</f>
        <v>12</v>
      </c>
      <c r="M3192">
        <f>SalesData[[#This Row],[Sales]]/SalesData[[#This Row],[Quantity]]</f>
        <v>239.99199999999999</v>
      </c>
      <c r="N3192" t="str">
        <f>IF(SalesData[[#This Row],[Profit]]&gt;0,"Profit","Loss")</f>
        <v>Profit</v>
      </c>
    </row>
    <row r="3193" spans="1:14" x14ac:dyDescent="0.3">
      <c r="A3193" t="s">
        <v>1831</v>
      </c>
      <c r="B3193" s="3">
        <v>42347</v>
      </c>
      <c r="C3193" t="s">
        <v>17</v>
      </c>
      <c r="D3193" t="s">
        <v>21</v>
      </c>
      <c r="E3193" t="s">
        <v>1833</v>
      </c>
      <c r="F3193" s="1">
        <v>12.6</v>
      </c>
      <c r="G3193">
        <v>4</v>
      </c>
      <c r="H3193" s="1">
        <v>6.048</v>
      </c>
      <c r="I3193" s="4">
        <f>SalesData[[#This Row],[Profit]]/SalesData[[#This Row],[Sales]]</f>
        <v>0.48000000000000004</v>
      </c>
      <c r="J3193">
        <f>YEAR(SalesData[[#This Row],[Order Date]])</f>
        <v>2015</v>
      </c>
      <c r="K3193" t="str">
        <f>TEXT(SalesData[[#This Row],[Order Date]],"mmm")</f>
        <v>Dec</v>
      </c>
      <c r="L3193">
        <f>MONTH(SalesData[[#This Row],[Order Date]])</f>
        <v>12</v>
      </c>
      <c r="M3193">
        <f>SalesData[[#This Row],[Sales]]/SalesData[[#This Row],[Quantity]]</f>
        <v>3.15</v>
      </c>
      <c r="N3193" t="str">
        <f>IF(SalesData[[#This Row],[Profit]]&gt;0,"Profit","Loss")</f>
        <v>Profit</v>
      </c>
    </row>
    <row r="3194" spans="1:14" x14ac:dyDescent="0.3">
      <c r="A3194" t="s">
        <v>1834</v>
      </c>
      <c r="B3194" s="3">
        <v>42347</v>
      </c>
      <c r="C3194" t="s">
        <v>17</v>
      </c>
      <c r="D3194" t="s">
        <v>21</v>
      </c>
      <c r="E3194" t="s">
        <v>403</v>
      </c>
      <c r="F3194" s="1">
        <v>9.26</v>
      </c>
      <c r="G3194">
        <v>2</v>
      </c>
      <c r="H3194" s="1">
        <v>3.0558000000000001</v>
      </c>
      <c r="I3194" s="4">
        <f>SalesData[[#This Row],[Profit]]/SalesData[[#This Row],[Sales]]</f>
        <v>0.33</v>
      </c>
      <c r="J3194">
        <f>YEAR(SalesData[[#This Row],[Order Date]])</f>
        <v>2015</v>
      </c>
      <c r="K3194" t="str">
        <f>TEXT(SalesData[[#This Row],[Order Date]],"mmm")</f>
        <v>Dec</v>
      </c>
      <c r="L3194">
        <f>MONTH(SalesData[[#This Row],[Order Date]])</f>
        <v>12</v>
      </c>
      <c r="M3194">
        <f>SalesData[[#This Row],[Sales]]/SalesData[[#This Row],[Quantity]]</f>
        <v>4.63</v>
      </c>
      <c r="N3194" t="str">
        <f>IF(SalesData[[#This Row],[Profit]]&gt;0,"Profit","Loss")</f>
        <v>Profit</v>
      </c>
    </row>
    <row r="3195" spans="1:14" x14ac:dyDescent="0.3">
      <c r="A3195" t="s">
        <v>1834</v>
      </c>
      <c r="B3195" s="3">
        <v>42347</v>
      </c>
      <c r="C3195" t="s">
        <v>17</v>
      </c>
      <c r="D3195" t="s">
        <v>21</v>
      </c>
      <c r="E3195" t="s">
        <v>1522</v>
      </c>
      <c r="F3195" s="1">
        <v>105.98</v>
      </c>
      <c r="G3195">
        <v>2</v>
      </c>
      <c r="H3195" s="1">
        <v>4.2392000000000003</v>
      </c>
      <c r="I3195" s="4">
        <f>SalesData[[#This Row],[Profit]]/SalesData[[#This Row],[Sales]]</f>
        <v>0.04</v>
      </c>
      <c r="J3195">
        <f>YEAR(SalesData[[#This Row],[Order Date]])</f>
        <v>2015</v>
      </c>
      <c r="K3195" t="str">
        <f>TEXT(SalesData[[#This Row],[Order Date]],"mmm")</f>
        <v>Dec</v>
      </c>
      <c r="L3195">
        <f>MONTH(SalesData[[#This Row],[Order Date]])</f>
        <v>12</v>
      </c>
      <c r="M3195">
        <f>SalesData[[#This Row],[Sales]]/SalesData[[#This Row],[Quantity]]</f>
        <v>52.99</v>
      </c>
      <c r="N3195" t="str">
        <f>IF(SalesData[[#This Row],[Profit]]&gt;0,"Profit","Loss")</f>
        <v>Profit</v>
      </c>
    </row>
    <row r="3196" spans="1:14" x14ac:dyDescent="0.3">
      <c r="A3196" t="s">
        <v>1834</v>
      </c>
      <c r="B3196" s="3">
        <v>42347</v>
      </c>
      <c r="C3196" t="s">
        <v>17</v>
      </c>
      <c r="D3196" t="s">
        <v>21</v>
      </c>
      <c r="E3196" t="s">
        <v>1679</v>
      </c>
      <c r="F3196" s="1">
        <v>1.24</v>
      </c>
      <c r="G3196">
        <v>1</v>
      </c>
      <c r="H3196" s="1">
        <v>0.58279999999999998</v>
      </c>
      <c r="I3196" s="4">
        <f>SalesData[[#This Row],[Profit]]/SalesData[[#This Row],[Sales]]</f>
        <v>0.47</v>
      </c>
      <c r="J3196">
        <f>YEAR(SalesData[[#This Row],[Order Date]])</f>
        <v>2015</v>
      </c>
      <c r="K3196" t="str">
        <f>TEXT(SalesData[[#This Row],[Order Date]],"mmm")</f>
        <v>Dec</v>
      </c>
      <c r="L3196">
        <f>MONTH(SalesData[[#This Row],[Order Date]])</f>
        <v>12</v>
      </c>
      <c r="M3196">
        <f>SalesData[[#This Row],[Sales]]/SalesData[[#This Row],[Quantity]]</f>
        <v>1.24</v>
      </c>
      <c r="N3196" t="str">
        <f>IF(SalesData[[#This Row],[Profit]]&gt;0,"Profit","Loss")</f>
        <v>Profit</v>
      </c>
    </row>
    <row r="3197" spans="1:14" x14ac:dyDescent="0.3">
      <c r="A3197" t="s">
        <v>1834</v>
      </c>
      <c r="B3197" s="3">
        <v>42347</v>
      </c>
      <c r="C3197" t="s">
        <v>17</v>
      </c>
      <c r="D3197" t="s">
        <v>21</v>
      </c>
      <c r="E3197" t="s">
        <v>1698</v>
      </c>
      <c r="F3197" s="1">
        <v>20.7</v>
      </c>
      <c r="G3197">
        <v>2</v>
      </c>
      <c r="H3197" s="1">
        <v>9.9359999999999999</v>
      </c>
      <c r="I3197" s="4">
        <f>SalesData[[#This Row],[Profit]]/SalesData[[#This Row],[Sales]]</f>
        <v>0.48000000000000004</v>
      </c>
      <c r="J3197">
        <f>YEAR(SalesData[[#This Row],[Order Date]])</f>
        <v>2015</v>
      </c>
      <c r="K3197" t="str">
        <f>TEXT(SalesData[[#This Row],[Order Date]],"mmm")</f>
        <v>Dec</v>
      </c>
      <c r="L3197">
        <f>MONTH(SalesData[[#This Row],[Order Date]])</f>
        <v>12</v>
      </c>
      <c r="M3197">
        <f>SalesData[[#This Row],[Sales]]/SalesData[[#This Row],[Quantity]]</f>
        <v>10.35</v>
      </c>
      <c r="N3197" t="str">
        <f>IF(SalesData[[#This Row],[Profit]]&gt;0,"Profit","Loss")</f>
        <v>Profit</v>
      </c>
    </row>
    <row r="3198" spans="1:14" x14ac:dyDescent="0.3">
      <c r="A3198" t="s">
        <v>1834</v>
      </c>
      <c r="B3198" s="3">
        <v>42347</v>
      </c>
      <c r="C3198" t="s">
        <v>17</v>
      </c>
      <c r="D3198" t="s">
        <v>21</v>
      </c>
      <c r="E3198" t="s">
        <v>1835</v>
      </c>
      <c r="F3198" s="1">
        <v>28.9</v>
      </c>
      <c r="G3198">
        <v>5</v>
      </c>
      <c r="H3198" s="1">
        <v>14.161</v>
      </c>
      <c r="I3198" s="4">
        <f>SalesData[[#This Row],[Profit]]/SalesData[[#This Row],[Sales]]</f>
        <v>0.49</v>
      </c>
      <c r="J3198">
        <f>YEAR(SalesData[[#This Row],[Order Date]])</f>
        <v>2015</v>
      </c>
      <c r="K3198" t="str">
        <f>TEXT(SalesData[[#This Row],[Order Date]],"mmm")</f>
        <v>Dec</v>
      </c>
      <c r="L3198">
        <f>MONTH(SalesData[[#This Row],[Order Date]])</f>
        <v>12</v>
      </c>
      <c r="M3198">
        <f>SalesData[[#This Row],[Sales]]/SalesData[[#This Row],[Quantity]]</f>
        <v>5.7799999999999994</v>
      </c>
      <c r="N3198" t="str">
        <f>IF(SalesData[[#This Row],[Profit]]&gt;0,"Profit","Loss")</f>
        <v>Profit</v>
      </c>
    </row>
    <row r="3199" spans="1:14" x14ac:dyDescent="0.3">
      <c r="A3199" t="s">
        <v>1834</v>
      </c>
      <c r="B3199" s="3">
        <v>42347</v>
      </c>
      <c r="C3199" t="s">
        <v>17</v>
      </c>
      <c r="D3199" t="s">
        <v>21</v>
      </c>
      <c r="E3199" t="s">
        <v>1836</v>
      </c>
      <c r="F3199" s="1">
        <v>27.18</v>
      </c>
      <c r="G3199">
        <v>1</v>
      </c>
      <c r="H3199" s="1">
        <v>12.7746</v>
      </c>
      <c r="I3199" s="4">
        <f>SalesData[[#This Row],[Profit]]/SalesData[[#This Row],[Sales]]</f>
        <v>0.47</v>
      </c>
      <c r="J3199">
        <f>YEAR(SalesData[[#This Row],[Order Date]])</f>
        <v>2015</v>
      </c>
      <c r="K3199" t="str">
        <f>TEXT(SalesData[[#This Row],[Order Date]],"mmm")</f>
        <v>Dec</v>
      </c>
      <c r="L3199">
        <f>MONTH(SalesData[[#This Row],[Order Date]])</f>
        <v>12</v>
      </c>
      <c r="M3199">
        <f>SalesData[[#This Row],[Sales]]/SalesData[[#This Row],[Quantity]]</f>
        <v>27.18</v>
      </c>
      <c r="N3199" t="str">
        <f>IF(SalesData[[#This Row],[Profit]]&gt;0,"Profit","Loss")</f>
        <v>Profit</v>
      </c>
    </row>
    <row r="3200" spans="1:14" x14ac:dyDescent="0.3">
      <c r="A3200" t="s">
        <v>1837</v>
      </c>
      <c r="B3200" s="3">
        <v>42347</v>
      </c>
      <c r="C3200" t="s">
        <v>13</v>
      </c>
      <c r="D3200" t="s">
        <v>10</v>
      </c>
      <c r="E3200" t="s">
        <v>690</v>
      </c>
      <c r="F3200" s="1">
        <v>21.98</v>
      </c>
      <c r="G3200">
        <v>2</v>
      </c>
      <c r="H3200" s="1">
        <v>8.5722000000000005</v>
      </c>
      <c r="I3200" s="4">
        <f>SalesData[[#This Row],[Profit]]/SalesData[[#This Row],[Sales]]</f>
        <v>0.39</v>
      </c>
      <c r="J3200">
        <f>YEAR(SalesData[[#This Row],[Order Date]])</f>
        <v>2015</v>
      </c>
      <c r="K3200" t="str">
        <f>TEXT(SalesData[[#This Row],[Order Date]],"mmm")</f>
        <v>Dec</v>
      </c>
      <c r="L3200">
        <f>MONTH(SalesData[[#This Row],[Order Date]])</f>
        <v>12</v>
      </c>
      <c r="M3200">
        <f>SalesData[[#This Row],[Sales]]/SalesData[[#This Row],[Quantity]]</f>
        <v>10.99</v>
      </c>
      <c r="N3200" t="str">
        <f>IF(SalesData[[#This Row],[Profit]]&gt;0,"Profit","Loss")</f>
        <v>Profit</v>
      </c>
    </row>
    <row r="3201" spans="1:14" x14ac:dyDescent="0.3">
      <c r="A3201" t="s">
        <v>1838</v>
      </c>
      <c r="B3201" s="3">
        <v>42348</v>
      </c>
      <c r="C3201" t="s">
        <v>17</v>
      </c>
      <c r="D3201" t="s">
        <v>14</v>
      </c>
      <c r="E3201" t="s">
        <v>1839</v>
      </c>
      <c r="F3201" s="1">
        <v>899.13599999999997</v>
      </c>
      <c r="G3201">
        <v>4</v>
      </c>
      <c r="H3201" s="1">
        <v>112.392</v>
      </c>
      <c r="I3201" s="4">
        <f>SalesData[[#This Row],[Profit]]/SalesData[[#This Row],[Sales]]</f>
        <v>0.125</v>
      </c>
      <c r="J3201">
        <f>YEAR(SalesData[[#This Row],[Order Date]])</f>
        <v>2015</v>
      </c>
      <c r="K3201" t="str">
        <f>TEXT(SalesData[[#This Row],[Order Date]],"mmm")</f>
        <v>Dec</v>
      </c>
      <c r="L3201">
        <f>MONTH(SalesData[[#This Row],[Order Date]])</f>
        <v>12</v>
      </c>
      <c r="M3201">
        <f>SalesData[[#This Row],[Sales]]/SalesData[[#This Row],[Quantity]]</f>
        <v>224.78399999999999</v>
      </c>
      <c r="N3201" t="str">
        <f>IF(SalesData[[#This Row],[Profit]]&gt;0,"Profit","Loss")</f>
        <v>Profit</v>
      </c>
    </row>
    <row r="3202" spans="1:14" x14ac:dyDescent="0.3">
      <c r="A3202" t="s">
        <v>1838</v>
      </c>
      <c r="B3202" s="3">
        <v>42348</v>
      </c>
      <c r="C3202" t="s">
        <v>17</v>
      </c>
      <c r="D3202" t="s">
        <v>10</v>
      </c>
      <c r="E3202" t="s">
        <v>186</v>
      </c>
      <c r="F3202" s="1">
        <v>71.760000000000005</v>
      </c>
      <c r="G3202">
        <v>6</v>
      </c>
      <c r="H3202" s="1">
        <v>20.0928</v>
      </c>
      <c r="I3202" s="4">
        <f>SalesData[[#This Row],[Profit]]/SalesData[[#This Row],[Sales]]</f>
        <v>0.27999999999999997</v>
      </c>
      <c r="J3202">
        <f>YEAR(SalesData[[#This Row],[Order Date]])</f>
        <v>2015</v>
      </c>
      <c r="K3202" t="str">
        <f>TEXT(SalesData[[#This Row],[Order Date]],"mmm")</f>
        <v>Dec</v>
      </c>
      <c r="L3202">
        <f>MONTH(SalesData[[#This Row],[Order Date]])</f>
        <v>12</v>
      </c>
      <c r="M3202">
        <f>SalesData[[#This Row],[Sales]]/SalesData[[#This Row],[Quantity]]</f>
        <v>11.96</v>
      </c>
      <c r="N3202" t="str">
        <f>IF(SalesData[[#This Row],[Profit]]&gt;0,"Profit","Loss")</f>
        <v>Profit</v>
      </c>
    </row>
    <row r="3203" spans="1:14" x14ac:dyDescent="0.3">
      <c r="A3203" t="s">
        <v>1838</v>
      </c>
      <c r="B3203" s="3">
        <v>42348</v>
      </c>
      <c r="C3203" t="s">
        <v>17</v>
      </c>
      <c r="D3203" t="s">
        <v>21</v>
      </c>
      <c r="E3203" t="s">
        <v>41</v>
      </c>
      <c r="F3203" s="1">
        <v>51.84</v>
      </c>
      <c r="G3203">
        <v>8</v>
      </c>
      <c r="H3203" s="1">
        <v>24.883199999999999</v>
      </c>
      <c r="I3203" s="4">
        <f>SalesData[[#This Row],[Profit]]/SalesData[[#This Row],[Sales]]</f>
        <v>0.47999999999999993</v>
      </c>
      <c r="J3203">
        <f>YEAR(SalesData[[#This Row],[Order Date]])</f>
        <v>2015</v>
      </c>
      <c r="K3203" t="str">
        <f>TEXT(SalesData[[#This Row],[Order Date]],"mmm")</f>
        <v>Dec</v>
      </c>
      <c r="L3203">
        <f>MONTH(SalesData[[#This Row],[Order Date]])</f>
        <v>12</v>
      </c>
      <c r="M3203">
        <f>SalesData[[#This Row],[Sales]]/SalesData[[#This Row],[Quantity]]</f>
        <v>6.48</v>
      </c>
      <c r="N3203" t="str">
        <f>IF(SalesData[[#This Row],[Profit]]&gt;0,"Profit","Loss")</f>
        <v>Profit</v>
      </c>
    </row>
    <row r="3204" spans="1:14" x14ac:dyDescent="0.3">
      <c r="A3204" t="s">
        <v>1838</v>
      </c>
      <c r="B3204" s="3">
        <v>42348</v>
      </c>
      <c r="C3204" t="s">
        <v>17</v>
      </c>
      <c r="D3204" t="s">
        <v>14</v>
      </c>
      <c r="E3204" t="s">
        <v>961</v>
      </c>
      <c r="F3204" s="1">
        <v>626.35199999999998</v>
      </c>
      <c r="G3204">
        <v>3</v>
      </c>
      <c r="H3204" s="1">
        <v>46.976399999999998</v>
      </c>
      <c r="I3204" s="4">
        <f>SalesData[[#This Row],[Profit]]/SalesData[[#This Row],[Sales]]</f>
        <v>7.4999999999999997E-2</v>
      </c>
      <c r="J3204">
        <f>YEAR(SalesData[[#This Row],[Order Date]])</f>
        <v>2015</v>
      </c>
      <c r="K3204" t="str">
        <f>TEXT(SalesData[[#This Row],[Order Date]],"mmm")</f>
        <v>Dec</v>
      </c>
      <c r="L3204">
        <f>MONTH(SalesData[[#This Row],[Order Date]])</f>
        <v>12</v>
      </c>
      <c r="M3204">
        <f>SalesData[[#This Row],[Sales]]/SalesData[[#This Row],[Quantity]]</f>
        <v>208.78399999999999</v>
      </c>
      <c r="N3204" t="str">
        <f>IF(SalesData[[#This Row],[Profit]]&gt;0,"Profit","Loss")</f>
        <v>Profit</v>
      </c>
    </row>
    <row r="3205" spans="1:14" x14ac:dyDescent="0.3">
      <c r="A3205" t="s">
        <v>1838</v>
      </c>
      <c r="B3205" s="3">
        <v>42348</v>
      </c>
      <c r="C3205" t="s">
        <v>17</v>
      </c>
      <c r="D3205" t="s">
        <v>21</v>
      </c>
      <c r="E3205" t="s">
        <v>1840</v>
      </c>
      <c r="F3205" s="1">
        <v>19.899999999999999</v>
      </c>
      <c r="G3205">
        <v>5</v>
      </c>
      <c r="H3205" s="1">
        <v>6.5670000000000002</v>
      </c>
      <c r="I3205" s="4">
        <f>SalesData[[#This Row],[Profit]]/SalesData[[#This Row],[Sales]]</f>
        <v>0.33</v>
      </c>
      <c r="J3205">
        <f>YEAR(SalesData[[#This Row],[Order Date]])</f>
        <v>2015</v>
      </c>
      <c r="K3205" t="str">
        <f>TEXT(SalesData[[#This Row],[Order Date]],"mmm")</f>
        <v>Dec</v>
      </c>
      <c r="L3205">
        <f>MONTH(SalesData[[#This Row],[Order Date]])</f>
        <v>12</v>
      </c>
      <c r="M3205">
        <f>SalesData[[#This Row],[Sales]]/SalesData[[#This Row],[Quantity]]</f>
        <v>3.9799999999999995</v>
      </c>
      <c r="N3205" t="str">
        <f>IF(SalesData[[#This Row],[Profit]]&gt;0,"Profit","Loss")</f>
        <v>Profit</v>
      </c>
    </row>
    <row r="3206" spans="1:14" x14ac:dyDescent="0.3">
      <c r="A3206" t="s">
        <v>1841</v>
      </c>
      <c r="B3206" s="3">
        <v>42348</v>
      </c>
      <c r="C3206" t="s">
        <v>17</v>
      </c>
      <c r="D3206" t="s">
        <v>14</v>
      </c>
      <c r="E3206" t="s">
        <v>445</v>
      </c>
      <c r="F3206" s="1">
        <v>209.67</v>
      </c>
      <c r="G3206">
        <v>1</v>
      </c>
      <c r="H3206" s="1">
        <v>-13.978</v>
      </c>
      <c r="I3206" s="4">
        <f>SalesData[[#This Row],[Profit]]/SalesData[[#This Row],[Sales]]</f>
        <v>-6.6666666666666666E-2</v>
      </c>
      <c r="J3206">
        <f>YEAR(SalesData[[#This Row],[Order Date]])</f>
        <v>2015</v>
      </c>
      <c r="K3206" t="str">
        <f>TEXT(SalesData[[#This Row],[Order Date]],"mmm")</f>
        <v>Dec</v>
      </c>
      <c r="L3206">
        <f>MONTH(SalesData[[#This Row],[Order Date]])</f>
        <v>12</v>
      </c>
      <c r="M3206">
        <f>SalesData[[#This Row],[Sales]]/SalesData[[#This Row],[Quantity]]</f>
        <v>209.67</v>
      </c>
      <c r="N3206" t="str">
        <f>IF(SalesData[[#This Row],[Profit]]&gt;0,"Profit","Loss")</f>
        <v>Loss</v>
      </c>
    </row>
    <row r="3207" spans="1:14" x14ac:dyDescent="0.3">
      <c r="A3207" t="s">
        <v>1842</v>
      </c>
      <c r="B3207" s="3">
        <v>42348</v>
      </c>
      <c r="C3207" t="s">
        <v>9</v>
      </c>
      <c r="D3207" t="s">
        <v>10</v>
      </c>
      <c r="E3207" t="s">
        <v>125</v>
      </c>
      <c r="F3207" s="1">
        <v>135.72</v>
      </c>
      <c r="G3207">
        <v>3</v>
      </c>
      <c r="H3207" s="1">
        <v>35.287199999999999</v>
      </c>
      <c r="I3207" s="4">
        <f>SalesData[[#This Row],[Profit]]/SalesData[[#This Row],[Sales]]</f>
        <v>0.26</v>
      </c>
      <c r="J3207">
        <f>YEAR(SalesData[[#This Row],[Order Date]])</f>
        <v>2015</v>
      </c>
      <c r="K3207" t="str">
        <f>TEXT(SalesData[[#This Row],[Order Date]],"mmm")</f>
        <v>Dec</v>
      </c>
      <c r="L3207">
        <f>MONTH(SalesData[[#This Row],[Order Date]])</f>
        <v>12</v>
      </c>
      <c r="M3207">
        <f>SalesData[[#This Row],[Sales]]/SalesData[[#This Row],[Quantity]]</f>
        <v>45.24</v>
      </c>
      <c r="N3207" t="str">
        <f>IF(SalesData[[#This Row],[Profit]]&gt;0,"Profit","Loss")</f>
        <v>Profit</v>
      </c>
    </row>
    <row r="3208" spans="1:14" x14ac:dyDescent="0.3">
      <c r="A3208" t="s">
        <v>1842</v>
      </c>
      <c r="B3208" s="3">
        <v>42348</v>
      </c>
      <c r="C3208" t="s">
        <v>9</v>
      </c>
      <c r="D3208" t="s">
        <v>21</v>
      </c>
      <c r="E3208" t="s">
        <v>1758</v>
      </c>
      <c r="F3208" s="1">
        <v>12.56</v>
      </c>
      <c r="G3208">
        <v>2</v>
      </c>
      <c r="H3208" s="1">
        <v>5.6520000000000001</v>
      </c>
      <c r="I3208" s="4">
        <f>SalesData[[#This Row],[Profit]]/SalesData[[#This Row],[Sales]]</f>
        <v>0.45</v>
      </c>
      <c r="J3208">
        <f>YEAR(SalesData[[#This Row],[Order Date]])</f>
        <v>2015</v>
      </c>
      <c r="K3208" t="str">
        <f>TEXT(SalesData[[#This Row],[Order Date]],"mmm")</f>
        <v>Dec</v>
      </c>
      <c r="L3208">
        <f>MONTH(SalesData[[#This Row],[Order Date]])</f>
        <v>12</v>
      </c>
      <c r="M3208">
        <f>SalesData[[#This Row],[Sales]]/SalesData[[#This Row],[Quantity]]</f>
        <v>6.28</v>
      </c>
      <c r="N3208" t="str">
        <f>IF(SalesData[[#This Row],[Profit]]&gt;0,"Profit","Loss")</f>
        <v>Profit</v>
      </c>
    </row>
    <row r="3209" spans="1:14" x14ac:dyDescent="0.3">
      <c r="A3209" t="s">
        <v>1842</v>
      </c>
      <c r="B3209" s="3">
        <v>42348</v>
      </c>
      <c r="C3209" t="s">
        <v>9</v>
      </c>
      <c r="D3209" t="s">
        <v>10</v>
      </c>
      <c r="E3209" t="s">
        <v>195</v>
      </c>
      <c r="F3209" s="1">
        <v>263.95999999999998</v>
      </c>
      <c r="G3209">
        <v>4</v>
      </c>
      <c r="H3209" s="1">
        <v>71.269199999999998</v>
      </c>
      <c r="I3209" s="4">
        <f>SalesData[[#This Row],[Profit]]/SalesData[[#This Row],[Sales]]</f>
        <v>0.27</v>
      </c>
      <c r="J3209">
        <f>YEAR(SalesData[[#This Row],[Order Date]])</f>
        <v>2015</v>
      </c>
      <c r="K3209" t="str">
        <f>TEXT(SalesData[[#This Row],[Order Date]],"mmm")</f>
        <v>Dec</v>
      </c>
      <c r="L3209">
        <f>MONTH(SalesData[[#This Row],[Order Date]])</f>
        <v>12</v>
      </c>
      <c r="M3209">
        <f>SalesData[[#This Row],[Sales]]/SalesData[[#This Row],[Quantity]]</f>
        <v>65.989999999999995</v>
      </c>
      <c r="N3209" t="str">
        <f>IF(SalesData[[#This Row],[Profit]]&gt;0,"Profit","Loss")</f>
        <v>Profit</v>
      </c>
    </row>
    <row r="3210" spans="1:14" x14ac:dyDescent="0.3">
      <c r="A3210" t="s">
        <v>1843</v>
      </c>
      <c r="B3210" s="3">
        <v>42348</v>
      </c>
      <c r="C3210" t="s">
        <v>13</v>
      </c>
      <c r="D3210" t="s">
        <v>10</v>
      </c>
      <c r="E3210" t="s">
        <v>179</v>
      </c>
      <c r="F3210" s="1">
        <v>17.899999999999999</v>
      </c>
      <c r="G3210">
        <v>2</v>
      </c>
      <c r="H3210" s="1">
        <v>3.4009999999999998</v>
      </c>
      <c r="I3210" s="4">
        <f>SalesData[[#This Row],[Profit]]/SalesData[[#This Row],[Sales]]</f>
        <v>0.19</v>
      </c>
      <c r="J3210">
        <f>YEAR(SalesData[[#This Row],[Order Date]])</f>
        <v>2015</v>
      </c>
      <c r="K3210" t="str">
        <f>TEXT(SalesData[[#This Row],[Order Date]],"mmm")</f>
        <v>Dec</v>
      </c>
      <c r="L3210">
        <f>MONTH(SalesData[[#This Row],[Order Date]])</f>
        <v>12</v>
      </c>
      <c r="M3210">
        <f>SalesData[[#This Row],[Sales]]/SalesData[[#This Row],[Quantity]]</f>
        <v>8.9499999999999993</v>
      </c>
      <c r="N3210" t="str">
        <f>IF(SalesData[[#This Row],[Profit]]&gt;0,"Profit","Loss")</f>
        <v>Profit</v>
      </c>
    </row>
    <row r="3211" spans="1:14" x14ac:dyDescent="0.3">
      <c r="A3211" t="s">
        <v>1843</v>
      </c>
      <c r="B3211" s="3">
        <v>42348</v>
      </c>
      <c r="C3211" t="s">
        <v>13</v>
      </c>
      <c r="D3211" t="s">
        <v>21</v>
      </c>
      <c r="E3211" t="s">
        <v>571</v>
      </c>
      <c r="F3211" s="1">
        <v>81.96</v>
      </c>
      <c r="G3211">
        <v>2</v>
      </c>
      <c r="H3211" s="1">
        <v>0</v>
      </c>
      <c r="I3211" s="4">
        <f>SalesData[[#This Row],[Profit]]/SalesData[[#This Row],[Sales]]</f>
        <v>0</v>
      </c>
      <c r="J3211">
        <f>YEAR(SalesData[[#This Row],[Order Date]])</f>
        <v>2015</v>
      </c>
      <c r="K3211" t="str">
        <f>TEXT(SalesData[[#This Row],[Order Date]],"mmm")</f>
        <v>Dec</v>
      </c>
      <c r="L3211">
        <f>MONTH(SalesData[[#This Row],[Order Date]])</f>
        <v>12</v>
      </c>
      <c r="M3211">
        <f>SalesData[[#This Row],[Sales]]/SalesData[[#This Row],[Quantity]]</f>
        <v>40.98</v>
      </c>
      <c r="N3211" t="str">
        <f>IF(SalesData[[#This Row],[Profit]]&gt;0,"Profit","Loss")</f>
        <v>Loss</v>
      </c>
    </row>
    <row r="3212" spans="1:14" x14ac:dyDescent="0.3">
      <c r="A3212" t="s">
        <v>1844</v>
      </c>
      <c r="B3212" s="3">
        <v>42349</v>
      </c>
      <c r="C3212" t="s">
        <v>13</v>
      </c>
      <c r="D3212" t="s">
        <v>21</v>
      </c>
      <c r="E3212" t="s">
        <v>407</v>
      </c>
      <c r="F3212" s="1">
        <v>15.7</v>
      </c>
      <c r="G3212">
        <v>5</v>
      </c>
      <c r="H3212" s="1">
        <v>7.0650000000000004</v>
      </c>
      <c r="I3212" s="4">
        <f>SalesData[[#This Row],[Profit]]/SalesData[[#This Row],[Sales]]</f>
        <v>0.45000000000000007</v>
      </c>
      <c r="J3212">
        <f>YEAR(SalesData[[#This Row],[Order Date]])</f>
        <v>2015</v>
      </c>
      <c r="K3212" t="str">
        <f>TEXT(SalesData[[#This Row],[Order Date]],"mmm")</f>
        <v>Dec</v>
      </c>
      <c r="L3212">
        <f>MONTH(SalesData[[#This Row],[Order Date]])</f>
        <v>12</v>
      </c>
      <c r="M3212">
        <f>SalesData[[#This Row],[Sales]]/SalesData[[#This Row],[Quantity]]</f>
        <v>3.1399999999999997</v>
      </c>
      <c r="N3212" t="str">
        <f>IF(SalesData[[#This Row],[Profit]]&gt;0,"Profit","Loss")</f>
        <v>Profit</v>
      </c>
    </row>
    <row r="3213" spans="1:14" x14ac:dyDescent="0.3">
      <c r="A3213" t="s">
        <v>1845</v>
      </c>
      <c r="B3213" s="3">
        <v>42349</v>
      </c>
      <c r="C3213" t="s">
        <v>46</v>
      </c>
      <c r="D3213" t="s">
        <v>21</v>
      </c>
      <c r="E3213" t="s">
        <v>1192</v>
      </c>
      <c r="F3213" s="1">
        <v>11.76</v>
      </c>
      <c r="G3213">
        <v>5</v>
      </c>
      <c r="H3213" s="1">
        <v>1.323</v>
      </c>
      <c r="I3213" s="4">
        <f>SalesData[[#This Row],[Profit]]/SalesData[[#This Row],[Sales]]</f>
        <v>0.1125</v>
      </c>
      <c r="J3213">
        <f>YEAR(SalesData[[#This Row],[Order Date]])</f>
        <v>2015</v>
      </c>
      <c r="K3213" t="str">
        <f>TEXT(SalesData[[#This Row],[Order Date]],"mmm")</f>
        <v>Dec</v>
      </c>
      <c r="L3213">
        <f>MONTH(SalesData[[#This Row],[Order Date]])</f>
        <v>12</v>
      </c>
      <c r="M3213">
        <f>SalesData[[#This Row],[Sales]]/SalesData[[#This Row],[Quantity]]</f>
        <v>2.3519999999999999</v>
      </c>
      <c r="N3213" t="str">
        <f>IF(SalesData[[#This Row],[Profit]]&gt;0,"Profit","Loss")</f>
        <v>Profit</v>
      </c>
    </row>
    <row r="3214" spans="1:14" x14ac:dyDescent="0.3">
      <c r="A3214" t="s">
        <v>1845</v>
      </c>
      <c r="B3214" s="3">
        <v>42349</v>
      </c>
      <c r="C3214" t="s">
        <v>46</v>
      </c>
      <c r="D3214" t="s">
        <v>21</v>
      </c>
      <c r="E3214" t="s">
        <v>760</v>
      </c>
      <c r="F3214" s="1">
        <v>5.2380000000000004</v>
      </c>
      <c r="G3214">
        <v>2</v>
      </c>
      <c r="H3214" s="1">
        <v>-4.0157999999999996</v>
      </c>
      <c r="I3214" s="4">
        <f>SalesData[[#This Row],[Profit]]/SalesData[[#This Row],[Sales]]</f>
        <v>-0.7666666666666665</v>
      </c>
      <c r="J3214">
        <f>YEAR(SalesData[[#This Row],[Order Date]])</f>
        <v>2015</v>
      </c>
      <c r="K3214" t="str">
        <f>TEXT(SalesData[[#This Row],[Order Date]],"mmm")</f>
        <v>Dec</v>
      </c>
      <c r="L3214">
        <f>MONTH(SalesData[[#This Row],[Order Date]])</f>
        <v>12</v>
      </c>
      <c r="M3214">
        <f>SalesData[[#This Row],[Sales]]/SalesData[[#This Row],[Quantity]]</f>
        <v>2.6190000000000002</v>
      </c>
      <c r="N3214" t="str">
        <f>IF(SalesData[[#This Row],[Profit]]&gt;0,"Profit","Loss")</f>
        <v>Loss</v>
      </c>
    </row>
    <row r="3215" spans="1:14" x14ac:dyDescent="0.3">
      <c r="A3215" t="s">
        <v>1845</v>
      </c>
      <c r="B3215" s="3">
        <v>42349</v>
      </c>
      <c r="C3215" t="s">
        <v>46</v>
      </c>
      <c r="D3215" t="s">
        <v>21</v>
      </c>
      <c r="E3215" t="s">
        <v>1435</v>
      </c>
      <c r="F3215" s="1">
        <v>4.6619999999999999</v>
      </c>
      <c r="G3215">
        <v>3</v>
      </c>
      <c r="H3215" s="1">
        <v>-3.7296</v>
      </c>
      <c r="I3215" s="4">
        <f>SalesData[[#This Row],[Profit]]/SalesData[[#This Row],[Sales]]</f>
        <v>-0.8</v>
      </c>
      <c r="J3215">
        <f>YEAR(SalesData[[#This Row],[Order Date]])</f>
        <v>2015</v>
      </c>
      <c r="K3215" t="str">
        <f>TEXT(SalesData[[#This Row],[Order Date]],"mmm")</f>
        <v>Dec</v>
      </c>
      <c r="L3215">
        <f>MONTH(SalesData[[#This Row],[Order Date]])</f>
        <v>12</v>
      </c>
      <c r="M3215">
        <f>SalesData[[#This Row],[Sales]]/SalesData[[#This Row],[Quantity]]</f>
        <v>1.554</v>
      </c>
      <c r="N3215" t="str">
        <f>IF(SalesData[[#This Row],[Profit]]&gt;0,"Profit","Loss")</f>
        <v>Loss</v>
      </c>
    </row>
    <row r="3216" spans="1:14" x14ac:dyDescent="0.3">
      <c r="A3216" t="s">
        <v>1845</v>
      </c>
      <c r="B3216" s="3">
        <v>42349</v>
      </c>
      <c r="C3216" t="s">
        <v>46</v>
      </c>
      <c r="D3216" t="s">
        <v>14</v>
      </c>
      <c r="E3216" t="s">
        <v>361</v>
      </c>
      <c r="F3216" s="1">
        <v>523.91999999999996</v>
      </c>
      <c r="G3216">
        <v>5</v>
      </c>
      <c r="H3216" s="1">
        <v>-72.039000000000001</v>
      </c>
      <c r="I3216" s="4">
        <f>SalesData[[#This Row],[Profit]]/SalesData[[#This Row],[Sales]]</f>
        <v>-0.13750000000000001</v>
      </c>
      <c r="J3216">
        <f>YEAR(SalesData[[#This Row],[Order Date]])</f>
        <v>2015</v>
      </c>
      <c r="K3216" t="str">
        <f>TEXT(SalesData[[#This Row],[Order Date]],"mmm")</f>
        <v>Dec</v>
      </c>
      <c r="L3216">
        <f>MONTH(SalesData[[#This Row],[Order Date]])</f>
        <v>12</v>
      </c>
      <c r="M3216">
        <f>SalesData[[#This Row],[Sales]]/SalesData[[#This Row],[Quantity]]</f>
        <v>104.78399999999999</v>
      </c>
      <c r="N3216" t="str">
        <f>IF(SalesData[[#This Row],[Profit]]&gt;0,"Profit","Loss")</f>
        <v>Loss</v>
      </c>
    </row>
    <row r="3217" spans="1:14" x14ac:dyDescent="0.3">
      <c r="A3217" t="s">
        <v>1845</v>
      </c>
      <c r="B3217" s="3">
        <v>42349</v>
      </c>
      <c r="C3217" t="s">
        <v>46</v>
      </c>
      <c r="D3217" t="s">
        <v>10</v>
      </c>
      <c r="E3217" t="s">
        <v>1553</v>
      </c>
      <c r="F3217" s="1">
        <v>100.792</v>
      </c>
      <c r="G3217">
        <v>1</v>
      </c>
      <c r="H3217" s="1">
        <v>10.0792</v>
      </c>
      <c r="I3217" s="4">
        <f>SalesData[[#This Row],[Profit]]/SalesData[[#This Row],[Sales]]</f>
        <v>0.1</v>
      </c>
      <c r="J3217">
        <f>YEAR(SalesData[[#This Row],[Order Date]])</f>
        <v>2015</v>
      </c>
      <c r="K3217" t="str">
        <f>TEXT(SalesData[[#This Row],[Order Date]],"mmm")</f>
        <v>Dec</v>
      </c>
      <c r="L3217">
        <f>MONTH(SalesData[[#This Row],[Order Date]])</f>
        <v>12</v>
      </c>
      <c r="M3217">
        <f>SalesData[[#This Row],[Sales]]/SalesData[[#This Row],[Quantity]]</f>
        <v>100.792</v>
      </c>
      <c r="N3217" t="str">
        <f>IF(SalesData[[#This Row],[Profit]]&gt;0,"Profit","Loss")</f>
        <v>Profit</v>
      </c>
    </row>
    <row r="3218" spans="1:14" x14ac:dyDescent="0.3">
      <c r="A3218" t="s">
        <v>1845</v>
      </c>
      <c r="B3218" s="3">
        <v>42349</v>
      </c>
      <c r="C3218" t="s">
        <v>46</v>
      </c>
      <c r="D3218" t="s">
        <v>14</v>
      </c>
      <c r="E3218" t="s">
        <v>564</v>
      </c>
      <c r="F3218" s="1">
        <v>146.136</v>
      </c>
      <c r="G3218">
        <v>3</v>
      </c>
      <c r="H3218" s="1">
        <v>16.440300000000001</v>
      </c>
      <c r="I3218" s="4">
        <f>SalesData[[#This Row],[Profit]]/SalesData[[#This Row],[Sales]]</f>
        <v>0.1125</v>
      </c>
      <c r="J3218">
        <f>YEAR(SalesData[[#This Row],[Order Date]])</f>
        <v>2015</v>
      </c>
      <c r="K3218" t="str">
        <f>TEXT(SalesData[[#This Row],[Order Date]],"mmm")</f>
        <v>Dec</v>
      </c>
      <c r="L3218">
        <f>MONTH(SalesData[[#This Row],[Order Date]])</f>
        <v>12</v>
      </c>
      <c r="M3218">
        <f>SalesData[[#This Row],[Sales]]/SalesData[[#This Row],[Quantity]]</f>
        <v>48.711999999999996</v>
      </c>
      <c r="N3218" t="str">
        <f>IF(SalesData[[#This Row],[Profit]]&gt;0,"Profit","Loss")</f>
        <v>Profit</v>
      </c>
    </row>
    <row r="3219" spans="1:14" x14ac:dyDescent="0.3">
      <c r="A3219" t="s">
        <v>1846</v>
      </c>
      <c r="B3219" s="3">
        <v>42349</v>
      </c>
      <c r="C3219" t="s">
        <v>9</v>
      </c>
      <c r="D3219" t="s">
        <v>21</v>
      </c>
      <c r="E3219" t="s">
        <v>566</v>
      </c>
      <c r="F3219" s="1">
        <v>64.784000000000006</v>
      </c>
      <c r="G3219">
        <v>1</v>
      </c>
      <c r="H3219" s="1">
        <v>-14.5764</v>
      </c>
      <c r="I3219" s="4">
        <f>SalesData[[#This Row],[Profit]]/SalesData[[#This Row],[Sales]]</f>
        <v>-0.22499999999999998</v>
      </c>
      <c r="J3219">
        <f>YEAR(SalesData[[#This Row],[Order Date]])</f>
        <v>2015</v>
      </c>
      <c r="K3219" t="str">
        <f>TEXT(SalesData[[#This Row],[Order Date]],"mmm")</f>
        <v>Dec</v>
      </c>
      <c r="L3219">
        <f>MONTH(SalesData[[#This Row],[Order Date]])</f>
        <v>12</v>
      </c>
      <c r="M3219">
        <f>SalesData[[#This Row],[Sales]]/SalesData[[#This Row],[Quantity]]</f>
        <v>64.784000000000006</v>
      </c>
      <c r="N3219" t="str">
        <f>IF(SalesData[[#This Row],[Profit]]&gt;0,"Profit","Loss")</f>
        <v>Loss</v>
      </c>
    </row>
    <row r="3220" spans="1:14" x14ac:dyDescent="0.3">
      <c r="A3220" t="s">
        <v>1846</v>
      </c>
      <c r="B3220" s="3">
        <v>42349</v>
      </c>
      <c r="C3220" t="s">
        <v>9</v>
      </c>
      <c r="D3220" t="s">
        <v>21</v>
      </c>
      <c r="E3220" t="s">
        <v>394</v>
      </c>
      <c r="F3220" s="1">
        <v>15.552</v>
      </c>
      <c r="G3220">
        <v>3</v>
      </c>
      <c r="H3220" s="1">
        <v>5.6375999999999999</v>
      </c>
      <c r="I3220" s="4">
        <f>SalesData[[#This Row],[Profit]]/SalesData[[#This Row],[Sales]]</f>
        <v>0.36249999999999999</v>
      </c>
      <c r="J3220">
        <f>YEAR(SalesData[[#This Row],[Order Date]])</f>
        <v>2015</v>
      </c>
      <c r="K3220" t="str">
        <f>TEXT(SalesData[[#This Row],[Order Date]],"mmm")</f>
        <v>Dec</v>
      </c>
      <c r="L3220">
        <f>MONTH(SalesData[[#This Row],[Order Date]])</f>
        <v>12</v>
      </c>
      <c r="M3220">
        <f>SalesData[[#This Row],[Sales]]/SalesData[[#This Row],[Quantity]]</f>
        <v>5.1840000000000002</v>
      </c>
      <c r="N3220" t="str">
        <f>IF(SalesData[[#This Row],[Profit]]&gt;0,"Profit","Loss")</f>
        <v>Profit</v>
      </c>
    </row>
    <row r="3221" spans="1:14" x14ac:dyDescent="0.3">
      <c r="A3221" t="s">
        <v>1846</v>
      </c>
      <c r="B3221" s="3">
        <v>42349</v>
      </c>
      <c r="C3221" t="s">
        <v>9</v>
      </c>
      <c r="D3221" t="s">
        <v>21</v>
      </c>
      <c r="E3221" t="s">
        <v>1847</v>
      </c>
      <c r="F3221" s="1">
        <v>223.88800000000001</v>
      </c>
      <c r="G3221">
        <v>7</v>
      </c>
      <c r="H3221" s="1">
        <v>69.965000000000003</v>
      </c>
      <c r="I3221" s="4">
        <f>SalesData[[#This Row],[Profit]]/SalesData[[#This Row],[Sales]]</f>
        <v>0.3125</v>
      </c>
      <c r="J3221">
        <f>YEAR(SalesData[[#This Row],[Order Date]])</f>
        <v>2015</v>
      </c>
      <c r="K3221" t="str">
        <f>TEXT(SalesData[[#This Row],[Order Date]],"mmm")</f>
        <v>Dec</v>
      </c>
      <c r="L3221">
        <f>MONTH(SalesData[[#This Row],[Order Date]])</f>
        <v>12</v>
      </c>
      <c r="M3221">
        <f>SalesData[[#This Row],[Sales]]/SalesData[[#This Row],[Quantity]]</f>
        <v>31.984000000000002</v>
      </c>
      <c r="N3221" t="str">
        <f>IF(SalesData[[#This Row],[Profit]]&gt;0,"Profit","Loss")</f>
        <v>Profit</v>
      </c>
    </row>
    <row r="3222" spans="1:14" x14ac:dyDescent="0.3">
      <c r="A3222" t="s">
        <v>1848</v>
      </c>
      <c r="B3222" s="3">
        <v>42349</v>
      </c>
      <c r="C3222" t="s">
        <v>17</v>
      </c>
      <c r="D3222" t="s">
        <v>21</v>
      </c>
      <c r="E3222" t="s">
        <v>127</v>
      </c>
      <c r="F3222" s="1">
        <v>15.56</v>
      </c>
      <c r="G3222">
        <v>2</v>
      </c>
      <c r="H3222" s="1">
        <v>7.3132000000000001</v>
      </c>
      <c r="I3222" s="4">
        <f>SalesData[[#This Row],[Profit]]/SalesData[[#This Row],[Sales]]</f>
        <v>0.47</v>
      </c>
      <c r="J3222">
        <f>YEAR(SalesData[[#This Row],[Order Date]])</f>
        <v>2015</v>
      </c>
      <c r="K3222" t="str">
        <f>TEXT(SalesData[[#This Row],[Order Date]],"mmm")</f>
        <v>Dec</v>
      </c>
      <c r="L3222">
        <f>MONTH(SalesData[[#This Row],[Order Date]])</f>
        <v>12</v>
      </c>
      <c r="M3222">
        <f>SalesData[[#This Row],[Sales]]/SalesData[[#This Row],[Quantity]]</f>
        <v>7.78</v>
      </c>
      <c r="N3222" t="str">
        <f>IF(SalesData[[#This Row],[Profit]]&gt;0,"Profit","Loss")</f>
        <v>Profit</v>
      </c>
    </row>
    <row r="3223" spans="1:14" x14ac:dyDescent="0.3">
      <c r="A3223" t="s">
        <v>1849</v>
      </c>
      <c r="B3223" s="3">
        <v>42350</v>
      </c>
      <c r="C3223" t="s">
        <v>13</v>
      </c>
      <c r="D3223" t="s">
        <v>14</v>
      </c>
      <c r="E3223" t="s">
        <v>586</v>
      </c>
      <c r="F3223" s="1">
        <v>348.928</v>
      </c>
      <c r="G3223">
        <v>2</v>
      </c>
      <c r="H3223" s="1">
        <v>34.892800000000001</v>
      </c>
      <c r="I3223" s="4">
        <f>SalesData[[#This Row],[Profit]]/SalesData[[#This Row],[Sales]]</f>
        <v>0.1</v>
      </c>
      <c r="J3223">
        <f>YEAR(SalesData[[#This Row],[Order Date]])</f>
        <v>2015</v>
      </c>
      <c r="K3223" t="str">
        <f>TEXT(SalesData[[#This Row],[Order Date]],"mmm")</f>
        <v>Dec</v>
      </c>
      <c r="L3223">
        <f>MONTH(SalesData[[#This Row],[Order Date]])</f>
        <v>12</v>
      </c>
      <c r="M3223">
        <f>SalesData[[#This Row],[Sales]]/SalesData[[#This Row],[Quantity]]</f>
        <v>174.464</v>
      </c>
      <c r="N3223" t="str">
        <f>IF(SalesData[[#This Row],[Profit]]&gt;0,"Profit","Loss")</f>
        <v>Profit</v>
      </c>
    </row>
    <row r="3224" spans="1:14" x14ac:dyDescent="0.3">
      <c r="A3224" t="s">
        <v>1850</v>
      </c>
      <c r="B3224" s="3">
        <v>42350</v>
      </c>
      <c r="C3224" t="s">
        <v>13</v>
      </c>
      <c r="D3224" t="s">
        <v>21</v>
      </c>
      <c r="E3224" t="s">
        <v>83</v>
      </c>
      <c r="F3224" s="1">
        <v>7.86</v>
      </c>
      <c r="G3224">
        <v>2</v>
      </c>
      <c r="H3224" s="1">
        <v>3.6156000000000001</v>
      </c>
      <c r="I3224" s="4">
        <f>SalesData[[#This Row],[Profit]]/SalesData[[#This Row],[Sales]]</f>
        <v>0.46</v>
      </c>
      <c r="J3224">
        <f>YEAR(SalesData[[#This Row],[Order Date]])</f>
        <v>2015</v>
      </c>
      <c r="K3224" t="str">
        <f>TEXT(SalesData[[#This Row],[Order Date]],"mmm")</f>
        <v>Dec</v>
      </c>
      <c r="L3224">
        <f>MONTH(SalesData[[#This Row],[Order Date]])</f>
        <v>12</v>
      </c>
      <c r="M3224">
        <f>SalesData[[#This Row],[Sales]]/SalesData[[#This Row],[Quantity]]</f>
        <v>3.93</v>
      </c>
      <c r="N3224" t="str">
        <f>IF(SalesData[[#This Row],[Profit]]&gt;0,"Profit","Loss")</f>
        <v>Profit</v>
      </c>
    </row>
    <row r="3225" spans="1:14" x14ac:dyDescent="0.3">
      <c r="A3225" t="s">
        <v>1850</v>
      </c>
      <c r="B3225" s="3">
        <v>42350</v>
      </c>
      <c r="C3225" t="s">
        <v>13</v>
      </c>
      <c r="D3225" t="s">
        <v>21</v>
      </c>
      <c r="E3225" t="s">
        <v>1851</v>
      </c>
      <c r="F3225" s="1">
        <v>24.448</v>
      </c>
      <c r="G3225">
        <v>2</v>
      </c>
      <c r="H3225" s="1">
        <v>8.8623999999999992</v>
      </c>
      <c r="I3225" s="4">
        <f>SalesData[[#This Row],[Profit]]/SalesData[[#This Row],[Sales]]</f>
        <v>0.36249999999999993</v>
      </c>
      <c r="J3225">
        <f>YEAR(SalesData[[#This Row],[Order Date]])</f>
        <v>2015</v>
      </c>
      <c r="K3225" t="str">
        <f>TEXT(SalesData[[#This Row],[Order Date]],"mmm")</f>
        <v>Dec</v>
      </c>
      <c r="L3225">
        <f>MONTH(SalesData[[#This Row],[Order Date]])</f>
        <v>12</v>
      </c>
      <c r="M3225">
        <f>SalesData[[#This Row],[Sales]]/SalesData[[#This Row],[Quantity]]</f>
        <v>12.224</v>
      </c>
      <c r="N3225" t="str">
        <f>IF(SalesData[[#This Row],[Profit]]&gt;0,"Profit","Loss")</f>
        <v>Profit</v>
      </c>
    </row>
    <row r="3226" spans="1:14" x14ac:dyDescent="0.3">
      <c r="A3226" t="s">
        <v>1852</v>
      </c>
      <c r="B3226" s="3">
        <v>42350</v>
      </c>
      <c r="C3226" t="s">
        <v>17</v>
      </c>
      <c r="D3226" t="s">
        <v>21</v>
      </c>
      <c r="E3226" t="s">
        <v>489</v>
      </c>
      <c r="F3226" s="1">
        <v>8.2200000000000006</v>
      </c>
      <c r="G3226">
        <v>3</v>
      </c>
      <c r="H3226" s="1">
        <v>2.2193999999999998</v>
      </c>
      <c r="I3226" s="4">
        <f>SalesData[[#This Row],[Profit]]/SalesData[[#This Row],[Sales]]</f>
        <v>0.26999999999999996</v>
      </c>
      <c r="J3226">
        <f>YEAR(SalesData[[#This Row],[Order Date]])</f>
        <v>2015</v>
      </c>
      <c r="K3226" t="str">
        <f>TEXT(SalesData[[#This Row],[Order Date]],"mmm")</f>
        <v>Dec</v>
      </c>
      <c r="L3226">
        <f>MONTH(SalesData[[#This Row],[Order Date]])</f>
        <v>12</v>
      </c>
      <c r="M3226">
        <f>SalesData[[#This Row],[Sales]]/SalesData[[#This Row],[Quantity]]</f>
        <v>2.74</v>
      </c>
      <c r="N3226" t="str">
        <f>IF(SalesData[[#This Row],[Profit]]&gt;0,"Profit","Loss")</f>
        <v>Profit</v>
      </c>
    </row>
    <row r="3227" spans="1:14" x14ac:dyDescent="0.3">
      <c r="A3227" t="s">
        <v>1853</v>
      </c>
      <c r="B3227" s="3">
        <v>42350</v>
      </c>
      <c r="C3227" t="s">
        <v>9</v>
      </c>
      <c r="D3227" t="s">
        <v>10</v>
      </c>
      <c r="E3227" t="s">
        <v>1677</v>
      </c>
      <c r="F3227" s="1">
        <v>22.367999999999999</v>
      </c>
      <c r="G3227">
        <v>4</v>
      </c>
      <c r="H3227" s="1">
        <v>6.4307999999999996</v>
      </c>
      <c r="I3227" s="4">
        <f>SalesData[[#This Row],[Profit]]/SalesData[[#This Row],[Sales]]</f>
        <v>0.28749999999999998</v>
      </c>
      <c r="J3227">
        <f>YEAR(SalesData[[#This Row],[Order Date]])</f>
        <v>2015</v>
      </c>
      <c r="K3227" t="str">
        <f>TEXT(SalesData[[#This Row],[Order Date]],"mmm")</f>
        <v>Dec</v>
      </c>
      <c r="L3227">
        <f>MONTH(SalesData[[#This Row],[Order Date]])</f>
        <v>12</v>
      </c>
      <c r="M3227">
        <f>SalesData[[#This Row],[Sales]]/SalesData[[#This Row],[Quantity]]</f>
        <v>5.5919999999999996</v>
      </c>
      <c r="N3227" t="str">
        <f>IF(SalesData[[#This Row],[Profit]]&gt;0,"Profit","Loss")</f>
        <v>Profit</v>
      </c>
    </row>
    <row r="3228" spans="1:14" x14ac:dyDescent="0.3">
      <c r="A3228" t="s">
        <v>1854</v>
      </c>
      <c r="B3228" s="3">
        <v>42350</v>
      </c>
      <c r="C3228" t="s">
        <v>13</v>
      </c>
      <c r="D3228" t="s">
        <v>21</v>
      </c>
      <c r="E3228" t="s">
        <v>1855</v>
      </c>
      <c r="F3228" s="1">
        <v>2.21</v>
      </c>
      <c r="G3228">
        <v>1</v>
      </c>
      <c r="H3228" s="1">
        <v>0.59670000000000001</v>
      </c>
      <c r="I3228" s="4">
        <f>SalesData[[#This Row],[Profit]]/SalesData[[#This Row],[Sales]]</f>
        <v>0.27</v>
      </c>
      <c r="J3228">
        <f>YEAR(SalesData[[#This Row],[Order Date]])</f>
        <v>2015</v>
      </c>
      <c r="K3228" t="str">
        <f>TEXT(SalesData[[#This Row],[Order Date]],"mmm")</f>
        <v>Dec</v>
      </c>
      <c r="L3228">
        <f>MONTH(SalesData[[#This Row],[Order Date]])</f>
        <v>12</v>
      </c>
      <c r="M3228">
        <f>SalesData[[#This Row],[Sales]]/SalesData[[#This Row],[Quantity]]</f>
        <v>2.21</v>
      </c>
      <c r="N3228" t="str">
        <f>IF(SalesData[[#This Row],[Profit]]&gt;0,"Profit","Loss")</f>
        <v>Profit</v>
      </c>
    </row>
    <row r="3229" spans="1:14" x14ac:dyDescent="0.3">
      <c r="A3229" t="s">
        <v>1854</v>
      </c>
      <c r="B3229" s="3">
        <v>42350</v>
      </c>
      <c r="C3229" t="s">
        <v>13</v>
      </c>
      <c r="D3229" t="s">
        <v>21</v>
      </c>
      <c r="E3229" t="s">
        <v>840</v>
      </c>
      <c r="F3229" s="1">
        <v>15.52</v>
      </c>
      <c r="G3229">
        <v>4</v>
      </c>
      <c r="H3229" s="1">
        <v>7.4496000000000002</v>
      </c>
      <c r="I3229" s="4">
        <f>SalesData[[#This Row],[Profit]]/SalesData[[#This Row],[Sales]]</f>
        <v>0.48000000000000004</v>
      </c>
      <c r="J3229">
        <f>YEAR(SalesData[[#This Row],[Order Date]])</f>
        <v>2015</v>
      </c>
      <c r="K3229" t="str">
        <f>TEXT(SalesData[[#This Row],[Order Date]],"mmm")</f>
        <v>Dec</v>
      </c>
      <c r="L3229">
        <f>MONTH(SalesData[[#This Row],[Order Date]])</f>
        <v>12</v>
      </c>
      <c r="M3229">
        <f>SalesData[[#This Row],[Sales]]/SalesData[[#This Row],[Quantity]]</f>
        <v>3.88</v>
      </c>
      <c r="N3229" t="str">
        <f>IF(SalesData[[#This Row],[Profit]]&gt;0,"Profit","Loss")</f>
        <v>Profit</v>
      </c>
    </row>
    <row r="3230" spans="1:14" x14ac:dyDescent="0.3">
      <c r="A3230" t="s">
        <v>1854</v>
      </c>
      <c r="B3230" s="3">
        <v>42350</v>
      </c>
      <c r="C3230" t="s">
        <v>13</v>
      </c>
      <c r="D3230" t="s">
        <v>21</v>
      </c>
      <c r="E3230" t="s">
        <v>1856</v>
      </c>
      <c r="F3230" s="1">
        <v>36.44</v>
      </c>
      <c r="G3230">
        <v>4</v>
      </c>
      <c r="H3230" s="1">
        <v>16.398</v>
      </c>
      <c r="I3230" s="4">
        <f>SalesData[[#This Row],[Profit]]/SalesData[[#This Row],[Sales]]</f>
        <v>0.45</v>
      </c>
      <c r="J3230">
        <f>YEAR(SalesData[[#This Row],[Order Date]])</f>
        <v>2015</v>
      </c>
      <c r="K3230" t="str">
        <f>TEXT(SalesData[[#This Row],[Order Date]],"mmm")</f>
        <v>Dec</v>
      </c>
      <c r="L3230">
        <f>MONTH(SalesData[[#This Row],[Order Date]])</f>
        <v>12</v>
      </c>
      <c r="M3230">
        <f>SalesData[[#This Row],[Sales]]/SalesData[[#This Row],[Quantity]]</f>
        <v>9.11</v>
      </c>
      <c r="N3230" t="str">
        <f>IF(SalesData[[#This Row],[Profit]]&gt;0,"Profit","Loss")</f>
        <v>Profit</v>
      </c>
    </row>
    <row r="3231" spans="1:14" x14ac:dyDescent="0.3">
      <c r="A3231" t="s">
        <v>1857</v>
      </c>
      <c r="B3231" s="3">
        <v>42350</v>
      </c>
      <c r="C3231" t="s">
        <v>13</v>
      </c>
      <c r="D3231" t="s">
        <v>14</v>
      </c>
      <c r="E3231" t="s">
        <v>1858</v>
      </c>
      <c r="F3231" s="1">
        <v>166.5</v>
      </c>
      <c r="G3231">
        <v>3</v>
      </c>
      <c r="H3231" s="1">
        <v>21.645</v>
      </c>
      <c r="I3231" s="4">
        <f>SalesData[[#This Row],[Profit]]/SalesData[[#This Row],[Sales]]</f>
        <v>0.13</v>
      </c>
      <c r="J3231">
        <f>YEAR(SalesData[[#This Row],[Order Date]])</f>
        <v>2015</v>
      </c>
      <c r="K3231" t="str">
        <f>TEXT(SalesData[[#This Row],[Order Date]],"mmm")</f>
        <v>Dec</v>
      </c>
      <c r="L3231">
        <f>MONTH(SalesData[[#This Row],[Order Date]])</f>
        <v>12</v>
      </c>
      <c r="M3231">
        <f>SalesData[[#This Row],[Sales]]/SalesData[[#This Row],[Quantity]]</f>
        <v>55.5</v>
      </c>
      <c r="N3231" t="str">
        <f>IF(SalesData[[#This Row],[Profit]]&gt;0,"Profit","Loss")</f>
        <v>Profit</v>
      </c>
    </row>
    <row r="3232" spans="1:14" x14ac:dyDescent="0.3">
      <c r="A3232" t="s">
        <v>1857</v>
      </c>
      <c r="B3232" s="3">
        <v>42350</v>
      </c>
      <c r="C3232" t="s">
        <v>13</v>
      </c>
      <c r="D3232" t="s">
        <v>21</v>
      </c>
      <c r="E3232" t="s">
        <v>554</v>
      </c>
      <c r="F3232" s="1">
        <v>360.38</v>
      </c>
      <c r="G3232">
        <v>2</v>
      </c>
      <c r="H3232" s="1">
        <v>93.698800000000006</v>
      </c>
      <c r="I3232" s="4">
        <f>SalesData[[#This Row],[Profit]]/SalesData[[#This Row],[Sales]]</f>
        <v>0.26</v>
      </c>
      <c r="J3232">
        <f>YEAR(SalesData[[#This Row],[Order Date]])</f>
        <v>2015</v>
      </c>
      <c r="K3232" t="str">
        <f>TEXT(SalesData[[#This Row],[Order Date]],"mmm")</f>
        <v>Dec</v>
      </c>
      <c r="L3232">
        <f>MONTH(SalesData[[#This Row],[Order Date]])</f>
        <v>12</v>
      </c>
      <c r="M3232">
        <f>SalesData[[#This Row],[Sales]]/SalesData[[#This Row],[Quantity]]</f>
        <v>180.19</v>
      </c>
      <c r="N3232" t="str">
        <f>IF(SalesData[[#This Row],[Profit]]&gt;0,"Profit","Loss")</f>
        <v>Profit</v>
      </c>
    </row>
    <row r="3233" spans="1:14" x14ac:dyDescent="0.3">
      <c r="A3233" t="s">
        <v>1859</v>
      </c>
      <c r="B3233" s="3">
        <v>42350</v>
      </c>
      <c r="C3233" t="s">
        <v>13</v>
      </c>
      <c r="D3233" t="s">
        <v>21</v>
      </c>
      <c r="E3233" t="s">
        <v>1860</v>
      </c>
      <c r="F3233" s="1">
        <v>32.4</v>
      </c>
      <c r="G3233">
        <v>5</v>
      </c>
      <c r="H3233" s="1">
        <v>15.875999999999999</v>
      </c>
      <c r="I3233" s="4">
        <f>SalesData[[#This Row],[Profit]]/SalesData[[#This Row],[Sales]]</f>
        <v>0.49</v>
      </c>
      <c r="J3233">
        <f>YEAR(SalesData[[#This Row],[Order Date]])</f>
        <v>2015</v>
      </c>
      <c r="K3233" t="str">
        <f>TEXT(SalesData[[#This Row],[Order Date]],"mmm")</f>
        <v>Dec</v>
      </c>
      <c r="L3233">
        <f>MONTH(SalesData[[#This Row],[Order Date]])</f>
        <v>12</v>
      </c>
      <c r="M3233">
        <f>SalesData[[#This Row],[Sales]]/SalesData[[#This Row],[Quantity]]</f>
        <v>6.4799999999999995</v>
      </c>
      <c r="N3233" t="str">
        <f>IF(SalesData[[#This Row],[Profit]]&gt;0,"Profit","Loss")</f>
        <v>Profit</v>
      </c>
    </row>
    <row r="3234" spans="1:14" x14ac:dyDescent="0.3">
      <c r="A3234" t="s">
        <v>1859</v>
      </c>
      <c r="B3234" s="3">
        <v>42350</v>
      </c>
      <c r="C3234" t="s">
        <v>13</v>
      </c>
      <c r="D3234" t="s">
        <v>21</v>
      </c>
      <c r="E3234" t="s">
        <v>61</v>
      </c>
      <c r="F3234" s="1">
        <v>97.88</v>
      </c>
      <c r="G3234">
        <v>2</v>
      </c>
      <c r="H3234" s="1">
        <v>48.94</v>
      </c>
      <c r="I3234" s="4">
        <f>SalesData[[#This Row],[Profit]]/SalesData[[#This Row],[Sales]]</f>
        <v>0.5</v>
      </c>
      <c r="J3234">
        <f>YEAR(SalesData[[#This Row],[Order Date]])</f>
        <v>2015</v>
      </c>
      <c r="K3234" t="str">
        <f>TEXT(SalesData[[#This Row],[Order Date]],"mmm")</f>
        <v>Dec</v>
      </c>
      <c r="L3234">
        <f>MONTH(SalesData[[#This Row],[Order Date]])</f>
        <v>12</v>
      </c>
      <c r="M3234">
        <f>SalesData[[#This Row],[Sales]]/SalesData[[#This Row],[Quantity]]</f>
        <v>48.94</v>
      </c>
      <c r="N3234" t="str">
        <f>IF(SalesData[[#This Row],[Profit]]&gt;0,"Profit","Loss")</f>
        <v>Profit</v>
      </c>
    </row>
    <row r="3235" spans="1:14" x14ac:dyDescent="0.3">
      <c r="A3235" t="s">
        <v>1861</v>
      </c>
      <c r="B3235" s="3">
        <v>42350</v>
      </c>
      <c r="C3235" t="s">
        <v>13</v>
      </c>
      <c r="D3235" t="s">
        <v>10</v>
      </c>
      <c r="E3235" t="s">
        <v>322</v>
      </c>
      <c r="F3235" s="1">
        <v>299.94</v>
      </c>
      <c r="G3235">
        <v>6</v>
      </c>
      <c r="H3235" s="1">
        <v>128.9742</v>
      </c>
      <c r="I3235" s="4">
        <f>SalesData[[#This Row],[Profit]]/SalesData[[#This Row],[Sales]]</f>
        <v>0.43</v>
      </c>
      <c r="J3235">
        <f>YEAR(SalesData[[#This Row],[Order Date]])</f>
        <v>2015</v>
      </c>
      <c r="K3235" t="str">
        <f>TEXT(SalesData[[#This Row],[Order Date]],"mmm")</f>
        <v>Dec</v>
      </c>
      <c r="L3235">
        <f>MONTH(SalesData[[#This Row],[Order Date]])</f>
        <v>12</v>
      </c>
      <c r="M3235">
        <f>SalesData[[#This Row],[Sales]]/SalesData[[#This Row],[Quantity]]</f>
        <v>49.99</v>
      </c>
      <c r="N3235" t="str">
        <f>IF(SalesData[[#This Row],[Profit]]&gt;0,"Profit","Loss")</f>
        <v>Profit</v>
      </c>
    </row>
    <row r="3236" spans="1:14" x14ac:dyDescent="0.3">
      <c r="A3236" t="s">
        <v>1861</v>
      </c>
      <c r="B3236" s="3">
        <v>42350</v>
      </c>
      <c r="C3236" t="s">
        <v>13</v>
      </c>
      <c r="D3236" t="s">
        <v>21</v>
      </c>
      <c r="E3236" t="s">
        <v>749</v>
      </c>
      <c r="F3236" s="1">
        <v>25.76</v>
      </c>
      <c r="G3236">
        <v>7</v>
      </c>
      <c r="H3236" s="1">
        <v>0.51519999999999999</v>
      </c>
      <c r="I3236" s="4">
        <f>SalesData[[#This Row],[Profit]]/SalesData[[#This Row],[Sales]]</f>
        <v>1.9999999999999997E-2</v>
      </c>
      <c r="J3236">
        <f>YEAR(SalesData[[#This Row],[Order Date]])</f>
        <v>2015</v>
      </c>
      <c r="K3236" t="str">
        <f>TEXT(SalesData[[#This Row],[Order Date]],"mmm")</f>
        <v>Dec</v>
      </c>
      <c r="L3236">
        <f>MONTH(SalesData[[#This Row],[Order Date]])</f>
        <v>12</v>
      </c>
      <c r="M3236">
        <f>SalesData[[#This Row],[Sales]]/SalesData[[#This Row],[Quantity]]</f>
        <v>3.68</v>
      </c>
      <c r="N3236" t="str">
        <f>IF(SalesData[[#This Row],[Profit]]&gt;0,"Profit","Loss")</f>
        <v>Profit</v>
      </c>
    </row>
    <row r="3237" spans="1:14" x14ac:dyDescent="0.3">
      <c r="A3237" t="s">
        <v>8</v>
      </c>
      <c r="B3237" s="3">
        <v>41641</v>
      </c>
      <c r="C3237" t="s">
        <v>9</v>
      </c>
      <c r="D3237" t="s">
        <v>10</v>
      </c>
      <c r="E3237" t="s">
        <v>11</v>
      </c>
      <c r="F3237" s="1">
        <v>468.9</v>
      </c>
      <c r="G3237">
        <v>6</v>
      </c>
      <c r="H3237" s="1">
        <v>206.316</v>
      </c>
      <c r="I3237" s="4">
        <f>SalesData[[#This Row],[Profit]]/SalesData[[#This Row],[Sales]]</f>
        <v>0.44</v>
      </c>
      <c r="J3237">
        <f>YEAR(SalesData[[#This Row],[Order Date]])</f>
        <v>2014</v>
      </c>
      <c r="K3237" t="str">
        <f>TEXT(SalesData[[#This Row],[Order Date]],"mmm")</f>
        <v>Jan</v>
      </c>
      <c r="L3237">
        <f>MONTH(SalesData[[#This Row],[Order Date]])</f>
        <v>1</v>
      </c>
      <c r="M3237">
        <f>SalesData[[#This Row],[Sales]]/SalesData[[#This Row],[Quantity]]</f>
        <v>78.149999999999991</v>
      </c>
      <c r="N3237" t="str">
        <f>IF(SalesData[[#This Row],[Profit]]&gt;0,"Profit","Loss")</f>
        <v>Profit</v>
      </c>
    </row>
    <row r="3238" spans="1:14" x14ac:dyDescent="0.3">
      <c r="A3238" t="s">
        <v>12</v>
      </c>
      <c r="B3238" s="3">
        <v>41642</v>
      </c>
      <c r="C3238" t="s">
        <v>13</v>
      </c>
      <c r="D3238" t="s">
        <v>14</v>
      </c>
      <c r="E3238" t="s">
        <v>15</v>
      </c>
      <c r="F3238" s="1">
        <v>457.56799999999998</v>
      </c>
      <c r="G3238">
        <v>2</v>
      </c>
      <c r="H3238" s="1">
        <v>51.476399999999998</v>
      </c>
      <c r="I3238" s="4">
        <f>SalesData[[#This Row],[Profit]]/SalesData[[#This Row],[Sales]]</f>
        <v>0.1125</v>
      </c>
      <c r="J3238">
        <f>YEAR(SalesData[[#This Row],[Order Date]])</f>
        <v>2014</v>
      </c>
      <c r="K3238" t="str">
        <f>TEXT(SalesData[[#This Row],[Order Date]],"mmm")</f>
        <v>Jan</v>
      </c>
      <c r="L3238">
        <f>MONTH(SalesData[[#This Row],[Order Date]])</f>
        <v>1</v>
      </c>
      <c r="M3238">
        <f>SalesData[[#This Row],[Sales]]/SalesData[[#This Row],[Quantity]]</f>
        <v>228.78399999999999</v>
      </c>
      <c r="N3238" t="str">
        <f>IF(SalesData[[#This Row],[Profit]]&gt;0,"Profit","Loss")</f>
        <v>Profit</v>
      </c>
    </row>
    <row r="3239" spans="1:14" x14ac:dyDescent="0.3">
      <c r="A3239" t="s">
        <v>16</v>
      </c>
      <c r="B3239" s="3">
        <v>41642</v>
      </c>
      <c r="C3239" t="s">
        <v>17</v>
      </c>
      <c r="D3239" t="s">
        <v>10</v>
      </c>
      <c r="E3239" t="s">
        <v>18</v>
      </c>
      <c r="F3239" s="1">
        <v>5.94</v>
      </c>
      <c r="G3239">
        <v>3</v>
      </c>
      <c r="H3239" s="1">
        <v>1.6037999999999999</v>
      </c>
      <c r="I3239" s="4">
        <f>SalesData[[#This Row],[Profit]]/SalesData[[#This Row],[Sales]]</f>
        <v>0.26999999999999996</v>
      </c>
      <c r="J3239">
        <f>YEAR(SalesData[[#This Row],[Order Date]])</f>
        <v>2014</v>
      </c>
      <c r="K3239" t="str">
        <f>TEXT(SalesData[[#This Row],[Order Date]],"mmm")</f>
        <v>Jan</v>
      </c>
      <c r="L3239">
        <f>MONTH(SalesData[[#This Row],[Order Date]])</f>
        <v>1</v>
      </c>
      <c r="M3239">
        <f>SalesData[[#This Row],[Sales]]/SalesData[[#This Row],[Quantity]]</f>
        <v>1.9800000000000002</v>
      </c>
      <c r="N3239" t="str">
        <f>IF(SalesData[[#This Row],[Profit]]&gt;0,"Profit","Loss")</f>
        <v>Profit</v>
      </c>
    </row>
    <row r="3240" spans="1:14" x14ac:dyDescent="0.3">
      <c r="A3240" t="s">
        <v>19</v>
      </c>
      <c r="B3240" s="3">
        <v>41642</v>
      </c>
      <c r="C3240" t="s">
        <v>9</v>
      </c>
      <c r="D3240" t="s">
        <v>14</v>
      </c>
      <c r="E3240" t="s">
        <v>20</v>
      </c>
      <c r="F3240" s="1">
        <v>634.11599999999999</v>
      </c>
      <c r="G3240">
        <v>6</v>
      </c>
      <c r="H3240" s="1">
        <v>-172.1172</v>
      </c>
      <c r="I3240" s="4">
        <f>SalesData[[#This Row],[Profit]]/SalesData[[#This Row],[Sales]]</f>
        <v>-0.27142857142857141</v>
      </c>
      <c r="J3240">
        <f>YEAR(SalesData[[#This Row],[Order Date]])</f>
        <v>2014</v>
      </c>
      <c r="K3240" t="str">
        <f>TEXT(SalesData[[#This Row],[Order Date]],"mmm")</f>
        <v>Jan</v>
      </c>
      <c r="L3240">
        <f>MONTH(SalesData[[#This Row],[Order Date]])</f>
        <v>1</v>
      </c>
      <c r="M3240">
        <f>SalesData[[#This Row],[Sales]]/SalesData[[#This Row],[Quantity]]</f>
        <v>105.68599999999999</v>
      </c>
      <c r="N3240" t="str">
        <f>IF(SalesData[[#This Row],[Profit]]&gt;0,"Profit","Loss")</f>
        <v>Loss</v>
      </c>
    </row>
    <row r="3241" spans="1:14" x14ac:dyDescent="0.3">
      <c r="A3241" t="s">
        <v>19</v>
      </c>
      <c r="B3241" s="3">
        <v>41642</v>
      </c>
      <c r="C3241" t="s">
        <v>9</v>
      </c>
      <c r="D3241" t="s">
        <v>21</v>
      </c>
      <c r="E3241" t="s">
        <v>22</v>
      </c>
      <c r="F3241" s="1">
        <v>17.472000000000001</v>
      </c>
      <c r="G3241">
        <v>3</v>
      </c>
      <c r="H3241" s="1">
        <v>5.6783999999999999</v>
      </c>
      <c r="I3241" s="4">
        <f>SalesData[[#This Row],[Profit]]/SalesData[[#This Row],[Sales]]</f>
        <v>0.32499999999999996</v>
      </c>
      <c r="J3241">
        <f>YEAR(SalesData[[#This Row],[Order Date]])</f>
        <v>2014</v>
      </c>
      <c r="K3241" t="str">
        <f>TEXT(SalesData[[#This Row],[Order Date]],"mmm")</f>
        <v>Jan</v>
      </c>
      <c r="L3241">
        <f>MONTH(SalesData[[#This Row],[Order Date]])</f>
        <v>1</v>
      </c>
      <c r="M3241">
        <f>SalesData[[#This Row],[Sales]]/SalesData[[#This Row],[Quantity]]</f>
        <v>5.8240000000000007</v>
      </c>
      <c r="N3241" t="str">
        <f>IF(SalesData[[#This Row],[Profit]]&gt;0,"Profit","Loss")</f>
        <v>Profit</v>
      </c>
    </row>
    <row r="3242" spans="1:14" x14ac:dyDescent="0.3">
      <c r="A3242" t="s">
        <v>23</v>
      </c>
      <c r="B3242" s="3">
        <v>41642</v>
      </c>
      <c r="C3242" t="s">
        <v>9</v>
      </c>
      <c r="D3242" t="s">
        <v>21</v>
      </c>
      <c r="E3242" t="s">
        <v>24</v>
      </c>
      <c r="F3242" s="1">
        <v>18.84</v>
      </c>
      <c r="G3242">
        <v>5</v>
      </c>
      <c r="H3242" s="1">
        <v>-3.5325000000000002</v>
      </c>
      <c r="I3242" s="4">
        <f>SalesData[[#This Row],[Profit]]/SalesData[[#This Row],[Sales]]</f>
        <v>-0.1875</v>
      </c>
      <c r="J3242">
        <f>YEAR(SalesData[[#This Row],[Order Date]])</f>
        <v>2014</v>
      </c>
      <c r="K3242" t="str">
        <f>TEXT(SalesData[[#This Row],[Order Date]],"mmm")</f>
        <v>Jan</v>
      </c>
      <c r="L3242">
        <f>MONTH(SalesData[[#This Row],[Order Date]])</f>
        <v>1</v>
      </c>
      <c r="M3242">
        <f>SalesData[[#This Row],[Sales]]/SalesData[[#This Row],[Quantity]]</f>
        <v>3.7679999999999998</v>
      </c>
      <c r="N3242" t="str">
        <f>IF(SalesData[[#This Row],[Profit]]&gt;0,"Profit","Loss")</f>
        <v>Loss</v>
      </c>
    </row>
    <row r="3243" spans="1:14" x14ac:dyDescent="0.3">
      <c r="A3243" t="s">
        <v>23</v>
      </c>
      <c r="B3243" s="3">
        <v>41642</v>
      </c>
      <c r="C3243" t="s">
        <v>9</v>
      </c>
      <c r="D3243" t="s">
        <v>14</v>
      </c>
      <c r="E3243" t="s">
        <v>25</v>
      </c>
      <c r="F3243" s="1">
        <v>362.25</v>
      </c>
      <c r="G3243">
        <v>6</v>
      </c>
      <c r="H3243" s="1">
        <v>0</v>
      </c>
      <c r="I3243" s="4">
        <f>SalesData[[#This Row],[Profit]]/SalesData[[#This Row],[Sales]]</f>
        <v>0</v>
      </c>
      <c r="J3243">
        <f>YEAR(SalesData[[#This Row],[Order Date]])</f>
        <v>2014</v>
      </c>
      <c r="K3243" t="str">
        <f>TEXT(SalesData[[#This Row],[Order Date]],"mmm")</f>
        <v>Jan</v>
      </c>
      <c r="L3243">
        <f>MONTH(SalesData[[#This Row],[Order Date]])</f>
        <v>1</v>
      </c>
      <c r="M3243">
        <f>SalesData[[#This Row],[Sales]]/SalesData[[#This Row],[Quantity]]</f>
        <v>60.375</v>
      </c>
      <c r="N3243" t="str">
        <f>IF(SalesData[[#This Row],[Profit]]&gt;0,"Profit","Loss")</f>
        <v>Loss</v>
      </c>
    </row>
    <row r="3244" spans="1:14" x14ac:dyDescent="0.3">
      <c r="A3244" t="s">
        <v>23</v>
      </c>
      <c r="B3244" s="3">
        <v>41642</v>
      </c>
      <c r="C3244" t="s">
        <v>9</v>
      </c>
      <c r="D3244" t="s">
        <v>14</v>
      </c>
      <c r="E3244" t="s">
        <v>26</v>
      </c>
      <c r="F3244" s="1">
        <v>63.552</v>
      </c>
      <c r="G3244">
        <v>6</v>
      </c>
      <c r="H3244" s="1">
        <v>-34.953600000000002</v>
      </c>
      <c r="I3244" s="4">
        <f>SalesData[[#This Row],[Profit]]/SalesData[[#This Row],[Sales]]</f>
        <v>-0.55000000000000004</v>
      </c>
      <c r="J3244">
        <f>YEAR(SalesData[[#This Row],[Order Date]])</f>
        <v>2014</v>
      </c>
      <c r="K3244" t="str">
        <f>TEXT(SalesData[[#This Row],[Order Date]],"mmm")</f>
        <v>Jan</v>
      </c>
      <c r="L3244">
        <f>MONTH(SalesData[[#This Row],[Order Date]])</f>
        <v>1</v>
      </c>
      <c r="M3244">
        <f>SalesData[[#This Row],[Sales]]/SalesData[[#This Row],[Quantity]]</f>
        <v>10.592000000000001</v>
      </c>
      <c r="N3244" t="str">
        <f>IF(SalesData[[#This Row],[Profit]]&gt;0,"Profit","Loss")</f>
        <v>Loss</v>
      </c>
    </row>
    <row r="3245" spans="1:14" x14ac:dyDescent="0.3">
      <c r="A3245" t="s">
        <v>23</v>
      </c>
      <c r="B3245" s="3">
        <v>41642</v>
      </c>
      <c r="C3245" t="s">
        <v>9</v>
      </c>
      <c r="D3245" t="s">
        <v>21</v>
      </c>
      <c r="E3245" t="s">
        <v>27</v>
      </c>
      <c r="F3245" s="1">
        <v>129.55199999999999</v>
      </c>
      <c r="G3245">
        <v>3</v>
      </c>
      <c r="H3245" s="1">
        <v>-22.671600000000002</v>
      </c>
      <c r="I3245" s="4">
        <f>SalesData[[#This Row],[Profit]]/SalesData[[#This Row],[Sales]]</f>
        <v>-0.17500000000000002</v>
      </c>
      <c r="J3245">
        <f>YEAR(SalesData[[#This Row],[Order Date]])</f>
        <v>2014</v>
      </c>
      <c r="K3245" t="str">
        <f>TEXT(SalesData[[#This Row],[Order Date]],"mmm")</f>
        <v>Jan</v>
      </c>
      <c r="L3245">
        <f>MONTH(SalesData[[#This Row],[Order Date]])</f>
        <v>1</v>
      </c>
      <c r="M3245">
        <f>SalesData[[#This Row],[Sales]]/SalesData[[#This Row],[Quantity]]</f>
        <v>43.183999999999997</v>
      </c>
      <c r="N3245" t="str">
        <f>IF(SalesData[[#This Row],[Profit]]&gt;0,"Profit","Loss")</f>
        <v>Loss</v>
      </c>
    </row>
    <row r="3246" spans="1:14" x14ac:dyDescent="0.3">
      <c r="A3246" t="s">
        <v>28</v>
      </c>
      <c r="B3246" s="3">
        <v>41642</v>
      </c>
      <c r="C3246" t="s">
        <v>9</v>
      </c>
      <c r="D3246" t="s">
        <v>21</v>
      </c>
      <c r="E3246" t="s">
        <v>29</v>
      </c>
      <c r="F3246" s="1">
        <v>137.352</v>
      </c>
      <c r="G3246">
        <v>3</v>
      </c>
      <c r="H3246" s="1">
        <v>8.5845000000000002</v>
      </c>
      <c r="I3246" s="4">
        <f>SalesData[[#This Row],[Profit]]/SalesData[[#This Row],[Sales]]</f>
        <v>6.25E-2</v>
      </c>
      <c r="J3246">
        <f>YEAR(SalesData[[#This Row],[Order Date]])</f>
        <v>2014</v>
      </c>
      <c r="K3246" t="str">
        <f>TEXT(SalesData[[#This Row],[Order Date]],"mmm")</f>
        <v>Jan</v>
      </c>
      <c r="L3246">
        <f>MONTH(SalesData[[#This Row],[Order Date]])</f>
        <v>1</v>
      </c>
      <c r="M3246">
        <f>SalesData[[#This Row],[Sales]]/SalesData[[#This Row],[Quantity]]</f>
        <v>45.783999999999999</v>
      </c>
      <c r="N3246" t="str">
        <f>IF(SalesData[[#This Row],[Profit]]&gt;0,"Profit","Loss")</f>
        <v>Profit</v>
      </c>
    </row>
    <row r="3247" spans="1:14" x14ac:dyDescent="0.3">
      <c r="A3247" t="s">
        <v>28</v>
      </c>
      <c r="B3247" s="3">
        <v>41642</v>
      </c>
      <c r="C3247" t="s">
        <v>9</v>
      </c>
      <c r="D3247" t="s">
        <v>14</v>
      </c>
      <c r="E3247" t="s">
        <v>30</v>
      </c>
      <c r="F3247" s="1">
        <v>376.50900000000001</v>
      </c>
      <c r="G3247">
        <v>3</v>
      </c>
      <c r="H3247" s="1">
        <v>-43.029600000000002</v>
      </c>
      <c r="I3247" s="4">
        <f>SalesData[[#This Row],[Profit]]/SalesData[[#This Row],[Sales]]</f>
        <v>-0.11428571428571428</v>
      </c>
      <c r="J3247">
        <f>YEAR(SalesData[[#This Row],[Order Date]])</f>
        <v>2014</v>
      </c>
      <c r="K3247" t="str">
        <f>TEXT(SalesData[[#This Row],[Order Date]],"mmm")</f>
        <v>Jan</v>
      </c>
      <c r="L3247">
        <f>MONTH(SalesData[[#This Row],[Order Date]])</f>
        <v>1</v>
      </c>
      <c r="M3247">
        <f>SalesData[[#This Row],[Sales]]/SalesData[[#This Row],[Quantity]]</f>
        <v>125.503</v>
      </c>
      <c r="N3247" t="str">
        <f>IF(SalesData[[#This Row],[Profit]]&gt;0,"Profit","Loss")</f>
        <v>Loss</v>
      </c>
    </row>
    <row r="3248" spans="1:14" x14ac:dyDescent="0.3">
      <c r="A3248" t="s">
        <v>31</v>
      </c>
      <c r="B3248" s="3">
        <v>41643</v>
      </c>
      <c r="C3248" t="s">
        <v>13</v>
      </c>
      <c r="D3248" t="s">
        <v>21</v>
      </c>
      <c r="E3248" t="s">
        <v>32</v>
      </c>
      <c r="F3248" s="1">
        <v>29.6</v>
      </c>
      <c r="G3248">
        <v>2</v>
      </c>
      <c r="H3248" s="1">
        <v>14.8</v>
      </c>
      <c r="I3248" s="4">
        <f>SalesData[[#This Row],[Profit]]/SalesData[[#This Row],[Sales]]</f>
        <v>0.5</v>
      </c>
      <c r="J3248">
        <f>YEAR(SalesData[[#This Row],[Order Date]])</f>
        <v>2014</v>
      </c>
      <c r="K3248" t="str">
        <f>TEXT(SalesData[[#This Row],[Order Date]],"mmm")</f>
        <v>Jan</v>
      </c>
      <c r="L3248">
        <f>MONTH(SalesData[[#This Row],[Order Date]])</f>
        <v>1</v>
      </c>
      <c r="M3248">
        <f>SalesData[[#This Row],[Sales]]/SalesData[[#This Row],[Quantity]]</f>
        <v>14.8</v>
      </c>
      <c r="N3248" t="str">
        <f>IF(SalesData[[#This Row],[Profit]]&gt;0,"Profit","Loss")</f>
        <v>Profit</v>
      </c>
    </row>
    <row r="3249" spans="1:14" x14ac:dyDescent="0.3">
      <c r="A3249" t="s">
        <v>31</v>
      </c>
      <c r="B3249" s="3">
        <v>41643</v>
      </c>
      <c r="C3249" t="s">
        <v>13</v>
      </c>
      <c r="D3249" t="s">
        <v>21</v>
      </c>
      <c r="E3249" t="s">
        <v>33</v>
      </c>
      <c r="F3249" s="1">
        <v>17.088000000000001</v>
      </c>
      <c r="G3249">
        <v>4</v>
      </c>
      <c r="H3249" s="1">
        <v>5.5536000000000003</v>
      </c>
      <c r="I3249" s="4">
        <f>SalesData[[#This Row],[Profit]]/SalesData[[#This Row],[Sales]]</f>
        <v>0.32500000000000001</v>
      </c>
      <c r="J3249">
        <f>YEAR(SalesData[[#This Row],[Order Date]])</f>
        <v>2014</v>
      </c>
      <c r="K3249" t="str">
        <f>TEXT(SalesData[[#This Row],[Order Date]],"mmm")</f>
        <v>Jan</v>
      </c>
      <c r="L3249">
        <f>MONTH(SalesData[[#This Row],[Order Date]])</f>
        <v>1</v>
      </c>
      <c r="M3249">
        <f>SalesData[[#This Row],[Sales]]/SalesData[[#This Row],[Quantity]]</f>
        <v>4.2720000000000002</v>
      </c>
      <c r="N3249" t="str">
        <f>IF(SalesData[[#This Row],[Profit]]&gt;0,"Profit","Loss")</f>
        <v>Profit</v>
      </c>
    </row>
    <row r="3250" spans="1:14" x14ac:dyDescent="0.3">
      <c r="A3250" t="s">
        <v>34</v>
      </c>
      <c r="B3250" s="3">
        <v>41643</v>
      </c>
      <c r="C3250" t="s">
        <v>17</v>
      </c>
      <c r="D3250" t="s">
        <v>21</v>
      </c>
      <c r="E3250" t="s">
        <v>35</v>
      </c>
      <c r="F3250" s="1">
        <v>66.959999999999994</v>
      </c>
      <c r="G3250">
        <v>4</v>
      </c>
      <c r="H3250" s="1">
        <v>2.6783999999999999</v>
      </c>
      <c r="I3250" s="4">
        <f>SalesData[[#This Row],[Profit]]/SalesData[[#This Row],[Sales]]</f>
        <v>0.04</v>
      </c>
      <c r="J3250">
        <f>YEAR(SalesData[[#This Row],[Order Date]])</f>
        <v>2014</v>
      </c>
      <c r="K3250" t="str">
        <f>TEXT(SalesData[[#This Row],[Order Date]],"mmm")</f>
        <v>Jan</v>
      </c>
      <c r="L3250">
        <f>MONTH(SalesData[[#This Row],[Order Date]])</f>
        <v>1</v>
      </c>
      <c r="M3250">
        <f>SalesData[[#This Row],[Sales]]/SalesData[[#This Row],[Quantity]]</f>
        <v>16.739999999999998</v>
      </c>
      <c r="N3250" t="str">
        <f>IF(SalesData[[#This Row],[Profit]]&gt;0,"Profit","Loss")</f>
        <v>Profit</v>
      </c>
    </row>
    <row r="3251" spans="1:14" x14ac:dyDescent="0.3">
      <c r="A3251" t="s">
        <v>34</v>
      </c>
      <c r="B3251" s="3">
        <v>41643</v>
      </c>
      <c r="C3251" t="s">
        <v>17</v>
      </c>
      <c r="D3251" t="s">
        <v>21</v>
      </c>
      <c r="E3251" t="s">
        <v>36</v>
      </c>
      <c r="F3251" s="1">
        <v>6.24</v>
      </c>
      <c r="G3251">
        <v>2</v>
      </c>
      <c r="H3251" s="1">
        <v>3.0575999999999999</v>
      </c>
      <c r="I3251" s="4">
        <f>SalesData[[#This Row],[Profit]]/SalesData[[#This Row],[Sales]]</f>
        <v>0.48999999999999994</v>
      </c>
      <c r="J3251">
        <f>YEAR(SalesData[[#This Row],[Order Date]])</f>
        <v>2014</v>
      </c>
      <c r="K3251" t="str">
        <f>TEXT(SalesData[[#This Row],[Order Date]],"mmm")</f>
        <v>Jan</v>
      </c>
      <c r="L3251">
        <f>MONTH(SalesData[[#This Row],[Order Date]])</f>
        <v>1</v>
      </c>
      <c r="M3251">
        <f>SalesData[[#This Row],[Sales]]/SalesData[[#This Row],[Quantity]]</f>
        <v>3.12</v>
      </c>
      <c r="N3251" t="str">
        <f>IF(SalesData[[#This Row],[Profit]]&gt;0,"Profit","Loss")</f>
        <v>Profit</v>
      </c>
    </row>
    <row r="3252" spans="1:14" x14ac:dyDescent="0.3">
      <c r="A3252" t="s">
        <v>37</v>
      </c>
      <c r="B3252" s="3">
        <v>41645</v>
      </c>
      <c r="C3252" t="s">
        <v>9</v>
      </c>
      <c r="D3252" t="s">
        <v>14</v>
      </c>
      <c r="E3252" t="s">
        <v>15</v>
      </c>
      <c r="F3252" s="1">
        <v>2001.86</v>
      </c>
      <c r="G3252">
        <v>7</v>
      </c>
      <c r="H3252" s="1">
        <v>580.5394</v>
      </c>
      <c r="I3252" s="4">
        <f>SalesData[[#This Row],[Profit]]/SalesData[[#This Row],[Sales]]</f>
        <v>0.29000000000000004</v>
      </c>
      <c r="J3252">
        <f>YEAR(SalesData[[#This Row],[Order Date]])</f>
        <v>2014</v>
      </c>
      <c r="K3252" t="str">
        <f>TEXT(SalesData[[#This Row],[Order Date]],"mmm")</f>
        <v>Jan</v>
      </c>
      <c r="L3252">
        <f>MONTH(SalesData[[#This Row],[Order Date]])</f>
        <v>1</v>
      </c>
      <c r="M3252">
        <f>SalesData[[#This Row],[Sales]]/SalesData[[#This Row],[Quantity]]</f>
        <v>285.97999999999996</v>
      </c>
      <c r="N3252" t="str">
        <f>IF(SalesData[[#This Row],[Profit]]&gt;0,"Profit","Loss")</f>
        <v>Profit</v>
      </c>
    </row>
    <row r="3253" spans="1:14" x14ac:dyDescent="0.3">
      <c r="A3253" t="s">
        <v>37</v>
      </c>
      <c r="B3253" s="3">
        <v>41645</v>
      </c>
      <c r="C3253" t="s">
        <v>9</v>
      </c>
      <c r="D3253" t="s">
        <v>21</v>
      </c>
      <c r="E3253" t="s">
        <v>38</v>
      </c>
      <c r="F3253" s="1">
        <v>166.72</v>
      </c>
      <c r="G3253">
        <v>2</v>
      </c>
      <c r="H3253" s="1">
        <v>41.68</v>
      </c>
      <c r="I3253" s="4">
        <f>SalesData[[#This Row],[Profit]]/SalesData[[#This Row],[Sales]]</f>
        <v>0.25</v>
      </c>
      <c r="J3253">
        <f>YEAR(SalesData[[#This Row],[Order Date]])</f>
        <v>2014</v>
      </c>
      <c r="K3253" t="str">
        <f>TEXT(SalesData[[#This Row],[Order Date]],"mmm")</f>
        <v>Jan</v>
      </c>
      <c r="L3253">
        <f>MONTH(SalesData[[#This Row],[Order Date]])</f>
        <v>1</v>
      </c>
      <c r="M3253">
        <f>SalesData[[#This Row],[Sales]]/SalesData[[#This Row],[Quantity]]</f>
        <v>83.36</v>
      </c>
      <c r="N3253" t="str">
        <f>IF(SalesData[[#This Row],[Profit]]&gt;0,"Profit","Loss")</f>
        <v>Profit</v>
      </c>
    </row>
    <row r="3254" spans="1:14" x14ac:dyDescent="0.3">
      <c r="A3254" t="s">
        <v>37</v>
      </c>
      <c r="B3254" s="3">
        <v>41645</v>
      </c>
      <c r="C3254" t="s">
        <v>9</v>
      </c>
      <c r="D3254" t="s">
        <v>21</v>
      </c>
      <c r="E3254" t="s">
        <v>39</v>
      </c>
      <c r="F3254" s="1">
        <v>47.88</v>
      </c>
      <c r="G3254">
        <v>6</v>
      </c>
      <c r="H3254" s="1">
        <v>23.94</v>
      </c>
      <c r="I3254" s="4">
        <f>SalesData[[#This Row],[Profit]]/SalesData[[#This Row],[Sales]]</f>
        <v>0.5</v>
      </c>
      <c r="J3254">
        <f>YEAR(SalesData[[#This Row],[Order Date]])</f>
        <v>2014</v>
      </c>
      <c r="K3254" t="str">
        <f>TEXT(SalesData[[#This Row],[Order Date]],"mmm")</f>
        <v>Jan</v>
      </c>
      <c r="L3254">
        <f>MONTH(SalesData[[#This Row],[Order Date]])</f>
        <v>1</v>
      </c>
      <c r="M3254">
        <f>SalesData[[#This Row],[Sales]]/SalesData[[#This Row],[Quantity]]</f>
        <v>7.98</v>
      </c>
      <c r="N3254" t="str">
        <f>IF(SalesData[[#This Row],[Profit]]&gt;0,"Profit","Loss")</f>
        <v>Profit</v>
      </c>
    </row>
    <row r="3255" spans="1:14" x14ac:dyDescent="0.3">
      <c r="A3255" t="s">
        <v>37</v>
      </c>
      <c r="B3255" s="3">
        <v>41645</v>
      </c>
      <c r="C3255" t="s">
        <v>9</v>
      </c>
      <c r="D3255" t="s">
        <v>21</v>
      </c>
      <c r="E3255" t="s">
        <v>40</v>
      </c>
      <c r="F3255" s="1">
        <v>1503.25</v>
      </c>
      <c r="G3255">
        <v>5</v>
      </c>
      <c r="H3255" s="1">
        <v>496.07249999999999</v>
      </c>
      <c r="I3255" s="4">
        <f>SalesData[[#This Row],[Profit]]/SalesData[[#This Row],[Sales]]</f>
        <v>0.33</v>
      </c>
      <c r="J3255">
        <f>YEAR(SalesData[[#This Row],[Order Date]])</f>
        <v>2014</v>
      </c>
      <c r="K3255" t="str">
        <f>TEXT(SalesData[[#This Row],[Order Date]],"mmm")</f>
        <v>Jan</v>
      </c>
      <c r="L3255">
        <f>MONTH(SalesData[[#This Row],[Order Date]])</f>
        <v>1</v>
      </c>
      <c r="M3255">
        <f>SalesData[[#This Row],[Sales]]/SalesData[[#This Row],[Quantity]]</f>
        <v>300.64999999999998</v>
      </c>
      <c r="N3255" t="str">
        <f>IF(SalesData[[#This Row],[Profit]]&gt;0,"Profit","Loss")</f>
        <v>Profit</v>
      </c>
    </row>
    <row r="3256" spans="1:14" x14ac:dyDescent="0.3">
      <c r="A3256" t="s">
        <v>37</v>
      </c>
      <c r="B3256" s="3">
        <v>41645</v>
      </c>
      <c r="C3256" t="s">
        <v>9</v>
      </c>
      <c r="D3256" t="s">
        <v>21</v>
      </c>
      <c r="E3256" t="s">
        <v>41</v>
      </c>
      <c r="F3256" s="1">
        <v>25.92</v>
      </c>
      <c r="G3256">
        <v>4</v>
      </c>
      <c r="H3256" s="1">
        <v>12.441599999999999</v>
      </c>
      <c r="I3256" s="4">
        <f>SalesData[[#This Row],[Profit]]/SalesData[[#This Row],[Sales]]</f>
        <v>0.47999999999999993</v>
      </c>
      <c r="J3256">
        <f>YEAR(SalesData[[#This Row],[Order Date]])</f>
        <v>2014</v>
      </c>
      <c r="K3256" t="str">
        <f>TEXT(SalesData[[#This Row],[Order Date]],"mmm")</f>
        <v>Jan</v>
      </c>
      <c r="L3256">
        <f>MONTH(SalesData[[#This Row],[Order Date]])</f>
        <v>1</v>
      </c>
      <c r="M3256">
        <f>SalesData[[#This Row],[Sales]]/SalesData[[#This Row],[Quantity]]</f>
        <v>6.48</v>
      </c>
      <c r="N3256" t="str">
        <f>IF(SalesData[[#This Row],[Profit]]&gt;0,"Profit","Loss")</f>
        <v>Profit</v>
      </c>
    </row>
    <row r="3257" spans="1:14" x14ac:dyDescent="0.3">
      <c r="A3257" t="s">
        <v>42</v>
      </c>
      <c r="B3257" s="3">
        <v>41645</v>
      </c>
      <c r="C3257" t="s">
        <v>17</v>
      </c>
      <c r="D3257" t="s">
        <v>21</v>
      </c>
      <c r="E3257" t="s">
        <v>43</v>
      </c>
      <c r="F3257" s="1">
        <v>45.48</v>
      </c>
      <c r="G3257">
        <v>3</v>
      </c>
      <c r="H3257" s="1">
        <v>20.9208</v>
      </c>
      <c r="I3257" s="4">
        <f>SalesData[[#This Row],[Profit]]/SalesData[[#This Row],[Sales]]</f>
        <v>0.46</v>
      </c>
      <c r="J3257">
        <f>YEAR(SalesData[[#This Row],[Order Date]])</f>
        <v>2014</v>
      </c>
      <c r="K3257" t="str">
        <f>TEXT(SalesData[[#This Row],[Order Date]],"mmm")</f>
        <v>Jan</v>
      </c>
      <c r="L3257">
        <f>MONTH(SalesData[[#This Row],[Order Date]])</f>
        <v>1</v>
      </c>
      <c r="M3257">
        <f>SalesData[[#This Row],[Sales]]/SalesData[[#This Row],[Quantity]]</f>
        <v>15.159999999999998</v>
      </c>
      <c r="N3257" t="str">
        <f>IF(SalesData[[#This Row],[Profit]]&gt;0,"Profit","Loss")</f>
        <v>Profit</v>
      </c>
    </row>
    <row r="3258" spans="1:14" x14ac:dyDescent="0.3">
      <c r="A3258" t="s">
        <v>42</v>
      </c>
      <c r="B3258" s="3">
        <v>41645</v>
      </c>
      <c r="C3258" t="s">
        <v>17</v>
      </c>
      <c r="D3258" t="s">
        <v>21</v>
      </c>
      <c r="E3258" t="s">
        <v>44</v>
      </c>
      <c r="F3258" s="1">
        <v>289.2</v>
      </c>
      <c r="G3258">
        <v>6</v>
      </c>
      <c r="H3258" s="1">
        <v>83.867999999999995</v>
      </c>
      <c r="I3258" s="4">
        <f>SalesData[[#This Row],[Profit]]/SalesData[[#This Row],[Sales]]</f>
        <v>0.28999999999999998</v>
      </c>
      <c r="J3258">
        <f>YEAR(SalesData[[#This Row],[Order Date]])</f>
        <v>2014</v>
      </c>
      <c r="K3258" t="str">
        <f>TEXT(SalesData[[#This Row],[Order Date]],"mmm")</f>
        <v>Jan</v>
      </c>
      <c r="L3258">
        <f>MONTH(SalesData[[#This Row],[Order Date]])</f>
        <v>1</v>
      </c>
      <c r="M3258">
        <f>SalesData[[#This Row],[Sales]]/SalesData[[#This Row],[Quantity]]</f>
        <v>48.199999999999996</v>
      </c>
      <c r="N3258" t="str">
        <f>IF(SalesData[[#This Row],[Profit]]&gt;0,"Profit","Loss")</f>
        <v>Profit</v>
      </c>
    </row>
    <row r="3259" spans="1:14" x14ac:dyDescent="0.3">
      <c r="A3259" t="s">
        <v>45</v>
      </c>
      <c r="B3259" s="3">
        <v>41645</v>
      </c>
      <c r="C3259" t="s">
        <v>46</v>
      </c>
      <c r="D3259" t="s">
        <v>14</v>
      </c>
      <c r="E3259" t="s">
        <v>47</v>
      </c>
      <c r="F3259" s="1">
        <v>22.2</v>
      </c>
      <c r="G3259">
        <v>6</v>
      </c>
      <c r="H3259" s="1">
        <v>9.1020000000000003</v>
      </c>
      <c r="I3259" s="4">
        <f>SalesData[[#This Row],[Profit]]/SalesData[[#This Row],[Sales]]</f>
        <v>0.41000000000000003</v>
      </c>
      <c r="J3259">
        <f>YEAR(SalesData[[#This Row],[Order Date]])</f>
        <v>2014</v>
      </c>
      <c r="K3259" t="str">
        <f>TEXT(SalesData[[#This Row],[Order Date]],"mmm")</f>
        <v>Jan</v>
      </c>
      <c r="L3259">
        <f>MONTH(SalesData[[#This Row],[Order Date]])</f>
        <v>1</v>
      </c>
      <c r="M3259">
        <f>SalesData[[#This Row],[Sales]]/SalesData[[#This Row],[Quantity]]</f>
        <v>3.6999999999999997</v>
      </c>
      <c r="N3259" t="str">
        <f>IF(SalesData[[#This Row],[Profit]]&gt;0,"Profit","Loss")</f>
        <v>Profit</v>
      </c>
    </row>
    <row r="3260" spans="1:14" x14ac:dyDescent="0.3">
      <c r="A3260" t="s">
        <v>45</v>
      </c>
      <c r="B3260" s="3">
        <v>41645</v>
      </c>
      <c r="C3260" t="s">
        <v>46</v>
      </c>
      <c r="D3260" t="s">
        <v>10</v>
      </c>
      <c r="E3260" t="s">
        <v>48</v>
      </c>
      <c r="F3260" s="1">
        <v>881.93</v>
      </c>
      <c r="G3260">
        <v>7</v>
      </c>
      <c r="H3260" s="1">
        <v>229.30179999999999</v>
      </c>
      <c r="I3260" s="4">
        <f>SalesData[[#This Row],[Profit]]/SalesData[[#This Row],[Sales]]</f>
        <v>0.26</v>
      </c>
      <c r="J3260">
        <f>YEAR(SalesData[[#This Row],[Order Date]])</f>
        <v>2014</v>
      </c>
      <c r="K3260" t="str">
        <f>TEXT(SalesData[[#This Row],[Order Date]],"mmm")</f>
        <v>Jan</v>
      </c>
      <c r="L3260">
        <f>MONTH(SalesData[[#This Row],[Order Date]])</f>
        <v>1</v>
      </c>
      <c r="M3260">
        <f>SalesData[[#This Row],[Sales]]/SalesData[[#This Row],[Quantity]]</f>
        <v>125.99</v>
      </c>
      <c r="N3260" t="str">
        <f>IF(SalesData[[#This Row],[Profit]]&gt;0,"Profit","Loss")</f>
        <v>Profit</v>
      </c>
    </row>
    <row r="3261" spans="1:14" x14ac:dyDescent="0.3">
      <c r="A3261" t="s">
        <v>49</v>
      </c>
      <c r="B3261" s="3">
        <v>41645</v>
      </c>
      <c r="C3261" t="s">
        <v>9</v>
      </c>
      <c r="D3261" t="s">
        <v>21</v>
      </c>
      <c r="E3261" t="s">
        <v>50</v>
      </c>
      <c r="F3261" s="1">
        <v>138.56</v>
      </c>
      <c r="G3261">
        <v>4</v>
      </c>
      <c r="H3261" s="1">
        <v>66.508799999999994</v>
      </c>
      <c r="I3261" s="4">
        <f>SalesData[[#This Row],[Profit]]/SalesData[[#This Row],[Sales]]</f>
        <v>0.47999999999999993</v>
      </c>
      <c r="J3261">
        <f>YEAR(SalesData[[#This Row],[Order Date]])</f>
        <v>2014</v>
      </c>
      <c r="K3261" t="str">
        <f>TEXT(SalesData[[#This Row],[Order Date]],"mmm")</f>
        <v>Jan</v>
      </c>
      <c r="L3261">
        <f>MONTH(SalesData[[#This Row],[Order Date]])</f>
        <v>1</v>
      </c>
      <c r="M3261">
        <f>SalesData[[#This Row],[Sales]]/SalesData[[#This Row],[Quantity]]</f>
        <v>34.64</v>
      </c>
      <c r="N3261" t="str">
        <f>IF(SalesData[[#This Row],[Profit]]&gt;0,"Profit","Loss")</f>
        <v>Profit</v>
      </c>
    </row>
    <row r="3262" spans="1:14" x14ac:dyDescent="0.3">
      <c r="A3262" t="s">
        <v>49</v>
      </c>
      <c r="B3262" s="3">
        <v>41645</v>
      </c>
      <c r="C3262" t="s">
        <v>9</v>
      </c>
      <c r="D3262" t="s">
        <v>21</v>
      </c>
      <c r="E3262" t="s">
        <v>51</v>
      </c>
      <c r="F3262" s="1">
        <v>65.52</v>
      </c>
      <c r="G3262">
        <v>5</v>
      </c>
      <c r="H3262" s="1">
        <v>12.375999999999999</v>
      </c>
      <c r="I3262" s="4">
        <f>SalesData[[#This Row],[Profit]]/SalesData[[#This Row],[Sales]]</f>
        <v>0.18888888888888888</v>
      </c>
      <c r="J3262">
        <f>YEAR(SalesData[[#This Row],[Order Date]])</f>
        <v>2014</v>
      </c>
      <c r="K3262" t="str">
        <f>TEXT(SalesData[[#This Row],[Order Date]],"mmm")</f>
        <v>Jan</v>
      </c>
      <c r="L3262">
        <f>MONTH(SalesData[[#This Row],[Order Date]])</f>
        <v>1</v>
      </c>
      <c r="M3262">
        <f>SalesData[[#This Row],[Sales]]/SalesData[[#This Row],[Quantity]]</f>
        <v>13.103999999999999</v>
      </c>
      <c r="N3262" t="str">
        <f>IF(SalesData[[#This Row],[Profit]]&gt;0,"Profit","Loss")</f>
        <v>Profit</v>
      </c>
    </row>
    <row r="3263" spans="1:14" x14ac:dyDescent="0.3">
      <c r="A3263" t="s">
        <v>52</v>
      </c>
      <c r="B3263" s="3">
        <v>41646</v>
      </c>
      <c r="C3263" t="s">
        <v>13</v>
      </c>
      <c r="D3263" t="s">
        <v>21</v>
      </c>
      <c r="E3263" t="s">
        <v>53</v>
      </c>
      <c r="F3263" s="1">
        <v>19.920000000000002</v>
      </c>
      <c r="G3263">
        <v>5</v>
      </c>
      <c r="H3263" s="1">
        <v>6.9720000000000004</v>
      </c>
      <c r="I3263" s="4">
        <f>SalesData[[#This Row],[Profit]]/SalesData[[#This Row],[Sales]]</f>
        <v>0.35</v>
      </c>
      <c r="J3263">
        <f>YEAR(SalesData[[#This Row],[Order Date]])</f>
        <v>2014</v>
      </c>
      <c r="K3263" t="str">
        <f>TEXT(SalesData[[#This Row],[Order Date]],"mmm")</f>
        <v>Jan</v>
      </c>
      <c r="L3263">
        <f>MONTH(SalesData[[#This Row],[Order Date]])</f>
        <v>1</v>
      </c>
      <c r="M3263">
        <f>SalesData[[#This Row],[Sales]]/SalesData[[#This Row],[Quantity]]</f>
        <v>3.9840000000000004</v>
      </c>
      <c r="N3263" t="str">
        <f>IF(SalesData[[#This Row],[Profit]]&gt;0,"Profit","Loss")</f>
        <v>Profit</v>
      </c>
    </row>
    <row r="3264" spans="1:14" x14ac:dyDescent="0.3">
      <c r="A3264" t="s">
        <v>54</v>
      </c>
      <c r="B3264" s="3">
        <v>41646</v>
      </c>
      <c r="C3264" t="s">
        <v>46</v>
      </c>
      <c r="D3264" t="s">
        <v>10</v>
      </c>
      <c r="E3264" t="s">
        <v>55</v>
      </c>
      <c r="F3264" s="1">
        <v>575.91999999999996</v>
      </c>
      <c r="G3264">
        <v>2</v>
      </c>
      <c r="H3264" s="1">
        <v>71.989999999999995</v>
      </c>
      <c r="I3264" s="4">
        <f>SalesData[[#This Row],[Profit]]/SalesData[[#This Row],[Sales]]</f>
        <v>0.125</v>
      </c>
      <c r="J3264">
        <f>YEAR(SalesData[[#This Row],[Order Date]])</f>
        <v>2014</v>
      </c>
      <c r="K3264" t="str">
        <f>TEXT(SalesData[[#This Row],[Order Date]],"mmm")</f>
        <v>Jan</v>
      </c>
      <c r="L3264">
        <f>MONTH(SalesData[[#This Row],[Order Date]])</f>
        <v>1</v>
      </c>
      <c r="M3264">
        <f>SalesData[[#This Row],[Sales]]/SalesData[[#This Row],[Quantity]]</f>
        <v>287.95999999999998</v>
      </c>
      <c r="N3264" t="str">
        <f>IF(SalesData[[#This Row],[Profit]]&gt;0,"Profit","Loss")</f>
        <v>Profit</v>
      </c>
    </row>
    <row r="3265" spans="1:14" x14ac:dyDescent="0.3">
      <c r="A3265" t="s">
        <v>54</v>
      </c>
      <c r="B3265" s="3">
        <v>41646</v>
      </c>
      <c r="C3265" t="s">
        <v>46</v>
      </c>
      <c r="D3265" t="s">
        <v>21</v>
      </c>
      <c r="E3265" t="s">
        <v>56</v>
      </c>
      <c r="F3265" s="1">
        <v>5.1840000000000002</v>
      </c>
      <c r="G3265">
        <v>6</v>
      </c>
      <c r="H3265" s="1">
        <v>-3.6288</v>
      </c>
      <c r="I3265" s="4">
        <f>SalesData[[#This Row],[Profit]]/SalesData[[#This Row],[Sales]]</f>
        <v>-0.7</v>
      </c>
      <c r="J3265">
        <f>YEAR(SalesData[[#This Row],[Order Date]])</f>
        <v>2014</v>
      </c>
      <c r="K3265" t="str">
        <f>TEXT(SalesData[[#This Row],[Order Date]],"mmm")</f>
        <v>Jan</v>
      </c>
      <c r="L3265">
        <f>MONTH(SalesData[[#This Row],[Order Date]])</f>
        <v>1</v>
      </c>
      <c r="M3265">
        <f>SalesData[[#This Row],[Sales]]/SalesData[[#This Row],[Quantity]]</f>
        <v>0.86399999999999999</v>
      </c>
      <c r="N3265" t="str">
        <f>IF(SalesData[[#This Row],[Profit]]&gt;0,"Profit","Loss")</f>
        <v>Loss</v>
      </c>
    </row>
    <row r="3266" spans="1:14" x14ac:dyDescent="0.3">
      <c r="A3266" t="s">
        <v>57</v>
      </c>
      <c r="B3266" s="3">
        <v>41647</v>
      </c>
      <c r="C3266" t="s">
        <v>46</v>
      </c>
      <c r="D3266" t="s">
        <v>21</v>
      </c>
      <c r="E3266" t="s">
        <v>58</v>
      </c>
      <c r="F3266" s="1">
        <v>17.544</v>
      </c>
      <c r="G3266">
        <v>3</v>
      </c>
      <c r="H3266" s="1">
        <v>5.9211</v>
      </c>
      <c r="I3266" s="4">
        <f>SalesData[[#This Row],[Profit]]/SalesData[[#This Row],[Sales]]</f>
        <v>0.33749999999999997</v>
      </c>
      <c r="J3266">
        <f>YEAR(SalesData[[#This Row],[Order Date]])</f>
        <v>2014</v>
      </c>
      <c r="K3266" t="str">
        <f>TEXT(SalesData[[#This Row],[Order Date]],"mmm")</f>
        <v>Jan</v>
      </c>
      <c r="L3266">
        <f>MONTH(SalesData[[#This Row],[Order Date]])</f>
        <v>1</v>
      </c>
      <c r="M3266">
        <f>SalesData[[#This Row],[Sales]]/SalesData[[#This Row],[Quantity]]</f>
        <v>5.8479999999999999</v>
      </c>
      <c r="N3266" t="str">
        <f>IF(SalesData[[#This Row],[Profit]]&gt;0,"Profit","Loss")</f>
        <v>Profit</v>
      </c>
    </row>
    <row r="3267" spans="1:14" x14ac:dyDescent="0.3">
      <c r="A3267" t="s">
        <v>57</v>
      </c>
      <c r="B3267" s="3">
        <v>41647</v>
      </c>
      <c r="C3267" t="s">
        <v>46</v>
      </c>
      <c r="D3267" t="s">
        <v>14</v>
      </c>
      <c r="E3267" t="s">
        <v>59</v>
      </c>
      <c r="F3267" s="1">
        <v>44.128</v>
      </c>
      <c r="G3267">
        <v>4</v>
      </c>
      <c r="H3267" s="1">
        <v>12.135199999999999</v>
      </c>
      <c r="I3267" s="4">
        <f>SalesData[[#This Row],[Profit]]/SalesData[[#This Row],[Sales]]</f>
        <v>0.27499999999999997</v>
      </c>
      <c r="J3267">
        <f>YEAR(SalesData[[#This Row],[Order Date]])</f>
        <v>2014</v>
      </c>
      <c r="K3267" t="str">
        <f>TEXT(SalesData[[#This Row],[Order Date]],"mmm")</f>
        <v>Jan</v>
      </c>
      <c r="L3267">
        <f>MONTH(SalesData[[#This Row],[Order Date]])</f>
        <v>1</v>
      </c>
      <c r="M3267">
        <f>SalesData[[#This Row],[Sales]]/SalesData[[#This Row],[Quantity]]</f>
        <v>11.032</v>
      </c>
      <c r="N3267" t="str">
        <f>IF(SalesData[[#This Row],[Profit]]&gt;0,"Profit","Loss")</f>
        <v>Profit</v>
      </c>
    </row>
    <row r="3268" spans="1:14" x14ac:dyDescent="0.3">
      <c r="A3268" t="s">
        <v>57</v>
      </c>
      <c r="B3268" s="3">
        <v>41647</v>
      </c>
      <c r="C3268" t="s">
        <v>46</v>
      </c>
      <c r="D3268" t="s">
        <v>21</v>
      </c>
      <c r="E3268" t="s">
        <v>60</v>
      </c>
      <c r="F3268" s="1">
        <v>62.92</v>
      </c>
      <c r="G3268">
        <v>1</v>
      </c>
      <c r="H3268" s="1">
        <v>10.224500000000001</v>
      </c>
      <c r="I3268" s="4">
        <f>SalesData[[#This Row],[Profit]]/SalesData[[#This Row],[Sales]]</f>
        <v>0.16250000000000001</v>
      </c>
      <c r="J3268">
        <f>YEAR(SalesData[[#This Row],[Order Date]])</f>
        <v>2014</v>
      </c>
      <c r="K3268" t="str">
        <f>TEXT(SalesData[[#This Row],[Order Date]],"mmm")</f>
        <v>Jan</v>
      </c>
      <c r="L3268">
        <f>MONTH(SalesData[[#This Row],[Order Date]])</f>
        <v>1</v>
      </c>
      <c r="M3268">
        <f>SalesData[[#This Row],[Sales]]/SalesData[[#This Row],[Quantity]]</f>
        <v>62.92</v>
      </c>
      <c r="N3268" t="str">
        <f>IF(SalesData[[#This Row],[Profit]]&gt;0,"Profit","Loss")</f>
        <v>Profit</v>
      </c>
    </row>
    <row r="3269" spans="1:14" x14ac:dyDescent="0.3">
      <c r="A3269" t="s">
        <v>57</v>
      </c>
      <c r="B3269" s="3">
        <v>41647</v>
      </c>
      <c r="C3269" t="s">
        <v>46</v>
      </c>
      <c r="D3269" t="s">
        <v>21</v>
      </c>
      <c r="E3269" t="s">
        <v>61</v>
      </c>
      <c r="F3269" s="1">
        <v>78.304000000000002</v>
      </c>
      <c r="G3269">
        <v>2</v>
      </c>
      <c r="H3269" s="1">
        <v>29.364000000000001</v>
      </c>
      <c r="I3269" s="4">
        <f>SalesData[[#This Row],[Profit]]/SalesData[[#This Row],[Sales]]</f>
        <v>0.375</v>
      </c>
      <c r="J3269">
        <f>YEAR(SalesData[[#This Row],[Order Date]])</f>
        <v>2014</v>
      </c>
      <c r="K3269" t="str">
        <f>TEXT(SalesData[[#This Row],[Order Date]],"mmm")</f>
        <v>Jan</v>
      </c>
      <c r="L3269">
        <f>MONTH(SalesData[[#This Row],[Order Date]])</f>
        <v>1</v>
      </c>
      <c r="M3269">
        <f>SalesData[[#This Row],[Sales]]/SalesData[[#This Row],[Quantity]]</f>
        <v>39.152000000000001</v>
      </c>
      <c r="N3269" t="str">
        <f>IF(SalesData[[#This Row],[Profit]]&gt;0,"Profit","Loss")</f>
        <v>Profit</v>
      </c>
    </row>
    <row r="3270" spans="1:14" x14ac:dyDescent="0.3">
      <c r="A3270" t="s">
        <v>62</v>
      </c>
      <c r="B3270" s="3">
        <v>41647</v>
      </c>
      <c r="C3270" t="s">
        <v>13</v>
      </c>
      <c r="D3270" t="s">
        <v>21</v>
      </c>
      <c r="E3270" t="s">
        <v>63</v>
      </c>
      <c r="F3270" s="1">
        <v>19.751999999999999</v>
      </c>
      <c r="G3270">
        <v>3</v>
      </c>
      <c r="H3270" s="1">
        <v>6.9131999999999998</v>
      </c>
      <c r="I3270" s="4">
        <f>SalesData[[#This Row],[Profit]]/SalesData[[#This Row],[Sales]]</f>
        <v>0.35000000000000003</v>
      </c>
      <c r="J3270">
        <f>YEAR(SalesData[[#This Row],[Order Date]])</f>
        <v>2014</v>
      </c>
      <c r="K3270" t="str">
        <f>TEXT(SalesData[[#This Row],[Order Date]],"mmm")</f>
        <v>Jan</v>
      </c>
      <c r="L3270">
        <f>MONTH(SalesData[[#This Row],[Order Date]])</f>
        <v>1</v>
      </c>
      <c r="M3270">
        <f>SalesData[[#This Row],[Sales]]/SalesData[[#This Row],[Quantity]]</f>
        <v>6.5839999999999996</v>
      </c>
      <c r="N3270" t="str">
        <f>IF(SalesData[[#This Row],[Profit]]&gt;0,"Profit","Loss")</f>
        <v>Profit</v>
      </c>
    </row>
    <row r="3271" spans="1:14" x14ac:dyDescent="0.3">
      <c r="A3271" t="s">
        <v>64</v>
      </c>
      <c r="B3271" s="3">
        <v>41647</v>
      </c>
      <c r="C3271" t="s">
        <v>17</v>
      </c>
      <c r="D3271" t="s">
        <v>21</v>
      </c>
      <c r="E3271" t="s">
        <v>65</v>
      </c>
      <c r="F3271" s="1">
        <v>5.68</v>
      </c>
      <c r="G3271">
        <v>2</v>
      </c>
      <c r="H3271" s="1">
        <v>1.917</v>
      </c>
      <c r="I3271" s="4">
        <f>SalesData[[#This Row],[Profit]]/SalesData[[#This Row],[Sales]]</f>
        <v>0.33750000000000002</v>
      </c>
      <c r="J3271">
        <f>YEAR(SalesData[[#This Row],[Order Date]])</f>
        <v>2014</v>
      </c>
      <c r="K3271" t="str">
        <f>TEXT(SalesData[[#This Row],[Order Date]],"mmm")</f>
        <v>Jan</v>
      </c>
      <c r="L3271">
        <f>MONTH(SalesData[[#This Row],[Order Date]])</f>
        <v>1</v>
      </c>
      <c r="M3271">
        <f>SalesData[[#This Row],[Sales]]/SalesData[[#This Row],[Quantity]]</f>
        <v>2.84</v>
      </c>
      <c r="N3271" t="str">
        <f>IF(SalesData[[#This Row],[Profit]]&gt;0,"Profit","Loss")</f>
        <v>Profit</v>
      </c>
    </row>
    <row r="3272" spans="1:14" x14ac:dyDescent="0.3">
      <c r="A3272" t="s">
        <v>66</v>
      </c>
      <c r="B3272" s="3">
        <v>41648</v>
      </c>
      <c r="C3272" t="s">
        <v>13</v>
      </c>
      <c r="D3272" t="s">
        <v>21</v>
      </c>
      <c r="E3272" t="s">
        <v>67</v>
      </c>
      <c r="F3272" s="1">
        <v>53.94</v>
      </c>
      <c r="G3272">
        <v>3</v>
      </c>
      <c r="H3272" s="1">
        <v>15.6426</v>
      </c>
      <c r="I3272" s="4">
        <f>SalesData[[#This Row],[Profit]]/SalesData[[#This Row],[Sales]]</f>
        <v>0.29000000000000004</v>
      </c>
      <c r="J3272">
        <f>YEAR(SalesData[[#This Row],[Order Date]])</f>
        <v>2014</v>
      </c>
      <c r="K3272" t="str">
        <f>TEXT(SalesData[[#This Row],[Order Date]],"mmm")</f>
        <v>Jan</v>
      </c>
      <c r="L3272">
        <f>MONTH(SalesData[[#This Row],[Order Date]])</f>
        <v>1</v>
      </c>
      <c r="M3272">
        <f>SalesData[[#This Row],[Sales]]/SalesData[[#This Row],[Quantity]]</f>
        <v>17.98</v>
      </c>
      <c r="N3272" t="str">
        <f>IF(SalesData[[#This Row],[Profit]]&gt;0,"Profit","Loss")</f>
        <v>Profit</v>
      </c>
    </row>
    <row r="3273" spans="1:14" x14ac:dyDescent="0.3">
      <c r="A3273" t="s">
        <v>68</v>
      </c>
      <c r="B3273" s="3">
        <v>41648</v>
      </c>
      <c r="C3273" t="s">
        <v>9</v>
      </c>
      <c r="D3273" t="s">
        <v>21</v>
      </c>
      <c r="E3273" t="s">
        <v>69</v>
      </c>
      <c r="F3273" s="1">
        <v>3.6480000000000001</v>
      </c>
      <c r="G3273">
        <v>3</v>
      </c>
      <c r="H3273" s="1">
        <v>-6.0191999999999997</v>
      </c>
      <c r="I3273" s="4">
        <f>SalesData[[#This Row],[Profit]]/SalesData[[#This Row],[Sales]]</f>
        <v>-1.65</v>
      </c>
      <c r="J3273">
        <f>YEAR(SalesData[[#This Row],[Order Date]])</f>
        <v>2014</v>
      </c>
      <c r="K3273" t="str">
        <f>TEXT(SalesData[[#This Row],[Order Date]],"mmm")</f>
        <v>Jan</v>
      </c>
      <c r="L3273">
        <f>MONTH(SalesData[[#This Row],[Order Date]])</f>
        <v>1</v>
      </c>
      <c r="M3273">
        <f>SalesData[[#This Row],[Sales]]/SalesData[[#This Row],[Quantity]]</f>
        <v>1.216</v>
      </c>
      <c r="N3273" t="str">
        <f>IF(SalesData[[#This Row],[Profit]]&gt;0,"Profit","Loss")</f>
        <v>Loss</v>
      </c>
    </row>
    <row r="3274" spans="1:14" x14ac:dyDescent="0.3">
      <c r="A3274" t="s">
        <v>68</v>
      </c>
      <c r="B3274" s="3">
        <v>41648</v>
      </c>
      <c r="C3274" t="s">
        <v>9</v>
      </c>
      <c r="D3274" t="s">
        <v>21</v>
      </c>
      <c r="E3274" t="s">
        <v>70</v>
      </c>
      <c r="F3274" s="1">
        <v>31.103999999999999</v>
      </c>
      <c r="G3274">
        <v>6</v>
      </c>
      <c r="H3274" s="1">
        <v>10.8864</v>
      </c>
      <c r="I3274" s="4">
        <f>SalesData[[#This Row],[Profit]]/SalesData[[#This Row],[Sales]]</f>
        <v>0.35000000000000003</v>
      </c>
      <c r="J3274">
        <f>YEAR(SalesData[[#This Row],[Order Date]])</f>
        <v>2014</v>
      </c>
      <c r="K3274" t="str">
        <f>TEXT(SalesData[[#This Row],[Order Date]],"mmm")</f>
        <v>Jan</v>
      </c>
      <c r="L3274">
        <f>MONTH(SalesData[[#This Row],[Order Date]])</f>
        <v>1</v>
      </c>
      <c r="M3274">
        <f>SalesData[[#This Row],[Sales]]/SalesData[[#This Row],[Quantity]]</f>
        <v>5.1840000000000002</v>
      </c>
      <c r="N3274" t="str">
        <f>IF(SalesData[[#This Row],[Profit]]&gt;0,"Profit","Loss")</f>
        <v>Profit</v>
      </c>
    </row>
    <row r="3275" spans="1:14" x14ac:dyDescent="0.3">
      <c r="A3275" t="s">
        <v>71</v>
      </c>
      <c r="B3275" s="3">
        <v>41648</v>
      </c>
      <c r="C3275" t="s">
        <v>17</v>
      </c>
      <c r="D3275" t="s">
        <v>21</v>
      </c>
      <c r="E3275" t="s">
        <v>72</v>
      </c>
      <c r="F3275" s="1">
        <v>23.744</v>
      </c>
      <c r="G3275">
        <v>2</v>
      </c>
      <c r="H3275" s="1">
        <v>8.3103999999999996</v>
      </c>
      <c r="I3275" s="4">
        <f>SalesData[[#This Row],[Profit]]/SalesData[[#This Row],[Sales]]</f>
        <v>0.35</v>
      </c>
      <c r="J3275">
        <f>YEAR(SalesData[[#This Row],[Order Date]])</f>
        <v>2014</v>
      </c>
      <c r="K3275" t="str">
        <f>TEXT(SalesData[[#This Row],[Order Date]],"mmm")</f>
        <v>Jan</v>
      </c>
      <c r="L3275">
        <f>MONTH(SalesData[[#This Row],[Order Date]])</f>
        <v>1</v>
      </c>
      <c r="M3275">
        <f>SalesData[[#This Row],[Sales]]/SalesData[[#This Row],[Quantity]]</f>
        <v>11.872</v>
      </c>
      <c r="N3275" t="str">
        <f>IF(SalesData[[#This Row],[Profit]]&gt;0,"Profit","Loss")</f>
        <v>Profit</v>
      </c>
    </row>
    <row r="3276" spans="1:14" x14ac:dyDescent="0.3">
      <c r="A3276" t="s">
        <v>71</v>
      </c>
      <c r="B3276" s="3">
        <v>41648</v>
      </c>
      <c r="C3276" t="s">
        <v>17</v>
      </c>
      <c r="D3276" t="s">
        <v>10</v>
      </c>
      <c r="E3276" t="s">
        <v>73</v>
      </c>
      <c r="F3276" s="1">
        <v>357</v>
      </c>
      <c r="G3276">
        <v>3</v>
      </c>
      <c r="H3276" s="1">
        <v>57.12</v>
      </c>
      <c r="I3276" s="4">
        <f>SalesData[[#This Row],[Profit]]/SalesData[[#This Row],[Sales]]</f>
        <v>0.16</v>
      </c>
      <c r="J3276">
        <f>YEAR(SalesData[[#This Row],[Order Date]])</f>
        <v>2014</v>
      </c>
      <c r="K3276" t="str">
        <f>TEXT(SalesData[[#This Row],[Order Date]],"mmm")</f>
        <v>Jan</v>
      </c>
      <c r="L3276">
        <f>MONTH(SalesData[[#This Row],[Order Date]])</f>
        <v>1</v>
      </c>
      <c r="M3276">
        <f>SalesData[[#This Row],[Sales]]/SalesData[[#This Row],[Quantity]]</f>
        <v>119</v>
      </c>
      <c r="N3276" t="str">
        <f>IF(SalesData[[#This Row],[Profit]]&gt;0,"Profit","Loss")</f>
        <v>Profit</v>
      </c>
    </row>
    <row r="3277" spans="1:14" x14ac:dyDescent="0.3">
      <c r="A3277" t="s">
        <v>74</v>
      </c>
      <c r="B3277" s="3">
        <v>41649</v>
      </c>
      <c r="C3277" t="s">
        <v>13</v>
      </c>
      <c r="D3277" t="s">
        <v>21</v>
      </c>
      <c r="E3277" t="s">
        <v>75</v>
      </c>
      <c r="F3277" s="1">
        <v>4.71</v>
      </c>
      <c r="G3277">
        <v>1</v>
      </c>
      <c r="H3277" s="1">
        <v>0</v>
      </c>
      <c r="I3277" s="4">
        <f>SalesData[[#This Row],[Profit]]/SalesData[[#This Row],[Sales]]</f>
        <v>0</v>
      </c>
      <c r="J3277">
        <f>YEAR(SalesData[[#This Row],[Order Date]])</f>
        <v>2014</v>
      </c>
      <c r="K3277" t="str">
        <f>TEXT(SalesData[[#This Row],[Order Date]],"mmm")</f>
        <v>Jan</v>
      </c>
      <c r="L3277">
        <f>MONTH(SalesData[[#This Row],[Order Date]])</f>
        <v>1</v>
      </c>
      <c r="M3277">
        <f>SalesData[[#This Row],[Sales]]/SalesData[[#This Row],[Quantity]]</f>
        <v>4.71</v>
      </c>
      <c r="N3277" t="str">
        <f>IF(SalesData[[#This Row],[Profit]]&gt;0,"Profit","Loss")</f>
        <v>Loss</v>
      </c>
    </row>
    <row r="3278" spans="1:14" x14ac:dyDescent="0.3">
      <c r="A3278" t="s">
        <v>76</v>
      </c>
      <c r="B3278" s="3">
        <v>41650</v>
      </c>
      <c r="C3278" t="s">
        <v>13</v>
      </c>
      <c r="D3278" t="s">
        <v>21</v>
      </c>
      <c r="E3278" t="s">
        <v>77</v>
      </c>
      <c r="F3278" s="1">
        <v>43.176000000000002</v>
      </c>
      <c r="G3278">
        <v>3</v>
      </c>
      <c r="H3278" s="1">
        <v>4.3175999999999997</v>
      </c>
      <c r="I3278" s="4">
        <f>SalesData[[#This Row],[Profit]]/SalesData[[#This Row],[Sales]]</f>
        <v>9.9999999999999992E-2</v>
      </c>
      <c r="J3278">
        <f>YEAR(SalesData[[#This Row],[Order Date]])</f>
        <v>2014</v>
      </c>
      <c r="K3278" t="str">
        <f>TEXT(SalesData[[#This Row],[Order Date]],"mmm")</f>
        <v>Jan</v>
      </c>
      <c r="L3278">
        <f>MONTH(SalesData[[#This Row],[Order Date]])</f>
        <v>1</v>
      </c>
      <c r="M3278">
        <f>SalesData[[#This Row],[Sales]]/SalesData[[#This Row],[Quantity]]</f>
        <v>14.392000000000001</v>
      </c>
      <c r="N3278" t="str">
        <f>IF(SalesData[[#This Row],[Profit]]&gt;0,"Profit","Loss")</f>
        <v>Profit</v>
      </c>
    </row>
    <row r="3279" spans="1:14" x14ac:dyDescent="0.3">
      <c r="A3279" t="s">
        <v>76</v>
      </c>
      <c r="B3279" s="3">
        <v>41650</v>
      </c>
      <c r="C3279" t="s">
        <v>13</v>
      </c>
      <c r="D3279" t="s">
        <v>10</v>
      </c>
      <c r="E3279" t="s">
        <v>78</v>
      </c>
      <c r="F3279" s="1">
        <v>1983.9680000000001</v>
      </c>
      <c r="G3279">
        <v>4</v>
      </c>
      <c r="H3279" s="1">
        <v>247.99600000000001</v>
      </c>
      <c r="I3279" s="4">
        <f>SalesData[[#This Row],[Profit]]/SalesData[[#This Row],[Sales]]</f>
        <v>0.125</v>
      </c>
      <c r="J3279">
        <f>YEAR(SalesData[[#This Row],[Order Date]])</f>
        <v>2014</v>
      </c>
      <c r="K3279" t="str">
        <f>TEXT(SalesData[[#This Row],[Order Date]],"mmm")</f>
        <v>Jan</v>
      </c>
      <c r="L3279">
        <f>MONTH(SalesData[[#This Row],[Order Date]])</f>
        <v>1</v>
      </c>
      <c r="M3279">
        <f>SalesData[[#This Row],[Sales]]/SalesData[[#This Row],[Quantity]]</f>
        <v>495.99200000000002</v>
      </c>
      <c r="N3279" t="str">
        <f>IF(SalesData[[#This Row],[Profit]]&gt;0,"Profit","Loss")</f>
        <v>Profit</v>
      </c>
    </row>
    <row r="3280" spans="1:14" x14ac:dyDescent="0.3">
      <c r="A3280" t="s">
        <v>79</v>
      </c>
      <c r="B3280" s="3">
        <v>41650</v>
      </c>
      <c r="C3280" t="s">
        <v>13</v>
      </c>
      <c r="D3280" t="s">
        <v>21</v>
      </c>
      <c r="E3280" t="s">
        <v>80</v>
      </c>
      <c r="F3280" s="1">
        <v>443.92</v>
      </c>
      <c r="G3280">
        <v>5</v>
      </c>
      <c r="H3280" s="1">
        <v>-94.332999999999998</v>
      </c>
      <c r="I3280" s="4">
        <f>SalesData[[#This Row],[Profit]]/SalesData[[#This Row],[Sales]]</f>
        <v>-0.21249999999999999</v>
      </c>
      <c r="J3280">
        <f>YEAR(SalesData[[#This Row],[Order Date]])</f>
        <v>2014</v>
      </c>
      <c r="K3280" t="str">
        <f>TEXT(SalesData[[#This Row],[Order Date]],"mmm")</f>
        <v>Jan</v>
      </c>
      <c r="L3280">
        <f>MONTH(SalesData[[#This Row],[Order Date]])</f>
        <v>1</v>
      </c>
      <c r="M3280">
        <f>SalesData[[#This Row],[Sales]]/SalesData[[#This Row],[Quantity]]</f>
        <v>88.784000000000006</v>
      </c>
      <c r="N3280" t="str">
        <f>IF(SalesData[[#This Row],[Profit]]&gt;0,"Profit","Loss")</f>
        <v>Loss</v>
      </c>
    </row>
    <row r="3281" spans="1:14" x14ac:dyDescent="0.3">
      <c r="A3281" t="s">
        <v>79</v>
      </c>
      <c r="B3281" s="3">
        <v>41650</v>
      </c>
      <c r="C3281" t="s">
        <v>13</v>
      </c>
      <c r="D3281" t="s">
        <v>10</v>
      </c>
      <c r="E3281" t="s">
        <v>81</v>
      </c>
      <c r="F3281" s="1">
        <v>155.976</v>
      </c>
      <c r="G3281">
        <v>3</v>
      </c>
      <c r="H3281" s="1">
        <v>54.5916</v>
      </c>
      <c r="I3281" s="4">
        <f>SalesData[[#This Row],[Profit]]/SalesData[[#This Row],[Sales]]</f>
        <v>0.35</v>
      </c>
      <c r="J3281">
        <f>YEAR(SalesData[[#This Row],[Order Date]])</f>
        <v>2014</v>
      </c>
      <c r="K3281" t="str">
        <f>TEXT(SalesData[[#This Row],[Order Date]],"mmm")</f>
        <v>Jan</v>
      </c>
      <c r="L3281">
        <f>MONTH(SalesData[[#This Row],[Order Date]])</f>
        <v>1</v>
      </c>
      <c r="M3281">
        <f>SalesData[[#This Row],[Sales]]/SalesData[[#This Row],[Quantity]]</f>
        <v>51.991999999999997</v>
      </c>
      <c r="N3281" t="str">
        <f>IF(SalesData[[#This Row],[Profit]]&gt;0,"Profit","Loss")</f>
        <v>Profit</v>
      </c>
    </row>
    <row r="3282" spans="1:14" x14ac:dyDescent="0.3">
      <c r="A3282" t="s">
        <v>82</v>
      </c>
      <c r="B3282" s="3">
        <v>41650</v>
      </c>
      <c r="C3282" t="s">
        <v>46</v>
      </c>
      <c r="D3282" t="s">
        <v>21</v>
      </c>
      <c r="E3282" t="s">
        <v>83</v>
      </c>
      <c r="F3282" s="1">
        <v>7.52</v>
      </c>
      <c r="G3282">
        <v>5</v>
      </c>
      <c r="H3282" s="1">
        <v>1.41</v>
      </c>
      <c r="I3282" s="4">
        <f>SalesData[[#This Row],[Profit]]/SalesData[[#This Row],[Sales]]</f>
        <v>0.1875</v>
      </c>
      <c r="J3282">
        <f>YEAR(SalesData[[#This Row],[Order Date]])</f>
        <v>2014</v>
      </c>
      <c r="K3282" t="str">
        <f>TEXT(SalesData[[#This Row],[Order Date]],"mmm")</f>
        <v>Jan</v>
      </c>
      <c r="L3282">
        <f>MONTH(SalesData[[#This Row],[Order Date]])</f>
        <v>1</v>
      </c>
      <c r="M3282">
        <f>SalesData[[#This Row],[Sales]]/SalesData[[#This Row],[Quantity]]</f>
        <v>1.504</v>
      </c>
      <c r="N3282" t="str">
        <f>IF(SalesData[[#This Row],[Profit]]&gt;0,"Profit","Loss")</f>
        <v>Profit</v>
      </c>
    </row>
    <row r="3283" spans="1:14" x14ac:dyDescent="0.3">
      <c r="A3283" t="s">
        <v>82</v>
      </c>
      <c r="B3283" s="3">
        <v>41650</v>
      </c>
      <c r="C3283" t="s">
        <v>46</v>
      </c>
      <c r="D3283" t="s">
        <v>21</v>
      </c>
      <c r="E3283" t="s">
        <v>84</v>
      </c>
      <c r="F3283" s="1">
        <v>10.272</v>
      </c>
      <c r="G3283">
        <v>3</v>
      </c>
      <c r="H3283" s="1">
        <v>0.89880000000000004</v>
      </c>
      <c r="I3283" s="4">
        <f>SalesData[[#This Row],[Profit]]/SalesData[[#This Row],[Sales]]</f>
        <v>8.7500000000000008E-2</v>
      </c>
      <c r="J3283">
        <f>YEAR(SalesData[[#This Row],[Order Date]])</f>
        <v>2014</v>
      </c>
      <c r="K3283" t="str">
        <f>TEXT(SalesData[[#This Row],[Order Date]],"mmm")</f>
        <v>Jan</v>
      </c>
      <c r="L3283">
        <f>MONTH(SalesData[[#This Row],[Order Date]])</f>
        <v>1</v>
      </c>
      <c r="M3283">
        <f>SalesData[[#This Row],[Sales]]/SalesData[[#This Row],[Quantity]]</f>
        <v>3.4239999999999999</v>
      </c>
      <c r="N3283" t="str">
        <f>IF(SalesData[[#This Row],[Profit]]&gt;0,"Profit","Loss")</f>
        <v>Profit</v>
      </c>
    </row>
    <row r="3284" spans="1:14" x14ac:dyDescent="0.3">
      <c r="A3284" t="s">
        <v>82</v>
      </c>
      <c r="B3284" s="3">
        <v>41650</v>
      </c>
      <c r="C3284" t="s">
        <v>46</v>
      </c>
      <c r="D3284" t="s">
        <v>21</v>
      </c>
      <c r="E3284" t="s">
        <v>85</v>
      </c>
      <c r="F3284" s="1">
        <v>47.808</v>
      </c>
      <c r="G3284">
        <v>12</v>
      </c>
      <c r="H3284" s="1">
        <v>15.537599999999999</v>
      </c>
      <c r="I3284" s="4">
        <f>SalesData[[#This Row],[Profit]]/SalesData[[#This Row],[Sales]]</f>
        <v>0.32500000000000001</v>
      </c>
      <c r="J3284">
        <f>YEAR(SalesData[[#This Row],[Order Date]])</f>
        <v>2014</v>
      </c>
      <c r="K3284" t="str">
        <f>TEXT(SalesData[[#This Row],[Order Date]],"mmm")</f>
        <v>Jan</v>
      </c>
      <c r="L3284">
        <f>MONTH(SalesData[[#This Row],[Order Date]])</f>
        <v>1</v>
      </c>
      <c r="M3284">
        <f>SalesData[[#This Row],[Sales]]/SalesData[[#This Row],[Quantity]]</f>
        <v>3.984</v>
      </c>
      <c r="N3284" t="str">
        <f>IF(SalesData[[#This Row],[Profit]]&gt;0,"Profit","Loss")</f>
        <v>Profit</v>
      </c>
    </row>
    <row r="3285" spans="1:14" x14ac:dyDescent="0.3">
      <c r="A3285" t="s">
        <v>82</v>
      </c>
      <c r="B3285" s="3">
        <v>41650</v>
      </c>
      <c r="C3285" t="s">
        <v>46</v>
      </c>
      <c r="D3285" t="s">
        <v>10</v>
      </c>
      <c r="E3285" t="s">
        <v>86</v>
      </c>
      <c r="F3285" s="1">
        <v>978.84</v>
      </c>
      <c r="G3285">
        <v>9</v>
      </c>
      <c r="H3285" s="1">
        <v>110.1195</v>
      </c>
      <c r="I3285" s="4">
        <f>SalesData[[#This Row],[Profit]]/SalesData[[#This Row],[Sales]]</f>
        <v>0.1125</v>
      </c>
      <c r="J3285">
        <f>YEAR(SalesData[[#This Row],[Order Date]])</f>
        <v>2014</v>
      </c>
      <c r="K3285" t="str">
        <f>TEXT(SalesData[[#This Row],[Order Date]],"mmm")</f>
        <v>Jan</v>
      </c>
      <c r="L3285">
        <f>MONTH(SalesData[[#This Row],[Order Date]])</f>
        <v>1</v>
      </c>
      <c r="M3285">
        <f>SalesData[[#This Row],[Sales]]/SalesData[[#This Row],[Quantity]]</f>
        <v>108.76</v>
      </c>
      <c r="N3285" t="str">
        <f>IF(SalesData[[#This Row],[Profit]]&gt;0,"Profit","Loss")</f>
        <v>Profit</v>
      </c>
    </row>
    <row r="3286" spans="1:14" x14ac:dyDescent="0.3">
      <c r="A3286" t="s">
        <v>87</v>
      </c>
      <c r="B3286" s="3">
        <v>41650</v>
      </c>
      <c r="C3286" t="s">
        <v>9</v>
      </c>
      <c r="D3286" t="s">
        <v>21</v>
      </c>
      <c r="E3286" t="s">
        <v>88</v>
      </c>
      <c r="F3286" s="1">
        <v>15.696</v>
      </c>
      <c r="G3286">
        <v>3</v>
      </c>
      <c r="H3286" s="1">
        <v>5.1012000000000004</v>
      </c>
      <c r="I3286" s="4">
        <f>SalesData[[#This Row],[Profit]]/SalesData[[#This Row],[Sales]]</f>
        <v>0.32500000000000001</v>
      </c>
      <c r="J3286">
        <f>YEAR(SalesData[[#This Row],[Order Date]])</f>
        <v>2014</v>
      </c>
      <c r="K3286" t="str">
        <f>TEXT(SalesData[[#This Row],[Order Date]],"mmm")</f>
        <v>Jan</v>
      </c>
      <c r="L3286">
        <f>MONTH(SalesData[[#This Row],[Order Date]])</f>
        <v>1</v>
      </c>
      <c r="M3286">
        <f>SalesData[[#This Row],[Sales]]/SalesData[[#This Row],[Quantity]]</f>
        <v>5.2320000000000002</v>
      </c>
      <c r="N3286" t="str">
        <f>IF(SalesData[[#This Row],[Profit]]&gt;0,"Profit","Loss")</f>
        <v>Profit</v>
      </c>
    </row>
    <row r="3287" spans="1:14" x14ac:dyDescent="0.3">
      <c r="A3287" t="s">
        <v>89</v>
      </c>
      <c r="B3287" s="3">
        <v>41650</v>
      </c>
      <c r="C3287" t="s">
        <v>46</v>
      </c>
      <c r="D3287" t="s">
        <v>21</v>
      </c>
      <c r="E3287" t="s">
        <v>90</v>
      </c>
      <c r="F3287" s="1">
        <v>69.52</v>
      </c>
      <c r="G3287">
        <v>2</v>
      </c>
      <c r="H3287" s="1">
        <v>19.465599999999998</v>
      </c>
      <c r="I3287" s="4">
        <f>SalesData[[#This Row],[Profit]]/SalesData[[#This Row],[Sales]]</f>
        <v>0.27999999999999997</v>
      </c>
      <c r="J3287">
        <f>YEAR(SalesData[[#This Row],[Order Date]])</f>
        <v>2014</v>
      </c>
      <c r="K3287" t="str">
        <f>TEXT(SalesData[[#This Row],[Order Date]],"mmm")</f>
        <v>Jan</v>
      </c>
      <c r="L3287">
        <f>MONTH(SalesData[[#This Row],[Order Date]])</f>
        <v>1</v>
      </c>
      <c r="M3287">
        <f>SalesData[[#This Row],[Sales]]/SalesData[[#This Row],[Quantity]]</f>
        <v>34.76</v>
      </c>
      <c r="N3287" t="str">
        <f>IF(SalesData[[#This Row],[Profit]]&gt;0,"Profit","Loss")</f>
        <v>Profit</v>
      </c>
    </row>
    <row r="3288" spans="1:14" x14ac:dyDescent="0.3">
      <c r="A3288" t="s">
        <v>89</v>
      </c>
      <c r="B3288" s="3">
        <v>41650</v>
      </c>
      <c r="C3288" t="s">
        <v>46</v>
      </c>
      <c r="D3288" t="s">
        <v>21</v>
      </c>
      <c r="E3288" t="s">
        <v>91</v>
      </c>
      <c r="F3288" s="1">
        <v>5.64</v>
      </c>
      <c r="G3288">
        <v>3</v>
      </c>
      <c r="H3288" s="1">
        <v>1.6355999999999999</v>
      </c>
      <c r="I3288" s="4">
        <f>SalesData[[#This Row],[Profit]]/SalesData[[#This Row],[Sales]]</f>
        <v>0.28999999999999998</v>
      </c>
      <c r="J3288">
        <f>YEAR(SalesData[[#This Row],[Order Date]])</f>
        <v>2014</v>
      </c>
      <c r="K3288" t="str">
        <f>TEXT(SalesData[[#This Row],[Order Date]],"mmm")</f>
        <v>Jan</v>
      </c>
      <c r="L3288">
        <f>MONTH(SalesData[[#This Row],[Order Date]])</f>
        <v>1</v>
      </c>
      <c r="M3288">
        <f>SalesData[[#This Row],[Sales]]/SalesData[[#This Row],[Quantity]]</f>
        <v>1.88</v>
      </c>
      <c r="N3288" t="str">
        <f>IF(SalesData[[#This Row],[Profit]]&gt;0,"Profit","Loss")</f>
        <v>Profit</v>
      </c>
    </row>
    <row r="3289" spans="1:14" x14ac:dyDescent="0.3">
      <c r="A3289" t="s">
        <v>92</v>
      </c>
      <c r="B3289" s="3">
        <v>41650</v>
      </c>
      <c r="C3289" t="s">
        <v>13</v>
      </c>
      <c r="D3289" t="s">
        <v>21</v>
      </c>
      <c r="E3289" t="s">
        <v>93</v>
      </c>
      <c r="F3289" s="1">
        <v>44.4</v>
      </c>
      <c r="G3289">
        <v>3</v>
      </c>
      <c r="H3289" s="1">
        <v>22.2</v>
      </c>
      <c r="I3289" s="4">
        <f>SalesData[[#This Row],[Profit]]/SalesData[[#This Row],[Sales]]</f>
        <v>0.5</v>
      </c>
      <c r="J3289">
        <f>YEAR(SalesData[[#This Row],[Order Date]])</f>
        <v>2014</v>
      </c>
      <c r="K3289" t="str">
        <f>TEXT(SalesData[[#This Row],[Order Date]],"mmm")</f>
        <v>Jan</v>
      </c>
      <c r="L3289">
        <f>MONTH(SalesData[[#This Row],[Order Date]])</f>
        <v>1</v>
      </c>
      <c r="M3289">
        <f>SalesData[[#This Row],[Sales]]/SalesData[[#This Row],[Quantity]]</f>
        <v>14.799999999999999</v>
      </c>
      <c r="N3289" t="str">
        <f>IF(SalesData[[#This Row],[Profit]]&gt;0,"Profit","Loss")</f>
        <v>Profit</v>
      </c>
    </row>
    <row r="3290" spans="1:14" x14ac:dyDescent="0.3">
      <c r="A3290" t="s">
        <v>92</v>
      </c>
      <c r="B3290" s="3">
        <v>41650</v>
      </c>
      <c r="C3290" t="s">
        <v>13</v>
      </c>
      <c r="D3290" t="s">
        <v>21</v>
      </c>
      <c r="E3290" t="s">
        <v>94</v>
      </c>
      <c r="F3290" s="1">
        <v>21.4</v>
      </c>
      <c r="G3290">
        <v>5</v>
      </c>
      <c r="H3290" s="1">
        <v>9.6300000000000008</v>
      </c>
      <c r="I3290" s="4">
        <f>SalesData[[#This Row],[Profit]]/SalesData[[#This Row],[Sales]]</f>
        <v>0.45000000000000007</v>
      </c>
      <c r="J3290">
        <f>YEAR(SalesData[[#This Row],[Order Date]])</f>
        <v>2014</v>
      </c>
      <c r="K3290" t="str">
        <f>TEXT(SalesData[[#This Row],[Order Date]],"mmm")</f>
        <v>Jan</v>
      </c>
      <c r="L3290">
        <f>MONTH(SalesData[[#This Row],[Order Date]])</f>
        <v>1</v>
      </c>
      <c r="M3290">
        <f>SalesData[[#This Row],[Sales]]/SalesData[[#This Row],[Quantity]]</f>
        <v>4.2799999999999994</v>
      </c>
      <c r="N3290" t="str">
        <f>IF(SalesData[[#This Row],[Profit]]&gt;0,"Profit","Loss")</f>
        <v>Profit</v>
      </c>
    </row>
    <row r="3291" spans="1:14" x14ac:dyDescent="0.3">
      <c r="A3291" t="s">
        <v>95</v>
      </c>
      <c r="B3291" s="3">
        <v>41650</v>
      </c>
      <c r="C3291" t="s">
        <v>17</v>
      </c>
      <c r="D3291" t="s">
        <v>21</v>
      </c>
      <c r="E3291" t="s">
        <v>96</v>
      </c>
      <c r="F3291" s="1">
        <v>533.94000000000005</v>
      </c>
      <c r="G3291">
        <v>3</v>
      </c>
      <c r="H3291" s="1">
        <v>154.8426</v>
      </c>
      <c r="I3291" s="4">
        <f>SalesData[[#This Row],[Profit]]/SalesData[[#This Row],[Sales]]</f>
        <v>0.28999999999999998</v>
      </c>
      <c r="J3291">
        <f>YEAR(SalesData[[#This Row],[Order Date]])</f>
        <v>2014</v>
      </c>
      <c r="K3291" t="str">
        <f>TEXT(SalesData[[#This Row],[Order Date]],"mmm")</f>
        <v>Jan</v>
      </c>
      <c r="L3291">
        <f>MONTH(SalesData[[#This Row],[Order Date]])</f>
        <v>1</v>
      </c>
      <c r="M3291">
        <f>SalesData[[#This Row],[Sales]]/SalesData[[#This Row],[Quantity]]</f>
        <v>177.98000000000002</v>
      </c>
      <c r="N3291" t="str">
        <f>IF(SalesData[[#This Row],[Profit]]&gt;0,"Profit","Loss")</f>
        <v>Profit</v>
      </c>
    </row>
    <row r="3292" spans="1:14" x14ac:dyDescent="0.3">
      <c r="A3292" t="s">
        <v>95</v>
      </c>
      <c r="B3292" s="3">
        <v>41650</v>
      </c>
      <c r="C3292" t="s">
        <v>17</v>
      </c>
      <c r="D3292" t="s">
        <v>21</v>
      </c>
      <c r="E3292" t="s">
        <v>97</v>
      </c>
      <c r="F3292" s="1">
        <v>167.94</v>
      </c>
      <c r="G3292">
        <v>3</v>
      </c>
      <c r="H3292" s="1">
        <v>82.290599999999998</v>
      </c>
      <c r="I3292" s="4">
        <f>SalesData[[#This Row],[Profit]]/SalesData[[#This Row],[Sales]]</f>
        <v>0.49</v>
      </c>
      <c r="J3292">
        <f>YEAR(SalesData[[#This Row],[Order Date]])</f>
        <v>2014</v>
      </c>
      <c r="K3292" t="str">
        <f>TEXT(SalesData[[#This Row],[Order Date]],"mmm")</f>
        <v>Jan</v>
      </c>
      <c r="L3292">
        <f>MONTH(SalesData[[#This Row],[Order Date]])</f>
        <v>1</v>
      </c>
      <c r="M3292">
        <f>SalesData[[#This Row],[Sales]]/SalesData[[#This Row],[Quantity]]</f>
        <v>55.98</v>
      </c>
      <c r="N3292" t="str">
        <f>IF(SalesData[[#This Row],[Profit]]&gt;0,"Profit","Loss")</f>
        <v>Profit</v>
      </c>
    </row>
    <row r="3293" spans="1:14" x14ac:dyDescent="0.3">
      <c r="A3293" t="s">
        <v>95</v>
      </c>
      <c r="B3293" s="3">
        <v>41650</v>
      </c>
      <c r="C3293" t="s">
        <v>17</v>
      </c>
      <c r="D3293" t="s">
        <v>14</v>
      </c>
      <c r="E3293" t="s">
        <v>98</v>
      </c>
      <c r="F3293" s="1">
        <v>31.68</v>
      </c>
      <c r="G3293">
        <v>6</v>
      </c>
      <c r="H3293" s="1">
        <v>9.8208000000000002</v>
      </c>
      <c r="I3293" s="4">
        <f>SalesData[[#This Row],[Profit]]/SalesData[[#This Row],[Sales]]</f>
        <v>0.31</v>
      </c>
      <c r="J3293">
        <f>YEAR(SalesData[[#This Row],[Order Date]])</f>
        <v>2014</v>
      </c>
      <c r="K3293" t="str">
        <f>TEXT(SalesData[[#This Row],[Order Date]],"mmm")</f>
        <v>Jan</v>
      </c>
      <c r="L3293">
        <f>MONTH(SalesData[[#This Row],[Order Date]])</f>
        <v>1</v>
      </c>
      <c r="M3293">
        <f>SalesData[[#This Row],[Sales]]/SalesData[[#This Row],[Quantity]]</f>
        <v>5.28</v>
      </c>
      <c r="N3293" t="str">
        <f>IF(SalesData[[#This Row],[Profit]]&gt;0,"Profit","Loss")</f>
        <v>Profit</v>
      </c>
    </row>
    <row r="3294" spans="1:14" x14ac:dyDescent="0.3">
      <c r="A3294" t="s">
        <v>99</v>
      </c>
      <c r="B3294" s="3">
        <v>41650</v>
      </c>
      <c r="C3294" t="s">
        <v>17</v>
      </c>
      <c r="D3294" t="s">
        <v>21</v>
      </c>
      <c r="E3294" t="s">
        <v>100</v>
      </c>
      <c r="F3294" s="1">
        <v>76.12</v>
      </c>
      <c r="G3294">
        <v>2</v>
      </c>
      <c r="H3294" s="1">
        <v>22.0748</v>
      </c>
      <c r="I3294" s="4">
        <f>SalesData[[#This Row],[Profit]]/SalesData[[#This Row],[Sales]]</f>
        <v>0.28999999999999998</v>
      </c>
      <c r="J3294">
        <f>YEAR(SalesData[[#This Row],[Order Date]])</f>
        <v>2014</v>
      </c>
      <c r="K3294" t="str">
        <f>TEXT(SalesData[[#This Row],[Order Date]],"mmm")</f>
        <v>Jan</v>
      </c>
      <c r="L3294">
        <f>MONTH(SalesData[[#This Row],[Order Date]])</f>
        <v>1</v>
      </c>
      <c r="M3294">
        <f>SalesData[[#This Row],[Sales]]/SalesData[[#This Row],[Quantity]]</f>
        <v>38.06</v>
      </c>
      <c r="N3294" t="str">
        <f>IF(SalesData[[#This Row],[Profit]]&gt;0,"Profit","Loss")</f>
        <v>Profit</v>
      </c>
    </row>
    <row r="3295" spans="1:14" x14ac:dyDescent="0.3">
      <c r="A3295" t="s">
        <v>101</v>
      </c>
      <c r="B3295" s="3">
        <v>41650</v>
      </c>
      <c r="C3295" t="s">
        <v>17</v>
      </c>
      <c r="D3295" t="s">
        <v>14</v>
      </c>
      <c r="E3295" t="s">
        <v>102</v>
      </c>
      <c r="F3295" s="1">
        <v>68.703999999999994</v>
      </c>
      <c r="G3295">
        <v>2</v>
      </c>
      <c r="H3295" s="1">
        <v>16.3172</v>
      </c>
      <c r="I3295" s="4">
        <f>SalesData[[#This Row],[Profit]]/SalesData[[#This Row],[Sales]]</f>
        <v>0.23750000000000002</v>
      </c>
      <c r="J3295">
        <f>YEAR(SalesData[[#This Row],[Order Date]])</f>
        <v>2014</v>
      </c>
      <c r="K3295" t="str">
        <f>TEXT(SalesData[[#This Row],[Order Date]],"mmm")</f>
        <v>Jan</v>
      </c>
      <c r="L3295">
        <f>MONTH(SalesData[[#This Row],[Order Date]])</f>
        <v>1</v>
      </c>
      <c r="M3295">
        <f>SalesData[[#This Row],[Sales]]/SalesData[[#This Row],[Quantity]]</f>
        <v>34.351999999999997</v>
      </c>
      <c r="N3295" t="str">
        <f>IF(SalesData[[#This Row],[Profit]]&gt;0,"Profit","Loss")</f>
        <v>Profit</v>
      </c>
    </row>
    <row r="3296" spans="1:14" x14ac:dyDescent="0.3">
      <c r="A3296" t="s">
        <v>101</v>
      </c>
      <c r="B3296" s="3">
        <v>41650</v>
      </c>
      <c r="C3296" t="s">
        <v>17</v>
      </c>
      <c r="D3296" t="s">
        <v>21</v>
      </c>
      <c r="E3296" t="s">
        <v>103</v>
      </c>
      <c r="F3296" s="1">
        <v>3.1320000000000001</v>
      </c>
      <c r="G3296">
        <v>2</v>
      </c>
      <c r="H3296" s="1">
        <v>-2.61</v>
      </c>
      <c r="I3296" s="4">
        <f>SalesData[[#This Row],[Profit]]/SalesData[[#This Row],[Sales]]</f>
        <v>-0.83333333333333326</v>
      </c>
      <c r="J3296">
        <f>YEAR(SalesData[[#This Row],[Order Date]])</f>
        <v>2014</v>
      </c>
      <c r="K3296" t="str">
        <f>TEXT(SalesData[[#This Row],[Order Date]],"mmm")</f>
        <v>Jan</v>
      </c>
      <c r="L3296">
        <f>MONTH(SalesData[[#This Row],[Order Date]])</f>
        <v>1</v>
      </c>
      <c r="M3296">
        <f>SalesData[[#This Row],[Sales]]/SalesData[[#This Row],[Quantity]]</f>
        <v>1.5660000000000001</v>
      </c>
      <c r="N3296" t="str">
        <f>IF(SalesData[[#This Row],[Profit]]&gt;0,"Profit","Loss")</f>
        <v>Loss</v>
      </c>
    </row>
    <row r="3297" spans="1:14" x14ac:dyDescent="0.3">
      <c r="A3297" t="s">
        <v>101</v>
      </c>
      <c r="B3297" s="3">
        <v>41650</v>
      </c>
      <c r="C3297" t="s">
        <v>17</v>
      </c>
      <c r="D3297" t="s">
        <v>21</v>
      </c>
      <c r="E3297" t="s">
        <v>104</v>
      </c>
      <c r="F3297" s="1">
        <v>22.428000000000001</v>
      </c>
      <c r="G3297">
        <v>3</v>
      </c>
      <c r="H3297" s="1">
        <v>-17.942399999999999</v>
      </c>
      <c r="I3297" s="4">
        <f>SalesData[[#This Row],[Profit]]/SalesData[[#This Row],[Sales]]</f>
        <v>-0.79999999999999993</v>
      </c>
      <c r="J3297">
        <f>YEAR(SalesData[[#This Row],[Order Date]])</f>
        <v>2014</v>
      </c>
      <c r="K3297" t="str">
        <f>TEXT(SalesData[[#This Row],[Order Date]],"mmm")</f>
        <v>Jan</v>
      </c>
      <c r="L3297">
        <f>MONTH(SalesData[[#This Row],[Order Date]])</f>
        <v>1</v>
      </c>
      <c r="M3297">
        <f>SalesData[[#This Row],[Sales]]/SalesData[[#This Row],[Quantity]]</f>
        <v>7.476</v>
      </c>
      <c r="N3297" t="str">
        <f>IF(SalesData[[#This Row],[Profit]]&gt;0,"Profit","Loss")</f>
        <v>Loss</v>
      </c>
    </row>
    <row r="3298" spans="1:14" x14ac:dyDescent="0.3">
      <c r="A3298" t="s">
        <v>105</v>
      </c>
      <c r="B3298" s="3">
        <v>41651</v>
      </c>
      <c r="C3298" t="s">
        <v>9</v>
      </c>
      <c r="D3298" t="s">
        <v>14</v>
      </c>
      <c r="E3298" t="s">
        <v>106</v>
      </c>
      <c r="F3298" s="1">
        <v>2807.84</v>
      </c>
      <c r="G3298">
        <v>8</v>
      </c>
      <c r="H3298" s="1">
        <v>673.88160000000005</v>
      </c>
      <c r="I3298" s="4">
        <f>SalesData[[#This Row],[Profit]]/SalesData[[#This Row],[Sales]]</f>
        <v>0.24</v>
      </c>
      <c r="J3298">
        <f>YEAR(SalesData[[#This Row],[Order Date]])</f>
        <v>2014</v>
      </c>
      <c r="K3298" t="str">
        <f>TEXT(SalesData[[#This Row],[Order Date]],"mmm")</f>
        <v>Jan</v>
      </c>
      <c r="L3298">
        <f>MONTH(SalesData[[#This Row],[Order Date]])</f>
        <v>1</v>
      </c>
      <c r="M3298">
        <f>SalesData[[#This Row],[Sales]]/SalesData[[#This Row],[Quantity]]</f>
        <v>350.98</v>
      </c>
      <c r="N3298" t="str">
        <f>IF(SalesData[[#This Row],[Profit]]&gt;0,"Profit","Loss")</f>
        <v>Profit</v>
      </c>
    </row>
    <row r="3299" spans="1:14" x14ac:dyDescent="0.3">
      <c r="A3299" t="s">
        <v>105</v>
      </c>
      <c r="B3299" s="3">
        <v>41651</v>
      </c>
      <c r="C3299" t="s">
        <v>9</v>
      </c>
      <c r="D3299" t="s">
        <v>21</v>
      </c>
      <c r="E3299" t="s">
        <v>107</v>
      </c>
      <c r="F3299" s="1">
        <v>46.64</v>
      </c>
      <c r="G3299">
        <v>4</v>
      </c>
      <c r="H3299" s="1">
        <v>12.5928</v>
      </c>
      <c r="I3299" s="4">
        <f>SalesData[[#This Row],[Profit]]/SalesData[[#This Row],[Sales]]</f>
        <v>0.27</v>
      </c>
      <c r="J3299">
        <f>YEAR(SalesData[[#This Row],[Order Date]])</f>
        <v>2014</v>
      </c>
      <c r="K3299" t="str">
        <f>TEXT(SalesData[[#This Row],[Order Date]],"mmm")</f>
        <v>Jan</v>
      </c>
      <c r="L3299">
        <f>MONTH(SalesData[[#This Row],[Order Date]])</f>
        <v>1</v>
      </c>
      <c r="M3299">
        <f>SalesData[[#This Row],[Sales]]/SalesData[[#This Row],[Quantity]]</f>
        <v>11.66</v>
      </c>
      <c r="N3299" t="str">
        <f>IF(SalesData[[#This Row],[Profit]]&gt;0,"Profit","Loss")</f>
        <v>Profit</v>
      </c>
    </row>
    <row r="3300" spans="1:14" x14ac:dyDescent="0.3">
      <c r="A3300" t="s">
        <v>108</v>
      </c>
      <c r="B3300" s="3">
        <v>41651</v>
      </c>
      <c r="C3300" t="s">
        <v>13</v>
      </c>
      <c r="D3300" t="s">
        <v>14</v>
      </c>
      <c r="E3300" t="s">
        <v>109</v>
      </c>
      <c r="F3300" s="1">
        <v>58.2</v>
      </c>
      <c r="G3300">
        <v>3</v>
      </c>
      <c r="H3300" s="1">
        <v>28.518000000000001</v>
      </c>
      <c r="I3300" s="4">
        <f>SalesData[[#This Row],[Profit]]/SalesData[[#This Row],[Sales]]</f>
        <v>0.49</v>
      </c>
      <c r="J3300">
        <f>YEAR(SalesData[[#This Row],[Order Date]])</f>
        <v>2014</v>
      </c>
      <c r="K3300" t="str">
        <f>TEXT(SalesData[[#This Row],[Order Date]],"mmm")</f>
        <v>Jan</v>
      </c>
      <c r="L3300">
        <f>MONTH(SalesData[[#This Row],[Order Date]])</f>
        <v>1</v>
      </c>
      <c r="M3300">
        <f>SalesData[[#This Row],[Sales]]/SalesData[[#This Row],[Quantity]]</f>
        <v>19.400000000000002</v>
      </c>
      <c r="N3300" t="str">
        <f>IF(SalesData[[#This Row],[Profit]]&gt;0,"Profit","Loss")</f>
        <v>Profit</v>
      </c>
    </row>
    <row r="3301" spans="1:14" x14ac:dyDescent="0.3">
      <c r="A3301" t="s">
        <v>110</v>
      </c>
      <c r="B3301" s="3">
        <v>41651</v>
      </c>
      <c r="C3301" t="s">
        <v>46</v>
      </c>
      <c r="D3301" t="s">
        <v>10</v>
      </c>
      <c r="E3301" t="s">
        <v>111</v>
      </c>
      <c r="F3301" s="1">
        <v>95.968000000000004</v>
      </c>
      <c r="G3301">
        <v>4</v>
      </c>
      <c r="H3301" s="1">
        <v>9.5968</v>
      </c>
      <c r="I3301" s="4">
        <f>SalesData[[#This Row],[Profit]]/SalesData[[#This Row],[Sales]]</f>
        <v>9.9999999999999992E-2</v>
      </c>
      <c r="J3301">
        <f>YEAR(SalesData[[#This Row],[Order Date]])</f>
        <v>2014</v>
      </c>
      <c r="K3301" t="str">
        <f>TEXT(SalesData[[#This Row],[Order Date]],"mmm")</f>
        <v>Jan</v>
      </c>
      <c r="L3301">
        <f>MONTH(SalesData[[#This Row],[Order Date]])</f>
        <v>1</v>
      </c>
      <c r="M3301">
        <f>SalesData[[#This Row],[Sales]]/SalesData[[#This Row],[Quantity]]</f>
        <v>23.992000000000001</v>
      </c>
      <c r="N3301" t="str">
        <f>IF(SalesData[[#This Row],[Profit]]&gt;0,"Profit","Loss")</f>
        <v>Profit</v>
      </c>
    </row>
    <row r="3302" spans="1:14" x14ac:dyDescent="0.3">
      <c r="A3302" t="s">
        <v>112</v>
      </c>
      <c r="B3302" s="3">
        <v>41651</v>
      </c>
      <c r="C3302" t="s">
        <v>17</v>
      </c>
      <c r="D3302" t="s">
        <v>10</v>
      </c>
      <c r="E3302" t="s">
        <v>113</v>
      </c>
      <c r="F3302" s="1">
        <v>659.98800000000006</v>
      </c>
      <c r="G3302">
        <v>2</v>
      </c>
      <c r="H3302" s="1">
        <v>109.998</v>
      </c>
      <c r="I3302" s="4">
        <f>SalesData[[#This Row],[Profit]]/SalesData[[#This Row],[Sales]]</f>
        <v>0.16666666666666666</v>
      </c>
      <c r="J3302">
        <f>YEAR(SalesData[[#This Row],[Order Date]])</f>
        <v>2014</v>
      </c>
      <c r="K3302" t="str">
        <f>TEXT(SalesData[[#This Row],[Order Date]],"mmm")</f>
        <v>Jan</v>
      </c>
      <c r="L3302">
        <f>MONTH(SalesData[[#This Row],[Order Date]])</f>
        <v>1</v>
      </c>
      <c r="M3302">
        <f>SalesData[[#This Row],[Sales]]/SalesData[[#This Row],[Quantity]]</f>
        <v>329.99400000000003</v>
      </c>
      <c r="N3302" t="str">
        <f>IF(SalesData[[#This Row],[Profit]]&gt;0,"Profit","Loss")</f>
        <v>Profit</v>
      </c>
    </row>
    <row r="3303" spans="1:14" x14ac:dyDescent="0.3">
      <c r="A3303" t="s">
        <v>112</v>
      </c>
      <c r="B3303" s="3">
        <v>41651</v>
      </c>
      <c r="C3303" t="s">
        <v>17</v>
      </c>
      <c r="D3303" t="s">
        <v>14</v>
      </c>
      <c r="E3303" t="s">
        <v>114</v>
      </c>
      <c r="F3303" s="1">
        <v>8.1280000000000001</v>
      </c>
      <c r="G3303">
        <v>2</v>
      </c>
      <c r="H3303" s="1">
        <v>1.4224000000000001</v>
      </c>
      <c r="I3303" s="4">
        <f>SalesData[[#This Row],[Profit]]/SalesData[[#This Row],[Sales]]</f>
        <v>0.17500000000000002</v>
      </c>
      <c r="J3303">
        <f>YEAR(SalesData[[#This Row],[Order Date]])</f>
        <v>2014</v>
      </c>
      <c r="K3303" t="str">
        <f>TEXT(SalesData[[#This Row],[Order Date]],"mmm")</f>
        <v>Jan</v>
      </c>
      <c r="L3303">
        <f>MONTH(SalesData[[#This Row],[Order Date]])</f>
        <v>1</v>
      </c>
      <c r="M3303">
        <f>SalesData[[#This Row],[Sales]]/SalesData[[#This Row],[Quantity]]</f>
        <v>4.0640000000000001</v>
      </c>
      <c r="N3303" t="str">
        <f>IF(SalesData[[#This Row],[Profit]]&gt;0,"Profit","Loss")</f>
        <v>Profit</v>
      </c>
    </row>
    <row r="3304" spans="1:14" x14ac:dyDescent="0.3">
      <c r="A3304" t="s">
        <v>112</v>
      </c>
      <c r="B3304" s="3">
        <v>41651</v>
      </c>
      <c r="C3304" t="s">
        <v>17</v>
      </c>
      <c r="D3304" t="s">
        <v>21</v>
      </c>
      <c r="E3304" t="s">
        <v>115</v>
      </c>
      <c r="F3304" s="1">
        <v>36.287999999999997</v>
      </c>
      <c r="G3304">
        <v>7</v>
      </c>
      <c r="H3304" s="1">
        <v>12.700799999999999</v>
      </c>
      <c r="I3304" s="4">
        <f>SalesData[[#This Row],[Profit]]/SalesData[[#This Row],[Sales]]</f>
        <v>0.35000000000000003</v>
      </c>
      <c r="J3304">
        <f>YEAR(SalesData[[#This Row],[Order Date]])</f>
        <v>2014</v>
      </c>
      <c r="K3304" t="str">
        <f>TEXT(SalesData[[#This Row],[Order Date]],"mmm")</f>
        <v>Jan</v>
      </c>
      <c r="L3304">
        <f>MONTH(SalesData[[#This Row],[Order Date]])</f>
        <v>1</v>
      </c>
      <c r="M3304">
        <f>SalesData[[#This Row],[Sales]]/SalesData[[#This Row],[Quantity]]</f>
        <v>5.1839999999999993</v>
      </c>
      <c r="N3304" t="str">
        <f>IF(SalesData[[#This Row],[Profit]]&gt;0,"Profit","Loss")</f>
        <v>Profit</v>
      </c>
    </row>
    <row r="3305" spans="1:14" x14ac:dyDescent="0.3">
      <c r="A3305" t="s">
        <v>112</v>
      </c>
      <c r="B3305" s="3">
        <v>41651</v>
      </c>
      <c r="C3305" t="s">
        <v>17</v>
      </c>
      <c r="D3305" t="s">
        <v>14</v>
      </c>
      <c r="E3305" t="s">
        <v>116</v>
      </c>
      <c r="F3305" s="1">
        <v>909.72</v>
      </c>
      <c r="G3305">
        <v>6</v>
      </c>
      <c r="H3305" s="1">
        <v>-51.984000000000002</v>
      </c>
      <c r="I3305" s="4">
        <f>SalesData[[#This Row],[Profit]]/SalesData[[#This Row],[Sales]]</f>
        <v>-5.7142857142857141E-2</v>
      </c>
      <c r="J3305">
        <f>YEAR(SalesData[[#This Row],[Order Date]])</f>
        <v>2014</v>
      </c>
      <c r="K3305" t="str">
        <f>TEXT(SalesData[[#This Row],[Order Date]],"mmm")</f>
        <v>Jan</v>
      </c>
      <c r="L3305">
        <f>MONTH(SalesData[[#This Row],[Order Date]])</f>
        <v>1</v>
      </c>
      <c r="M3305">
        <f>SalesData[[#This Row],[Sales]]/SalesData[[#This Row],[Quantity]]</f>
        <v>151.62</v>
      </c>
      <c r="N3305" t="str">
        <f>IF(SalesData[[#This Row],[Profit]]&gt;0,"Profit","Loss")</f>
        <v>Loss</v>
      </c>
    </row>
    <row r="3306" spans="1:14" x14ac:dyDescent="0.3">
      <c r="A3306" t="s">
        <v>117</v>
      </c>
      <c r="B3306" s="3">
        <v>41651</v>
      </c>
      <c r="C3306" t="s">
        <v>9</v>
      </c>
      <c r="D3306" t="s">
        <v>14</v>
      </c>
      <c r="E3306" t="s">
        <v>118</v>
      </c>
      <c r="F3306" s="1">
        <v>674.05799999999999</v>
      </c>
      <c r="G3306">
        <v>3</v>
      </c>
      <c r="H3306" s="1">
        <v>-19.258800000000001</v>
      </c>
      <c r="I3306" s="4">
        <f>SalesData[[#This Row],[Profit]]/SalesData[[#This Row],[Sales]]</f>
        <v>-2.8571428571428574E-2</v>
      </c>
      <c r="J3306">
        <f>YEAR(SalesData[[#This Row],[Order Date]])</f>
        <v>2014</v>
      </c>
      <c r="K3306" t="str">
        <f>TEXT(SalesData[[#This Row],[Order Date]],"mmm")</f>
        <v>Jan</v>
      </c>
      <c r="L3306">
        <f>MONTH(SalesData[[#This Row],[Order Date]])</f>
        <v>1</v>
      </c>
      <c r="M3306">
        <f>SalesData[[#This Row],[Sales]]/SalesData[[#This Row],[Quantity]]</f>
        <v>224.68600000000001</v>
      </c>
      <c r="N3306" t="str">
        <f>IF(SalesData[[#This Row],[Profit]]&gt;0,"Profit","Loss")</f>
        <v>Loss</v>
      </c>
    </row>
    <row r="3307" spans="1:14" x14ac:dyDescent="0.3">
      <c r="A3307" t="s">
        <v>119</v>
      </c>
      <c r="B3307" s="3">
        <v>41651</v>
      </c>
      <c r="C3307" t="s">
        <v>17</v>
      </c>
      <c r="D3307" t="s">
        <v>10</v>
      </c>
      <c r="E3307" t="s">
        <v>86</v>
      </c>
      <c r="F3307" s="1">
        <v>271.89999999999998</v>
      </c>
      <c r="G3307">
        <v>2</v>
      </c>
      <c r="H3307" s="1">
        <v>78.850999999999999</v>
      </c>
      <c r="I3307" s="4">
        <f>SalesData[[#This Row],[Profit]]/SalesData[[#This Row],[Sales]]</f>
        <v>0.29000000000000004</v>
      </c>
      <c r="J3307">
        <f>YEAR(SalesData[[#This Row],[Order Date]])</f>
        <v>2014</v>
      </c>
      <c r="K3307" t="str">
        <f>TEXT(SalesData[[#This Row],[Order Date]],"mmm")</f>
        <v>Jan</v>
      </c>
      <c r="L3307">
        <f>MONTH(SalesData[[#This Row],[Order Date]])</f>
        <v>1</v>
      </c>
      <c r="M3307">
        <f>SalesData[[#This Row],[Sales]]/SalesData[[#This Row],[Quantity]]</f>
        <v>135.94999999999999</v>
      </c>
      <c r="N3307" t="str">
        <f>IF(SalesData[[#This Row],[Profit]]&gt;0,"Profit","Loss")</f>
        <v>Profit</v>
      </c>
    </row>
    <row r="3308" spans="1:14" x14ac:dyDescent="0.3">
      <c r="A3308" t="s">
        <v>119</v>
      </c>
      <c r="B3308" s="3">
        <v>41651</v>
      </c>
      <c r="C3308" t="s">
        <v>17</v>
      </c>
      <c r="D3308" t="s">
        <v>14</v>
      </c>
      <c r="E3308" t="s">
        <v>120</v>
      </c>
      <c r="F3308" s="1">
        <v>45.84</v>
      </c>
      <c r="G3308">
        <v>3</v>
      </c>
      <c r="H3308" s="1">
        <v>15.585599999999999</v>
      </c>
      <c r="I3308" s="4">
        <f>SalesData[[#This Row],[Profit]]/SalesData[[#This Row],[Sales]]</f>
        <v>0.33999999999999997</v>
      </c>
      <c r="J3308">
        <f>YEAR(SalesData[[#This Row],[Order Date]])</f>
        <v>2014</v>
      </c>
      <c r="K3308" t="str">
        <f>TEXT(SalesData[[#This Row],[Order Date]],"mmm")</f>
        <v>Jan</v>
      </c>
      <c r="L3308">
        <f>MONTH(SalesData[[#This Row],[Order Date]])</f>
        <v>1</v>
      </c>
      <c r="M3308">
        <f>SalesData[[#This Row],[Sales]]/SalesData[[#This Row],[Quantity]]</f>
        <v>15.280000000000001</v>
      </c>
      <c r="N3308" t="str">
        <f>IF(SalesData[[#This Row],[Profit]]&gt;0,"Profit","Loss")</f>
        <v>Profit</v>
      </c>
    </row>
    <row r="3309" spans="1:14" x14ac:dyDescent="0.3">
      <c r="A3309" t="s">
        <v>119</v>
      </c>
      <c r="B3309" s="3">
        <v>41651</v>
      </c>
      <c r="C3309" t="s">
        <v>17</v>
      </c>
      <c r="D3309" t="s">
        <v>14</v>
      </c>
      <c r="E3309" t="s">
        <v>121</v>
      </c>
      <c r="F3309" s="1">
        <v>9.82</v>
      </c>
      <c r="G3309">
        <v>2</v>
      </c>
      <c r="H3309" s="1">
        <v>3.2406000000000001</v>
      </c>
      <c r="I3309" s="4">
        <f>SalesData[[#This Row],[Profit]]/SalesData[[#This Row],[Sales]]</f>
        <v>0.33</v>
      </c>
      <c r="J3309">
        <f>YEAR(SalesData[[#This Row],[Order Date]])</f>
        <v>2014</v>
      </c>
      <c r="K3309" t="str">
        <f>TEXT(SalesData[[#This Row],[Order Date]],"mmm")</f>
        <v>Jan</v>
      </c>
      <c r="L3309">
        <f>MONTH(SalesData[[#This Row],[Order Date]])</f>
        <v>1</v>
      </c>
      <c r="M3309">
        <f>SalesData[[#This Row],[Sales]]/SalesData[[#This Row],[Quantity]]</f>
        <v>4.91</v>
      </c>
      <c r="N3309" t="str">
        <f>IF(SalesData[[#This Row],[Profit]]&gt;0,"Profit","Loss")</f>
        <v>Profit</v>
      </c>
    </row>
    <row r="3310" spans="1:14" x14ac:dyDescent="0.3">
      <c r="A3310" t="s">
        <v>122</v>
      </c>
      <c r="B3310" s="3">
        <v>41672</v>
      </c>
      <c r="C3310" t="s">
        <v>13</v>
      </c>
      <c r="D3310" t="s">
        <v>21</v>
      </c>
      <c r="E3310" t="s">
        <v>83</v>
      </c>
      <c r="F3310" s="1">
        <v>12.35</v>
      </c>
      <c r="G3310">
        <v>5</v>
      </c>
      <c r="H3310" s="1">
        <v>5.8045</v>
      </c>
      <c r="I3310" s="4">
        <f>SalesData[[#This Row],[Profit]]/SalesData[[#This Row],[Sales]]</f>
        <v>0.47000000000000003</v>
      </c>
      <c r="J3310">
        <f>YEAR(SalesData[[#This Row],[Order Date]])</f>
        <v>2014</v>
      </c>
      <c r="K3310" t="str">
        <f>TEXT(SalesData[[#This Row],[Order Date]],"mmm")</f>
        <v>Feb</v>
      </c>
      <c r="L3310">
        <f>MONTH(SalesData[[#This Row],[Order Date]])</f>
        <v>2</v>
      </c>
      <c r="M3310">
        <f>SalesData[[#This Row],[Sales]]/SalesData[[#This Row],[Quantity]]</f>
        <v>2.4699999999999998</v>
      </c>
      <c r="N3310" t="str">
        <f>IF(SalesData[[#This Row],[Profit]]&gt;0,"Profit","Loss")</f>
        <v>Profit</v>
      </c>
    </row>
    <row r="3311" spans="1:14" x14ac:dyDescent="0.3">
      <c r="A3311" t="s">
        <v>123</v>
      </c>
      <c r="B3311" s="3">
        <v>41672</v>
      </c>
      <c r="C3311" t="s">
        <v>46</v>
      </c>
      <c r="D3311" t="s">
        <v>21</v>
      </c>
      <c r="E3311" t="s">
        <v>124</v>
      </c>
      <c r="F3311" s="1">
        <v>18.335999999999999</v>
      </c>
      <c r="G3311">
        <v>2</v>
      </c>
      <c r="H3311" s="1">
        <v>-12.224</v>
      </c>
      <c r="I3311" s="4">
        <f>SalesData[[#This Row],[Profit]]/SalesData[[#This Row],[Sales]]</f>
        <v>-0.66666666666666674</v>
      </c>
      <c r="J3311">
        <f>YEAR(SalesData[[#This Row],[Order Date]])</f>
        <v>2014</v>
      </c>
      <c r="K3311" t="str">
        <f>TEXT(SalesData[[#This Row],[Order Date]],"mmm")</f>
        <v>Feb</v>
      </c>
      <c r="L3311">
        <f>MONTH(SalesData[[#This Row],[Order Date]])</f>
        <v>2</v>
      </c>
      <c r="M3311">
        <f>SalesData[[#This Row],[Sales]]/SalesData[[#This Row],[Quantity]]</f>
        <v>9.1679999999999993</v>
      </c>
      <c r="N3311" t="str">
        <f>IF(SalesData[[#This Row],[Profit]]&gt;0,"Profit","Loss")</f>
        <v>Loss</v>
      </c>
    </row>
    <row r="3312" spans="1:14" x14ac:dyDescent="0.3">
      <c r="A3312" t="s">
        <v>123</v>
      </c>
      <c r="B3312" s="3">
        <v>41672</v>
      </c>
      <c r="C3312" t="s">
        <v>46</v>
      </c>
      <c r="D3312" t="s">
        <v>10</v>
      </c>
      <c r="E3312" t="s">
        <v>125</v>
      </c>
      <c r="F3312" s="1">
        <v>180.96</v>
      </c>
      <c r="G3312">
        <v>5</v>
      </c>
      <c r="H3312" s="1">
        <v>13.571999999999999</v>
      </c>
      <c r="I3312" s="4">
        <f>SalesData[[#This Row],[Profit]]/SalesData[[#This Row],[Sales]]</f>
        <v>7.4999999999999997E-2</v>
      </c>
      <c r="J3312">
        <f>YEAR(SalesData[[#This Row],[Order Date]])</f>
        <v>2014</v>
      </c>
      <c r="K3312" t="str">
        <f>TEXT(SalesData[[#This Row],[Order Date]],"mmm")</f>
        <v>Feb</v>
      </c>
      <c r="L3312">
        <f>MONTH(SalesData[[#This Row],[Order Date]])</f>
        <v>2</v>
      </c>
      <c r="M3312">
        <f>SalesData[[#This Row],[Sales]]/SalesData[[#This Row],[Quantity]]</f>
        <v>36.192</v>
      </c>
      <c r="N3312" t="str">
        <f>IF(SalesData[[#This Row],[Profit]]&gt;0,"Profit","Loss")</f>
        <v>Profit</v>
      </c>
    </row>
    <row r="3313" spans="1:14" x14ac:dyDescent="0.3">
      <c r="A3313" t="s">
        <v>126</v>
      </c>
      <c r="B3313" s="3">
        <v>41673</v>
      </c>
      <c r="C3313" t="s">
        <v>17</v>
      </c>
      <c r="D3313" t="s">
        <v>21</v>
      </c>
      <c r="E3313" t="s">
        <v>127</v>
      </c>
      <c r="F3313" s="1">
        <v>11.36</v>
      </c>
      <c r="G3313">
        <v>2</v>
      </c>
      <c r="H3313" s="1">
        <v>5.3391999999999999</v>
      </c>
      <c r="I3313" s="4">
        <f>SalesData[[#This Row],[Profit]]/SalesData[[#This Row],[Sales]]</f>
        <v>0.47000000000000003</v>
      </c>
      <c r="J3313">
        <f>YEAR(SalesData[[#This Row],[Order Date]])</f>
        <v>2014</v>
      </c>
      <c r="K3313" t="str">
        <f>TEXT(SalesData[[#This Row],[Order Date]],"mmm")</f>
        <v>Feb</v>
      </c>
      <c r="L3313">
        <f>MONTH(SalesData[[#This Row],[Order Date]])</f>
        <v>2</v>
      </c>
      <c r="M3313">
        <f>SalesData[[#This Row],[Sales]]/SalesData[[#This Row],[Quantity]]</f>
        <v>5.68</v>
      </c>
      <c r="N3313" t="str">
        <f>IF(SalesData[[#This Row],[Profit]]&gt;0,"Profit","Loss")</f>
        <v>Profit</v>
      </c>
    </row>
    <row r="3314" spans="1:14" x14ac:dyDescent="0.3">
      <c r="A3314" t="s">
        <v>126</v>
      </c>
      <c r="B3314" s="3">
        <v>41673</v>
      </c>
      <c r="C3314" t="s">
        <v>17</v>
      </c>
      <c r="D3314" t="s">
        <v>21</v>
      </c>
      <c r="E3314" t="s">
        <v>128</v>
      </c>
      <c r="F3314" s="1">
        <v>36.4</v>
      </c>
      <c r="G3314">
        <v>5</v>
      </c>
      <c r="H3314" s="1">
        <v>17.472000000000001</v>
      </c>
      <c r="I3314" s="4">
        <f>SalesData[[#This Row],[Profit]]/SalesData[[#This Row],[Sales]]</f>
        <v>0.48000000000000004</v>
      </c>
      <c r="J3314">
        <f>YEAR(SalesData[[#This Row],[Order Date]])</f>
        <v>2014</v>
      </c>
      <c r="K3314" t="str">
        <f>TEXT(SalesData[[#This Row],[Order Date]],"mmm")</f>
        <v>Feb</v>
      </c>
      <c r="L3314">
        <f>MONTH(SalesData[[#This Row],[Order Date]])</f>
        <v>2</v>
      </c>
      <c r="M3314">
        <f>SalesData[[#This Row],[Sales]]/SalesData[[#This Row],[Quantity]]</f>
        <v>7.2799999999999994</v>
      </c>
      <c r="N3314" t="str">
        <f>IF(SalesData[[#This Row],[Profit]]&gt;0,"Profit","Loss")</f>
        <v>Profit</v>
      </c>
    </row>
    <row r="3315" spans="1:14" x14ac:dyDescent="0.3">
      <c r="A3315" t="s">
        <v>129</v>
      </c>
      <c r="B3315" s="3">
        <v>41673</v>
      </c>
      <c r="C3315" t="s">
        <v>17</v>
      </c>
      <c r="D3315" t="s">
        <v>21</v>
      </c>
      <c r="E3315" t="s">
        <v>130</v>
      </c>
      <c r="F3315" s="1">
        <v>3.4239999999999999</v>
      </c>
      <c r="G3315">
        <v>1</v>
      </c>
      <c r="H3315" s="1">
        <v>1.07</v>
      </c>
      <c r="I3315" s="4">
        <f>SalesData[[#This Row],[Profit]]/SalesData[[#This Row],[Sales]]</f>
        <v>0.3125</v>
      </c>
      <c r="J3315">
        <f>YEAR(SalesData[[#This Row],[Order Date]])</f>
        <v>2014</v>
      </c>
      <c r="K3315" t="str">
        <f>TEXT(SalesData[[#This Row],[Order Date]],"mmm")</f>
        <v>Feb</v>
      </c>
      <c r="L3315">
        <f>MONTH(SalesData[[#This Row],[Order Date]])</f>
        <v>2</v>
      </c>
      <c r="M3315">
        <f>SalesData[[#This Row],[Sales]]/SalesData[[#This Row],[Quantity]]</f>
        <v>3.4239999999999999</v>
      </c>
      <c r="N3315" t="str">
        <f>IF(SalesData[[#This Row],[Profit]]&gt;0,"Profit","Loss")</f>
        <v>Profit</v>
      </c>
    </row>
    <row r="3316" spans="1:14" x14ac:dyDescent="0.3">
      <c r="A3316" t="s">
        <v>129</v>
      </c>
      <c r="B3316" s="3">
        <v>41673</v>
      </c>
      <c r="C3316" t="s">
        <v>17</v>
      </c>
      <c r="D3316" t="s">
        <v>10</v>
      </c>
      <c r="E3316" t="s">
        <v>131</v>
      </c>
      <c r="F3316" s="1">
        <v>151.19999999999999</v>
      </c>
      <c r="G3316">
        <v>3</v>
      </c>
      <c r="H3316" s="1">
        <v>32.130000000000003</v>
      </c>
      <c r="I3316" s="4">
        <f>SalesData[[#This Row],[Profit]]/SalesData[[#This Row],[Sales]]</f>
        <v>0.21250000000000002</v>
      </c>
      <c r="J3316">
        <f>YEAR(SalesData[[#This Row],[Order Date]])</f>
        <v>2014</v>
      </c>
      <c r="K3316" t="str">
        <f>TEXT(SalesData[[#This Row],[Order Date]],"mmm")</f>
        <v>Feb</v>
      </c>
      <c r="L3316">
        <f>MONTH(SalesData[[#This Row],[Order Date]])</f>
        <v>2</v>
      </c>
      <c r="M3316">
        <f>SalesData[[#This Row],[Sales]]/SalesData[[#This Row],[Quantity]]</f>
        <v>50.4</v>
      </c>
      <c r="N3316" t="str">
        <f>IF(SalesData[[#This Row],[Profit]]&gt;0,"Profit","Loss")</f>
        <v>Profit</v>
      </c>
    </row>
    <row r="3317" spans="1:14" x14ac:dyDescent="0.3">
      <c r="A3317" t="s">
        <v>132</v>
      </c>
      <c r="B3317" s="3">
        <v>41674</v>
      </c>
      <c r="C3317" t="s">
        <v>46</v>
      </c>
      <c r="D3317" t="s">
        <v>21</v>
      </c>
      <c r="E3317" t="s">
        <v>133</v>
      </c>
      <c r="F3317" s="1">
        <v>15.84</v>
      </c>
      <c r="G3317">
        <v>3</v>
      </c>
      <c r="H3317" s="1">
        <v>7.1280000000000001</v>
      </c>
      <c r="I3317" s="4">
        <f>SalesData[[#This Row],[Profit]]/SalesData[[#This Row],[Sales]]</f>
        <v>0.45</v>
      </c>
      <c r="J3317">
        <f>YEAR(SalesData[[#This Row],[Order Date]])</f>
        <v>2014</v>
      </c>
      <c r="K3317" t="str">
        <f>TEXT(SalesData[[#This Row],[Order Date]],"mmm")</f>
        <v>Feb</v>
      </c>
      <c r="L3317">
        <f>MONTH(SalesData[[#This Row],[Order Date]])</f>
        <v>2</v>
      </c>
      <c r="M3317">
        <f>SalesData[[#This Row],[Sales]]/SalesData[[#This Row],[Quantity]]</f>
        <v>5.28</v>
      </c>
      <c r="N3317" t="str">
        <f>IF(SalesData[[#This Row],[Profit]]&gt;0,"Profit","Loss")</f>
        <v>Profit</v>
      </c>
    </row>
    <row r="3318" spans="1:14" x14ac:dyDescent="0.3">
      <c r="A3318" t="s">
        <v>132</v>
      </c>
      <c r="B3318" s="3">
        <v>41674</v>
      </c>
      <c r="C3318" t="s">
        <v>46</v>
      </c>
      <c r="D3318" t="s">
        <v>10</v>
      </c>
      <c r="E3318" t="s">
        <v>134</v>
      </c>
      <c r="F3318" s="1">
        <v>1049.93</v>
      </c>
      <c r="G3318">
        <v>7</v>
      </c>
      <c r="H3318" s="1">
        <v>293.98039999999997</v>
      </c>
      <c r="I3318" s="4">
        <f>SalesData[[#This Row],[Profit]]/SalesData[[#This Row],[Sales]]</f>
        <v>0.27999999999999997</v>
      </c>
      <c r="J3318">
        <f>YEAR(SalesData[[#This Row],[Order Date]])</f>
        <v>2014</v>
      </c>
      <c r="K3318" t="str">
        <f>TEXT(SalesData[[#This Row],[Order Date]],"mmm")</f>
        <v>Feb</v>
      </c>
      <c r="L3318">
        <f>MONTH(SalesData[[#This Row],[Order Date]])</f>
        <v>2</v>
      </c>
      <c r="M3318">
        <f>SalesData[[#This Row],[Sales]]/SalesData[[#This Row],[Quantity]]</f>
        <v>149.99</v>
      </c>
      <c r="N3318" t="str">
        <f>IF(SalesData[[#This Row],[Profit]]&gt;0,"Profit","Loss")</f>
        <v>Profit</v>
      </c>
    </row>
    <row r="3319" spans="1:14" x14ac:dyDescent="0.3">
      <c r="A3319" t="s">
        <v>132</v>
      </c>
      <c r="B3319" s="3">
        <v>41674</v>
      </c>
      <c r="C3319" t="s">
        <v>46</v>
      </c>
      <c r="D3319" t="s">
        <v>21</v>
      </c>
      <c r="E3319" t="s">
        <v>135</v>
      </c>
      <c r="F3319" s="1">
        <v>154.9</v>
      </c>
      <c r="G3319">
        <v>5</v>
      </c>
      <c r="H3319" s="1">
        <v>40.274000000000001</v>
      </c>
      <c r="I3319" s="4">
        <f>SalesData[[#This Row],[Profit]]/SalesData[[#This Row],[Sales]]</f>
        <v>0.26</v>
      </c>
      <c r="J3319">
        <f>YEAR(SalesData[[#This Row],[Order Date]])</f>
        <v>2014</v>
      </c>
      <c r="K3319" t="str">
        <f>TEXT(SalesData[[#This Row],[Order Date]],"mmm")</f>
        <v>Feb</v>
      </c>
      <c r="L3319">
        <f>MONTH(SalesData[[#This Row],[Order Date]])</f>
        <v>2</v>
      </c>
      <c r="M3319">
        <f>SalesData[[#This Row],[Sales]]/SalesData[[#This Row],[Quantity]]</f>
        <v>30.98</v>
      </c>
      <c r="N3319" t="str">
        <f>IF(SalesData[[#This Row],[Profit]]&gt;0,"Profit","Loss")</f>
        <v>Profit</v>
      </c>
    </row>
    <row r="3320" spans="1:14" x14ac:dyDescent="0.3">
      <c r="A3320" t="s">
        <v>136</v>
      </c>
      <c r="B3320" s="3">
        <v>41674</v>
      </c>
      <c r="C3320" t="s">
        <v>9</v>
      </c>
      <c r="D3320" t="s">
        <v>21</v>
      </c>
      <c r="E3320" t="s">
        <v>137</v>
      </c>
      <c r="F3320" s="1">
        <v>26.72</v>
      </c>
      <c r="G3320">
        <v>5</v>
      </c>
      <c r="H3320" s="1">
        <v>9.3520000000000003</v>
      </c>
      <c r="I3320" s="4">
        <f>SalesData[[#This Row],[Profit]]/SalesData[[#This Row],[Sales]]</f>
        <v>0.35000000000000003</v>
      </c>
      <c r="J3320">
        <f>YEAR(SalesData[[#This Row],[Order Date]])</f>
        <v>2014</v>
      </c>
      <c r="K3320" t="str">
        <f>TEXT(SalesData[[#This Row],[Order Date]],"mmm")</f>
        <v>Feb</v>
      </c>
      <c r="L3320">
        <f>MONTH(SalesData[[#This Row],[Order Date]])</f>
        <v>2</v>
      </c>
      <c r="M3320">
        <f>SalesData[[#This Row],[Sales]]/SalesData[[#This Row],[Quantity]]</f>
        <v>5.3439999999999994</v>
      </c>
      <c r="N3320" t="str">
        <f>IF(SalesData[[#This Row],[Profit]]&gt;0,"Profit","Loss")</f>
        <v>Profit</v>
      </c>
    </row>
    <row r="3321" spans="1:14" x14ac:dyDescent="0.3">
      <c r="A3321" t="s">
        <v>136</v>
      </c>
      <c r="B3321" s="3">
        <v>41674</v>
      </c>
      <c r="C3321" t="s">
        <v>9</v>
      </c>
      <c r="D3321" t="s">
        <v>21</v>
      </c>
      <c r="E3321" t="s">
        <v>138</v>
      </c>
      <c r="F3321" s="1">
        <v>33.488</v>
      </c>
      <c r="G3321">
        <v>7</v>
      </c>
      <c r="H3321" s="1">
        <v>10.465</v>
      </c>
      <c r="I3321" s="4">
        <f>SalesData[[#This Row],[Profit]]/SalesData[[#This Row],[Sales]]</f>
        <v>0.3125</v>
      </c>
      <c r="J3321">
        <f>YEAR(SalesData[[#This Row],[Order Date]])</f>
        <v>2014</v>
      </c>
      <c r="K3321" t="str">
        <f>TEXT(SalesData[[#This Row],[Order Date]],"mmm")</f>
        <v>Feb</v>
      </c>
      <c r="L3321">
        <f>MONTH(SalesData[[#This Row],[Order Date]])</f>
        <v>2</v>
      </c>
      <c r="M3321">
        <f>SalesData[[#This Row],[Sales]]/SalesData[[#This Row],[Quantity]]</f>
        <v>4.7839999999999998</v>
      </c>
      <c r="N3321" t="str">
        <f>IF(SalesData[[#This Row],[Profit]]&gt;0,"Profit","Loss")</f>
        <v>Profit</v>
      </c>
    </row>
    <row r="3322" spans="1:14" x14ac:dyDescent="0.3">
      <c r="A3322" t="s">
        <v>139</v>
      </c>
      <c r="B3322" s="3">
        <v>41674</v>
      </c>
      <c r="C3322" t="s">
        <v>46</v>
      </c>
      <c r="D3322" t="s">
        <v>14</v>
      </c>
      <c r="E3322" t="s">
        <v>140</v>
      </c>
      <c r="F3322" s="1">
        <v>177.68</v>
      </c>
      <c r="G3322">
        <v>2</v>
      </c>
      <c r="H3322" s="1">
        <v>46.196800000000003</v>
      </c>
      <c r="I3322" s="4">
        <f>SalesData[[#This Row],[Profit]]/SalesData[[#This Row],[Sales]]</f>
        <v>0.26</v>
      </c>
      <c r="J3322">
        <f>YEAR(SalesData[[#This Row],[Order Date]])</f>
        <v>2014</v>
      </c>
      <c r="K3322" t="str">
        <f>TEXT(SalesData[[#This Row],[Order Date]],"mmm")</f>
        <v>Feb</v>
      </c>
      <c r="L3322">
        <f>MONTH(SalesData[[#This Row],[Order Date]])</f>
        <v>2</v>
      </c>
      <c r="M3322">
        <f>SalesData[[#This Row],[Sales]]/SalesData[[#This Row],[Quantity]]</f>
        <v>88.84</v>
      </c>
      <c r="N3322" t="str">
        <f>IF(SalesData[[#This Row],[Profit]]&gt;0,"Profit","Loss")</f>
        <v>Profit</v>
      </c>
    </row>
    <row r="3323" spans="1:14" x14ac:dyDescent="0.3">
      <c r="A3323" t="s">
        <v>141</v>
      </c>
      <c r="B3323" s="3">
        <v>41675</v>
      </c>
      <c r="C3323" t="s">
        <v>17</v>
      </c>
      <c r="D3323" t="s">
        <v>21</v>
      </c>
      <c r="E3323" t="s">
        <v>142</v>
      </c>
      <c r="F3323" s="1">
        <v>26.135999999999999</v>
      </c>
      <c r="G3323">
        <v>3</v>
      </c>
      <c r="H3323" s="1">
        <v>1.9601999999999999</v>
      </c>
      <c r="I3323" s="4">
        <f>SalesData[[#This Row],[Profit]]/SalesData[[#This Row],[Sales]]</f>
        <v>7.4999999999999997E-2</v>
      </c>
      <c r="J3323">
        <f>YEAR(SalesData[[#This Row],[Order Date]])</f>
        <v>2014</v>
      </c>
      <c r="K3323" t="str">
        <f>TEXT(SalesData[[#This Row],[Order Date]],"mmm")</f>
        <v>Feb</v>
      </c>
      <c r="L3323">
        <f>MONTH(SalesData[[#This Row],[Order Date]])</f>
        <v>2</v>
      </c>
      <c r="M3323">
        <f>SalesData[[#This Row],[Sales]]/SalesData[[#This Row],[Quantity]]</f>
        <v>8.7119999999999997</v>
      </c>
      <c r="N3323" t="str">
        <f>IF(SalesData[[#This Row],[Profit]]&gt;0,"Profit","Loss")</f>
        <v>Profit</v>
      </c>
    </row>
    <row r="3324" spans="1:14" x14ac:dyDescent="0.3">
      <c r="A3324" t="s">
        <v>143</v>
      </c>
      <c r="B3324" s="3">
        <v>41675</v>
      </c>
      <c r="C3324" t="s">
        <v>46</v>
      </c>
      <c r="D3324" t="s">
        <v>10</v>
      </c>
      <c r="E3324" t="s">
        <v>144</v>
      </c>
      <c r="F3324" s="1">
        <v>479.98399999999998</v>
      </c>
      <c r="G3324">
        <v>2</v>
      </c>
      <c r="H3324" s="1">
        <v>89.997</v>
      </c>
      <c r="I3324" s="4">
        <f>SalesData[[#This Row],[Profit]]/SalesData[[#This Row],[Sales]]</f>
        <v>0.1875</v>
      </c>
      <c r="J3324">
        <f>YEAR(SalesData[[#This Row],[Order Date]])</f>
        <v>2014</v>
      </c>
      <c r="K3324" t="str">
        <f>TEXT(SalesData[[#This Row],[Order Date]],"mmm")</f>
        <v>Feb</v>
      </c>
      <c r="L3324">
        <f>MONTH(SalesData[[#This Row],[Order Date]])</f>
        <v>2</v>
      </c>
      <c r="M3324">
        <f>SalesData[[#This Row],[Sales]]/SalesData[[#This Row],[Quantity]]</f>
        <v>239.99199999999999</v>
      </c>
      <c r="N3324" t="str">
        <f>IF(SalesData[[#This Row],[Profit]]&gt;0,"Profit","Loss")</f>
        <v>Profit</v>
      </c>
    </row>
    <row r="3325" spans="1:14" x14ac:dyDescent="0.3">
      <c r="A3325" t="s">
        <v>145</v>
      </c>
      <c r="B3325" s="3">
        <v>41676</v>
      </c>
      <c r="C3325" t="s">
        <v>13</v>
      </c>
      <c r="D3325" t="s">
        <v>21</v>
      </c>
      <c r="E3325" t="s">
        <v>104</v>
      </c>
      <c r="F3325" s="1">
        <v>59.808</v>
      </c>
      <c r="G3325">
        <v>3</v>
      </c>
      <c r="H3325" s="1">
        <v>19.4376</v>
      </c>
      <c r="I3325" s="4">
        <f>SalesData[[#This Row],[Profit]]/SalesData[[#This Row],[Sales]]</f>
        <v>0.32500000000000001</v>
      </c>
      <c r="J3325">
        <f>YEAR(SalesData[[#This Row],[Order Date]])</f>
        <v>2014</v>
      </c>
      <c r="K3325" t="str">
        <f>TEXT(SalesData[[#This Row],[Order Date]],"mmm")</f>
        <v>Feb</v>
      </c>
      <c r="L3325">
        <f>MONTH(SalesData[[#This Row],[Order Date]])</f>
        <v>2</v>
      </c>
      <c r="M3325">
        <f>SalesData[[#This Row],[Sales]]/SalesData[[#This Row],[Quantity]]</f>
        <v>19.936</v>
      </c>
      <c r="N3325" t="str">
        <f>IF(SalesData[[#This Row],[Profit]]&gt;0,"Profit","Loss")</f>
        <v>Profit</v>
      </c>
    </row>
    <row r="3326" spans="1:14" x14ac:dyDescent="0.3">
      <c r="A3326" t="s">
        <v>145</v>
      </c>
      <c r="B3326" s="3">
        <v>41676</v>
      </c>
      <c r="C3326" t="s">
        <v>13</v>
      </c>
      <c r="D3326" t="s">
        <v>14</v>
      </c>
      <c r="E3326" t="s">
        <v>146</v>
      </c>
      <c r="F3326" s="1">
        <v>73.319999999999993</v>
      </c>
      <c r="G3326">
        <v>6</v>
      </c>
      <c r="H3326" s="1">
        <v>21.995999999999999</v>
      </c>
      <c r="I3326" s="4">
        <f>SalesData[[#This Row],[Profit]]/SalesData[[#This Row],[Sales]]</f>
        <v>0.3</v>
      </c>
      <c r="J3326">
        <f>YEAR(SalesData[[#This Row],[Order Date]])</f>
        <v>2014</v>
      </c>
      <c r="K3326" t="str">
        <f>TEXT(SalesData[[#This Row],[Order Date]],"mmm")</f>
        <v>Feb</v>
      </c>
      <c r="L3326">
        <f>MONTH(SalesData[[#This Row],[Order Date]])</f>
        <v>2</v>
      </c>
      <c r="M3326">
        <f>SalesData[[#This Row],[Sales]]/SalesData[[#This Row],[Quantity]]</f>
        <v>12.219999999999999</v>
      </c>
      <c r="N3326" t="str">
        <f>IF(SalesData[[#This Row],[Profit]]&gt;0,"Profit","Loss")</f>
        <v>Profit</v>
      </c>
    </row>
    <row r="3327" spans="1:14" x14ac:dyDescent="0.3">
      <c r="A3327" t="s">
        <v>147</v>
      </c>
      <c r="B3327" s="3">
        <v>41676</v>
      </c>
      <c r="C3327" t="s">
        <v>46</v>
      </c>
      <c r="D3327" t="s">
        <v>21</v>
      </c>
      <c r="E3327" t="s">
        <v>148</v>
      </c>
      <c r="F3327" s="1">
        <v>8.56</v>
      </c>
      <c r="G3327">
        <v>2</v>
      </c>
      <c r="H3327" s="1">
        <v>2.6536</v>
      </c>
      <c r="I3327" s="4">
        <f>SalesData[[#This Row],[Profit]]/SalesData[[#This Row],[Sales]]</f>
        <v>0.31</v>
      </c>
      <c r="J3327">
        <f>YEAR(SalesData[[#This Row],[Order Date]])</f>
        <v>2014</v>
      </c>
      <c r="K3327" t="str">
        <f>TEXT(SalesData[[#This Row],[Order Date]],"mmm")</f>
        <v>Feb</v>
      </c>
      <c r="L3327">
        <f>MONTH(SalesData[[#This Row],[Order Date]])</f>
        <v>2</v>
      </c>
      <c r="M3327">
        <f>SalesData[[#This Row],[Sales]]/SalesData[[#This Row],[Quantity]]</f>
        <v>4.28</v>
      </c>
      <c r="N3327" t="str">
        <f>IF(SalesData[[#This Row],[Profit]]&gt;0,"Profit","Loss")</f>
        <v>Profit</v>
      </c>
    </row>
    <row r="3328" spans="1:14" x14ac:dyDescent="0.3">
      <c r="A3328" t="s">
        <v>147</v>
      </c>
      <c r="B3328" s="3">
        <v>41676</v>
      </c>
      <c r="C3328" t="s">
        <v>46</v>
      </c>
      <c r="D3328" t="s">
        <v>10</v>
      </c>
      <c r="E3328" t="s">
        <v>149</v>
      </c>
      <c r="F3328" s="1">
        <v>239.97</v>
      </c>
      <c r="G3328">
        <v>3</v>
      </c>
      <c r="H3328" s="1">
        <v>67.191599999999994</v>
      </c>
      <c r="I3328" s="4">
        <f>SalesData[[#This Row],[Profit]]/SalesData[[#This Row],[Sales]]</f>
        <v>0.27999999999999997</v>
      </c>
      <c r="J3328">
        <f>YEAR(SalesData[[#This Row],[Order Date]])</f>
        <v>2014</v>
      </c>
      <c r="K3328" t="str">
        <f>TEXT(SalesData[[#This Row],[Order Date]],"mmm")</f>
        <v>Feb</v>
      </c>
      <c r="L3328">
        <f>MONTH(SalesData[[#This Row],[Order Date]])</f>
        <v>2</v>
      </c>
      <c r="M3328">
        <f>SalesData[[#This Row],[Sales]]/SalesData[[#This Row],[Quantity]]</f>
        <v>79.989999999999995</v>
      </c>
      <c r="N3328" t="str">
        <f>IF(SalesData[[#This Row],[Profit]]&gt;0,"Profit","Loss")</f>
        <v>Profit</v>
      </c>
    </row>
    <row r="3329" spans="1:14" x14ac:dyDescent="0.3">
      <c r="A3329" t="s">
        <v>147</v>
      </c>
      <c r="B3329" s="3">
        <v>41676</v>
      </c>
      <c r="C3329" t="s">
        <v>46</v>
      </c>
      <c r="D3329" t="s">
        <v>21</v>
      </c>
      <c r="E3329" t="s">
        <v>150</v>
      </c>
      <c r="F3329" s="1">
        <v>356.94</v>
      </c>
      <c r="G3329">
        <v>2</v>
      </c>
      <c r="H3329" s="1">
        <v>107.08199999999999</v>
      </c>
      <c r="I3329" s="4">
        <f>SalesData[[#This Row],[Profit]]/SalesData[[#This Row],[Sales]]</f>
        <v>0.3</v>
      </c>
      <c r="J3329">
        <f>YEAR(SalesData[[#This Row],[Order Date]])</f>
        <v>2014</v>
      </c>
      <c r="K3329" t="str">
        <f>TEXT(SalesData[[#This Row],[Order Date]],"mmm")</f>
        <v>Feb</v>
      </c>
      <c r="L3329">
        <f>MONTH(SalesData[[#This Row],[Order Date]])</f>
        <v>2</v>
      </c>
      <c r="M3329">
        <f>SalesData[[#This Row],[Sales]]/SalesData[[#This Row],[Quantity]]</f>
        <v>178.47</v>
      </c>
      <c r="N3329" t="str">
        <f>IF(SalesData[[#This Row],[Profit]]&gt;0,"Profit","Loss")</f>
        <v>Profit</v>
      </c>
    </row>
    <row r="3330" spans="1:14" x14ac:dyDescent="0.3">
      <c r="A3330" t="s">
        <v>151</v>
      </c>
      <c r="B3330" s="3">
        <v>41677</v>
      </c>
      <c r="C3330" t="s">
        <v>17</v>
      </c>
      <c r="D3330" t="s">
        <v>10</v>
      </c>
      <c r="E3330" t="s">
        <v>152</v>
      </c>
      <c r="F3330" s="1">
        <v>73.98</v>
      </c>
      <c r="G3330">
        <v>2</v>
      </c>
      <c r="H3330" s="1">
        <v>19.974599999999999</v>
      </c>
      <c r="I3330" s="4">
        <f>SalesData[[#This Row],[Profit]]/SalesData[[#This Row],[Sales]]</f>
        <v>0.26999999999999996</v>
      </c>
      <c r="J3330">
        <f>YEAR(SalesData[[#This Row],[Order Date]])</f>
        <v>2014</v>
      </c>
      <c r="K3330" t="str">
        <f>TEXT(SalesData[[#This Row],[Order Date]],"mmm")</f>
        <v>Feb</v>
      </c>
      <c r="L3330">
        <f>MONTH(SalesData[[#This Row],[Order Date]])</f>
        <v>2</v>
      </c>
      <c r="M3330">
        <f>SalesData[[#This Row],[Sales]]/SalesData[[#This Row],[Quantity]]</f>
        <v>36.99</v>
      </c>
      <c r="N3330" t="str">
        <f>IF(SalesData[[#This Row],[Profit]]&gt;0,"Profit","Loss")</f>
        <v>Profit</v>
      </c>
    </row>
    <row r="3331" spans="1:14" x14ac:dyDescent="0.3">
      <c r="A3331" t="s">
        <v>151</v>
      </c>
      <c r="B3331" s="3">
        <v>41677</v>
      </c>
      <c r="C3331" t="s">
        <v>17</v>
      </c>
      <c r="D3331" t="s">
        <v>21</v>
      </c>
      <c r="E3331" t="s">
        <v>153</v>
      </c>
      <c r="F3331" s="1">
        <v>5.58</v>
      </c>
      <c r="G3331">
        <v>1</v>
      </c>
      <c r="H3331" s="1">
        <v>2.1762000000000001</v>
      </c>
      <c r="I3331" s="4">
        <f>SalesData[[#This Row],[Profit]]/SalesData[[#This Row],[Sales]]</f>
        <v>0.39</v>
      </c>
      <c r="J3331">
        <f>YEAR(SalesData[[#This Row],[Order Date]])</f>
        <v>2014</v>
      </c>
      <c r="K3331" t="str">
        <f>TEXT(SalesData[[#This Row],[Order Date]],"mmm")</f>
        <v>Feb</v>
      </c>
      <c r="L3331">
        <f>MONTH(SalesData[[#This Row],[Order Date]])</f>
        <v>2</v>
      </c>
      <c r="M3331">
        <f>SalesData[[#This Row],[Sales]]/SalesData[[#This Row],[Quantity]]</f>
        <v>5.58</v>
      </c>
      <c r="N3331" t="str">
        <f>IF(SalesData[[#This Row],[Profit]]&gt;0,"Profit","Loss")</f>
        <v>Profit</v>
      </c>
    </row>
    <row r="3332" spans="1:14" x14ac:dyDescent="0.3">
      <c r="A3332" t="s">
        <v>154</v>
      </c>
      <c r="B3332" s="3">
        <v>41678</v>
      </c>
      <c r="C3332" t="s">
        <v>9</v>
      </c>
      <c r="D3332" t="s">
        <v>21</v>
      </c>
      <c r="E3332" t="s">
        <v>155</v>
      </c>
      <c r="F3332" s="1">
        <v>26.7</v>
      </c>
      <c r="G3332">
        <v>5</v>
      </c>
      <c r="H3332" s="1">
        <v>12.548999999999999</v>
      </c>
      <c r="I3332" s="4">
        <f>SalesData[[#This Row],[Profit]]/SalesData[[#This Row],[Sales]]</f>
        <v>0.47</v>
      </c>
      <c r="J3332">
        <f>YEAR(SalesData[[#This Row],[Order Date]])</f>
        <v>2014</v>
      </c>
      <c r="K3332" t="str">
        <f>TEXT(SalesData[[#This Row],[Order Date]],"mmm")</f>
        <v>Feb</v>
      </c>
      <c r="L3332">
        <f>MONTH(SalesData[[#This Row],[Order Date]])</f>
        <v>2</v>
      </c>
      <c r="M3332">
        <f>SalesData[[#This Row],[Sales]]/SalesData[[#This Row],[Quantity]]</f>
        <v>5.34</v>
      </c>
      <c r="N3332" t="str">
        <f>IF(SalesData[[#This Row],[Profit]]&gt;0,"Profit","Loss")</f>
        <v>Profit</v>
      </c>
    </row>
    <row r="3333" spans="1:14" x14ac:dyDescent="0.3">
      <c r="A3333" t="s">
        <v>154</v>
      </c>
      <c r="B3333" s="3">
        <v>41678</v>
      </c>
      <c r="C3333" t="s">
        <v>9</v>
      </c>
      <c r="D3333" t="s">
        <v>10</v>
      </c>
      <c r="E3333" t="s">
        <v>156</v>
      </c>
      <c r="F3333" s="1">
        <v>21.2</v>
      </c>
      <c r="G3333">
        <v>2</v>
      </c>
      <c r="H3333" s="1">
        <v>9.1159999999999997</v>
      </c>
      <c r="I3333" s="4">
        <f>SalesData[[#This Row],[Profit]]/SalesData[[#This Row],[Sales]]</f>
        <v>0.43</v>
      </c>
      <c r="J3333">
        <f>YEAR(SalesData[[#This Row],[Order Date]])</f>
        <v>2014</v>
      </c>
      <c r="K3333" t="str">
        <f>TEXT(SalesData[[#This Row],[Order Date]],"mmm")</f>
        <v>Feb</v>
      </c>
      <c r="L3333">
        <f>MONTH(SalesData[[#This Row],[Order Date]])</f>
        <v>2</v>
      </c>
      <c r="M3333">
        <f>SalesData[[#This Row],[Sales]]/SalesData[[#This Row],[Quantity]]</f>
        <v>10.6</v>
      </c>
      <c r="N3333" t="str">
        <f>IF(SalesData[[#This Row],[Profit]]&gt;0,"Profit","Loss")</f>
        <v>Profit</v>
      </c>
    </row>
    <row r="3334" spans="1:14" x14ac:dyDescent="0.3">
      <c r="A3334" t="s">
        <v>154</v>
      </c>
      <c r="B3334" s="3">
        <v>41678</v>
      </c>
      <c r="C3334" t="s">
        <v>9</v>
      </c>
      <c r="D3334" t="s">
        <v>21</v>
      </c>
      <c r="E3334" t="s">
        <v>157</v>
      </c>
      <c r="F3334" s="1">
        <v>838.38</v>
      </c>
      <c r="G3334">
        <v>2</v>
      </c>
      <c r="H3334" s="1">
        <v>226.36259999999999</v>
      </c>
      <c r="I3334" s="4">
        <f>SalesData[[#This Row],[Profit]]/SalesData[[#This Row],[Sales]]</f>
        <v>0.26999999999999996</v>
      </c>
      <c r="J3334">
        <f>YEAR(SalesData[[#This Row],[Order Date]])</f>
        <v>2014</v>
      </c>
      <c r="K3334" t="str">
        <f>TEXT(SalesData[[#This Row],[Order Date]],"mmm")</f>
        <v>Feb</v>
      </c>
      <c r="L3334">
        <f>MONTH(SalesData[[#This Row],[Order Date]])</f>
        <v>2</v>
      </c>
      <c r="M3334">
        <f>SalesData[[#This Row],[Sales]]/SalesData[[#This Row],[Quantity]]</f>
        <v>419.19</v>
      </c>
      <c r="N3334" t="str">
        <f>IF(SalesData[[#This Row],[Profit]]&gt;0,"Profit","Loss")</f>
        <v>Profit</v>
      </c>
    </row>
    <row r="3335" spans="1:14" x14ac:dyDescent="0.3">
      <c r="A3335" t="s">
        <v>158</v>
      </c>
      <c r="B3335" s="3">
        <v>41679</v>
      </c>
      <c r="C3335" t="s">
        <v>17</v>
      </c>
      <c r="D3335" t="s">
        <v>21</v>
      </c>
      <c r="E3335" t="s">
        <v>159</v>
      </c>
      <c r="F3335" s="1">
        <v>19.899999999999999</v>
      </c>
      <c r="G3335">
        <v>1</v>
      </c>
      <c r="H3335" s="1">
        <v>8.9550000000000001</v>
      </c>
      <c r="I3335" s="4">
        <f>SalesData[[#This Row],[Profit]]/SalesData[[#This Row],[Sales]]</f>
        <v>0.45</v>
      </c>
      <c r="J3335">
        <f>YEAR(SalesData[[#This Row],[Order Date]])</f>
        <v>2014</v>
      </c>
      <c r="K3335" t="str">
        <f>TEXT(SalesData[[#This Row],[Order Date]],"mmm")</f>
        <v>Feb</v>
      </c>
      <c r="L3335">
        <f>MONTH(SalesData[[#This Row],[Order Date]])</f>
        <v>2</v>
      </c>
      <c r="M3335">
        <f>SalesData[[#This Row],[Sales]]/SalesData[[#This Row],[Quantity]]</f>
        <v>19.899999999999999</v>
      </c>
      <c r="N3335" t="str">
        <f>IF(SalesData[[#This Row],[Profit]]&gt;0,"Profit","Loss")</f>
        <v>Profit</v>
      </c>
    </row>
    <row r="3336" spans="1:14" x14ac:dyDescent="0.3">
      <c r="A3336" t="s">
        <v>158</v>
      </c>
      <c r="B3336" s="3">
        <v>41679</v>
      </c>
      <c r="C3336" t="s">
        <v>17</v>
      </c>
      <c r="D3336" t="s">
        <v>14</v>
      </c>
      <c r="E3336" t="s">
        <v>160</v>
      </c>
      <c r="F3336" s="1">
        <v>70.709999999999994</v>
      </c>
      <c r="G3336">
        <v>1</v>
      </c>
      <c r="H3336" s="1">
        <v>4.9497</v>
      </c>
      <c r="I3336" s="4">
        <f>SalesData[[#This Row],[Profit]]/SalesData[[#This Row],[Sales]]</f>
        <v>7.0000000000000007E-2</v>
      </c>
      <c r="J3336">
        <f>YEAR(SalesData[[#This Row],[Order Date]])</f>
        <v>2014</v>
      </c>
      <c r="K3336" t="str">
        <f>TEXT(SalesData[[#This Row],[Order Date]],"mmm")</f>
        <v>Feb</v>
      </c>
      <c r="L3336">
        <f>MONTH(SalesData[[#This Row],[Order Date]])</f>
        <v>2</v>
      </c>
      <c r="M3336">
        <f>SalesData[[#This Row],[Sales]]/SalesData[[#This Row],[Quantity]]</f>
        <v>70.709999999999994</v>
      </c>
      <c r="N3336" t="str">
        <f>IF(SalesData[[#This Row],[Profit]]&gt;0,"Profit","Loss")</f>
        <v>Profit</v>
      </c>
    </row>
    <row r="3337" spans="1:14" x14ac:dyDescent="0.3">
      <c r="A3337" t="s">
        <v>161</v>
      </c>
      <c r="B3337" s="3">
        <v>41679</v>
      </c>
      <c r="C3337" t="s">
        <v>17</v>
      </c>
      <c r="D3337" t="s">
        <v>21</v>
      </c>
      <c r="E3337" t="s">
        <v>162</v>
      </c>
      <c r="F3337" s="1">
        <v>21.24</v>
      </c>
      <c r="G3337">
        <v>3</v>
      </c>
      <c r="H3337" s="1">
        <v>8.0711999999999993</v>
      </c>
      <c r="I3337" s="4">
        <f>SalesData[[#This Row],[Profit]]/SalesData[[#This Row],[Sales]]</f>
        <v>0.38</v>
      </c>
      <c r="J3337">
        <f>YEAR(SalesData[[#This Row],[Order Date]])</f>
        <v>2014</v>
      </c>
      <c r="K3337" t="str">
        <f>TEXT(SalesData[[#This Row],[Order Date]],"mmm")</f>
        <v>Feb</v>
      </c>
      <c r="L3337">
        <f>MONTH(SalesData[[#This Row],[Order Date]])</f>
        <v>2</v>
      </c>
      <c r="M3337">
        <f>SalesData[[#This Row],[Sales]]/SalesData[[#This Row],[Quantity]]</f>
        <v>7.0799999999999992</v>
      </c>
      <c r="N3337" t="str">
        <f>IF(SalesData[[#This Row],[Profit]]&gt;0,"Profit","Loss")</f>
        <v>Profit</v>
      </c>
    </row>
    <row r="3338" spans="1:14" x14ac:dyDescent="0.3">
      <c r="A3338" t="s">
        <v>163</v>
      </c>
      <c r="B3338" s="3">
        <v>41679</v>
      </c>
      <c r="C3338" t="s">
        <v>17</v>
      </c>
      <c r="D3338" t="s">
        <v>21</v>
      </c>
      <c r="E3338" t="s">
        <v>164</v>
      </c>
      <c r="F3338" s="1">
        <v>57.75</v>
      </c>
      <c r="G3338">
        <v>5</v>
      </c>
      <c r="H3338" s="1">
        <v>16.170000000000002</v>
      </c>
      <c r="I3338" s="4">
        <f>SalesData[[#This Row],[Profit]]/SalesData[[#This Row],[Sales]]</f>
        <v>0.28000000000000003</v>
      </c>
      <c r="J3338">
        <f>YEAR(SalesData[[#This Row],[Order Date]])</f>
        <v>2014</v>
      </c>
      <c r="K3338" t="str">
        <f>TEXT(SalesData[[#This Row],[Order Date]],"mmm")</f>
        <v>Feb</v>
      </c>
      <c r="L3338">
        <f>MONTH(SalesData[[#This Row],[Order Date]])</f>
        <v>2</v>
      </c>
      <c r="M3338">
        <f>SalesData[[#This Row],[Sales]]/SalesData[[#This Row],[Quantity]]</f>
        <v>11.55</v>
      </c>
      <c r="N3338" t="str">
        <f>IF(SalesData[[#This Row],[Profit]]&gt;0,"Profit","Loss")</f>
        <v>Profit</v>
      </c>
    </row>
    <row r="3339" spans="1:14" x14ac:dyDescent="0.3">
      <c r="A3339" t="s">
        <v>163</v>
      </c>
      <c r="B3339" s="3">
        <v>41679</v>
      </c>
      <c r="C3339" t="s">
        <v>17</v>
      </c>
      <c r="D3339" t="s">
        <v>21</v>
      </c>
      <c r="E3339" t="s">
        <v>94</v>
      </c>
      <c r="F3339" s="1">
        <v>14.94</v>
      </c>
      <c r="G3339">
        <v>3</v>
      </c>
      <c r="H3339" s="1">
        <v>7.0217999999999998</v>
      </c>
      <c r="I3339" s="4">
        <f>SalesData[[#This Row],[Profit]]/SalesData[[#This Row],[Sales]]</f>
        <v>0.47000000000000003</v>
      </c>
      <c r="J3339">
        <f>YEAR(SalesData[[#This Row],[Order Date]])</f>
        <v>2014</v>
      </c>
      <c r="K3339" t="str">
        <f>TEXT(SalesData[[#This Row],[Order Date]],"mmm")</f>
        <v>Feb</v>
      </c>
      <c r="L3339">
        <f>MONTH(SalesData[[#This Row],[Order Date]])</f>
        <v>2</v>
      </c>
      <c r="M3339">
        <f>SalesData[[#This Row],[Sales]]/SalesData[[#This Row],[Quantity]]</f>
        <v>4.9799999999999995</v>
      </c>
      <c r="N3339" t="str">
        <f>IF(SalesData[[#This Row],[Profit]]&gt;0,"Profit","Loss")</f>
        <v>Profit</v>
      </c>
    </row>
    <row r="3340" spans="1:14" x14ac:dyDescent="0.3">
      <c r="A3340" t="s">
        <v>165</v>
      </c>
      <c r="B3340" s="3">
        <v>41679</v>
      </c>
      <c r="C3340" t="s">
        <v>9</v>
      </c>
      <c r="D3340" t="s">
        <v>10</v>
      </c>
      <c r="E3340" t="s">
        <v>166</v>
      </c>
      <c r="F3340" s="1">
        <v>239.976</v>
      </c>
      <c r="G3340">
        <v>3</v>
      </c>
      <c r="H3340" s="1">
        <v>53.994599999999998</v>
      </c>
      <c r="I3340" s="4">
        <f>SalesData[[#This Row],[Profit]]/SalesData[[#This Row],[Sales]]</f>
        <v>0.22500000000000001</v>
      </c>
      <c r="J3340">
        <f>YEAR(SalesData[[#This Row],[Order Date]])</f>
        <v>2014</v>
      </c>
      <c r="K3340" t="str">
        <f>TEXT(SalesData[[#This Row],[Order Date]],"mmm")</f>
        <v>Feb</v>
      </c>
      <c r="L3340">
        <f>MONTH(SalesData[[#This Row],[Order Date]])</f>
        <v>2</v>
      </c>
      <c r="M3340">
        <f>SalesData[[#This Row],[Sales]]/SalesData[[#This Row],[Quantity]]</f>
        <v>79.992000000000004</v>
      </c>
      <c r="N3340" t="str">
        <f>IF(SalesData[[#This Row],[Profit]]&gt;0,"Profit","Loss")</f>
        <v>Profit</v>
      </c>
    </row>
    <row r="3341" spans="1:14" x14ac:dyDescent="0.3">
      <c r="A3341" t="s">
        <v>167</v>
      </c>
      <c r="B3341" s="3">
        <v>41679</v>
      </c>
      <c r="C3341" t="s">
        <v>9</v>
      </c>
      <c r="D3341" t="s">
        <v>10</v>
      </c>
      <c r="E3341" t="s">
        <v>168</v>
      </c>
      <c r="F3341" s="1">
        <v>559.71</v>
      </c>
      <c r="G3341">
        <v>3</v>
      </c>
      <c r="H3341" s="1">
        <v>-121.2705</v>
      </c>
      <c r="I3341" s="4">
        <f>SalesData[[#This Row],[Profit]]/SalesData[[#This Row],[Sales]]</f>
        <v>-0.21666666666666665</v>
      </c>
      <c r="J3341">
        <f>YEAR(SalesData[[#This Row],[Order Date]])</f>
        <v>2014</v>
      </c>
      <c r="K3341" t="str">
        <f>TEXT(SalesData[[#This Row],[Order Date]],"mmm")</f>
        <v>Feb</v>
      </c>
      <c r="L3341">
        <f>MONTH(SalesData[[#This Row],[Order Date]])</f>
        <v>2</v>
      </c>
      <c r="M3341">
        <f>SalesData[[#This Row],[Sales]]/SalesData[[#This Row],[Quantity]]</f>
        <v>186.57000000000002</v>
      </c>
      <c r="N3341" t="str">
        <f>IF(SalesData[[#This Row],[Profit]]&gt;0,"Profit","Loss")</f>
        <v>Loss</v>
      </c>
    </row>
    <row r="3342" spans="1:14" x14ac:dyDescent="0.3">
      <c r="A3342" t="s">
        <v>169</v>
      </c>
      <c r="B3342" s="3">
        <v>41679</v>
      </c>
      <c r="C3342" t="s">
        <v>46</v>
      </c>
      <c r="D3342" t="s">
        <v>21</v>
      </c>
      <c r="E3342" t="s">
        <v>170</v>
      </c>
      <c r="F3342" s="1">
        <v>1793.98</v>
      </c>
      <c r="G3342">
        <v>2</v>
      </c>
      <c r="H3342" s="1">
        <v>843.17060000000004</v>
      </c>
      <c r="I3342" s="4">
        <f>SalesData[[#This Row],[Profit]]/SalesData[[#This Row],[Sales]]</f>
        <v>0.47000000000000003</v>
      </c>
      <c r="J3342">
        <f>YEAR(SalesData[[#This Row],[Order Date]])</f>
        <v>2014</v>
      </c>
      <c r="K3342" t="str">
        <f>TEXT(SalesData[[#This Row],[Order Date]],"mmm")</f>
        <v>Feb</v>
      </c>
      <c r="L3342">
        <f>MONTH(SalesData[[#This Row],[Order Date]])</f>
        <v>2</v>
      </c>
      <c r="M3342">
        <f>SalesData[[#This Row],[Sales]]/SalesData[[#This Row],[Quantity]]</f>
        <v>896.99</v>
      </c>
      <c r="N3342" t="str">
        <f>IF(SalesData[[#This Row],[Profit]]&gt;0,"Profit","Loss")</f>
        <v>Profit</v>
      </c>
    </row>
    <row r="3343" spans="1:14" x14ac:dyDescent="0.3">
      <c r="A3343" t="s">
        <v>171</v>
      </c>
      <c r="B3343" s="3">
        <v>41679</v>
      </c>
      <c r="C3343" t="s">
        <v>9</v>
      </c>
      <c r="D3343" t="s">
        <v>10</v>
      </c>
      <c r="E3343" t="s">
        <v>172</v>
      </c>
      <c r="F3343" s="1">
        <v>475.94400000000002</v>
      </c>
      <c r="G3343">
        <v>7</v>
      </c>
      <c r="H3343" s="1">
        <v>95.188800000000001</v>
      </c>
      <c r="I3343" s="4">
        <f>SalesData[[#This Row],[Profit]]/SalesData[[#This Row],[Sales]]</f>
        <v>0.19999999999999998</v>
      </c>
      <c r="J3343">
        <f>YEAR(SalesData[[#This Row],[Order Date]])</f>
        <v>2014</v>
      </c>
      <c r="K3343" t="str">
        <f>TEXT(SalesData[[#This Row],[Order Date]],"mmm")</f>
        <v>Feb</v>
      </c>
      <c r="L3343">
        <f>MONTH(SalesData[[#This Row],[Order Date]])</f>
        <v>2</v>
      </c>
      <c r="M3343">
        <f>SalesData[[#This Row],[Sales]]/SalesData[[#This Row],[Quantity]]</f>
        <v>67.992000000000004</v>
      </c>
      <c r="N3343" t="str">
        <f>IF(SalesData[[#This Row],[Profit]]&gt;0,"Profit","Loss")</f>
        <v>Profit</v>
      </c>
    </row>
    <row r="3344" spans="1:14" x14ac:dyDescent="0.3">
      <c r="A3344" t="s">
        <v>173</v>
      </c>
      <c r="B3344" s="3">
        <v>41680</v>
      </c>
      <c r="C3344" t="s">
        <v>13</v>
      </c>
      <c r="D3344" t="s">
        <v>21</v>
      </c>
      <c r="E3344" t="s">
        <v>174</v>
      </c>
      <c r="F3344" s="1">
        <v>9.4079999999999995</v>
      </c>
      <c r="G3344">
        <v>2</v>
      </c>
      <c r="H3344" s="1">
        <v>3.4104000000000001</v>
      </c>
      <c r="I3344" s="4">
        <f>SalesData[[#This Row],[Profit]]/SalesData[[#This Row],[Sales]]</f>
        <v>0.36250000000000004</v>
      </c>
      <c r="J3344">
        <f>YEAR(SalesData[[#This Row],[Order Date]])</f>
        <v>2014</v>
      </c>
      <c r="K3344" t="str">
        <f>TEXT(SalesData[[#This Row],[Order Date]],"mmm")</f>
        <v>Feb</v>
      </c>
      <c r="L3344">
        <f>MONTH(SalesData[[#This Row],[Order Date]])</f>
        <v>2</v>
      </c>
      <c r="M3344">
        <f>SalesData[[#This Row],[Sales]]/SalesData[[#This Row],[Quantity]]</f>
        <v>4.7039999999999997</v>
      </c>
      <c r="N3344" t="str">
        <f>IF(SalesData[[#This Row],[Profit]]&gt;0,"Profit","Loss")</f>
        <v>Profit</v>
      </c>
    </row>
    <row r="3345" spans="1:14" x14ac:dyDescent="0.3">
      <c r="A3345" t="s">
        <v>173</v>
      </c>
      <c r="B3345" s="3">
        <v>41680</v>
      </c>
      <c r="C3345" t="s">
        <v>13</v>
      </c>
      <c r="D3345" t="s">
        <v>21</v>
      </c>
      <c r="E3345" t="s">
        <v>83</v>
      </c>
      <c r="F3345" s="1">
        <v>4.6719999999999997</v>
      </c>
      <c r="G3345">
        <v>2</v>
      </c>
      <c r="H3345" s="1">
        <v>1.46</v>
      </c>
      <c r="I3345" s="4">
        <f>SalesData[[#This Row],[Profit]]/SalesData[[#This Row],[Sales]]</f>
        <v>0.3125</v>
      </c>
      <c r="J3345">
        <f>YEAR(SalesData[[#This Row],[Order Date]])</f>
        <v>2014</v>
      </c>
      <c r="K3345" t="str">
        <f>TEXT(SalesData[[#This Row],[Order Date]],"mmm")</f>
        <v>Feb</v>
      </c>
      <c r="L3345">
        <f>MONTH(SalesData[[#This Row],[Order Date]])</f>
        <v>2</v>
      </c>
      <c r="M3345">
        <f>SalesData[[#This Row],[Sales]]/SalesData[[#This Row],[Quantity]]</f>
        <v>2.3359999999999999</v>
      </c>
      <c r="N3345" t="str">
        <f>IF(SalesData[[#This Row],[Profit]]&gt;0,"Profit","Loss")</f>
        <v>Profit</v>
      </c>
    </row>
    <row r="3346" spans="1:14" x14ac:dyDescent="0.3">
      <c r="A3346" t="s">
        <v>173</v>
      </c>
      <c r="B3346" s="3">
        <v>41680</v>
      </c>
      <c r="C3346" t="s">
        <v>13</v>
      </c>
      <c r="D3346" t="s">
        <v>10</v>
      </c>
      <c r="E3346" t="s">
        <v>175</v>
      </c>
      <c r="F3346" s="1">
        <v>318.39999999999998</v>
      </c>
      <c r="G3346">
        <v>2</v>
      </c>
      <c r="H3346" s="1">
        <v>107.46</v>
      </c>
      <c r="I3346" s="4">
        <f>SalesData[[#This Row],[Profit]]/SalesData[[#This Row],[Sales]]</f>
        <v>0.33750000000000002</v>
      </c>
      <c r="J3346">
        <f>YEAR(SalesData[[#This Row],[Order Date]])</f>
        <v>2014</v>
      </c>
      <c r="K3346" t="str">
        <f>TEXT(SalesData[[#This Row],[Order Date]],"mmm")</f>
        <v>Feb</v>
      </c>
      <c r="L3346">
        <f>MONTH(SalesData[[#This Row],[Order Date]])</f>
        <v>2</v>
      </c>
      <c r="M3346">
        <f>SalesData[[#This Row],[Sales]]/SalesData[[#This Row],[Quantity]]</f>
        <v>159.19999999999999</v>
      </c>
      <c r="N3346" t="str">
        <f>IF(SalesData[[#This Row],[Profit]]&gt;0,"Profit","Loss")</f>
        <v>Profit</v>
      </c>
    </row>
    <row r="3347" spans="1:14" x14ac:dyDescent="0.3">
      <c r="A3347" t="s">
        <v>173</v>
      </c>
      <c r="B3347" s="3">
        <v>41680</v>
      </c>
      <c r="C3347" t="s">
        <v>13</v>
      </c>
      <c r="D3347" t="s">
        <v>21</v>
      </c>
      <c r="E3347" t="s">
        <v>176</v>
      </c>
      <c r="F3347" s="1">
        <v>12.768000000000001</v>
      </c>
      <c r="G3347">
        <v>6</v>
      </c>
      <c r="H3347" s="1">
        <v>4.6284000000000001</v>
      </c>
      <c r="I3347" s="4">
        <f>SalesData[[#This Row],[Profit]]/SalesData[[#This Row],[Sales]]</f>
        <v>0.36249999999999999</v>
      </c>
      <c r="J3347">
        <f>YEAR(SalesData[[#This Row],[Order Date]])</f>
        <v>2014</v>
      </c>
      <c r="K3347" t="str">
        <f>TEXT(SalesData[[#This Row],[Order Date]],"mmm")</f>
        <v>Feb</v>
      </c>
      <c r="L3347">
        <f>MONTH(SalesData[[#This Row],[Order Date]])</f>
        <v>2</v>
      </c>
      <c r="M3347">
        <f>SalesData[[#This Row],[Sales]]/SalesData[[#This Row],[Quantity]]</f>
        <v>2.1280000000000001</v>
      </c>
      <c r="N3347" t="str">
        <f>IF(SalesData[[#This Row],[Profit]]&gt;0,"Profit","Loss")</f>
        <v>Profit</v>
      </c>
    </row>
    <row r="3348" spans="1:14" x14ac:dyDescent="0.3">
      <c r="A3348" t="s">
        <v>173</v>
      </c>
      <c r="B3348" s="3">
        <v>41680</v>
      </c>
      <c r="C3348" t="s">
        <v>13</v>
      </c>
      <c r="D3348" t="s">
        <v>21</v>
      </c>
      <c r="E3348" t="s">
        <v>177</v>
      </c>
      <c r="F3348" s="1">
        <v>15.36</v>
      </c>
      <c r="G3348">
        <v>2</v>
      </c>
      <c r="H3348" s="1">
        <v>-3.2639999999999998</v>
      </c>
      <c r="I3348" s="4">
        <f>SalesData[[#This Row],[Profit]]/SalesData[[#This Row],[Sales]]</f>
        <v>-0.21249999999999999</v>
      </c>
      <c r="J3348">
        <f>YEAR(SalesData[[#This Row],[Order Date]])</f>
        <v>2014</v>
      </c>
      <c r="K3348" t="str">
        <f>TEXT(SalesData[[#This Row],[Order Date]],"mmm")</f>
        <v>Feb</v>
      </c>
      <c r="L3348">
        <f>MONTH(SalesData[[#This Row],[Order Date]])</f>
        <v>2</v>
      </c>
      <c r="M3348">
        <f>SalesData[[#This Row],[Sales]]/SalesData[[#This Row],[Quantity]]</f>
        <v>7.68</v>
      </c>
      <c r="N3348" t="str">
        <f>IF(SalesData[[#This Row],[Profit]]&gt;0,"Profit","Loss")</f>
        <v>Loss</v>
      </c>
    </row>
    <row r="3349" spans="1:14" x14ac:dyDescent="0.3">
      <c r="A3349" t="s">
        <v>173</v>
      </c>
      <c r="B3349" s="3">
        <v>41680</v>
      </c>
      <c r="C3349" t="s">
        <v>13</v>
      </c>
      <c r="D3349" t="s">
        <v>10</v>
      </c>
      <c r="E3349" t="s">
        <v>178</v>
      </c>
      <c r="F3349" s="1">
        <v>230.376</v>
      </c>
      <c r="G3349">
        <v>3</v>
      </c>
      <c r="H3349" s="1">
        <v>20.157900000000001</v>
      </c>
      <c r="I3349" s="4">
        <f>SalesData[[#This Row],[Profit]]/SalesData[[#This Row],[Sales]]</f>
        <v>8.7500000000000008E-2</v>
      </c>
      <c r="J3349">
        <f>YEAR(SalesData[[#This Row],[Order Date]])</f>
        <v>2014</v>
      </c>
      <c r="K3349" t="str">
        <f>TEXT(SalesData[[#This Row],[Order Date]],"mmm")</f>
        <v>Feb</v>
      </c>
      <c r="L3349">
        <f>MONTH(SalesData[[#This Row],[Order Date]])</f>
        <v>2</v>
      </c>
      <c r="M3349">
        <f>SalesData[[#This Row],[Sales]]/SalesData[[#This Row],[Quantity]]</f>
        <v>76.792000000000002</v>
      </c>
      <c r="N3349" t="str">
        <f>IF(SalesData[[#This Row],[Profit]]&gt;0,"Profit","Loss")</f>
        <v>Profit</v>
      </c>
    </row>
    <row r="3350" spans="1:14" x14ac:dyDescent="0.3">
      <c r="A3350" t="s">
        <v>173</v>
      </c>
      <c r="B3350" s="3">
        <v>41680</v>
      </c>
      <c r="C3350" t="s">
        <v>13</v>
      </c>
      <c r="D3350" t="s">
        <v>10</v>
      </c>
      <c r="E3350" t="s">
        <v>179</v>
      </c>
      <c r="F3350" s="1">
        <v>7.16</v>
      </c>
      <c r="G3350">
        <v>1</v>
      </c>
      <c r="H3350" s="1">
        <v>-8.9499999999999996E-2</v>
      </c>
      <c r="I3350" s="4">
        <f>SalesData[[#This Row],[Profit]]/SalesData[[#This Row],[Sales]]</f>
        <v>-1.2499999999999999E-2</v>
      </c>
      <c r="J3350">
        <f>YEAR(SalesData[[#This Row],[Order Date]])</f>
        <v>2014</v>
      </c>
      <c r="K3350" t="str">
        <f>TEXT(SalesData[[#This Row],[Order Date]],"mmm")</f>
        <v>Feb</v>
      </c>
      <c r="L3350">
        <f>MONTH(SalesData[[#This Row],[Order Date]])</f>
        <v>2</v>
      </c>
      <c r="M3350">
        <f>SalesData[[#This Row],[Sales]]/SalesData[[#This Row],[Quantity]]</f>
        <v>7.16</v>
      </c>
      <c r="N3350" t="str">
        <f>IF(SalesData[[#This Row],[Profit]]&gt;0,"Profit","Loss")</f>
        <v>Loss</v>
      </c>
    </row>
    <row r="3351" spans="1:14" x14ac:dyDescent="0.3">
      <c r="A3351" t="s">
        <v>180</v>
      </c>
      <c r="B3351" s="3">
        <v>41681</v>
      </c>
      <c r="C3351" t="s">
        <v>17</v>
      </c>
      <c r="D3351" t="s">
        <v>21</v>
      </c>
      <c r="E3351" t="s">
        <v>181</v>
      </c>
      <c r="F3351" s="1">
        <v>34.86</v>
      </c>
      <c r="G3351">
        <v>7</v>
      </c>
      <c r="H3351" s="1">
        <v>16.035599999999999</v>
      </c>
      <c r="I3351" s="4">
        <f>SalesData[[#This Row],[Profit]]/SalesData[[#This Row],[Sales]]</f>
        <v>0.45999999999999996</v>
      </c>
      <c r="J3351">
        <f>YEAR(SalesData[[#This Row],[Order Date]])</f>
        <v>2014</v>
      </c>
      <c r="K3351" t="str">
        <f>TEXT(SalesData[[#This Row],[Order Date]],"mmm")</f>
        <v>Feb</v>
      </c>
      <c r="L3351">
        <f>MONTH(SalesData[[#This Row],[Order Date]])</f>
        <v>2</v>
      </c>
      <c r="M3351">
        <f>SalesData[[#This Row],[Sales]]/SalesData[[#This Row],[Quantity]]</f>
        <v>4.9799999999999995</v>
      </c>
      <c r="N3351" t="str">
        <f>IF(SalesData[[#This Row],[Profit]]&gt;0,"Profit","Loss")</f>
        <v>Profit</v>
      </c>
    </row>
    <row r="3352" spans="1:14" x14ac:dyDescent="0.3">
      <c r="A3352" t="s">
        <v>180</v>
      </c>
      <c r="B3352" s="3">
        <v>41681</v>
      </c>
      <c r="C3352" t="s">
        <v>17</v>
      </c>
      <c r="D3352" t="s">
        <v>14</v>
      </c>
      <c r="E3352" t="s">
        <v>182</v>
      </c>
      <c r="F3352" s="1">
        <v>89.34</v>
      </c>
      <c r="G3352">
        <v>6</v>
      </c>
      <c r="H3352" s="1">
        <v>24.1218</v>
      </c>
      <c r="I3352" s="4">
        <f>SalesData[[#This Row],[Profit]]/SalesData[[#This Row],[Sales]]</f>
        <v>0.27</v>
      </c>
      <c r="J3352">
        <f>YEAR(SalesData[[#This Row],[Order Date]])</f>
        <v>2014</v>
      </c>
      <c r="K3352" t="str">
        <f>TEXT(SalesData[[#This Row],[Order Date]],"mmm")</f>
        <v>Feb</v>
      </c>
      <c r="L3352">
        <f>MONTH(SalesData[[#This Row],[Order Date]])</f>
        <v>2</v>
      </c>
      <c r="M3352">
        <f>SalesData[[#This Row],[Sales]]/SalesData[[#This Row],[Quantity]]</f>
        <v>14.89</v>
      </c>
      <c r="N3352" t="str">
        <f>IF(SalesData[[#This Row],[Profit]]&gt;0,"Profit","Loss")</f>
        <v>Profit</v>
      </c>
    </row>
    <row r="3353" spans="1:14" x14ac:dyDescent="0.3">
      <c r="A3353" t="s">
        <v>183</v>
      </c>
      <c r="B3353" s="3">
        <v>41681</v>
      </c>
      <c r="C3353" t="s">
        <v>9</v>
      </c>
      <c r="D3353" t="s">
        <v>10</v>
      </c>
      <c r="E3353" t="s">
        <v>152</v>
      </c>
      <c r="F3353" s="1">
        <v>88.775999999999996</v>
      </c>
      <c r="G3353">
        <v>3</v>
      </c>
      <c r="H3353" s="1">
        <v>7.7679</v>
      </c>
      <c r="I3353" s="4">
        <f>SalesData[[#This Row],[Profit]]/SalesData[[#This Row],[Sales]]</f>
        <v>8.7500000000000008E-2</v>
      </c>
      <c r="J3353">
        <f>YEAR(SalesData[[#This Row],[Order Date]])</f>
        <v>2014</v>
      </c>
      <c r="K3353" t="str">
        <f>TEXT(SalesData[[#This Row],[Order Date]],"mmm")</f>
        <v>Feb</v>
      </c>
      <c r="L3353">
        <f>MONTH(SalesData[[#This Row],[Order Date]])</f>
        <v>2</v>
      </c>
      <c r="M3353">
        <f>SalesData[[#This Row],[Sales]]/SalesData[[#This Row],[Quantity]]</f>
        <v>29.591999999999999</v>
      </c>
      <c r="N3353" t="str">
        <f>IF(SalesData[[#This Row],[Profit]]&gt;0,"Profit","Loss")</f>
        <v>Profit</v>
      </c>
    </row>
    <row r="3354" spans="1:14" x14ac:dyDescent="0.3">
      <c r="A3354" t="s">
        <v>184</v>
      </c>
      <c r="B3354" s="3">
        <v>41681</v>
      </c>
      <c r="C3354" t="s">
        <v>17</v>
      </c>
      <c r="D3354" t="s">
        <v>10</v>
      </c>
      <c r="E3354" t="s">
        <v>185</v>
      </c>
      <c r="F3354" s="1">
        <v>539.96400000000006</v>
      </c>
      <c r="G3354">
        <v>6</v>
      </c>
      <c r="H3354" s="1">
        <v>-107.9928</v>
      </c>
      <c r="I3354" s="4">
        <f>SalesData[[#This Row],[Profit]]/SalesData[[#This Row],[Sales]]</f>
        <v>-0.19999999999999998</v>
      </c>
      <c r="J3354">
        <f>YEAR(SalesData[[#This Row],[Order Date]])</f>
        <v>2014</v>
      </c>
      <c r="K3354" t="str">
        <f>TEXT(SalesData[[#This Row],[Order Date]],"mmm")</f>
        <v>Feb</v>
      </c>
      <c r="L3354">
        <f>MONTH(SalesData[[#This Row],[Order Date]])</f>
        <v>2</v>
      </c>
      <c r="M3354">
        <f>SalesData[[#This Row],[Sales]]/SalesData[[#This Row],[Quantity]]</f>
        <v>89.994000000000014</v>
      </c>
      <c r="N3354" t="str">
        <f>IF(SalesData[[#This Row],[Profit]]&gt;0,"Profit","Loss")</f>
        <v>Loss</v>
      </c>
    </row>
    <row r="3355" spans="1:14" x14ac:dyDescent="0.3">
      <c r="A3355" t="s">
        <v>184</v>
      </c>
      <c r="B3355" s="3">
        <v>41681</v>
      </c>
      <c r="C3355" t="s">
        <v>17</v>
      </c>
      <c r="D3355" t="s">
        <v>10</v>
      </c>
      <c r="E3355" t="s">
        <v>186</v>
      </c>
      <c r="F3355" s="1">
        <v>50.231999999999999</v>
      </c>
      <c r="G3355">
        <v>7</v>
      </c>
      <c r="H3355" s="1">
        <v>-10.0464</v>
      </c>
      <c r="I3355" s="4">
        <f>SalesData[[#This Row],[Profit]]/SalesData[[#This Row],[Sales]]</f>
        <v>-0.2</v>
      </c>
      <c r="J3355">
        <f>YEAR(SalesData[[#This Row],[Order Date]])</f>
        <v>2014</v>
      </c>
      <c r="K3355" t="str">
        <f>TEXT(SalesData[[#This Row],[Order Date]],"mmm")</f>
        <v>Feb</v>
      </c>
      <c r="L3355">
        <f>MONTH(SalesData[[#This Row],[Order Date]])</f>
        <v>2</v>
      </c>
      <c r="M3355">
        <f>SalesData[[#This Row],[Sales]]/SalesData[[#This Row],[Quantity]]</f>
        <v>7.1760000000000002</v>
      </c>
      <c r="N3355" t="str">
        <f>IF(SalesData[[#This Row],[Profit]]&gt;0,"Profit","Loss")</f>
        <v>Loss</v>
      </c>
    </row>
    <row r="3356" spans="1:14" x14ac:dyDescent="0.3">
      <c r="A3356" t="s">
        <v>184</v>
      </c>
      <c r="B3356" s="3">
        <v>41681</v>
      </c>
      <c r="C3356" t="s">
        <v>17</v>
      </c>
      <c r="D3356" t="s">
        <v>21</v>
      </c>
      <c r="E3356" t="s">
        <v>187</v>
      </c>
      <c r="F3356" s="1">
        <v>19.242000000000001</v>
      </c>
      <c r="G3356">
        <v>3</v>
      </c>
      <c r="H3356" s="1">
        <v>-13.4694</v>
      </c>
      <c r="I3356" s="4">
        <f>SalesData[[#This Row],[Profit]]/SalesData[[#This Row],[Sales]]</f>
        <v>-0.7</v>
      </c>
      <c r="J3356">
        <f>YEAR(SalesData[[#This Row],[Order Date]])</f>
        <v>2014</v>
      </c>
      <c r="K3356" t="str">
        <f>TEXT(SalesData[[#This Row],[Order Date]],"mmm")</f>
        <v>Feb</v>
      </c>
      <c r="L3356">
        <f>MONTH(SalesData[[#This Row],[Order Date]])</f>
        <v>2</v>
      </c>
      <c r="M3356">
        <f>SalesData[[#This Row],[Sales]]/SalesData[[#This Row],[Quantity]]</f>
        <v>6.4140000000000006</v>
      </c>
      <c r="N3356" t="str">
        <f>IF(SalesData[[#This Row],[Profit]]&gt;0,"Profit","Loss")</f>
        <v>Loss</v>
      </c>
    </row>
    <row r="3357" spans="1:14" x14ac:dyDescent="0.3">
      <c r="A3357" t="s">
        <v>188</v>
      </c>
      <c r="B3357" s="3">
        <v>41681</v>
      </c>
      <c r="C3357" t="s">
        <v>46</v>
      </c>
      <c r="D3357" t="s">
        <v>10</v>
      </c>
      <c r="E3357" t="s">
        <v>189</v>
      </c>
      <c r="F3357" s="1">
        <v>799.92</v>
      </c>
      <c r="G3357">
        <v>10</v>
      </c>
      <c r="H3357" s="1">
        <v>239.976</v>
      </c>
      <c r="I3357" s="4">
        <f>SalesData[[#This Row],[Profit]]/SalesData[[#This Row],[Sales]]</f>
        <v>0.3</v>
      </c>
      <c r="J3357">
        <f>YEAR(SalesData[[#This Row],[Order Date]])</f>
        <v>2014</v>
      </c>
      <c r="K3357" t="str">
        <f>TEXT(SalesData[[#This Row],[Order Date]],"mmm")</f>
        <v>Feb</v>
      </c>
      <c r="L3357">
        <f>MONTH(SalesData[[#This Row],[Order Date]])</f>
        <v>2</v>
      </c>
      <c r="M3357">
        <f>SalesData[[#This Row],[Sales]]/SalesData[[#This Row],[Quantity]]</f>
        <v>79.99199999999999</v>
      </c>
      <c r="N3357" t="str">
        <f>IF(SalesData[[#This Row],[Profit]]&gt;0,"Profit","Loss")</f>
        <v>Profit</v>
      </c>
    </row>
    <row r="3358" spans="1:14" x14ac:dyDescent="0.3">
      <c r="A3358" t="s">
        <v>190</v>
      </c>
      <c r="B3358" s="3">
        <v>41681</v>
      </c>
      <c r="C3358" t="s">
        <v>13</v>
      </c>
      <c r="D3358" t="s">
        <v>10</v>
      </c>
      <c r="E3358" t="s">
        <v>191</v>
      </c>
      <c r="F3358" s="1">
        <v>46.384</v>
      </c>
      <c r="G3358">
        <v>2</v>
      </c>
      <c r="H3358" s="1">
        <v>5.2182000000000004</v>
      </c>
      <c r="I3358" s="4">
        <f>SalesData[[#This Row],[Profit]]/SalesData[[#This Row],[Sales]]</f>
        <v>0.1125</v>
      </c>
      <c r="J3358">
        <f>YEAR(SalesData[[#This Row],[Order Date]])</f>
        <v>2014</v>
      </c>
      <c r="K3358" t="str">
        <f>TEXT(SalesData[[#This Row],[Order Date]],"mmm")</f>
        <v>Feb</v>
      </c>
      <c r="L3358">
        <f>MONTH(SalesData[[#This Row],[Order Date]])</f>
        <v>2</v>
      </c>
      <c r="M3358">
        <f>SalesData[[#This Row],[Sales]]/SalesData[[#This Row],[Quantity]]</f>
        <v>23.192</v>
      </c>
      <c r="N3358" t="str">
        <f>IF(SalesData[[#This Row],[Profit]]&gt;0,"Profit","Loss")</f>
        <v>Profit</v>
      </c>
    </row>
    <row r="3359" spans="1:14" x14ac:dyDescent="0.3">
      <c r="A3359" t="s">
        <v>190</v>
      </c>
      <c r="B3359" s="3">
        <v>41681</v>
      </c>
      <c r="C3359" t="s">
        <v>13</v>
      </c>
      <c r="D3359" t="s">
        <v>21</v>
      </c>
      <c r="E3359" t="s">
        <v>192</v>
      </c>
      <c r="F3359" s="1">
        <v>362.92</v>
      </c>
      <c r="G3359">
        <v>2</v>
      </c>
      <c r="H3359" s="1">
        <v>105.24679999999999</v>
      </c>
      <c r="I3359" s="4">
        <f>SalesData[[#This Row],[Profit]]/SalesData[[#This Row],[Sales]]</f>
        <v>0.28999999999999998</v>
      </c>
      <c r="J3359">
        <f>YEAR(SalesData[[#This Row],[Order Date]])</f>
        <v>2014</v>
      </c>
      <c r="K3359" t="str">
        <f>TEXT(SalesData[[#This Row],[Order Date]],"mmm")</f>
        <v>Feb</v>
      </c>
      <c r="L3359">
        <f>MONTH(SalesData[[#This Row],[Order Date]])</f>
        <v>2</v>
      </c>
      <c r="M3359">
        <f>SalesData[[#This Row],[Sales]]/SalesData[[#This Row],[Quantity]]</f>
        <v>181.46</v>
      </c>
      <c r="N3359" t="str">
        <f>IF(SalesData[[#This Row],[Profit]]&gt;0,"Profit","Loss")</f>
        <v>Profit</v>
      </c>
    </row>
    <row r="3360" spans="1:14" x14ac:dyDescent="0.3">
      <c r="A3360" t="s">
        <v>193</v>
      </c>
      <c r="B3360" s="3">
        <v>41681</v>
      </c>
      <c r="C3360" t="s">
        <v>13</v>
      </c>
      <c r="D3360" t="s">
        <v>10</v>
      </c>
      <c r="E3360" t="s">
        <v>194</v>
      </c>
      <c r="F3360" s="1">
        <v>41.94</v>
      </c>
      <c r="G3360">
        <v>2</v>
      </c>
      <c r="H3360" s="1">
        <v>15.0984</v>
      </c>
      <c r="I3360" s="4">
        <f>SalesData[[#This Row],[Profit]]/SalesData[[#This Row],[Sales]]</f>
        <v>0.36000000000000004</v>
      </c>
      <c r="J3360">
        <f>YEAR(SalesData[[#This Row],[Order Date]])</f>
        <v>2014</v>
      </c>
      <c r="K3360" t="str">
        <f>TEXT(SalesData[[#This Row],[Order Date]],"mmm")</f>
        <v>Feb</v>
      </c>
      <c r="L3360">
        <f>MONTH(SalesData[[#This Row],[Order Date]])</f>
        <v>2</v>
      </c>
      <c r="M3360">
        <f>SalesData[[#This Row],[Sales]]/SalesData[[#This Row],[Quantity]]</f>
        <v>20.97</v>
      </c>
      <c r="N3360" t="str">
        <f>IF(SalesData[[#This Row],[Profit]]&gt;0,"Profit","Loss")</f>
        <v>Profit</v>
      </c>
    </row>
    <row r="3361" spans="1:14" x14ac:dyDescent="0.3">
      <c r="A3361" t="s">
        <v>193</v>
      </c>
      <c r="B3361" s="3">
        <v>41681</v>
      </c>
      <c r="C3361" t="s">
        <v>13</v>
      </c>
      <c r="D3361" t="s">
        <v>10</v>
      </c>
      <c r="E3361" t="s">
        <v>195</v>
      </c>
      <c r="F3361" s="1">
        <v>52.792000000000002</v>
      </c>
      <c r="G3361">
        <v>1</v>
      </c>
      <c r="H3361" s="1">
        <v>4.6193</v>
      </c>
      <c r="I3361" s="4">
        <f>SalesData[[#This Row],[Profit]]/SalesData[[#This Row],[Sales]]</f>
        <v>8.7499999999999994E-2</v>
      </c>
      <c r="J3361">
        <f>YEAR(SalesData[[#This Row],[Order Date]])</f>
        <v>2014</v>
      </c>
      <c r="K3361" t="str">
        <f>TEXT(SalesData[[#This Row],[Order Date]],"mmm")</f>
        <v>Feb</v>
      </c>
      <c r="L3361">
        <f>MONTH(SalesData[[#This Row],[Order Date]])</f>
        <v>2</v>
      </c>
      <c r="M3361">
        <f>SalesData[[#This Row],[Sales]]/SalesData[[#This Row],[Quantity]]</f>
        <v>52.792000000000002</v>
      </c>
      <c r="N3361" t="str">
        <f>IF(SalesData[[#This Row],[Profit]]&gt;0,"Profit","Loss")</f>
        <v>Profit</v>
      </c>
    </row>
    <row r="3362" spans="1:14" x14ac:dyDescent="0.3">
      <c r="A3362" t="s">
        <v>196</v>
      </c>
      <c r="B3362" s="3">
        <v>41682</v>
      </c>
      <c r="C3362" t="s">
        <v>17</v>
      </c>
      <c r="D3362" t="s">
        <v>10</v>
      </c>
      <c r="E3362" t="s">
        <v>197</v>
      </c>
      <c r="F3362" s="1">
        <v>119.96</v>
      </c>
      <c r="G3362">
        <v>4</v>
      </c>
      <c r="H3362" s="1">
        <v>52.782400000000003</v>
      </c>
      <c r="I3362" s="4">
        <f>SalesData[[#This Row],[Profit]]/SalesData[[#This Row],[Sales]]</f>
        <v>0.44000000000000006</v>
      </c>
      <c r="J3362">
        <f>YEAR(SalesData[[#This Row],[Order Date]])</f>
        <v>2014</v>
      </c>
      <c r="K3362" t="str">
        <f>TEXT(SalesData[[#This Row],[Order Date]],"mmm")</f>
        <v>Feb</v>
      </c>
      <c r="L3362">
        <f>MONTH(SalesData[[#This Row],[Order Date]])</f>
        <v>2</v>
      </c>
      <c r="M3362">
        <f>SalesData[[#This Row],[Sales]]/SalesData[[#This Row],[Quantity]]</f>
        <v>29.99</v>
      </c>
      <c r="N3362" t="str">
        <f>IF(SalesData[[#This Row],[Profit]]&gt;0,"Profit","Loss")</f>
        <v>Profit</v>
      </c>
    </row>
    <row r="3363" spans="1:14" x14ac:dyDescent="0.3">
      <c r="A3363" t="s">
        <v>196</v>
      </c>
      <c r="B3363" s="3">
        <v>41682</v>
      </c>
      <c r="C3363" t="s">
        <v>17</v>
      </c>
      <c r="D3363" t="s">
        <v>14</v>
      </c>
      <c r="E3363" t="s">
        <v>198</v>
      </c>
      <c r="F3363" s="1">
        <v>883.92</v>
      </c>
      <c r="G3363">
        <v>5</v>
      </c>
      <c r="H3363" s="1">
        <v>-110.49</v>
      </c>
      <c r="I3363" s="4">
        <f>SalesData[[#This Row],[Profit]]/SalesData[[#This Row],[Sales]]</f>
        <v>-0.125</v>
      </c>
      <c r="J3363">
        <f>YEAR(SalesData[[#This Row],[Order Date]])</f>
        <v>2014</v>
      </c>
      <c r="K3363" t="str">
        <f>TEXT(SalesData[[#This Row],[Order Date]],"mmm")</f>
        <v>Feb</v>
      </c>
      <c r="L3363">
        <f>MONTH(SalesData[[#This Row],[Order Date]])</f>
        <v>2</v>
      </c>
      <c r="M3363">
        <f>SalesData[[#This Row],[Sales]]/SalesData[[#This Row],[Quantity]]</f>
        <v>176.78399999999999</v>
      </c>
      <c r="N3363" t="str">
        <f>IF(SalesData[[#This Row],[Profit]]&gt;0,"Profit","Loss")</f>
        <v>Loss</v>
      </c>
    </row>
    <row r="3364" spans="1:14" x14ac:dyDescent="0.3">
      <c r="A3364" t="s">
        <v>196</v>
      </c>
      <c r="B3364" s="3">
        <v>41682</v>
      </c>
      <c r="C3364" t="s">
        <v>17</v>
      </c>
      <c r="D3364" t="s">
        <v>21</v>
      </c>
      <c r="E3364" t="s">
        <v>199</v>
      </c>
      <c r="F3364" s="1">
        <v>46.72</v>
      </c>
      <c r="G3364">
        <v>8</v>
      </c>
      <c r="H3364" s="1">
        <v>15.768000000000001</v>
      </c>
      <c r="I3364" s="4">
        <f>SalesData[[#This Row],[Profit]]/SalesData[[#This Row],[Sales]]</f>
        <v>0.33750000000000002</v>
      </c>
      <c r="J3364">
        <f>YEAR(SalesData[[#This Row],[Order Date]])</f>
        <v>2014</v>
      </c>
      <c r="K3364" t="str">
        <f>TEXT(SalesData[[#This Row],[Order Date]],"mmm")</f>
        <v>Feb</v>
      </c>
      <c r="L3364">
        <f>MONTH(SalesData[[#This Row],[Order Date]])</f>
        <v>2</v>
      </c>
      <c r="M3364">
        <f>SalesData[[#This Row],[Sales]]/SalesData[[#This Row],[Quantity]]</f>
        <v>5.84</v>
      </c>
      <c r="N3364" t="str">
        <f>IF(SalesData[[#This Row],[Profit]]&gt;0,"Profit","Loss")</f>
        <v>Profit</v>
      </c>
    </row>
    <row r="3365" spans="1:14" x14ac:dyDescent="0.3">
      <c r="A3365" t="s">
        <v>200</v>
      </c>
      <c r="B3365" s="3">
        <v>41682</v>
      </c>
      <c r="C3365" t="s">
        <v>9</v>
      </c>
      <c r="D3365" t="s">
        <v>14</v>
      </c>
      <c r="E3365" t="s">
        <v>201</v>
      </c>
      <c r="F3365" s="1">
        <v>58.36</v>
      </c>
      <c r="G3365">
        <v>5</v>
      </c>
      <c r="H3365" s="1">
        <v>-24.803000000000001</v>
      </c>
      <c r="I3365" s="4">
        <f>SalesData[[#This Row],[Profit]]/SalesData[[#This Row],[Sales]]</f>
        <v>-0.42500000000000004</v>
      </c>
      <c r="J3365">
        <f>YEAR(SalesData[[#This Row],[Order Date]])</f>
        <v>2014</v>
      </c>
      <c r="K3365" t="str">
        <f>TEXT(SalesData[[#This Row],[Order Date]],"mmm")</f>
        <v>Feb</v>
      </c>
      <c r="L3365">
        <f>MONTH(SalesData[[#This Row],[Order Date]])</f>
        <v>2</v>
      </c>
      <c r="M3365">
        <f>SalesData[[#This Row],[Sales]]/SalesData[[#This Row],[Quantity]]</f>
        <v>11.672000000000001</v>
      </c>
      <c r="N3365" t="str">
        <f>IF(SalesData[[#This Row],[Profit]]&gt;0,"Profit","Loss")</f>
        <v>Loss</v>
      </c>
    </row>
    <row r="3366" spans="1:14" x14ac:dyDescent="0.3">
      <c r="A3366" t="s">
        <v>200</v>
      </c>
      <c r="B3366" s="3">
        <v>41682</v>
      </c>
      <c r="C3366" t="s">
        <v>9</v>
      </c>
      <c r="D3366" t="s">
        <v>21</v>
      </c>
      <c r="E3366" t="s">
        <v>202</v>
      </c>
      <c r="F3366" s="1">
        <v>16.463999999999999</v>
      </c>
      <c r="G3366">
        <v>7</v>
      </c>
      <c r="H3366" s="1">
        <v>1.4406000000000001</v>
      </c>
      <c r="I3366" s="4">
        <f>SalesData[[#This Row],[Profit]]/SalesData[[#This Row],[Sales]]</f>
        <v>8.7500000000000008E-2</v>
      </c>
      <c r="J3366">
        <f>YEAR(SalesData[[#This Row],[Order Date]])</f>
        <v>2014</v>
      </c>
      <c r="K3366" t="str">
        <f>TEXT(SalesData[[#This Row],[Order Date]],"mmm")</f>
        <v>Feb</v>
      </c>
      <c r="L3366">
        <f>MONTH(SalesData[[#This Row],[Order Date]])</f>
        <v>2</v>
      </c>
      <c r="M3366">
        <f>SalesData[[#This Row],[Sales]]/SalesData[[#This Row],[Quantity]]</f>
        <v>2.3519999999999999</v>
      </c>
      <c r="N3366" t="str">
        <f>IF(SalesData[[#This Row],[Profit]]&gt;0,"Profit","Loss")</f>
        <v>Profit</v>
      </c>
    </row>
    <row r="3367" spans="1:14" x14ac:dyDescent="0.3">
      <c r="A3367" t="s">
        <v>200</v>
      </c>
      <c r="B3367" s="3">
        <v>41682</v>
      </c>
      <c r="C3367" t="s">
        <v>9</v>
      </c>
      <c r="D3367" t="s">
        <v>14</v>
      </c>
      <c r="E3367" t="s">
        <v>203</v>
      </c>
      <c r="F3367" s="1">
        <v>39.96</v>
      </c>
      <c r="G3367">
        <v>5</v>
      </c>
      <c r="H3367" s="1">
        <v>-23.975999999999999</v>
      </c>
      <c r="I3367" s="4">
        <f>SalesData[[#This Row],[Profit]]/SalesData[[#This Row],[Sales]]</f>
        <v>-0.6</v>
      </c>
      <c r="J3367">
        <f>YEAR(SalesData[[#This Row],[Order Date]])</f>
        <v>2014</v>
      </c>
      <c r="K3367" t="str">
        <f>TEXT(SalesData[[#This Row],[Order Date]],"mmm")</f>
        <v>Feb</v>
      </c>
      <c r="L3367">
        <f>MONTH(SalesData[[#This Row],[Order Date]])</f>
        <v>2</v>
      </c>
      <c r="M3367">
        <f>SalesData[[#This Row],[Sales]]/SalesData[[#This Row],[Quantity]]</f>
        <v>7.992</v>
      </c>
      <c r="N3367" t="str">
        <f>IF(SalesData[[#This Row],[Profit]]&gt;0,"Profit","Loss")</f>
        <v>Loss</v>
      </c>
    </row>
    <row r="3368" spans="1:14" x14ac:dyDescent="0.3">
      <c r="A3368" t="s">
        <v>204</v>
      </c>
      <c r="B3368" s="3">
        <v>41682</v>
      </c>
      <c r="C3368" t="s">
        <v>17</v>
      </c>
      <c r="D3368" t="s">
        <v>10</v>
      </c>
      <c r="E3368" t="s">
        <v>205</v>
      </c>
      <c r="F3368" s="1">
        <v>119.8</v>
      </c>
      <c r="G3368">
        <v>5</v>
      </c>
      <c r="H3368" s="1">
        <v>29.95</v>
      </c>
      <c r="I3368" s="4">
        <f>SalesData[[#This Row],[Profit]]/SalesData[[#This Row],[Sales]]</f>
        <v>0.25</v>
      </c>
      <c r="J3368">
        <f>YEAR(SalesData[[#This Row],[Order Date]])</f>
        <v>2014</v>
      </c>
      <c r="K3368" t="str">
        <f>TEXT(SalesData[[#This Row],[Order Date]],"mmm")</f>
        <v>Feb</v>
      </c>
      <c r="L3368">
        <f>MONTH(SalesData[[#This Row],[Order Date]])</f>
        <v>2</v>
      </c>
      <c r="M3368">
        <f>SalesData[[#This Row],[Sales]]/SalesData[[#This Row],[Quantity]]</f>
        <v>23.96</v>
      </c>
      <c r="N3368" t="str">
        <f>IF(SalesData[[#This Row],[Profit]]&gt;0,"Profit","Loss")</f>
        <v>Profit</v>
      </c>
    </row>
    <row r="3369" spans="1:14" x14ac:dyDescent="0.3">
      <c r="A3369" t="s">
        <v>206</v>
      </c>
      <c r="B3369" s="3">
        <v>41682</v>
      </c>
      <c r="C3369" t="s">
        <v>9</v>
      </c>
      <c r="D3369" t="s">
        <v>21</v>
      </c>
      <c r="E3369" t="s">
        <v>207</v>
      </c>
      <c r="F3369" s="1">
        <v>2.3940000000000001</v>
      </c>
      <c r="G3369">
        <v>1</v>
      </c>
      <c r="H3369" s="1">
        <v>-6.3441000000000001</v>
      </c>
      <c r="I3369" s="4">
        <f>SalesData[[#This Row],[Profit]]/SalesData[[#This Row],[Sales]]</f>
        <v>-2.65</v>
      </c>
      <c r="J3369">
        <f>YEAR(SalesData[[#This Row],[Order Date]])</f>
        <v>2014</v>
      </c>
      <c r="K3369" t="str">
        <f>TEXT(SalesData[[#This Row],[Order Date]],"mmm")</f>
        <v>Feb</v>
      </c>
      <c r="L3369">
        <f>MONTH(SalesData[[#This Row],[Order Date]])</f>
        <v>2</v>
      </c>
      <c r="M3369">
        <f>SalesData[[#This Row],[Sales]]/SalesData[[#This Row],[Quantity]]</f>
        <v>2.3940000000000001</v>
      </c>
      <c r="N3369" t="str">
        <f>IF(SalesData[[#This Row],[Profit]]&gt;0,"Profit","Loss")</f>
        <v>Loss</v>
      </c>
    </row>
    <row r="3370" spans="1:14" x14ac:dyDescent="0.3">
      <c r="A3370" t="s">
        <v>208</v>
      </c>
      <c r="B3370" s="3">
        <v>41682</v>
      </c>
      <c r="C3370" t="s">
        <v>17</v>
      </c>
      <c r="D3370" t="s">
        <v>14</v>
      </c>
      <c r="E3370" t="s">
        <v>209</v>
      </c>
      <c r="F3370" s="1">
        <v>60.72</v>
      </c>
      <c r="G3370">
        <v>3</v>
      </c>
      <c r="H3370" s="1">
        <v>23.680800000000001</v>
      </c>
      <c r="I3370" s="4">
        <f>SalesData[[#This Row],[Profit]]/SalesData[[#This Row],[Sales]]</f>
        <v>0.39</v>
      </c>
      <c r="J3370">
        <f>YEAR(SalesData[[#This Row],[Order Date]])</f>
        <v>2014</v>
      </c>
      <c r="K3370" t="str">
        <f>TEXT(SalesData[[#This Row],[Order Date]],"mmm")</f>
        <v>Feb</v>
      </c>
      <c r="L3370">
        <f>MONTH(SalesData[[#This Row],[Order Date]])</f>
        <v>2</v>
      </c>
      <c r="M3370">
        <f>SalesData[[#This Row],[Sales]]/SalesData[[#This Row],[Quantity]]</f>
        <v>20.239999999999998</v>
      </c>
      <c r="N3370" t="str">
        <f>IF(SalesData[[#This Row],[Profit]]&gt;0,"Profit","Loss")</f>
        <v>Profit</v>
      </c>
    </row>
    <row r="3371" spans="1:14" x14ac:dyDescent="0.3">
      <c r="A3371" t="s">
        <v>208</v>
      </c>
      <c r="B3371" s="3">
        <v>41682</v>
      </c>
      <c r="C3371" t="s">
        <v>17</v>
      </c>
      <c r="D3371" t="s">
        <v>21</v>
      </c>
      <c r="E3371" t="s">
        <v>210</v>
      </c>
      <c r="F3371" s="1">
        <v>146.82</v>
      </c>
      <c r="G3371">
        <v>3</v>
      </c>
      <c r="H3371" s="1">
        <v>73.41</v>
      </c>
      <c r="I3371" s="4">
        <f>SalesData[[#This Row],[Profit]]/SalesData[[#This Row],[Sales]]</f>
        <v>0.5</v>
      </c>
      <c r="J3371">
        <f>YEAR(SalesData[[#This Row],[Order Date]])</f>
        <v>2014</v>
      </c>
      <c r="K3371" t="str">
        <f>TEXT(SalesData[[#This Row],[Order Date]],"mmm")</f>
        <v>Feb</v>
      </c>
      <c r="L3371">
        <f>MONTH(SalesData[[#This Row],[Order Date]])</f>
        <v>2</v>
      </c>
      <c r="M3371">
        <f>SalesData[[#This Row],[Sales]]/SalesData[[#This Row],[Quantity]]</f>
        <v>48.94</v>
      </c>
      <c r="N3371" t="str">
        <f>IF(SalesData[[#This Row],[Profit]]&gt;0,"Profit","Loss")</f>
        <v>Profit</v>
      </c>
    </row>
    <row r="3372" spans="1:14" x14ac:dyDescent="0.3">
      <c r="A3372" t="s">
        <v>208</v>
      </c>
      <c r="B3372" s="3">
        <v>41682</v>
      </c>
      <c r="C3372" t="s">
        <v>17</v>
      </c>
      <c r="D3372" t="s">
        <v>14</v>
      </c>
      <c r="E3372" t="s">
        <v>211</v>
      </c>
      <c r="F3372" s="1">
        <v>239.84</v>
      </c>
      <c r="G3372">
        <v>8</v>
      </c>
      <c r="H3372" s="1">
        <v>64.756799999999998</v>
      </c>
      <c r="I3372" s="4">
        <f>SalesData[[#This Row],[Profit]]/SalesData[[#This Row],[Sales]]</f>
        <v>0.26999999999999996</v>
      </c>
      <c r="J3372">
        <f>YEAR(SalesData[[#This Row],[Order Date]])</f>
        <v>2014</v>
      </c>
      <c r="K3372" t="str">
        <f>TEXT(SalesData[[#This Row],[Order Date]],"mmm")</f>
        <v>Feb</v>
      </c>
      <c r="L3372">
        <f>MONTH(SalesData[[#This Row],[Order Date]])</f>
        <v>2</v>
      </c>
      <c r="M3372">
        <f>SalesData[[#This Row],[Sales]]/SalesData[[#This Row],[Quantity]]</f>
        <v>29.98</v>
      </c>
      <c r="N3372" t="str">
        <f>IF(SalesData[[#This Row],[Profit]]&gt;0,"Profit","Loss")</f>
        <v>Profit</v>
      </c>
    </row>
    <row r="3373" spans="1:14" x14ac:dyDescent="0.3">
      <c r="A3373" t="s">
        <v>208</v>
      </c>
      <c r="B3373" s="3">
        <v>41682</v>
      </c>
      <c r="C3373" t="s">
        <v>17</v>
      </c>
      <c r="D3373" t="s">
        <v>21</v>
      </c>
      <c r="E3373" t="s">
        <v>212</v>
      </c>
      <c r="F3373" s="1">
        <v>15.66</v>
      </c>
      <c r="G3373">
        <v>6</v>
      </c>
      <c r="H3373" s="1">
        <v>7.2035999999999998</v>
      </c>
      <c r="I3373" s="4">
        <f>SalesData[[#This Row],[Profit]]/SalesData[[#This Row],[Sales]]</f>
        <v>0.45999999999999996</v>
      </c>
      <c r="J3373">
        <f>YEAR(SalesData[[#This Row],[Order Date]])</f>
        <v>2014</v>
      </c>
      <c r="K3373" t="str">
        <f>TEXT(SalesData[[#This Row],[Order Date]],"mmm")</f>
        <v>Feb</v>
      </c>
      <c r="L3373">
        <f>MONTH(SalesData[[#This Row],[Order Date]])</f>
        <v>2</v>
      </c>
      <c r="M3373">
        <f>SalesData[[#This Row],[Sales]]/SalesData[[#This Row],[Quantity]]</f>
        <v>2.61</v>
      </c>
      <c r="N3373" t="str">
        <f>IF(SalesData[[#This Row],[Profit]]&gt;0,"Profit","Loss")</f>
        <v>Profit</v>
      </c>
    </row>
    <row r="3374" spans="1:14" x14ac:dyDescent="0.3">
      <c r="A3374" t="s">
        <v>213</v>
      </c>
      <c r="B3374" s="3">
        <v>41682</v>
      </c>
      <c r="C3374" t="s">
        <v>46</v>
      </c>
      <c r="D3374" t="s">
        <v>10</v>
      </c>
      <c r="E3374" t="s">
        <v>214</v>
      </c>
      <c r="F3374" s="1">
        <v>5.95</v>
      </c>
      <c r="G3374">
        <v>1</v>
      </c>
      <c r="H3374" s="1">
        <v>0.83299999999999996</v>
      </c>
      <c r="I3374" s="4">
        <f>SalesData[[#This Row],[Profit]]/SalesData[[#This Row],[Sales]]</f>
        <v>0.13999999999999999</v>
      </c>
      <c r="J3374">
        <f>YEAR(SalesData[[#This Row],[Order Date]])</f>
        <v>2014</v>
      </c>
      <c r="K3374" t="str">
        <f>TEXT(SalesData[[#This Row],[Order Date]],"mmm")</f>
        <v>Feb</v>
      </c>
      <c r="L3374">
        <f>MONTH(SalesData[[#This Row],[Order Date]])</f>
        <v>2</v>
      </c>
      <c r="M3374">
        <f>SalesData[[#This Row],[Sales]]/SalesData[[#This Row],[Quantity]]</f>
        <v>5.95</v>
      </c>
      <c r="N3374" t="str">
        <f>IF(SalesData[[#This Row],[Profit]]&gt;0,"Profit","Loss")</f>
        <v>Profit</v>
      </c>
    </row>
    <row r="3375" spans="1:14" x14ac:dyDescent="0.3">
      <c r="A3375" t="s">
        <v>213</v>
      </c>
      <c r="B3375" s="3">
        <v>41682</v>
      </c>
      <c r="C3375" t="s">
        <v>46</v>
      </c>
      <c r="D3375" t="s">
        <v>21</v>
      </c>
      <c r="E3375" t="s">
        <v>215</v>
      </c>
      <c r="F3375" s="1">
        <v>15.24</v>
      </c>
      <c r="G3375">
        <v>3</v>
      </c>
      <c r="H3375" s="1">
        <v>7.1627999999999998</v>
      </c>
      <c r="I3375" s="4">
        <f>SalesData[[#This Row],[Profit]]/SalesData[[#This Row],[Sales]]</f>
        <v>0.47</v>
      </c>
      <c r="J3375">
        <f>YEAR(SalesData[[#This Row],[Order Date]])</f>
        <v>2014</v>
      </c>
      <c r="K3375" t="str">
        <f>TEXT(SalesData[[#This Row],[Order Date]],"mmm")</f>
        <v>Feb</v>
      </c>
      <c r="L3375">
        <f>MONTH(SalesData[[#This Row],[Order Date]])</f>
        <v>2</v>
      </c>
      <c r="M3375">
        <f>SalesData[[#This Row],[Sales]]/SalesData[[#This Row],[Quantity]]</f>
        <v>5.08</v>
      </c>
      <c r="N3375" t="str">
        <f>IF(SalesData[[#This Row],[Profit]]&gt;0,"Profit","Loss")</f>
        <v>Profit</v>
      </c>
    </row>
    <row r="3376" spans="1:14" x14ac:dyDescent="0.3">
      <c r="A3376" t="s">
        <v>216</v>
      </c>
      <c r="B3376" s="3">
        <v>41699</v>
      </c>
      <c r="C3376" t="s">
        <v>9</v>
      </c>
      <c r="D3376" t="s">
        <v>21</v>
      </c>
      <c r="E3376" t="s">
        <v>217</v>
      </c>
      <c r="F3376" s="1">
        <v>16.448</v>
      </c>
      <c r="G3376">
        <v>2</v>
      </c>
      <c r="H3376" s="1">
        <v>5.5511999999999997</v>
      </c>
      <c r="I3376" s="4">
        <f>SalesData[[#This Row],[Profit]]/SalesData[[#This Row],[Sales]]</f>
        <v>0.33749999999999997</v>
      </c>
      <c r="J3376">
        <f>YEAR(SalesData[[#This Row],[Order Date]])</f>
        <v>2014</v>
      </c>
      <c r="K3376" t="str">
        <f>TEXT(SalesData[[#This Row],[Order Date]],"mmm")</f>
        <v>Mar</v>
      </c>
      <c r="L3376">
        <f>MONTH(SalesData[[#This Row],[Order Date]])</f>
        <v>3</v>
      </c>
      <c r="M3376">
        <f>SalesData[[#This Row],[Sales]]/SalesData[[#This Row],[Quantity]]</f>
        <v>8.2240000000000002</v>
      </c>
      <c r="N3376" t="str">
        <f>IF(SalesData[[#This Row],[Profit]]&gt;0,"Profit","Loss")</f>
        <v>Profit</v>
      </c>
    </row>
    <row r="3377" spans="1:14" x14ac:dyDescent="0.3">
      <c r="A3377" t="s">
        <v>218</v>
      </c>
      <c r="B3377" s="3">
        <v>41700</v>
      </c>
      <c r="C3377" t="s">
        <v>13</v>
      </c>
      <c r="D3377" t="s">
        <v>21</v>
      </c>
      <c r="E3377" t="s">
        <v>219</v>
      </c>
      <c r="F3377" s="1">
        <v>83.84</v>
      </c>
      <c r="G3377">
        <v>2</v>
      </c>
      <c r="H3377" s="1">
        <v>27.248000000000001</v>
      </c>
      <c r="I3377" s="4">
        <f>SalesData[[#This Row],[Profit]]/SalesData[[#This Row],[Sales]]</f>
        <v>0.32500000000000001</v>
      </c>
      <c r="J3377">
        <f>YEAR(SalesData[[#This Row],[Order Date]])</f>
        <v>2014</v>
      </c>
      <c r="K3377" t="str">
        <f>TEXT(SalesData[[#This Row],[Order Date]],"mmm")</f>
        <v>Mar</v>
      </c>
      <c r="L3377">
        <f>MONTH(SalesData[[#This Row],[Order Date]])</f>
        <v>3</v>
      </c>
      <c r="M3377">
        <f>SalesData[[#This Row],[Sales]]/SalesData[[#This Row],[Quantity]]</f>
        <v>41.92</v>
      </c>
      <c r="N3377" t="str">
        <f>IF(SalesData[[#This Row],[Profit]]&gt;0,"Profit","Loss")</f>
        <v>Profit</v>
      </c>
    </row>
    <row r="3378" spans="1:14" x14ac:dyDescent="0.3">
      <c r="A3378" t="s">
        <v>218</v>
      </c>
      <c r="B3378" s="3">
        <v>41700</v>
      </c>
      <c r="C3378" t="s">
        <v>13</v>
      </c>
      <c r="D3378" t="s">
        <v>21</v>
      </c>
      <c r="E3378" t="s">
        <v>220</v>
      </c>
      <c r="F3378" s="1">
        <v>13.272</v>
      </c>
      <c r="G3378">
        <v>3</v>
      </c>
      <c r="H3378" s="1">
        <v>4.3133999999999997</v>
      </c>
      <c r="I3378" s="4">
        <f>SalesData[[#This Row],[Profit]]/SalesData[[#This Row],[Sales]]</f>
        <v>0.32499999999999996</v>
      </c>
      <c r="J3378">
        <f>YEAR(SalesData[[#This Row],[Order Date]])</f>
        <v>2014</v>
      </c>
      <c r="K3378" t="str">
        <f>TEXT(SalesData[[#This Row],[Order Date]],"mmm")</f>
        <v>Mar</v>
      </c>
      <c r="L3378">
        <f>MONTH(SalesData[[#This Row],[Order Date]])</f>
        <v>3</v>
      </c>
      <c r="M3378">
        <f>SalesData[[#This Row],[Sales]]/SalesData[[#This Row],[Quantity]]</f>
        <v>4.4240000000000004</v>
      </c>
      <c r="N3378" t="str">
        <f>IF(SalesData[[#This Row],[Profit]]&gt;0,"Profit","Loss")</f>
        <v>Profit</v>
      </c>
    </row>
    <row r="3379" spans="1:14" x14ac:dyDescent="0.3">
      <c r="A3379" t="s">
        <v>221</v>
      </c>
      <c r="B3379" s="3">
        <v>41701</v>
      </c>
      <c r="C3379" t="s">
        <v>46</v>
      </c>
      <c r="D3379" t="s">
        <v>21</v>
      </c>
      <c r="E3379" t="s">
        <v>222</v>
      </c>
      <c r="F3379" s="1">
        <v>19.456</v>
      </c>
      <c r="G3379">
        <v>4</v>
      </c>
      <c r="H3379" s="1">
        <v>3.4047999999999998</v>
      </c>
      <c r="I3379" s="4">
        <f>SalesData[[#This Row],[Profit]]/SalesData[[#This Row],[Sales]]</f>
        <v>0.17499999999999999</v>
      </c>
      <c r="J3379">
        <f>YEAR(SalesData[[#This Row],[Order Date]])</f>
        <v>2014</v>
      </c>
      <c r="K3379" t="str">
        <f>TEXT(SalesData[[#This Row],[Order Date]],"mmm")</f>
        <v>Mar</v>
      </c>
      <c r="L3379">
        <f>MONTH(SalesData[[#This Row],[Order Date]])</f>
        <v>3</v>
      </c>
      <c r="M3379">
        <f>SalesData[[#This Row],[Sales]]/SalesData[[#This Row],[Quantity]]</f>
        <v>4.8639999999999999</v>
      </c>
      <c r="N3379" t="str">
        <f>IF(SalesData[[#This Row],[Profit]]&gt;0,"Profit","Loss")</f>
        <v>Profit</v>
      </c>
    </row>
    <row r="3380" spans="1:14" x14ac:dyDescent="0.3">
      <c r="A3380" t="s">
        <v>223</v>
      </c>
      <c r="B3380" s="3">
        <v>41701</v>
      </c>
      <c r="C3380" t="s">
        <v>17</v>
      </c>
      <c r="D3380" t="s">
        <v>10</v>
      </c>
      <c r="E3380" t="s">
        <v>224</v>
      </c>
      <c r="F3380" s="1">
        <v>9.99</v>
      </c>
      <c r="G3380">
        <v>1</v>
      </c>
      <c r="H3380" s="1">
        <v>4.5953999999999997</v>
      </c>
      <c r="I3380" s="4">
        <f>SalesData[[#This Row],[Profit]]/SalesData[[#This Row],[Sales]]</f>
        <v>0.45999999999999996</v>
      </c>
      <c r="J3380">
        <f>YEAR(SalesData[[#This Row],[Order Date]])</f>
        <v>2014</v>
      </c>
      <c r="K3380" t="str">
        <f>TEXT(SalesData[[#This Row],[Order Date]],"mmm")</f>
        <v>Mar</v>
      </c>
      <c r="L3380">
        <f>MONTH(SalesData[[#This Row],[Order Date]])</f>
        <v>3</v>
      </c>
      <c r="M3380">
        <f>SalesData[[#This Row],[Sales]]/SalesData[[#This Row],[Quantity]]</f>
        <v>9.99</v>
      </c>
      <c r="N3380" t="str">
        <f>IF(SalesData[[#This Row],[Profit]]&gt;0,"Profit","Loss")</f>
        <v>Profit</v>
      </c>
    </row>
    <row r="3381" spans="1:14" x14ac:dyDescent="0.3">
      <c r="A3381" t="s">
        <v>223</v>
      </c>
      <c r="B3381" s="3">
        <v>41701</v>
      </c>
      <c r="C3381" t="s">
        <v>17</v>
      </c>
      <c r="D3381" t="s">
        <v>21</v>
      </c>
      <c r="E3381" t="s">
        <v>219</v>
      </c>
      <c r="F3381" s="1">
        <v>125.76</v>
      </c>
      <c r="G3381">
        <v>3</v>
      </c>
      <c r="H3381" s="1">
        <v>40.872</v>
      </c>
      <c r="I3381" s="4">
        <f>SalesData[[#This Row],[Profit]]/SalesData[[#This Row],[Sales]]</f>
        <v>0.32500000000000001</v>
      </c>
      <c r="J3381">
        <f>YEAR(SalesData[[#This Row],[Order Date]])</f>
        <v>2014</v>
      </c>
      <c r="K3381" t="str">
        <f>TEXT(SalesData[[#This Row],[Order Date]],"mmm")</f>
        <v>Mar</v>
      </c>
      <c r="L3381">
        <f>MONTH(SalesData[[#This Row],[Order Date]])</f>
        <v>3</v>
      </c>
      <c r="M3381">
        <f>SalesData[[#This Row],[Sales]]/SalesData[[#This Row],[Quantity]]</f>
        <v>41.92</v>
      </c>
      <c r="N3381" t="str">
        <f>IF(SalesData[[#This Row],[Profit]]&gt;0,"Profit","Loss")</f>
        <v>Profit</v>
      </c>
    </row>
    <row r="3382" spans="1:14" x14ac:dyDescent="0.3">
      <c r="A3382" t="s">
        <v>223</v>
      </c>
      <c r="B3382" s="3">
        <v>41701</v>
      </c>
      <c r="C3382" t="s">
        <v>17</v>
      </c>
      <c r="D3382" t="s">
        <v>21</v>
      </c>
      <c r="E3382" t="s">
        <v>225</v>
      </c>
      <c r="F3382" s="1">
        <v>25.32</v>
      </c>
      <c r="G3382">
        <v>5</v>
      </c>
      <c r="H3382" s="1">
        <v>9.1784999999999997</v>
      </c>
      <c r="I3382" s="4">
        <f>SalesData[[#This Row],[Profit]]/SalesData[[#This Row],[Sales]]</f>
        <v>0.36249999999999999</v>
      </c>
      <c r="J3382">
        <f>YEAR(SalesData[[#This Row],[Order Date]])</f>
        <v>2014</v>
      </c>
      <c r="K3382" t="str">
        <f>TEXT(SalesData[[#This Row],[Order Date]],"mmm")</f>
        <v>Mar</v>
      </c>
      <c r="L3382">
        <f>MONTH(SalesData[[#This Row],[Order Date]])</f>
        <v>3</v>
      </c>
      <c r="M3382">
        <f>SalesData[[#This Row],[Sales]]/SalesData[[#This Row],[Quantity]]</f>
        <v>5.0640000000000001</v>
      </c>
      <c r="N3382" t="str">
        <f>IF(SalesData[[#This Row],[Profit]]&gt;0,"Profit","Loss")</f>
        <v>Profit</v>
      </c>
    </row>
    <row r="3383" spans="1:14" x14ac:dyDescent="0.3">
      <c r="A3383" t="s">
        <v>226</v>
      </c>
      <c r="B3383" s="3">
        <v>41701</v>
      </c>
      <c r="C3383" t="s">
        <v>17</v>
      </c>
      <c r="D3383" t="s">
        <v>21</v>
      </c>
      <c r="E3383" t="s">
        <v>227</v>
      </c>
      <c r="F3383" s="1">
        <v>15.12</v>
      </c>
      <c r="G3383">
        <v>3</v>
      </c>
      <c r="H3383" s="1">
        <v>4.9139999999999997</v>
      </c>
      <c r="I3383" s="4">
        <f>SalesData[[#This Row],[Profit]]/SalesData[[#This Row],[Sales]]</f>
        <v>0.32500000000000001</v>
      </c>
      <c r="J3383">
        <f>YEAR(SalesData[[#This Row],[Order Date]])</f>
        <v>2014</v>
      </c>
      <c r="K3383" t="str">
        <f>TEXT(SalesData[[#This Row],[Order Date]],"mmm")</f>
        <v>Mar</v>
      </c>
      <c r="L3383">
        <f>MONTH(SalesData[[#This Row],[Order Date]])</f>
        <v>3</v>
      </c>
      <c r="M3383">
        <f>SalesData[[#This Row],[Sales]]/SalesData[[#This Row],[Quantity]]</f>
        <v>5.04</v>
      </c>
      <c r="N3383" t="str">
        <f>IF(SalesData[[#This Row],[Profit]]&gt;0,"Profit","Loss")</f>
        <v>Profit</v>
      </c>
    </row>
    <row r="3384" spans="1:14" x14ac:dyDescent="0.3">
      <c r="A3384" t="s">
        <v>226</v>
      </c>
      <c r="B3384" s="3">
        <v>41701</v>
      </c>
      <c r="C3384" t="s">
        <v>17</v>
      </c>
      <c r="D3384" t="s">
        <v>14</v>
      </c>
      <c r="E3384" t="s">
        <v>228</v>
      </c>
      <c r="F3384" s="1">
        <v>302.45</v>
      </c>
      <c r="G3384">
        <v>5</v>
      </c>
      <c r="H3384" s="1">
        <v>-199.61699999999999</v>
      </c>
      <c r="I3384" s="4">
        <f>SalesData[[#This Row],[Profit]]/SalesData[[#This Row],[Sales]]</f>
        <v>-0.66</v>
      </c>
      <c r="J3384">
        <f>YEAR(SalesData[[#This Row],[Order Date]])</f>
        <v>2014</v>
      </c>
      <c r="K3384" t="str">
        <f>TEXT(SalesData[[#This Row],[Order Date]],"mmm")</f>
        <v>Mar</v>
      </c>
      <c r="L3384">
        <f>MONTH(SalesData[[#This Row],[Order Date]])</f>
        <v>3</v>
      </c>
      <c r="M3384">
        <f>SalesData[[#This Row],[Sales]]/SalesData[[#This Row],[Quantity]]</f>
        <v>60.489999999999995</v>
      </c>
      <c r="N3384" t="str">
        <f>IF(SalesData[[#This Row],[Profit]]&gt;0,"Profit","Loss")</f>
        <v>Loss</v>
      </c>
    </row>
    <row r="3385" spans="1:14" x14ac:dyDescent="0.3">
      <c r="A3385" t="s">
        <v>226</v>
      </c>
      <c r="B3385" s="3">
        <v>41701</v>
      </c>
      <c r="C3385" t="s">
        <v>17</v>
      </c>
      <c r="D3385" t="s">
        <v>21</v>
      </c>
      <c r="E3385" t="s">
        <v>229</v>
      </c>
      <c r="F3385" s="1">
        <v>44.671999999999997</v>
      </c>
      <c r="G3385">
        <v>8</v>
      </c>
      <c r="H3385" s="1">
        <v>-10.0512</v>
      </c>
      <c r="I3385" s="4">
        <f>SalesData[[#This Row],[Profit]]/SalesData[[#This Row],[Sales]]</f>
        <v>-0.22500000000000001</v>
      </c>
      <c r="J3385">
        <f>YEAR(SalesData[[#This Row],[Order Date]])</f>
        <v>2014</v>
      </c>
      <c r="K3385" t="str">
        <f>TEXT(SalesData[[#This Row],[Order Date]],"mmm")</f>
        <v>Mar</v>
      </c>
      <c r="L3385">
        <f>MONTH(SalesData[[#This Row],[Order Date]])</f>
        <v>3</v>
      </c>
      <c r="M3385">
        <f>SalesData[[#This Row],[Sales]]/SalesData[[#This Row],[Quantity]]</f>
        <v>5.5839999999999996</v>
      </c>
      <c r="N3385" t="str">
        <f>IF(SalesData[[#This Row],[Profit]]&gt;0,"Profit","Loss")</f>
        <v>Loss</v>
      </c>
    </row>
    <row r="3386" spans="1:14" x14ac:dyDescent="0.3">
      <c r="A3386" t="s">
        <v>230</v>
      </c>
      <c r="B3386" s="3">
        <v>41701</v>
      </c>
      <c r="C3386" t="s">
        <v>9</v>
      </c>
      <c r="D3386" t="s">
        <v>21</v>
      </c>
      <c r="E3386" t="s">
        <v>231</v>
      </c>
      <c r="F3386" s="1">
        <v>176.77199999999999</v>
      </c>
      <c r="G3386">
        <v>3</v>
      </c>
      <c r="H3386" s="1">
        <v>-459.60719999999998</v>
      </c>
      <c r="I3386" s="4">
        <f>SalesData[[#This Row],[Profit]]/SalesData[[#This Row],[Sales]]</f>
        <v>-2.6</v>
      </c>
      <c r="J3386">
        <f>YEAR(SalesData[[#This Row],[Order Date]])</f>
        <v>2014</v>
      </c>
      <c r="K3386" t="str">
        <f>TEXT(SalesData[[#This Row],[Order Date]],"mmm")</f>
        <v>Mar</v>
      </c>
      <c r="L3386">
        <f>MONTH(SalesData[[#This Row],[Order Date]])</f>
        <v>3</v>
      </c>
      <c r="M3386">
        <f>SalesData[[#This Row],[Sales]]/SalesData[[#This Row],[Quantity]]</f>
        <v>58.923999999999999</v>
      </c>
      <c r="N3386" t="str">
        <f>IF(SalesData[[#This Row],[Profit]]&gt;0,"Profit","Loss")</f>
        <v>Loss</v>
      </c>
    </row>
    <row r="3387" spans="1:14" x14ac:dyDescent="0.3">
      <c r="A3387" t="s">
        <v>232</v>
      </c>
      <c r="B3387" s="3">
        <v>41701</v>
      </c>
      <c r="C3387" t="s">
        <v>13</v>
      </c>
      <c r="D3387" t="s">
        <v>14</v>
      </c>
      <c r="E3387" t="s">
        <v>233</v>
      </c>
      <c r="F3387" s="1">
        <v>626.35199999999998</v>
      </c>
      <c r="G3387">
        <v>3</v>
      </c>
      <c r="H3387" s="1">
        <v>-23.488199999999999</v>
      </c>
      <c r="I3387" s="4">
        <f>SalesData[[#This Row],[Profit]]/SalesData[[#This Row],[Sales]]</f>
        <v>-3.7499999999999999E-2</v>
      </c>
      <c r="J3387">
        <f>YEAR(SalesData[[#This Row],[Order Date]])</f>
        <v>2014</v>
      </c>
      <c r="K3387" t="str">
        <f>TEXT(SalesData[[#This Row],[Order Date]],"mmm")</f>
        <v>Mar</v>
      </c>
      <c r="L3387">
        <f>MONTH(SalesData[[#This Row],[Order Date]])</f>
        <v>3</v>
      </c>
      <c r="M3387">
        <f>SalesData[[#This Row],[Sales]]/SalesData[[#This Row],[Quantity]]</f>
        <v>208.78399999999999</v>
      </c>
      <c r="N3387" t="str">
        <f>IF(SalesData[[#This Row],[Profit]]&gt;0,"Profit","Loss")</f>
        <v>Loss</v>
      </c>
    </row>
    <row r="3388" spans="1:14" x14ac:dyDescent="0.3">
      <c r="A3388" t="s">
        <v>234</v>
      </c>
      <c r="B3388" s="3">
        <v>41702</v>
      </c>
      <c r="C3388" t="s">
        <v>13</v>
      </c>
      <c r="D3388" t="s">
        <v>21</v>
      </c>
      <c r="E3388" t="s">
        <v>127</v>
      </c>
      <c r="F3388" s="1">
        <v>11.16</v>
      </c>
      <c r="G3388">
        <v>2</v>
      </c>
      <c r="H3388" s="1">
        <v>5.58</v>
      </c>
      <c r="I3388" s="4">
        <f>SalesData[[#This Row],[Profit]]/SalesData[[#This Row],[Sales]]</f>
        <v>0.5</v>
      </c>
      <c r="J3388">
        <f>YEAR(SalesData[[#This Row],[Order Date]])</f>
        <v>2014</v>
      </c>
      <c r="K3388" t="str">
        <f>TEXT(SalesData[[#This Row],[Order Date]],"mmm")</f>
        <v>Mar</v>
      </c>
      <c r="L3388">
        <f>MONTH(SalesData[[#This Row],[Order Date]])</f>
        <v>3</v>
      </c>
      <c r="M3388">
        <f>SalesData[[#This Row],[Sales]]/SalesData[[#This Row],[Quantity]]</f>
        <v>5.58</v>
      </c>
      <c r="N3388" t="str">
        <f>IF(SalesData[[#This Row],[Profit]]&gt;0,"Profit","Loss")</f>
        <v>Profit</v>
      </c>
    </row>
    <row r="3389" spans="1:14" x14ac:dyDescent="0.3">
      <c r="A3389" t="s">
        <v>234</v>
      </c>
      <c r="B3389" s="3">
        <v>41702</v>
      </c>
      <c r="C3389" t="s">
        <v>13</v>
      </c>
      <c r="D3389" t="s">
        <v>10</v>
      </c>
      <c r="E3389" t="s">
        <v>235</v>
      </c>
      <c r="F3389" s="1">
        <v>62.31</v>
      </c>
      <c r="G3389">
        <v>3</v>
      </c>
      <c r="H3389" s="1">
        <v>22.4316</v>
      </c>
      <c r="I3389" s="4">
        <f>SalesData[[#This Row],[Profit]]/SalesData[[#This Row],[Sales]]</f>
        <v>0.36</v>
      </c>
      <c r="J3389">
        <f>YEAR(SalesData[[#This Row],[Order Date]])</f>
        <v>2014</v>
      </c>
      <c r="K3389" t="str">
        <f>TEXT(SalesData[[#This Row],[Order Date]],"mmm")</f>
        <v>Mar</v>
      </c>
      <c r="L3389">
        <f>MONTH(SalesData[[#This Row],[Order Date]])</f>
        <v>3</v>
      </c>
      <c r="M3389">
        <f>SalesData[[#This Row],[Sales]]/SalesData[[#This Row],[Quantity]]</f>
        <v>20.77</v>
      </c>
      <c r="N3389" t="str">
        <f>IF(SalesData[[#This Row],[Profit]]&gt;0,"Profit","Loss")</f>
        <v>Profit</v>
      </c>
    </row>
    <row r="3390" spans="1:14" x14ac:dyDescent="0.3">
      <c r="A3390" t="s">
        <v>234</v>
      </c>
      <c r="B3390" s="3">
        <v>41702</v>
      </c>
      <c r="C3390" t="s">
        <v>13</v>
      </c>
      <c r="D3390" t="s">
        <v>10</v>
      </c>
      <c r="E3390" t="s">
        <v>236</v>
      </c>
      <c r="F3390" s="1">
        <v>159.97999999999999</v>
      </c>
      <c r="G3390">
        <v>2</v>
      </c>
      <c r="H3390" s="1">
        <v>57.592799999999997</v>
      </c>
      <c r="I3390" s="4">
        <f>SalesData[[#This Row],[Profit]]/SalesData[[#This Row],[Sales]]</f>
        <v>0.36</v>
      </c>
      <c r="J3390">
        <f>YEAR(SalesData[[#This Row],[Order Date]])</f>
        <v>2014</v>
      </c>
      <c r="K3390" t="str">
        <f>TEXT(SalesData[[#This Row],[Order Date]],"mmm")</f>
        <v>Mar</v>
      </c>
      <c r="L3390">
        <f>MONTH(SalesData[[#This Row],[Order Date]])</f>
        <v>3</v>
      </c>
      <c r="M3390">
        <f>SalesData[[#This Row],[Sales]]/SalesData[[#This Row],[Quantity]]</f>
        <v>79.989999999999995</v>
      </c>
      <c r="N3390" t="str">
        <f>IF(SalesData[[#This Row],[Profit]]&gt;0,"Profit","Loss")</f>
        <v>Profit</v>
      </c>
    </row>
    <row r="3391" spans="1:14" x14ac:dyDescent="0.3">
      <c r="A3391" t="s">
        <v>237</v>
      </c>
      <c r="B3391" s="3">
        <v>41703</v>
      </c>
      <c r="C3391" t="s">
        <v>9</v>
      </c>
      <c r="D3391" t="s">
        <v>21</v>
      </c>
      <c r="E3391" t="s">
        <v>238</v>
      </c>
      <c r="F3391" s="1">
        <v>21.56</v>
      </c>
      <c r="G3391">
        <v>7</v>
      </c>
      <c r="H3391" s="1">
        <v>10.348800000000001</v>
      </c>
      <c r="I3391" s="4">
        <f>SalesData[[#This Row],[Profit]]/SalesData[[#This Row],[Sales]]</f>
        <v>0.48000000000000004</v>
      </c>
      <c r="J3391">
        <f>YEAR(SalesData[[#This Row],[Order Date]])</f>
        <v>2014</v>
      </c>
      <c r="K3391" t="str">
        <f>TEXT(SalesData[[#This Row],[Order Date]],"mmm")</f>
        <v>Mar</v>
      </c>
      <c r="L3391">
        <f>MONTH(SalesData[[#This Row],[Order Date]])</f>
        <v>3</v>
      </c>
      <c r="M3391">
        <f>SalesData[[#This Row],[Sales]]/SalesData[[#This Row],[Quantity]]</f>
        <v>3.0799999999999996</v>
      </c>
      <c r="N3391" t="str">
        <f>IF(SalesData[[#This Row],[Profit]]&gt;0,"Profit","Loss")</f>
        <v>Profit</v>
      </c>
    </row>
    <row r="3392" spans="1:14" x14ac:dyDescent="0.3">
      <c r="A3392" t="s">
        <v>239</v>
      </c>
      <c r="B3392" s="3">
        <v>41703</v>
      </c>
      <c r="C3392" t="s">
        <v>17</v>
      </c>
      <c r="D3392" t="s">
        <v>21</v>
      </c>
      <c r="E3392" t="s">
        <v>240</v>
      </c>
      <c r="F3392" s="1">
        <v>40.176000000000002</v>
      </c>
      <c r="G3392">
        <v>3</v>
      </c>
      <c r="H3392" s="1">
        <v>14.563800000000001</v>
      </c>
      <c r="I3392" s="4">
        <f>SalesData[[#This Row],[Profit]]/SalesData[[#This Row],[Sales]]</f>
        <v>0.36249999999999999</v>
      </c>
      <c r="J3392">
        <f>YEAR(SalesData[[#This Row],[Order Date]])</f>
        <v>2014</v>
      </c>
      <c r="K3392" t="str">
        <f>TEXT(SalesData[[#This Row],[Order Date]],"mmm")</f>
        <v>Mar</v>
      </c>
      <c r="L3392">
        <f>MONTH(SalesData[[#This Row],[Order Date]])</f>
        <v>3</v>
      </c>
      <c r="M3392">
        <f>SalesData[[#This Row],[Sales]]/SalesData[[#This Row],[Quantity]]</f>
        <v>13.392000000000001</v>
      </c>
      <c r="N3392" t="str">
        <f>IF(SalesData[[#This Row],[Profit]]&gt;0,"Profit","Loss")</f>
        <v>Profit</v>
      </c>
    </row>
    <row r="3393" spans="1:14" x14ac:dyDescent="0.3">
      <c r="A3393" t="s">
        <v>239</v>
      </c>
      <c r="B3393" s="3">
        <v>41703</v>
      </c>
      <c r="C3393" t="s">
        <v>17</v>
      </c>
      <c r="D3393" t="s">
        <v>21</v>
      </c>
      <c r="E3393" t="s">
        <v>241</v>
      </c>
      <c r="F3393" s="1">
        <v>10.896000000000001</v>
      </c>
      <c r="G3393">
        <v>3</v>
      </c>
      <c r="H3393" s="1">
        <v>3.9498000000000002</v>
      </c>
      <c r="I3393" s="4">
        <f>SalesData[[#This Row],[Profit]]/SalesData[[#This Row],[Sales]]</f>
        <v>0.36249999999999999</v>
      </c>
      <c r="J3393">
        <f>YEAR(SalesData[[#This Row],[Order Date]])</f>
        <v>2014</v>
      </c>
      <c r="K3393" t="str">
        <f>TEXT(SalesData[[#This Row],[Order Date]],"mmm")</f>
        <v>Mar</v>
      </c>
      <c r="L3393">
        <f>MONTH(SalesData[[#This Row],[Order Date]])</f>
        <v>3</v>
      </c>
      <c r="M3393">
        <f>SalesData[[#This Row],[Sales]]/SalesData[[#This Row],[Quantity]]</f>
        <v>3.6320000000000001</v>
      </c>
      <c r="N3393" t="str">
        <f>IF(SalesData[[#This Row],[Profit]]&gt;0,"Profit","Loss")</f>
        <v>Profit</v>
      </c>
    </row>
    <row r="3394" spans="1:14" x14ac:dyDescent="0.3">
      <c r="A3394" t="s">
        <v>242</v>
      </c>
      <c r="B3394" s="3">
        <v>41704</v>
      </c>
      <c r="C3394" t="s">
        <v>13</v>
      </c>
      <c r="D3394" t="s">
        <v>14</v>
      </c>
      <c r="E3394" t="s">
        <v>243</v>
      </c>
      <c r="F3394" s="1">
        <v>515.88</v>
      </c>
      <c r="G3394">
        <v>6</v>
      </c>
      <c r="H3394" s="1">
        <v>113.4936</v>
      </c>
      <c r="I3394" s="4">
        <f>SalesData[[#This Row],[Profit]]/SalesData[[#This Row],[Sales]]</f>
        <v>0.22</v>
      </c>
      <c r="J3394">
        <f>YEAR(SalesData[[#This Row],[Order Date]])</f>
        <v>2014</v>
      </c>
      <c r="K3394" t="str">
        <f>TEXT(SalesData[[#This Row],[Order Date]],"mmm")</f>
        <v>Mar</v>
      </c>
      <c r="L3394">
        <f>MONTH(SalesData[[#This Row],[Order Date]])</f>
        <v>3</v>
      </c>
      <c r="M3394">
        <f>SalesData[[#This Row],[Sales]]/SalesData[[#This Row],[Quantity]]</f>
        <v>85.98</v>
      </c>
      <c r="N3394" t="str">
        <f>IF(SalesData[[#This Row],[Profit]]&gt;0,"Profit","Loss")</f>
        <v>Profit</v>
      </c>
    </row>
    <row r="3395" spans="1:14" x14ac:dyDescent="0.3">
      <c r="A3395" t="s">
        <v>244</v>
      </c>
      <c r="B3395" s="3">
        <v>41704</v>
      </c>
      <c r="C3395" t="s">
        <v>9</v>
      </c>
      <c r="D3395" t="s">
        <v>21</v>
      </c>
      <c r="E3395" t="s">
        <v>245</v>
      </c>
      <c r="F3395" s="1">
        <v>15.28</v>
      </c>
      <c r="G3395">
        <v>2</v>
      </c>
      <c r="H3395" s="1">
        <v>7.4871999999999996</v>
      </c>
      <c r="I3395" s="4">
        <f>SalesData[[#This Row],[Profit]]/SalesData[[#This Row],[Sales]]</f>
        <v>0.49</v>
      </c>
      <c r="J3395">
        <f>YEAR(SalesData[[#This Row],[Order Date]])</f>
        <v>2014</v>
      </c>
      <c r="K3395" t="str">
        <f>TEXT(SalesData[[#This Row],[Order Date]],"mmm")</f>
        <v>Mar</v>
      </c>
      <c r="L3395">
        <f>MONTH(SalesData[[#This Row],[Order Date]])</f>
        <v>3</v>
      </c>
      <c r="M3395">
        <f>SalesData[[#This Row],[Sales]]/SalesData[[#This Row],[Quantity]]</f>
        <v>7.64</v>
      </c>
      <c r="N3395" t="str">
        <f>IF(SalesData[[#This Row],[Profit]]&gt;0,"Profit","Loss")</f>
        <v>Profit</v>
      </c>
    </row>
    <row r="3396" spans="1:14" x14ac:dyDescent="0.3">
      <c r="A3396" t="s">
        <v>246</v>
      </c>
      <c r="B3396" s="3">
        <v>41704</v>
      </c>
      <c r="C3396" t="s">
        <v>9</v>
      </c>
      <c r="D3396" t="s">
        <v>21</v>
      </c>
      <c r="E3396" t="s">
        <v>85</v>
      </c>
      <c r="F3396" s="1">
        <v>15.936</v>
      </c>
      <c r="G3396">
        <v>4</v>
      </c>
      <c r="H3396" s="1">
        <v>5.1791999999999998</v>
      </c>
      <c r="I3396" s="4">
        <f>SalesData[[#This Row],[Profit]]/SalesData[[#This Row],[Sales]]</f>
        <v>0.32500000000000001</v>
      </c>
      <c r="J3396">
        <f>YEAR(SalesData[[#This Row],[Order Date]])</f>
        <v>2014</v>
      </c>
      <c r="K3396" t="str">
        <f>TEXT(SalesData[[#This Row],[Order Date]],"mmm")</f>
        <v>Mar</v>
      </c>
      <c r="L3396">
        <f>MONTH(SalesData[[#This Row],[Order Date]])</f>
        <v>3</v>
      </c>
      <c r="M3396">
        <f>SalesData[[#This Row],[Sales]]/SalesData[[#This Row],[Quantity]]</f>
        <v>3.984</v>
      </c>
      <c r="N3396" t="str">
        <f>IF(SalesData[[#This Row],[Profit]]&gt;0,"Profit","Loss")</f>
        <v>Profit</v>
      </c>
    </row>
    <row r="3397" spans="1:14" x14ac:dyDescent="0.3">
      <c r="A3397" t="s">
        <v>246</v>
      </c>
      <c r="B3397" s="3">
        <v>41704</v>
      </c>
      <c r="C3397" t="s">
        <v>9</v>
      </c>
      <c r="D3397" t="s">
        <v>14</v>
      </c>
      <c r="E3397" t="s">
        <v>247</v>
      </c>
      <c r="F3397" s="1">
        <v>61.543999999999997</v>
      </c>
      <c r="G3397">
        <v>7</v>
      </c>
      <c r="H3397" s="1">
        <v>-40.003599999999999</v>
      </c>
      <c r="I3397" s="4">
        <f>SalesData[[#This Row],[Profit]]/SalesData[[#This Row],[Sales]]</f>
        <v>-0.65</v>
      </c>
      <c r="J3397">
        <f>YEAR(SalesData[[#This Row],[Order Date]])</f>
        <v>2014</v>
      </c>
      <c r="K3397" t="str">
        <f>TEXT(SalesData[[#This Row],[Order Date]],"mmm")</f>
        <v>Mar</v>
      </c>
      <c r="L3397">
        <f>MONTH(SalesData[[#This Row],[Order Date]])</f>
        <v>3</v>
      </c>
      <c r="M3397">
        <f>SalesData[[#This Row],[Sales]]/SalesData[[#This Row],[Quantity]]</f>
        <v>8.7919999999999998</v>
      </c>
      <c r="N3397" t="str">
        <f>IF(SalesData[[#This Row],[Profit]]&gt;0,"Profit","Loss")</f>
        <v>Loss</v>
      </c>
    </row>
    <row r="3398" spans="1:14" x14ac:dyDescent="0.3">
      <c r="A3398" t="s">
        <v>246</v>
      </c>
      <c r="B3398" s="3">
        <v>41704</v>
      </c>
      <c r="C3398" t="s">
        <v>9</v>
      </c>
      <c r="D3398" t="s">
        <v>21</v>
      </c>
      <c r="E3398" t="s">
        <v>248</v>
      </c>
      <c r="F3398" s="1">
        <v>132.696</v>
      </c>
      <c r="G3398">
        <v>3</v>
      </c>
      <c r="H3398" s="1">
        <v>9.9521999999999995</v>
      </c>
      <c r="I3398" s="4">
        <f>SalesData[[#This Row],[Profit]]/SalesData[[#This Row],[Sales]]</f>
        <v>7.4999999999999997E-2</v>
      </c>
      <c r="J3398">
        <f>YEAR(SalesData[[#This Row],[Order Date]])</f>
        <v>2014</v>
      </c>
      <c r="K3398" t="str">
        <f>TEXT(SalesData[[#This Row],[Order Date]],"mmm")</f>
        <v>Mar</v>
      </c>
      <c r="L3398">
        <f>MONTH(SalesData[[#This Row],[Order Date]])</f>
        <v>3</v>
      </c>
      <c r="M3398">
        <f>SalesData[[#This Row],[Sales]]/SalesData[[#This Row],[Quantity]]</f>
        <v>44.231999999999999</v>
      </c>
      <c r="N3398" t="str">
        <f>IF(SalesData[[#This Row],[Profit]]&gt;0,"Profit","Loss")</f>
        <v>Profit</v>
      </c>
    </row>
    <row r="3399" spans="1:14" x14ac:dyDescent="0.3">
      <c r="A3399" t="s">
        <v>249</v>
      </c>
      <c r="B3399" s="3">
        <v>41706</v>
      </c>
      <c r="C3399" t="s">
        <v>13</v>
      </c>
      <c r="D3399" t="s">
        <v>14</v>
      </c>
      <c r="E3399" t="s">
        <v>250</v>
      </c>
      <c r="F3399" s="1">
        <v>218.75</v>
      </c>
      <c r="G3399">
        <v>2</v>
      </c>
      <c r="H3399" s="1">
        <v>-161.875</v>
      </c>
      <c r="I3399" s="4">
        <f>SalesData[[#This Row],[Profit]]/SalesData[[#This Row],[Sales]]</f>
        <v>-0.74</v>
      </c>
      <c r="J3399">
        <f>YEAR(SalesData[[#This Row],[Order Date]])</f>
        <v>2014</v>
      </c>
      <c r="K3399" t="str">
        <f>TEXT(SalesData[[#This Row],[Order Date]],"mmm")</f>
        <v>Mar</v>
      </c>
      <c r="L3399">
        <f>MONTH(SalesData[[#This Row],[Order Date]])</f>
        <v>3</v>
      </c>
      <c r="M3399">
        <f>SalesData[[#This Row],[Sales]]/SalesData[[#This Row],[Quantity]]</f>
        <v>109.375</v>
      </c>
      <c r="N3399" t="str">
        <f>IF(SalesData[[#This Row],[Profit]]&gt;0,"Profit","Loss")</f>
        <v>Loss</v>
      </c>
    </row>
    <row r="3400" spans="1:14" x14ac:dyDescent="0.3">
      <c r="A3400" t="s">
        <v>249</v>
      </c>
      <c r="B3400" s="3">
        <v>41706</v>
      </c>
      <c r="C3400" t="s">
        <v>13</v>
      </c>
      <c r="D3400" t="s">
        <v>21</v>
      </c>
      <c r="E3400" t="s">
        <v>251</v>
      </c>
      <c r="F3400" s="1">
        <v>2.6</v>
      </c>
      <c r="G3400">
        <v>1</v>
      </c>
      <c r="H3400" s="1">
        <v>0.29249999999999998</v>
      </c>
      <c r="I3400" s="4">
        <f>SalesData[[#This Row],[Profit]]/SalesData[[#This Row],[Sales]]</f>
        <v>0.11249999999999999</v>
      </c>
      <c r="J3400">
        <f>YEAR(SalesData[[#This Row],[Order Date]])</f>
        <v>2014</v>
      </c>
      <c r="K3400" t="str">
        <f>TEXT(SalesData[[#This Row],[Order Date]],"mmm")</f>
        <v>Mar</v>
      </c>
      <c r="L3400">
        <f>MONTH(SalesData[[#This Row],[Order Date]])</f>
        <v>3</v>
      </c>
      <c r="M3400">
        <f>SalesData[[#This Row],[Sales]]/SalesData[[#This Row],[Quantity]]</f>
        <v>2.6</v>
      </c>
      <c r="N3400" t="str">
        <f>IF(SalesData[[#This Row],[Profit]]&gt;0,"Profit","Loss")</f>
        <v>Profit</v>
      </c>
    </row>
    <row r="3401" spans="1:14" x14ac:dyDescent="0.3">
      <c r="A3401" t="s">
        <v>252</v>
      </c>
      <c r="B3401" s="3">
        <v>41706</v>
      </c>
      <c r="C3401" t="s">
        <v>17</v>
      </c>
      <c r="D3401" t="s">
        <v>21</v>
      </c>
      <c r="E3401" t="s">
        <v>253</v>
      </c>
      <c r="F3401" s="1">
        <v>39.96</v>
      </c>
      <c r="G3401">
        <v>2</v>
      </c>
      <c r="H3401" s="1">
        <v>18.781199999999998</v>
      </c>
      <c r="I3401" s="4">
        <f>SalesData[[#This Row],[Profit]]/SalesData[[#This Row],[Sales]]</f>
        <v>0.47</v>
      </c>
      <c r="J3401">
        <f>YEAR(SalesData[[#This Row],[Order Date]])</f>
        <v>2014</v>
      </c>
      <c r="K3401" t="str">
        <f>TEXT(SalesData[[#This Row],[Order Date]],"mmm")</f>
        <v>Mar</v>
      </c>
      <c r="L3401">
        <f>MONTH(SalesData[[#This Row],[Order Date]])</f>
        <v>3</v>
      </c>
      <c r="M3401">
        <f>SalesData[[#This Row],[Sales]]/SalesData[[#This Row],[Quantity]]</f>
        <v>19.98</v>
      </c>
      <c r="N3401" t="str">
        <f>IF(SalesData[[#This Row],[Profit]]&gt;0,"Profit","Loss")</f>
        <v>Profit</v>
      </c>
    </row>
    <row r="3402" spans="1:14" x14ac:dyDescent="0.3">
      <c r="A3402" t="s">
        <v>252</v>
      </c>
      <c r="B3402" s="3">
        <v>41706</v>
      </c>
      <c r="C3402" t="s">
        <v>17</v>
      </c>
      <c r="D3402" t="s">
        <v>21</v>
      </c>
      <c r="E3402" t="s">
        <v>254</v>
      </c>
      <c r="F3402" s="1">
        <v>102.3</v>
      </c>
      <c r="G3402">
        <v>10</v>
      </c>
      <c r="H3402" s="1">
        <v>26.597999999999999</v>
      </c>
      <c r="I3402" s="4">
        <f>SalesData[[#This Row],[Profit]]/SalesData[[#This Row],[Sales]]</f>
        <v>0.26</v>
      </c>
      <c r="J3402">
        <f>YEAR(SalesData[[#This Row],[Order Date]])</f>
        <v>2014</v>
      </c>
      <c r="K3402" t="str">
        <f>TEXT(SalesData[[#This Row],[Order Date]],"mmm")</f>
        <v>Mar</v>
      </c>
      <c r="L3402">
        <f>MONTH(SalesData[[#This Row],[Order Date]])</f>
        <v>3</v>
      </c>
      <c r="M3402">
        <f>SalesData[[#This Row],[Sales]]/SalesData[[#This Row],[Quantity]]</f>
        <v>10.23</v>
      </c>
      <c r="N3402" t="str">
        <f>IF(SalesData[[#This Row],[Profit]]&gt;0,"Profit","Loss")</f>
        <v>Profit</v>
      </c>
    </row>
    <row r="3403" spans="1:14" x14ac:dyDescent="0.3">
      <c r="A3403" t="s">
        <v>252</v>
      </c>
      <c r="B3403" s="3">
        <v>41706</v>
      </c>
      <c r="C3403" t="s">
        <v>17</v>
      </c>
      <c r="D3403" t="s">
        <v>21</v>
      </c>
      <c r="E3403" t="s">
        <v>255</v>
      </c>
      <c r="F3403" s="1">
        <v>21.36</v>
      </c>
      <c r="G3403">
        <v>2</v>
      </c>
      <c r="H3403" s="1">
        <v>5.7671999999999999</v>
      </c>
      <c r="I3403" s="4">
        <f>SalesData[[#This Row],[Profit]]/SalesData[[#This Row],[Sales]]</f>
        <v>0.27</v>
      </c>
      <c r="J3403">
        <f>YEAR(SalesData[[#This Row],[Order Date]])</f>
        <v>2014</v>
      </c>
      <c r="K3403" t="str">
        <f>TEXT(SalesData[[#This Row],[Order Date]],"mmm")</f>
        <v>Mar</v>
      </c>
      <c r="L3403">
        <f>MONTH(SalesData[[#This Row],[Order Date]])</f>
        <v>3</v>
      </c>
      <c r="M3403">
        <f>SalesData[[#This Row],[Sales]]/SalesData[[#This Row],[Quantity]]</f>
        <v>10.68</v>
      </c>
      <c r="N3403" t="str">
        <f>IF(SalesData[[#This Row],[Profit]]&gt;0,"Profit","Loss")</f>
        <v>Profit</v>
      </c>
    </row>
    <row r="3404" spans="1:14" x14ac:dyDescent="0.3">
      <c r="A3404" t="s">
        <v>256</v>
      </c>
      <c r="B3404" s="3">
        <v>41706</v>
      </c>
      <c r="C3404" t="s">
        <v>13</v>
      </c>
      <c r="D3404" t="s">
        <v>21</v>
      </c>
      <c r="E3404" t="s">
        <v>257</v>
      </c>
      <c r="F3404" s="1">
        <v>93.024000000000001</v>
      </c>
      <c r="G3404">
        <v>3</v>
      </c>
      <c r="H3404" s="1">
        <v>33.721200000000003</v>
      </c>
      <c r="I3404" s="4">
        <f>SalesData[[#This Row],[Profit]]/SalesData[[#This Row],[Sales]]</f>
        <v>0.36250000000000004</v>
      </c>
      <c r="J3404">
        <f>YEAR(SalesData[[#This Row],[Order Date]])</f>
        <v>2014</v>
      </c>
      <c r="K3404" t="str">
        <f>TEXT(SalesData[[#This Row],[Order Date]],"mmm")</f>
        <v>Mar</v>
      </c>
      <c r="L3404">
        <f>MONTH(SalesData[[#This Row],[Order Date]])</f>
        <v>3</v>
      </c>
      <c r="M3404">
        <f>SalesData[[#This Row],[Sales]]/SalesData[[#This Row],[Quantity]]</f>
        <v>31.007999999999999</v>
      </c>
      <c r="N3404" t="str">
        <f>IF(SalesData[[#This Row],[Profit]]&gt;0,"Profit","Loss")</f>
        <v>Profit</v>
      </c>
    </row>
    <row r="3405" spans="1:14" x14ac:dyDescent="0.3">
      <c r="A3405" t="s">
        <v>258</v>
      </c>
      <c r="B3405" s="3">
        <v>41707</v>
      </c>
      <c r="C3405" t="s">
        <v>17</v>
      </c>
      <c r="D3405" t="s">
        <v>21</v>
      </c>
      <c r="E3405" t="s">
        <v>259</v>
      </c>
      <c r="F3405" s="1">
        <v>14.4</v>
      </c>
      <c r="G3405">
        <v>5</v>
      </c>
      <c r="H3405" s="1">
        <v>7.056</v>
      </c>
      <c r="I3405" s="4">
        <f>SalesData[[#This Row],[Profit]]/SalesData[[#This Row],[Sales]]</f>
        <v>0.49</v>
      </c>
      <c r="J3405">
        <f>YEAR(SalesData[[#This Row],[Order Date]])</f>
        <v>2014</v>
      </c>
      <c r="K3405" t="str">
        <f>TEXT(SalesData[[#This Row],[Order Date]],"mmm")</f>
        <v>Mar</v>
      </c>
      <c r="L3405">
        <f>MONTH(SalesData[[#This Row],[Order Date]])</f>
        <v>3</v>
      </c>
      <c r="M3405">
        <f>SalesData[[#This Row],[Sales]]/SalesData[[#This Row],[Quantity]]</f>
        <v>2.88</v>
      </c>
      <c r="N3405" t="str">
        <f>IF(SalesData[[#This Row],[Profit]]&gt;0,"Profit","Loss")</f>
        <v>Profit</v>
      </c>
    </row>
    <row r="3406" spans="1:14" x14ac:dyDescent="0.3">
      <c r="A3406" t="s">
        <v>260</v>
      </c>
      <c r="B3406" s="3">
        <v>41707</v>
      </c>
      <c r="C3406" t="s">
        <v>9</v>
      </c>
      <c r="D3406" t="s">
        <v>21</v>
      </c>
      <c r="E3406" t="s">
        <v>261</v>
      </c>
      <c r="F3406" s="1">
        <v>7.68</v>
      </c>
      <c r="G3406">
        <v>5</v>
      </c>
      <c r="H3406" s="1">
        <v>-11.52</v>
      </c>
      <c r="I3406" s="4">
        <f>SalesData[[#This Row],[Profit]]/SalesData[[#This Row],[Sales]]</f>
        <v>-1.5</v>
      </c>
      <c r="J3406">
        <f>YEAR(SalesData[[#This Row],[Order Date]])</f>
        <v>2014</v>
      </c>
      <c r="K3406" t="str">
        <f>TEXT(SalesData[[#This Row],[Order Date]],"mmm")</f>
        <v>Mar</v>
      </c>
      <c r="L3406">
        <f>MONTH(SalesData[[#This Row],[Order Date]])</f>
        <v>3</v>
      </c>
      <c r="M3406">
        <f>SalesData[[#This Row],[Sales]]/SalesData[[#This Row],[Quantity]]</f>
        <v>1.536</v>
      </c>
      <c r="N3406" t="str">
        <f>IF(SalesData[[#This Row],[Profit]]&gt;0,"Profit","Loss")</f>
        <v>Loss</v>
      </c>
    </row>
    <row r="3407" spans="1:14" x14ac:dyDescent="0.3">
      <c r="A3407" t="s">
        <v>262</v>
      </c>
      <c r="B3407" s="3">
        <v>41708</v>
      </c>
      <c r="C3407" t="s">
        <v>9</v>
      </c>
      <c r="D3407" t="s">
        <v>14</v>
      </c>
      <c r="E3407" t="s">
        <v>263</v>
      </c>
      <c r="F3407" s="1">
        <v>258.279</v>
      </c>
      <c r="G3407">
        <v>3</v>
      </c>
      <c r="H3407" s="1">
        <v>-70.104299999999995</v>
      </c>
      <c r="I3407" s="4">
        <f>SalesData[[#This Row],[Profit]]/SalesData[[#This Row],[Sales]]</f>
        <v>-0.27142857142857141</v>
      </c>
      <c r="J3407">
        <f>YEAR(SalesData[[#This Row],[Order Date]])</f>
        <v>2014</v>
      </c>
      <c r="K3407" t="str">
        <f>TEXT(SalesData[[#This Row],[Order Date]],"mmm")</f>
        <v>Mar</v>
      </c>
      <c r="L3407">
        <f>MONTH(SalesData[[#This Row],[Order Date]])</f>
        <v>3</v>
      </c>
      <c r="M3407">
        <f>SalesData[[#This Row],[Sales]]/SalesData[[#This Row],[Quantity]]</f>
        <v>86.093000000000004</v>
      </c>
      <c r="N3407" t="str">
        <f>IF(SalesData[[#This Row],[Profit]]&gt;0,"Profit","Loss")</f>
        <v>Loss</v>
      </c>
    </row>
    <row r="3408" spans="1:14" x14ac:dyDescent="0.3">
      <c r="A3408" t="s">
        <v>264</v>
      </c>
      <c r="B3408" s="3">
        <v>41708</v>
      </c>
      <c r="C3408" t="s">
        <v>13</v>
      </c>
      <c r="D3408" t="s">
        <v>14</v>
      </c>
      <c r="E3408" t="s">
        <v>30</v>
      </c>
      <c r="F3408" s="1">
        <v>143.43199999999999</v>
      </c>
      <c r="G3408">
        <v>1</v>
      </c>
      <c r="H3408" s="1">
        <v>3.5857999999999999</v>
      </c>
      <c r="I3408" s="4">
        <f>SalesData[[#This Row],[Profit]]/SalesData[[#This Row],[Sales]]</f>
        <v>2.5000000000000001E-2</v>
      </c>
      <c r="J3408">
        <f>YEAR(SalesData[[#This Row],[Order Date]])</f>
        <v>2014</v>
      </c>
      <c r="K3408" t="str">
        <f>TEXT(SalesData[[#This Row],[Order Date]],"mmm")</f>
        <v>Mar</v>
      </c>
      <c r="L3408">
        <f>MONTH(SalesData[[#This Row],[Order Date]])</f>
        <v>3</v>
      </c>
      <c r="M3408">
        <f>SalesData[[#This Row],[Sales]]/SalesData[[#This Row],[Quantity]]</f>
        <v>143.43199999999999</v>
      </c>
      <c r="N3408" t="str">
        <f>IF(SalesData[[#This Row],[Profit]]&gt;0,"Profit","Loss")</f>
        <v>Profit</v>
      </c>
    </row>
    <row r="3409" spans="1:14" x14ac:dyDescent="0.3">
      <c r="A3409" t="s">
        <v>264</v>
      </c>
      <c r="B3409" s="3">
        <v>41708</v>
      </c>
      <c r="C3409" t="s">
        <v>13</v>
      </c>
      <c r="D3409" t="s">
        <v>14</v>
      </c>
      <c r="E3409" t="s">
        <v>265</v>
      </c>
      <c r="F3409" s="1">
        <v>122.352</v>
      </c>
      <c r="G3409">
        <v>3</v>
      </c>
      <c r="H3409" s="1">
        <v>13.7646</v>
      </c>
      <c r="I3409" s="4">
        <f>SalesData[[#This Row],[Profit]]/SalesData[[#This Row],[Sales]]</f>
        <v>0.11249999999999999</v>
      </c>
      <c r="J3409">
        <f>YEAR(SalesData[[#This Row],[Order Date]])</f>
        <v>2014</v>
      </c>
      <c r="K3409" t="str">
        <f>TEXT(SalesData[[#This Row],[Order Date]],"mmm")</f>
        <v>Mar</v>
      </c>
      <c r="L3409">
        <f>MONTH(SalesData[[#This Row],[Order Date]])</f>
        <v>3</v>
      </c>
      <c r="M3409">
        <f>SalesData[[#This Row],[Sales]]/SalesData[[#This Row],[Quantity]]</f>
        <v>40.783999999999999</v>
      </c>
      <c r="N3409" t="str">
        <f>IF(SalesData[[#This Row],[Profit]]&gt;0,"Profit","Loss")</f>
        <v>Profit</v>
      </c>
    </row>
    <row r="3410" spans="1:14" x14ac:dyDescent="0.3">
      <c r="A3410" t="s">
        <v>266</v>
      </c>
      <c r="B3410" s="3">
        <v>41708</v>
      </c>
      <c r="C3410" t="s">
        <v>46</v>
      </c>
      <c r="D3410" t="s">
        <v>21</v>
      </c>
      <c r="E3410" t="s">
        <v>267</v>
      </c>
      <c r="F3410" s="1">
        <v>61.567999999999998</v>
      </c>
      <c r="G3410">
        <v>2</v>
      </c>
      <c r="H3410" s="1">
        <v>4.6176000000000004</v>
      </c>
      <c r="I3410" s="4">
        <f>SalesData[[#This Row],[Profit]]/SalesData[[#This Row],[Sales]]</f>
        <v>7.5000000000000011E-2</v>
      </c>
      <c r="J3410">
        <f>YEAR(SalesData[[#This Row],[Order Date]])</f>
        <v>2014</v>
      </c>
      <c r="K3410" t="str">
        <f>TEXT(SalesData[[#This Row],[Order Date]],"mmm")</f>
        <v>Mar</v>
      </c>
      <c r="L3410">
        <f>MONTH(SalesData[[#This Row],[Order Date]])</f>
        <v>3</v>
      </c>
      <c r="M3410">
        <f>SalesData[[#This Row],[Sales]]/SalesData[[#This Row],[Quantity]]</f>
        <v>30.783999999999999</v>
      </c>
      <c r="N3410" t="str">
        <f>IF(SalesData[[#This Row],[Profit]]&gt;0,"Profit","Loss")</f>
        <v>Profit</v>
      </c>
    </row>
    <row r="3411" spans="1:14" x14ac:dyDescent="0.3">
      <c r="A3411" t="s">
        <v>266</v>
      </c>
      <c r="B3411" s="3">
        <v>41708</v>
      </c>
      <c r="C3411" t="s">
        <v>46</v>
      </c>
      <c r="D3411" t="s">
        <v>21</v>
      </c>
      <c r="E3411" t="s">
        <v>268</v>
      </c>
      <c r="F3411" s="1">
        <v>6.1920000000000002</v>
      </c>
      <c r="G3411">
        <v>3</v>
      </c>
      <c r="H3411" s="1">
        <v>0.46439999999999998</v>
      </c>
      <c r="I3411" s="4">
        <f>SalesData[[#This Row],[Profit]]/SalesData[[#This Row],[Sales]]</f>
        <v>7.4999999999999997E-2</v>
      </c>
      <c r="J3411">
        <f>YEAR(SalesData[[#This Row],[Order Date]])</f>
        <v>2014</v>
      </c>
      <c r="K3411" t="str">
        <f>TEXT(SalesData[[#This Row],[Order Date]],"mmm")</f>
        <v>Mar</v>
      </c>
      <c r="L3411">
        <f>MONTH(SalesData[[#This Row],[Order Date]])</f>
        <v>3</v>
      </c>
      <c r="M3411">
        <f>SalesData[[#This Row],[Sales]]/SalesData[[#This Row],[Quantity]]</f>
        <v>2.0640000000000001</v>
      </c>
      <c r="N3411" t="str">
        <f>IF(SalesData[[#This Row],[Profit]]&gt;0,"Profit","Loss")</f>
        <v>Profit</v>
      </c>
    </row>
    <row r="3412" spans="1:14" x14ac:dyDescent="0.3">
      <c r="A3412" t="s">
        <v>269</v>
      </c>
      <c r="B3412" s="3">
        <v>41708</v>
      </c>
      <c r="C3412" t="s">
        <v>17</v>
      </c>
      <c r="D3412" t="s">
        <v>21</v>
      </c>
      <c r="E3412" t="s">
        <v>270</v>
      </c>
      <c r="F3412" s="1">
        <v>55.984000000000002</v>
      </c>
      <c r="G3412">
        <v>2</v>
      </c>
      <c r="H3412" s="1">
        <v>4.1988000000000003</v>
      </c>
      <c r="I3412" s="4">
        <f>SalesData[[#This Row],[Profit]]/SalesData[[#This Row],[Sales]]</f>
        <v>7.4999999999999997E-2</v>
      </c>
      <c r="J3412">
        <f>YEAR(SalesData[[#This Row],[Order Date]])</f>
        <v>2014</v>
      </c>
      <c r="K3412" t="str">
        <f>TEXT(SalesData[[#This Row],[Order Date]],"mmm")</f>
        <v>Mar</v>
      </c>
      <c r="L3412">
        <f>MONTH(SalesData[[#This Row],[Order Date]])</f>
        <v>3</v>
      </c>
      <c r="M3412">
        <f>SalesData[[#This Row],[Sales]]/SalesData[[#This Row],[Quantity]]</f>
        <v>27.992000000000001</v>
      </c>
      <c r="N3412" t="str">
        <f>IF(SalesData[[#This Row],[Profit]]&gt;0,"Profit","Loss")</f>
        <v>Profit</v>
      </c>
    </row>
    <row r="3413" spans="1:14" x14ac:dyDescent="0.3">
      <c r="A3413" t="s">
        <v>269</v>
      </c>
      <c r="B3413" s="3">
        <v>41708</v>
      </c>
      <c r="C3413" t="s">
        <v>17</v>
      </c>
      <c r="D3413" t="s">
        <v>21</v>
      </c>
      <c r="E3413" t="s">
        <v>271</v>
      </c>
      <c r="F3413" s="1">
        <v>14.48</v>
      </c>
      <c r="G3413">
        <v>5</v>
      </c>
      <c r="H3413" s="1">
        <v>4.8869999999999996</v>
      </c>
      <c r="I3413" s="4">
        <f>SalesData[[#This Row],[Profit]]/SalesData[[#This Row],[Sales]]</f>
        <v>0.33749999999999997</v>
      </c>
      <c r="J3413">
        <f>YEAR(SalesData[[#This Row],[Order Date]])</f>
        <v>2014</v>
      </c>
      <c r="K3413" t="str">
        <f>TEXT(SalesData[[#This Row],[Order Date]],"mmm")</f>
        <v>Mar</v>
      </c>
      <c r="L3413">
        <f>MONTH(SalesData[[#This Row],[Order Date]])</f>
        <v>3</v>
      </c>
      <c r="M3413">
        <f>SalesData[[#This Row],[Sales]]/SalesData[[#This Row],[Quantity]]</f>
        <v>2.8959999999999999</v>
      </c>
      <c r="N3413" t="str">
        <f>IF(SalesData[[#This Row],[Profit]]&gt;0,"Profit","Loss")</f>
        <v>Profit</v>
      </c>
    </row>
    <row r="3414" spans="1:14" x14ac:dyDescent="0.3">
      <c r="A3414" t="s">
        <v>269</v>
      </c>
      <c r="B3414" s="3">
        <v>41708</v>
      </c>
      <c r="C3414" t="s">
        <v>17</v>
      </c>
      <c r="D3414" t="s">
        <v>10</v>
      </c>
      <c r="E3414" t="s">
        <v>272</v>
      </c>
      <c r="F3414" s="1">
        <v>142.488</v>
      </c>
      <c r="G3414">
        <v>3</v>
      </c>
      <c r="H3414" s="1">
        <v>-3.5621999999999998</v>
      </c>
      <c r="I3414" s="4">
        <f>SalesData[[#This Row],[Profit]]/SalesData[[#This Row],[Sales]]</f>
        <v>-2.4999999999999998E-2</v>
      </c>
      <c r="J3414">
        <f>YEAR(SalesData[[#This Row],[Order Date]])</f>
        <v>2014</v>
      </c>
      <c r="K3414" t="str">
        <f>TEXT(SalesData[[#This Row],[Order Date]],"mmm")</f>
        <v>Mar</v>
      </c>
      <c r="L3414">
        <f>MONTH(SalesData[[#This Row],[Order Date]])</f>
        <v>3</v>
      </c>
      <c r="M3414">
        <f>SalesData[[#This Row],[Sales]]/SalesData[[#This Row],[Quantity]]</f>
        <v>47.496000000000002</v>
      </c>
      <c r="N3414" t="str">
        <f>IF(SalesData[[#This Row],[Profit]]&gt;0,"Profit","Loss")</f>
        <v>Loss</v>
      </c>
    </row>
    <row r="3415" spans="1:14" x14ac:dyDescent="0.3">
      <c r="A3415" t="s">
        <v>273</v>
      </c>
      <c r="B3415" s="3">
        <v>41708</v>
      </c>
      <c r="C3415" t="s">
        <v>9</v>
      </c>
      <c r="D3415" t="s">
        <v>21</v>
      </c>
      <c r="E3415" t="s">
        <v>274</v>
      </c>
      <c r="F3415" s="1">
        <v>4.3440000000000003</v>
      </c>
      <c r="G3415">
        <v>3</v>
      </c>
      <c r="H3415" s="1">
        <v>0.86880000000000002</v>
      </c>
      <c r="I3415" s="4">
        <f>SalesData[[#This Row],[Profit]]/SalesData[[#This Row],[Sales]]</f>
        <v>0.19999999999999998</v>
      </c>
      <c r="J3415">
        <f>YEAR(SalesData[[#This Row],[Order Date]])</f>
        <v>2014</v>
      </c>
      <c r="K3415" t="str">
        <f>TEXT(SalesData[[#This Row],[Order Date]],"mmm")</f>
        <v>Mar</v>
      </c>
      <c r="L3415">
        <f>MONTH(SalesData[[#This Row],[Order Date]])</f>
        <v>3</v>
      </c>
      <c r="M3415">
        <f>SalesData[[#This Row],[Sales]]/SalesData[[#This Row],[Quantity]]</f>
        <v>1.4480000000000002</v>
      </c>
      <c r="N3415" t="str">
        <f>IF(SalesData[[#This Row],[Profit]]&gt;0,"Profit","Loss")</f>
        <v>Profit</v>
      </c>
    </row>
    <row r="3416" spans="1:14" x14ac:dyDescent="0.3">
      <c r="A3416" t="s">
        <v>273</v>
      </c>
      <c r="B3416" s="3">
        <v>41708</v>
      </c>
      <c r="C3416" t="s">
        <v>9</v>
      </c>
      <c r="D3416" t="s">
        <v>14</v>
      </c>
      <c r="E3416" t="s">
        <v>275</v>
      </c>
      <c r="F3416" s="1">
        <v>31.776</v>
      </c>
      <c r="G3416">
        <v>3</v>
      </c>
      <c r="H3416" s="1">
        <v>-19.0656</v>
      </c>
      <c r="I3416" s="4">
        <f>SalesData[[#This Row],[Profit]]/SalesData[[#This Row],[Sales]]</f>
        <v>-0.6</v>
      </c>
      <c r="J3416">
        <f>YEAR(SalesData[[#This Row],[Order Date]])</f>
        <v>2014</v>
      </c>
      <c r="K3416" t="str">
        <f>TEXT(SalesData[[#This Row],[Order Date]],"mmm")</f>
        <v>Mar</v>
      </c>
      <c r="L3416">
        <f>MONTH(SalesData[[#This Row],[Order Date]])</f>
        <v>3</v>
      </c>
      <c r="M3416">
        <f>SalesData[[#This Row],[Sales]]/SalesData[[#This Row],[Quantity]]</f>
        <v>10.592000000000001</v>
      </c>
      <c r="N3416" t="str">
        <f>IF(SalesData[[#This Row],[Profit]]&gt;0,"Profit","Loss")</f>
        <v>Loss</v>
      </c>
    </row>
    <row r="3417" spans="1:14" x14ac:dyDescent="0.3">
      <c r="A3417" t="s">
        <v>273</v>
      </c>
      <c r="B3417" s="3">
        <v>41708</v>
      </c>
      <c r="C3417" t="s">
        <v>9</v>
      </c>
      <c r="D3417" t="s">
        <v>21</v>
      </c>
      <c r="E3417" t="s">
        <v>276</v>
      </c>
      <c r="F3417" s="1">
        <v>4.9279999999999999</v>
      </c>
      <c r="G3417">
        <v>2</v>
      </c>
      <c r="H3417" s="1">
        <v>1.7248000000000001</v>
      </c>
      <c r="I3417" s="4">
        <f>SalesData[[#This Row],[Profit]]/SalesData[[#This Row],[Sales]]</f>
        <v>0.35000000000000003</v>
      </c>
      <c r="J3417">
        <f>YEAR(SalesData[[#This Row],[Order Date]])</f>
        <v>2014</v>
      </c>
      <c r="K3417" t="str">
        <f>TEXT(SalesData[[#This Row],[Order Date]],"mmm")</f>
        <v>Mar</v>
      </c>
      <c r="L3417">
        <f>MONTH(SalesData[[#This Row],[Order Date]])</f>
        <v>3</v>
      </c>
      <c r="M3417">
        <f>SalesData[[#This Row],[Sales]]/SalesData[[#This Row],[Quantity]]</f>
        <v>2.464</v>
      </c>
      <c r="N3417" t="str">
        <f>IF(SalesData[[#This Row],[Profit]]&gt;0,"Profit","Loss")</f>
        <v>Profit</v>
      </c>
    </row>
    <row r="3418" spans="1:14" x14ac:dyDescent="0.3">
      <c r="A3418" t="s">
        <v>273</v>
      </c>
      <c r="B3418" s="3">
        <v>41708</v>
      </c>
      <c r="C3418" t="s">
        <v>9</v>
      </c>
      <c r="D3418" t="s">
        <v>21</v>
      </c>
      <c r="E3418" t="s">
        <v>277</v>
      </c>
      <c r="F3418" s="1">
        <v>1.788</v>
      </c>
      <c r="G3418">
        <v>3</v>
      </c>
      <c r="H3418" s="1">
        <v>-3.0396000000000001</v>
      </c>
      <c r="I3418" s="4">
        <f>SalesData[[#This Row],[Profit]]/SalesData[[#This Row],[Sales]]</f>
        <v>-1.7</v>
      </c>
      <c r="J3418">
        <f>YEAR(SalesData[[#This Row],[Order Date]])</f>
        <v>2014</v>
      </c>
      <c r="K3418" t="str">
        <f>TEXT(SalesData[[#This Row],[Order Date]],"mmm")</f>
        <v>Mar</v>
      </c>
      <c r="L3418">
        <f>MONTH(SalesData[[#This Row],[Order Date]])</f>
        <v>3</v>
      </c>
      <c r="M3418">
        <f>SalesData[[#This Row],[Sales]]/SalesData[[#This Row],[Quantity]]</f>
        <v>0.59599999999999997</v>
      </c>
      <c r="N3418" t="str">
        <f>IF(SalesData[[#This Row],[Profit]]&gt;0,"Profit","Loss")</f>
        <v>Loss</v>
      </c>
    </row>
    <row r="3419" spans="1:14" x14ac:dyDescent="0.3">
      <c r="A3419" t="s">
        <v>273</v>
      </c>
      <c r="B3419" s="3">
        <v>41708</v>
      </c>
      <c r="C3419" t="s">
        <v>9</v>
      </c>
      <c r="D3419" t="s">
        <v>21</v>
      </c>
      <c r="E3419" t="s">
        <v>75</v>
      </c>
      <c r="F3419" s="1">
        <v>15.071999999999999</v>
      </c>
      <c r="G3419">
        <v>4</v>
      </c>
      <c r="H3419" s="1">
        <v>-3.7679999999999998</v>
      </c>
      <c r="I3419" s="4">
        <f>SalesData[[#This Row],[Profit]]/SalesData[[#This Row],[Sales]]</f>
        <v>-0.25</v>
      </c>
      <c r="J3419">
        <f>YEAR(SalesData[[#This Row],[Order Date]])</f>
        <v>2014</v>
      </c>
      <c r="K3419" t="str">
        <f>TEXT(SalesData[[#This Row],[Order Date]],"mmm")</f>
        <v>Mar</v>
      </c>
      <c r="L3419">
        <f>MONTH(SalesData[[#This Row],[Order Date]])</f>
        <v>3</v>
      </c>
      <c r="M3419">
        <f>SalesData[[#This Row],[Sales]]/SalesData[[#This Row],[Quantity]]</f>
        <v>3.7679999999999998</v>
      </c>
      <c r="N3419" t="str">
        <f>IF(SalesData[[#This Row],[Profit]]&gt;0,"Profit","Loss")</f>
        <v>Loss</v>
      </c>
    </row>
    <row r="3420" spans="1:14" x14ac:dyDescent="0.3">
      <c r="A3420" t="s">
        <v>278</v>
      </c>
      <c r="B3420" s="3">
        <v>41709</v>
      </c>
      <c r="C3420" t="s">
        <v>17</v>
      </c>
      <c r="D3420" t="s">
        <v>21</v>
      </c>
      <c r="E3420" t="s">
        <v>279</v>
      </c>
      <c r="F3420" s="1">
        <v>286.34399999999999</v>
      </c>
      <c r="G3420">
        <v>3</v>
      </c>
      <c r="H3420" s="1">
        <v>-64.427400000000006</v>
      </c>
      <c r="I3420" s="4">
        <f>SalesData[[#This Row],[Profit]]/SalesData[[#This Row],[Sales]]</f>
        <v>-0.22500000000000003</v>
      </c>
      <c r="J3420">
        <f>YEAR(SalesData[[#This Row],[Order Date]])</f>
        <v>2014</v>
      </c>
      <c r="K3420" t="str">
        <f>TEXT(SalesData[[#This Row],[Order Date]],"mmm")</f>
        <v>Mar</v>
      </c>
      <c r="L3420">
        <f>MONTH(SalesData[[#This Row],[Order Date]])</f>
        <v>3</v>
      </c>
      <c r="M3420">
        <f>SalesData[[#This Row],[Sales]]/SalesData[[#This Row],[Quantity]]</f>
        <v>95.447999999999993</v>
      </c>
      <c r="N3420" t="str">
        <f>IF(SalesData[[#This Row],[Profit]]&gt;0,"Profit","Loss")</f>
        <v>Loss</v>
      </c>
    </row>
    <row r="3421" spans="1:14" x14ac:dyDescent="0.3">
      <c r="A3421" t="s">
        <v>280</v>
      </c>
      <c r="B3421" s="3">
        <v>41709</v>
      </c>
      <c r="C3421" t="s">
        <v>17</v>
      </c>
      <c r="D3421" t="s">
        <v>10</v>
      </c>
      <c r="E3421" t="s">
        <v>281</v>
      </c>
      <c r="F3421" s="1">
        <v>783.96</v>
      </c>
      <c r="G3421">
        <v>4</v>
      </c>
      <c r="H3421" s="1">
        <v>219.50880000000001</v>
      </c>
      <c r="I3421" s="4">
        <f>SalesData[[#This Row],[Profit]]/SalesData[[#This Row],[Sales]]</f>
        <v>0.27999999999999997</v>
      </c>
      <c r="J3421">
        <f>YEAR(SalesData[[#This Row],[Order Date]])</f>
        <v>2014</v>
      </c>
      <c r="K3421" t="str">
        <f>TEXT(SalesData[[#This Row],[Order Date]],"mmm")</f>
        <v>Mar</v>
      </c>
      <c r="L3421">
        <f>MONTH(SalesData[[#This Row],[Order Date]])</f>
        <v>3</v>
      </c>
      <c r="M3421">
        <f>SalesData[[#This Row],[Sales]]/SalesData[[#This Row],[Quantity]]</f>
        <v>195.99</v>
      </c>
      <c r="N3421" t="str">
        <f>IF(SalesData[[#This Row],[Profit]]&gt;0,"Profit","Loss")</f>
        <v>Profit</v>
      </c>
    </row>
    <row r="3422" spans="1:14" x14ac:dyDescent="0.3">
      <c r="A3422" t="s">
        <v>280</v>
      </c>
      <c r="B3422" s="3">
        <v>41709</v>
      </c>
      <c r="C3422" t="s">
        <v>17</v>
      </c>
      <c r="D3422" t="s">
        <v>21</v>
      </c>
      <c r="E3422" t="s">
        <v>124</v>
      </c>
      <c r="F3422" s="1">
        <v>48.896000000000001</v>
      </c>
      <c r="G3422">
        <v>2</v>
      </c>
      <c r="H3422" s="1">
        <v>18.335999999999999</v>
      </c>
      <c r="I3422" s="4">
        <f>SalesData[[#This Row],[Profit]]/SalesData[[#This Row],[Sales]]</f>
        <v>0.37499999999999994</v>
      </c>
      <c r="J3422">
        <f>YEAR(SalesData[[#This Row],[Order Date]])</f>
        <v>2014</v>
      </c>
      <c r="K3422" t="str">
        <f>TEXT(SalesData[[#This Row],[Order Date]],"mmm")</f>
        <v>Mar</v>
      </c>
      <c r="L3422">
        <f>MONTH(SalesData[[#This Row],[Order Date]])</f>
        <v>3</v>
      </c>
      <c r="M3422">
        <f>SalesData[[#This Row],[Sales]]/SalesData[[#This Row],[Quantity]]</f>
        <v>24.448</v>
      </c>
      <c r="N3422" t="str">
        <f>IF(SalesData[[#This Row],[Profit]]&gt;0,"Profit","Loss")</f>
        <v>Profit</v>
      </c>
    </row>
    <row r="3423" spans="1:14" x14ac:dyDescent="0.3">
      <c r="A3423" t="s">
        <v>280</v>
      </c>
      <c r="B3423" s="3">
        <v>41709</v>
      </c>
      <c r="C3423" t="s">
        <v>17</v>
      </c>
      <c r="D3423" t="s">
        <v>21</v>
      </c>
      <c r="E3423" t="s">
        <v>282</v>
      </c>
      <c r="F3423" s="1">
        <v>7.8559999999999999</v>
      </c>
      <c r="G3423">
        <v>2</v>
      </c>
      <c r="H3423" s="1">
        <v>2.8477999999999999</v>
      </c>
      <c r="I3423" s="4">
        <f>SalesData[[#This Row],[Profit]]/SalesData[[#This Row],[Sales]]</f>
        <v>0.36249999999999999</v>
      </c>
      <c r="J3423">
        <f>YEAR(SalesData[[#This Row],[Order Date]])</f>
        <v>2014</v>
      </c>
      <c r="K3423" t="str">
        <f>TEXT(SalesData[[#This Row],[Order Date]],"mmm")</f>
        <v>Mar</v>
      </c>
      <c r="L3423">
        <f>MONTH(SalesData[[#This Row],[Order Date]])</f>
        <v>3</v>
      </c>
      <c r="M3423">
        <f>SalesData[[#This Row],[Sales]]/SalesData[[#This Row],[Quantity]]</f>
        <v>3.9279999999999999</v>
      </c>
      <c r="N3423" t="str">
        <f>IF(SalesData[[#This Row],[Profit]]&gt;0,"Profit","Loss")</f>
        <v>Profit</v>
      </c>
    </row>
    <row r="3424" spans="1:14" x14ac:dyDescent="0.3">
      <c r="A3424" t="s">
        <v>283</v>
      </c>
      <c r="B3424" s="3">
        <v>41709</v>
      </c>
      <c r="C3424" t="s">
        <v>17</v>
      </c>
      <c r="D3424" t="s">
        <v>21</v>
      </c>
      <c r="E3424" t="s">
        <v>284</v>
      </c>
      <c r="F3424" s="1">
        <v>11.64</v>
      </c>
      <c r="G3424">
        <v>3</v>
      </c>
      <c r="H3424" s="1">
        <v>3.3755999999999999</v>
      </c>
      <c r="I3424" s="4">
        <f>SalesData[[#This Row],[Profit]]/SalesData[[#This Row],[Sales]]</f>
        <v>0.28999999999999998</v>
      </c>
      <c r="J3424">
        <f>YEAR(SalesData[[#This Row],[Order Date]])</f>
        <v>2014</v>
      </c>
      <c r="K3424" t="str">
        <f>TEXT(SalesData[[#This Row],[Order Date]],"mmm")</f>
        <v>Mar</v>
      </c>
      <c r="L3424">
        <f>MONTH(SalesData[[#This Row],[Order Date]])</f>
        <v>3</v>
      </c>
      <c r="M3424">
        <f>SalesData[[#This Row],[Sales]]/SalesData[[#This Row],[Quantity]]</f>
        <v>3.8800000000000003</v>
      </c>
      <c r="N3424" t="str">
        <f>IF(SalesData[[#This Row],[Profit]]&gt;0,"Profit","Loss")</f>
        <v>Profit</v>
      </c>
    </row>
    <row r="3425" spans="1:14" x14ac:dyDescent="0.3">
      <c r="A3425" t="s">
        <v>285</v>
      </c>
      <c r="B3425" s="3">
        <v>41709</v>
      </c>
      <c r="C3425" t="s">
        <v>46</v>
      </c>
      <c r="D3425" t="s">
        <v>21</v>
      </c>
      <c r="E3425" t="s">
        <v>286</v>
      </c>
      <c r="F3425" s="1">
        <v>3.488</v>
      </c>
      <c r="G3425">
        <v>2</v>
      </c>
      <c r="H3425" s="1">
        <v>1.1772</v>
      </c>
      <c r="I3425" s="4">
        <f>SalesData[[#This Row],[Profit]]/SalesData[[#This Row],[Sales]]</f>
        <v>0.33750000000000002</v>
      </c>
      <c r="J3425">
        <f>YEAR(SalesData[[#This Row],[Order Date]])</f>
        <v>2014</v>
      </c>
      <c r="K3425" t="str">
        <f>TEXT(SalesData[[#This Row],[Order Date]],"mmm")</f>
        <v>Mar</v>
      </c>
      <c r="L3425">
        <f>MONTH(SalesData[[#This Row],[Order Date]])</f>
        <v>3</v>
      </c>
      <c r="M3425">
        <f>SalesData[[#This Row],[Sales]]/SalesData[[#This Row],[Quantity]]</f>
        <v>1.744</v>
      </c>
      <c r="N3425" t="str">
        <f>IF(SalesData[[#This Row],[Profit]]&gt;0,"Profit","Loss")</f>
        <v>Profit</v>
      </c>
    </row>
    <row r="3426" spans="1:14" x14ac:dyDescent="0.3">
      <c r="A3426" t="s">
        <v>285</v>
      </c>
      <c r="B3426" s="3">
        <v>41709</v>
      </c>
      <c r="C3426" t="s">
        <v>46</v>
      </c>
      <c r="D3426" t="s">
        <v>21</v>
      </c>
      <c r="E3426" t="s">
        <v>253</v>
      </c>
      <c r="F3426" s="1">
        <v>143.85599999999999</v>
      </c>
      <c r="G3426">
        <v>9</v>
      </c>
      <c r="H3426" s="1">
        <v>48.551400000000001</v>
      </c>
      <c r="I3426" s="4">
        <f>SalesData[[#This Row],[Profit]]/SalesData[[#This Row],[Sales]]</f>
        <v>0.33750000000000002</v>
      </c>
      <c r="J3426">
        <f>YEAR(SalesData[[#This Row],[Order Date]])</f>
        <v>2014</v>
      </c>
      <c r="K3426" t="str">
        <f>TEXT(SalesData[[#This Row],[Order Date]],"mmm")</f>
        <v>Mar</v>
      </c>
      <c r="L3426">
        <f>MONTH(SalesData[[#This Row],[Order Date]])</f>
        <v>3</v>
      </c>
      <c r="M3426">
        <f>SalesData[[#This Row],[Sales]]/SalesData[[#This Row],[Quantity]]</f>
        <v>15.984</v>
      </c>
      <c r="N3426" t="str">
        <f>IF(SalesData[[#This Row],[Profit]]&gt;0,"Profit","Loss")</f>
        <v>Profit</v>
      </c>
    </row>
    <row r="3427" spans="1:14" x14ac:dyDescent="0.3">
      <c r="A3427" t="s">
        <v>287</v>
      </c>
      <c r="B3427" s="3">
        <v>41709</v>
      </c>
      <c r="C3427" t="s">
        <v>46</v>
      </c>
      <c r="D3427" t="s">
        <v>21</v>
      </c>
      <c r="E3427" t="s">
        <v>288</v>
      </c>
      <c r="F3427" s="1">
        <v>25.984000000000002</v>
      </c>
      <c r="G3427">
        <v>2</v>
      </c>
      <c r="H3427" s="1">
        <v>-1.6240000000000001</v>
      </c>
      <c r="I3427" s="4">
        <f>SalesData[[#This Row],[Profit]]/SalesData[[#This Row],[Sales]]</f>
        <v>-6.25E-2</v>
      </c>
      <c r="J3427">
        <f>YEAR(SalesData[[#This Row],[Order Date]])</f>
        <v>2014</v>
      </c>
      <c r="K3427" t="str">
        <f>TEXT(SalesData[[#This Row],[Order Date]],"mmm")</f>
        <v>Mar</v>
      </c>
      <c r="L3427">
        <f>MONTH(SalesData[[#This Row],[Order Date]])</f>
        <v>3</v>
      </c>
      <c r="M3427">
        <f>SalesData[[#This Row],[Sales]]/SalesData[[#This Row],[Quantity]]</f>
        <v>12.992000000000001</v>
      </c>
      <c r="N3427" t="str">
        <f>IF(SalesData[[#This Row],[Profit]]&gt;0,"Profit","Loss")</f>
        <v>Loss</v>
      </c>
    </row>
    <row r="3428" spans="1:14" x14ac:dyDescent="0.3">
      <c r="A3428" t="s">
        <v>287</v>
      </c>
      <c r="B3428" s="3">
        <v>41709</v>
      </c>
      <c r="C3428" t="s">
        <v>46</v>
      </c>
      <c r="D3428" t="s">
        <v>14</v>
      </c>
      <c r="E3428" t="s">
        <v>289</v>
      </c>
      <c r="F3428" s="1">
        <v>945.03599999999994</v>
      </c>
      <c r="G3428">
        <v>6</v>
      </c>
      <c r="H3428" s="1">
        <v>-299.26139999999998</v>
      </c>
      <c r="I3428" s="4">
        <f>SalesData[[#This Row],[Profit]]/SalesData[[#This Row],[Sales]]</f>
        <v>-0.31666666666666665</v>
      </c>
      <c r="J3428">
        <f>YEAR(SalesData[[#This Row],[Order Date]])</f>
        <v>2014</v>
      </c>
      <c r="K3428" t="str">
        <f>TEXT(SalesData[[#This Row],[Order Date]],"mmm")</f>
        <v>Mar</v>
      </c>
      <c r="L3428">
        <f>MONTH(SalesData[[#This Row],[Order Date]])</f>
        <v>3</v>
      </c>
      <c r="M3428">
        <f>SalesData[[#This Row],[Sales]]/SalesData[[#This Row],[Quantity]]</f>
        <v>157.506</v>
      </c>
      <c r="N3428" t="str">
        <f>IF(SalesData[[#This Row],[Profit]]&gt;0,"Profit","Loss")</f>
        <v>Loss</v>
      </c>
    </row>
    <row r="3429" spans="1:14" x14ac:dyDescent="0.3">
      <c r="A3429" t="s">
        <v>287</v>
      </c>
      <c r="B3429" s="3">
        <v>41709</v>
      </c>
      <c r="C3429" t="s">
        <v>46</v>
      </c>
      <c r="D3429" t="s">
        <v>21</v>
      </c>
      <c r="E3429" t="s">
        <v>290</v>
      </c>
      <c r="F3429" s="1">
        <v>14.301</v>
      </c>
      <c r="G3429">
        <v>7</v>
      </c>
      <c r="H3429" s="1">
        <v>-10.487399999999999</v>
      </c>
      <c r="I3429" s="4">
        <f>SalesData[[#This Row],[Profit]]/SalesData[[#This Row],[Sales]]</f>
        <v>-0.73333333333333328</v>
      </c>
      <c r="J3429">
        <f>YEAR(SalesData[[#This Row],[Order Date]])</f>
        <v>2014</v>
      </c>
      <c r="K3429" t="str">
        <f>TEXT(SalesData[[#This Row],[Order Date]],"mmm")</f>
        <v>Mar</v>
      </c>
      <c r="L3429">
        <f>MONTH(SalesData[[#This Row],[Order Date]])</f>
        <v>3</v>
      </c>
      <c r="M3429">
        <f>SalesData[[#This Row],[Sales]]/SalesData[[#This Row],[Quantity]]</f>
        <v>2.0430000000000001</v>
      </c>
      <c r="N3429" t="str">
        <f>IF(SalesData[[#This Row],[Profit]]&gt;0,"Profit","Loss")</f>
        <v>Loss</v>
      </c>
    </row>
    <row r="3430" spans="1:14" x14ac:dyDescent="0.3">
      <c r="A3430" t="s">
        <v>287</v>
      </c>
      <c r="B3430" s="3">
        <v>41709</v>
      </c>
      <c r="C3430" t="s">
        <v>46</v>
      </c>
      <c r="D3430" t="s">
        <v>14</v>
      </c>
      <c r="E3430" t="s">
        <v>291</v>
      </c>
      <c r="F3430" s="1">
        <v>410.35199999999998</v>
      </c>
      <c r="G3430">
        <v>3</v>
      </c>
      <c r="H3430" s="1">
        <v>-51.293999999999997</v>
      </c>
      <c r="I3430" s="4">
        <f>SalesData[[#This Row],[Profit]]/SalesData[[#This Row],[Sales]]</f>
        <v>-0.125</v>
      </c>
      <c r="J3430">
        <f>YEAR(SalesData[[#This Row],[Order Date]])</f>
        <v>2014</v>
      </c>
      <c r="K3430" t="str">
        <f>TEXT(SalesData[[#This Row],[Order Date]],"mmm")</f>
        <v>Mar</v>
      </c>
      <c r="L3430">
        <f>MONTH(SalesData[[#This Row],[Order Date]])</f>
        <v>3</v>
      </c>
      <c r="M3430">
        <f>SalesData[[#This Row],[Sales]]/SalesData[[#This Row],[Quantity]]</f>
        <v>136.78399999999999</v>
      </c>
      <c r="N3430" t="str">
        <f>IF(SalesData[[#This Row],[Profit]]&gt;0,"Profit","Loss")</f>
        <v>Loss</v>
      </c>
    </row>
    <row r="3431" spans="1:14" x14ac:dyDescent="0.3">
      <c r="A3431" t="s">
        <v>292</v>
      </c>
      <c r="B3431" s="3">
        <v>41709</v>
      </c>
      <c r="C3431" t="s">
        <v>17</v>
      </c>
      <c r="D3431" t="s">
        <v>21</v>
      </c>
      <c r="E3431" t="s">
        <v>56</v>
      </c>
      <c r="F3431" s="1">
        <v>5.76</v>
      </c>
      <c r="G3431">
        <v>2</v>
      </c>
      <c r="H3431" s="1">
        <v>2.8224</v>
      </c>
      <c r="I3431" s="4">
        <f>SalesData[[#This Row],[Profit]]/SalesData[[#This Row],[Sales]]</f>
        <v>0.49000000000000005</v>
      </c>
      <c r="J3431">
        <f>YEAR(SalesData[[#This Row],[Order Date]])</f>
        <v>2014</v>
      </c>
      <c r="K3431" t="str">
        <f>TEXT(SalesData[[#This Row],[Order Date]],"mmm")</f>
        <v>Mar</v>
      </c>
      <c r="L3431">
        <f>MONTH(SalesData[[#This Row],[Order Date]])</f>
        <v>3</v>
      </c>
      <c r="M3431">
        <f>SalesData[[#This Row],[Sales]]/SalesData[[#This Row],[Quantity]]</f>
        <v>2.88</v>
      </c>
      <c r="N3431" t="str">
        <f>IF(SalesData[[#This Row],[Profit]]&gt;0,"Profit","Loss")</f>
        <v>Profit</v>
      </c>
    </row>
    <row r="3432" spans="1:14" x14ac:dyDescent="0.3">
      <c r="A3432" t="s">
        <v>293</v>
      </c>
      <c r="B3432" s="3">
        <v>41709</v>
      </c>
      <c r="C3432" t="s">
        <v>9</v>
      </c>
      <c r="D3432" t="s">
        <v>10</v>
      </c>
      <c r="E3432" t="s">
        <v>294</v>
      </c>
      <c r="F3432" s="1">
        <v>89.97</v>
      </c>
      <c r="G3432">
        <v>3</v>
      </c>
      <c r="H3432" s="1">
        <v>18.893699999999999</v>
      </c>
      <c r="I3432" s="4">
        <f>SalesData[[#This Row],[Profit]]/SalesData[[#This Row],[Sales]]</f>
        <v>0.21</v>
      </c>
      <c r="J3432">
        <f>YEAR(SalesData[[#This Row],[Order Date]])</f>
        <v>2014</v>
      </c>
      <c r="K3432" t="str">
        <f>TEXT(SalesData[[#This Row],[Order Date]],"mmm")</f>
        <v>Mar</v>
      </c>
      <c r="L3432">
        <f>MONTH(SalesData[[#This Row],[Order Date]])</f>
        <v>3</v>
      </c>
      <c r="M3432">
        <f>SalesData[[#This Row],[Sales]]/SalesData[[#This Row],[Quantity]]</f>
        <v>29.99</v>
      </c>
      <c r="N3432" t="str">
        <f>IF(SalesData[[#This Row],[Profit]]&gt;0,"Profit","Loss")</f>
        <v>Profit</v>
      </c>
    </row>
    <row r="3433" spans="1:14" x14ac:dyDescent="0.3">
      <c r="A3433" t="s">
        <v>295</v>
      </c>
      <c r="B3433" s="3">
        <v>41709</v>
      </c>
      <c r="C3433" t="s">
        <v>13</v>
      </c>
      <c r="D3433" t="s">
        <v>21</v>
      </c>
      <c r="E3433" t="s">
        <v>296</v>
      </c>
      <c r="F3433" s="1">
        <v>6.72</v>
      </c>
      <c r="G3433">
        <v>4</v>
      </c>
      <c r="H3433" s="1">
        <v>3.36</v>
      </c>
      <c r="I3433" s="4">
        <f>SalesData[[#This Row],[Profit]]/SalesData[[#This Row],[Sales]]</f>
        <v>0.5</v>
      </c>
      <c r="J3433">
        <f>YEAR(SalesData[[#This Row],[Order Date]])</f>
        <v>2014</v>
      </c>
      <c r="K3433" t="str">
        <f>TEXT(SalesData[[#This Row],[Order Date]],"mmm")</f>
        <v>Mar</v>
      </c>
      <c r="L3433">
        <f>MONTH(SalesData[[#This Row],[Order Date]])</f>
        <v>3</v>
      </c>
      <c r="M3433">
        <f>SalesData[[#This Row],[Sales]]/SalesData[[#This Row],[Quantity]]</f>
        <v>1.68</v>
      </c>
      <c r="N3433" t="str">
        <f>IF(SalesData[[#This Row],[Profit]]&gt;0,"Profit","Loss")</f>
        <v>Profit</v>
      </c>
    </row>
    <row r="3434" spans="1:14" x14ac:dyDescent="0.3">
      <c r="A3434" t="s">
        <v>297</v>
      </c>
      <c r="B3434" s="3">
        <v>41710</v>
      </c>
      <c r="C3434" t="s">
        <v>9</v>
      </c>
      <c r="D3434" t="s">
        <v>10</v>
      </c>
      <c r="E3434" t="s">
        <v>298</v>
      </c>
      <c r="F3434" s="1">
        <v>479.96</v>
      </c>
      <c r="G3434">
        <v>4</v>
      </c>
      <c r="H3434" s="1">
        <v>134.3888</v>
      </c>
      <c r="I3434" s="4">
        <f>SalesData[[#This Row],[Profit]]/SalesData[[#This Row],[Sales]]</f>
        <v>0.28000000000000003</v>
      </c>
      <c r="J3434">
        <f>YEAR(SalesData[[#This Row],[Order Date]])</f>
        <v>2014</v>
      </c>
      <c r="K3434" t="str">
        <f>TEXT(SalesData[[#This Row],[Order Date]],"mmm")</f>
        <v>Mar</v>
      </c>
      <c r="L3434">
        <f>MONTH(SalesData[[#This Row],[Order Date]])</f>
        <v>3</v>
      </c>
      <c r="M3434">
        <f>SalesData[[#This Row],[Sales]]/SalesData[[#This Row],[Quantity]]</f>
        <v>119.99</v>
      </c>
      <c r="N3434" t="str">
        <f>IF(SalesData[[#This Row],[Profit]]&gt;0,"Profit","Loss")</f>
        <v>Profit</v>
      </c>
    </row>
    <row r="3435" spans="1:14" x14ac:dyDescent="0.3">
      <c r="A3435" t="s">
        <v>299</v>
      </c>
      <c r="B3435" s="3">
        <v>41710</v>
      </c>
      <c r="C3435" t="s">
        <v>9</v>
      </c>
      <c r="D3435" t="s">
        <v>21</v>
      </c>
      <c r="E3435" t="s">
        <v>115</v>
      </c>
      <c r="F3435" s="1">
        <v>25.92</v>
      </c>
      <c r="G3435">
        <v>4</v>
      </c>
      <c r="H3435" s="1">
        <v>12.441599999999999</v>
      </c>
      <c r="I3435" s="4">
        <f>SalesData[[#This Row],[Profit]]/SalesData[[#This Row],[Sales]]</f>
        <v>0.47999999999999993</v>
      </c>
      <c r="J3435">
        <f>YEAR(SalesData[[#This Row],[Order Date]])</f>
        <v>2014</v>
      </c>
      <c r="K3435" t="str">
        <f>TEXT(SalesData[[#This Row],[Order Date]],"mmm")</f>
        <v>Mar</v>
      </c>
      <c r="L3435">
        <f>MONTH(SalesData[[#This Row],[Order Date]])</f>
        <v>3</v>
      </c>
      <c r="M3435">
        <f>SalesData[[#This Row],[Sales]]/SalesData[[#This Row],[Quantity]]</f>
        <v>6.48</v>
      </c>
      <c r="N3435" t="str">
        <f>IF(SalesData[[#This Row],[Profit]]&gt;0,"Profit","Loss")</f>
        <v>Profit</v>
      </c>
    </row>
    <row r="3436" spans="1:14" x14ac:dyDescent="0.3">
      <c r="A3436" t="s">
        <v>300</v>
      </c>
      <c r="B3436" s="3">
        <v>41730</v>
      </c>
      <c r="C3436" t="s">
        <v>9</v>
      </c>
      <c r="D3436" t="s">
        <v>21</v>
      </c>
      <c r="E3436" t="s">
        <v>301</v>
      </c>
      <c r="F3436" s="1">
        <v>11.784000000000001</v>
      </c>
      <c r="G3436">
        <v>3</v>
      </c>
      <c r="H3436" s="1">
        <v>4.2717000000000001</v>
      </c>
      <c r="I3436" s="4">
        <f>SalesData[[#This Row],[Profit]]/SalesData[[#This Row],[Sales]]</f>
        <v>0.36249999999999999</v>
      </c>
      <c r="J3436">
        <f>YEAR(SalesData[[#This Row],[Order Date]])</f>
        <v>2014</v>
      </c>
      <c r="K3436" t="str">
        <f>TEXT(SalesData[[#This Row],[Order Date]],"mmm")</f>
        <v>Apr</v>
      </c>
      <c r="L3436">
        <f>MONTH(SalesData[[#This Row],[Order Date]])</f>
        <v>4</v>
      </c>
      <c r="M3436">
        <f>SalesData[[#This Row],[Sales]]/SalesData[[#This Row],[Quantity]]</f>
        <v>3.9280000000000004</v>
      </c>
      <c r="N3436" t="str">
        <f>IF(SalesData[[#This Row],[Profit]]&gt;0,"Profit","Loss")</f>
        <v>Profit</v>
      </c>
    </row>
    <row r="3437" spans="1:14" x14ac:dyDescent="0.3">
      <c r="A3437" t="s">
        <v>300</v>
      </c>
      <c r="B3437" s="3">
        <v>41730</v>
      </c>
      <c r="C3437" t="s">
        <v>9</v>
      </c>
      <c r="D3437" t="s">
        <v>21</v>
      </c>
      <c r="E3437" t="s">
        <v>302</v>
      </c>
      <c r="F3437" s="1">
        <v>272.73599999999999</v>
      </c>
      <c r="G3437">
        <v>3</v>
      </c>
      <c r="H3437" s="1">
        <v>-64.774799999999999</v>
      </c>
      <c r="I3437" s="4">
        <f>SalesData[[#This Row],[Profit]]/SalesData[[#This Row],[Sales]]</f>
        <v>-0.23750000000000002</v>
      </c>
      <c r="J3437">
        <f>YEAR(SalesData[[#This Row],[Order Date]])</f>
        <v>2014</v>
      </c>
      <c r="K3437" t="str">
        <f>TEXT(SalesData[[#This Row],[Order Date]],"mmm")</f>
        <v>Apr</v>
      </c>
      <c r="L3437">
        <f>MONTH(SalesData[[#This Row],[Order Date]])</f>
        <v>4</v>
      </c>
      <c r="M3437">
        <f>SalesData[[#This Row],[Sales]]/SalesData[[#This Row],[Quantity]]</f>
        <v>90.911999999999992</v>
      </c>
      <c r="N3437" t="str">
        <f>IF(SalesData[[#This Row],[Profit]]&gt;0,"Profit","Loss")</f>
        <v>Loss</v>
      </c>
    </row>
    <row r="3438" spans="1:14" x14ac:dyDescent="0.3">
      <c r="A3438" t="s">
        <v>300</v>
      </c>
      <c r="B3438" s="3">
        <v>41730</v>
      </c>
      <c r="C3438" t="s">
        <v>9</v>
      </c>
      <c r="D3438" t="s">
        <v>21</v>
      </c>
      <c r="E3438" t="s">
        <v>303</v>
      </c>
      <c r="F3438" s="1">
        <v>3.54</v>
      </c>
      <c r="G3438">
        <v>2</v>
      </c>
      <c r="H3438" s="1">
        <v>-5.4870000000000001</v>
      </c>
      <c r="I3438" s="4">
        <f>SalesData[[#This Row],[Profit]]/SalesData[[#This Row],[Sales]]</f>
        <v>-1.55</v>
      </c>
      <c r="J3438">
        <f>YEAR(SalesData[[#This Row],[Order Date]])</f>
        <v>2014</v>
      </c>
      <c r="K3438" t="str">
        <f>TEXT(SalesData[[#This Row],[Order Date]],"mmm")</f>
        <v>Apr</v>
      </c>
      <c r="L3438">
        <f>MONTH(SalesData[[#This Row],[Order Date]])</f>
        <v>4</v>
      </c>
      <c r="M3438">
        <f>SalesData[[#This Row],[Sales]]/SalesData[[#This Row],[Quantity]]</f>
        <v>1.77</v>
      </c>
      <c r="N3438" t="str">
        <f>IF(SalesData[[#This Row],[Profit]]&gt;0,"Profit","Loss")</f>
        <v>Loss</v>
      </c>
    </row>
    <row r="3439" spans="1:14" x14ac:dyDescent="0.3">
      <c r="A3439" t="s">
        <v>304</v>
      </c>
      <c r="B3439" s="3">
        <v>41731</v>
      </c>
      <c r="C3439" t="s">
        <v>13</v>
      </c>
      <c r="D3439" t="s">
        <v>21</v>
      </c>
      <c r="E3439" t="s">
        <v>305</v>
      </c>
      <c r="F3439" s="1">
        <v>82.896000000000001</v>
      </c>
      <c r="G3439">
        <v>3</v>
      </c>
      <c r="H3439" s="1">
        <v>29.0136</v>
      </c>
      <c r="I3439" s="4">
        <f>SalesData[[#This Row],[Profit]]/SalesData[[#This Row],[Sales]]</f>
        <v>0.35</v>
      </c>
      <c r="J3439">
        <f>YEAR(SalesData[[#This Row],[Order Date]])</f>
        <v>2014</v>
      </c>
      <c r="K3439" t="str">
        <f>TEXT(SalesData[[#This Row],[Order Date]],"mmm")</f>
        <v>Apr</v>
      </c>
      <c r="L3439">
        <f>MONTH(SalesData[[#This Row],[Order Date]])</f>
        <v>4</v>
      </c>
      <c r="M3439">
        <f>SalesData[[#This Row],[Sales]]/SalesData[[#This Row],[Quantity]]</f>
        <v>27.632000000000001</v>
      </c>
      <c r="N3439" t="str">
        <f>IF(SalesData[[#This Row],[Profit]]&gt;0,"Profit","Loss")</f>
        <v>Profit</v>
      </c>
    </row>
    <row r="3440" spans="1:14" x14ac:dyDescent="0.3">
      <c r="A3440" t="s">
        <v>304</v>
      </c>
      <c r="B3440" s="3">
        <v>41731</v>
      </c>
      <c r="C3440" t="s">
        <v>13</v>
      </c>
      <c r="D3440" t="s">
        <v>21</v>
      </c>
      <c r="E3440" t="s">
        <v>306</v>
      </c>
      <c r="F3440" s="1">
        <v>34.24</v>
      </c>
      <c r="G3440">
        <v>4</v>
      </c>
      <c r="H3440" s="1">
        <v>16.0928</v>
      </c>
      <c r="I3440" s="4">
        <f>SalesData[[#This Row],[Profit]]/SalesData[[#This Row],[Sales]]</f>
        <v>0.47</v>
      </c>
      <c r="J3440">
        <f>YEAR(SalesData[[#This Row],[Order Date]])</f>
        <v>2014</v>
      </c>
      <c r="K3440" t="str">
        <f>TEXT(SalesData[[#This Row],[Order Date]],"mmm")</f>
        <v>Apr</v>
      </c>
      <c r="L3440">
        <f>MONTH(SalesData[[#This Row],[Order Date]])</f>
        <v>4</v>
      </c>
      <c r="M3440">
        <f>SalesData[[#This Row],[Sales]]/SalesData[[#This Row],[Quantity]]</f>
        <v>8.56</v>
      </c>
      <c r="N3440" t="str">
        <f>IF(SalesData[[#This Row],[Profit]]&gt;0,"Profit","Loss")</f>
        <v>Profit</v>
      </c>
    </row>
    <row r="3441" spans="1:14" x14ac:dyDescent="0.3">
      <c r="A3441" t="s">
        <v>307</v>
      </c>
      <c r="B3441" s="3">
        <v>41731</v>
      </c>
      <c r="C3441" t="s">
        <v>13</v>
      </c>
      <c r="D3441" t="s">
        <v>21</v>
      </c>
      <c r="E3441" t="s">
        <v>308</v>
      </c>
      <c r="F3441" s="1">
        <v>17.248000000000001</v>
      </c>
      <c r="G3441">
        <v>2</v>
      </c>
      <c r="H3441" s="1">
        <v>6.0368000000000004</v>
      </c>
      <c r="I3441" s="4">
        <f>SalesData[[#This Row],[Profit]]/SalesData[[#This Row],[Sales]]</f>
        <v>0.35</v>
      </c>
      <c r="J3441">
        <f>YEAR(SalesData[[#This Row],[Order Date]])</f>
        <v>2014</v>
      </c>
      <c r="K3441" t="str">
        <f>TEXT(SalesData[[#This Row],[Order Date]],"mmm")</f>
        <v>Apr</v>
      </c>
      <c r="L3441">
        <f>MONTH(SalesData[[#This Row],[Order Date]])</f>
        <v>4</v>
      </c>
      <c r="M3441">
        <f>SalesData[[#This Row],[Sales]]/SalesData[[#This Row],[Quantity]]</f>
        <v>8.6240000000000006</v>
      </c>
      <c r="N3441" t="str">
        <f>IF(SalesData[[#This Row],[Profit]]&gt;0,"Profit","Loss")</f>
        <v>Profit</v>
      </c>
    </row>
    <row r="3442" spans="1:14" x14ac:dyDescent="0.3">
      <c r="A3442" t="s">
        <v>309</v>
      </c>
      <c r="B3442" s="3">
        <v>41732</v>
      </c>
      <c r="C3442" t="s">
        <v>46</v>
      </c>
      <c r="D3442" t="s">
        <v>21</v>
      </c>
      <c r="E3442" t="s">
        <v>310</v>
      </c>
      <c r="F3442" s="1">
        <v>354.9</v>
      </c>
      <c r="G3442">
        <v>5</v>
      </c>
      <c r="H3442" s="1">
        <v>17.745000000000001</v>
      </c>
      <c r="I3442" s="4">
        <f>SalesData[[#This Row],[Profit]]/SalesData[[#This Row],[Sales]]</f>
        <v>0.05</v>
      </c>
      <c r="J3442">
        <f>YEAR(SalesData[[#This Row],[Order Date]])</f>
        <v>2014</v>
      </c>
      <c r="K3442" t="str">
        <f>TEXT(SalesData[[#This Row],[Order Date]],"mmm")</f>
        <v>Apr</v>
      </c>
      <c r="L3442">
        <f>MONTH(SalesData[[#This Row],[Order Date]])</f>
        <v>4</v>
      </c>
      <c r="M3442">
        <f>SalesData[[#This Row],[Sales]]/SalesData[[#This Row],[Quantity]]</f>
        <v>70.97999999999999</v>
      </c>
      <c r="N3442" t="str">
        <f>IF(SalesData[[#This Row],[Profit]]&gt;0,"Profit","Loss")</f>
        <v>Profit</v>
      </c>
    </row>
    <row r="3443" spans="1:14" x14ac:dyDescent="0.3">
      <c r="A3443" t="s">
        <v>311</v>
      </c>
      <c r="B3443" s="3">
        <v>41732</v>
      </c>
      <c r="C3443" t="s">
        <v>46</v>
      </c>
      <c r="D3443" t="s">
        <v>21</v>
      </c>
      <c r="E3443" t="s">
        <v>312</v>
      </c>
      <c r="F3443" s="1">
        <v>15.552</v>
      </c>
      <c r="G3443">
        <v>3</v>
      </c>
      <c r="H3443" s="1">
        <v>2.3328000000000002</v>
      </c>
      <c r="I3443" s="4">
        <f>SalesData[[#This Row],[Profit]]/SalesData[[#This Row],[Sales]]</f>
        <v>0.15000000000000002</v>
      </c>
      <c r="J3443">
        <f>YEAR(SalesData[[#This Row],[Order Date]])</f>
        <v>2014</v>
      </c>
      <c r="K3443" t="str">
        <f>TEXT(SalesData[[#This Row],[Order Date]],"mmm")</f>
        <v>Apr</v>
      </c>
      <c r="L3443">
        <f>MONTH(SalesData[[#This Row],[Order Date]])</f>
        <v>4</v>
      </c>
      <c r="M3443">
        <f>SalesData[[#This Row],[Sales]]/SalesData[[#This Row],[Quantity]]</f>
        <v>5.1840000000000002</v>
      </c>
      <c r="N3443" t="str">
        <f>IF(SalesData[[#This Row],[Profit]]&gt;0,"Profit","Loss")</f>
        <v>Profit</v>
      </c>
    </row>
    <row r="3444" spans="1:14" x14ac:dyDescent="0.3">
      <c r="A3444" t="s">
        <v>313</v>
      </c>
      <c r="B3444" s="3">
        <v>41733</v>
      </c>
      <c r="C3444" t="s">
        <v>13</v>
      </c>
      <c r="D3444" t="s">
        <v>21</v>
      </c>
      <c r="E3444" t="s">
        <v>314</v>
      </c>
      <c r="F3444" s="1">
        <v>18.899999999999999</v>
      </c>
      <c r="G3444">
        <v>6</v>
      </c>
      <c r="H3444" s="1">
        <v>9.0719999999999992</v>
      </c>
      <c r="I3444" s="4">
        <f>SalesData[[#This Row],[Profit]]/SalesData[[#This Row],[Sales]]</f>
        <v>0.48</v>
      </c>
      <c r="J3444">
        <f>YEAR(SalesData[[#This Row],[Order Date]])</f>
        <v>2014</v>
      </c>
      <c r="K3444" t="str">
        <f>TEXT(SalesData[[#This Row],[Order Date]],"mmm")</f>
        <v>Apr</v>
      </c>
      <c r="L3444">
        <f>MONTH(SalesData[[#This Row],[Order Date]])</f>
        <v>4</v>
      </c>
      <c r="M3444">
        <f>SalesData[[#This Row],[Sales]]/SalesData[[#This Row],[Quantity]]</f>
        <v>3.15</v>
      </c>
      <c r="N3444" t="str">
        <f>IF(SalesData[[#This Row],[Profit]]&gt;0,"Profit","Loss")</f>
        <v>Profit</v>
      </c>
    </row>
    <row r="3445" spans="1:14" x14ac:dyDescent="0.3">
      <c r="A3445" t="s">
        <v>315</v>
      </c>
      <c r="B3445" s="3">
        <v>41733</v>
      </c>
      <c r="C3445" t="s">
        <v>9</v>
      </c>
      <c r="D3445" t="s">
        <v>14</v>
      </c>
      <c r="E3445" t="s">
        <v>316</v>
      </c>
      <c r="F3445" s="1">
        <v>5.47</v>
      </c>
      <c r="G3445">
        <v>1</v>
      </c>
      <c r="H3445" s="1">
        <v>2.3521000000000001</v>
      </c>
      <c r="I3445" s="4">
        <f>SalesData[[#This Row],[Profit]]/SalesData[[#This Row],[Sales]]</f>
        <v>0.43000000000000005</v>
      </c>
      <c r="J3445">
        <f>YEAR(SalesData[[#This Row],[Order Date]])</f>
        <v>2014</v>
      </c>
      <c r="K3445" t="str">
        <f>TEXT(SalesData[[#This Row],[Order Date]],"mmm")</f>
        <v>Apr</v>
      </c>
      <c r="L3445">
        <f>MONTH(SalesData[[#This Row],[Order Date]])</f>
        <v>4</v>
      </c>
      <c r="M3445">
        <f>SalesData[[#This Row],[Sales]]/SalesData[[#This Row],[Quantity]]</f>
        <v>5.47</v>
      </c>
      <c r="N3445" t="str">
        <f>IF(SalesData[[#This Row],[Profit]]&gt;0,"Profit","Loss")</f>
        <v>Profit</v>
      </c>
    </row>
    <row r="3446" spans="1:14" x14ac:dyDescent="0.3">
      <c r="A3446" t="s">
        <v>315</v>
      </c>
      <c r="B3446" s="3">
        <v>41733</v>
      </c>
      <c r="C3446" t="s">
        <v>9</v>
      </c>
      <c r="D3446" t="s">
        <v>21</v>
      </c>
      <c r="E3446" t="s">
        <v>317</v>
      </c>
      <c r="F3446" s="1">
        <v>79.36</v>
      </c>
      <c r="G3446">
        <v>4</v>
      </c>
      <c r="H3446" s="1">
        <v>23.808</v>
      </c>
      <c r="I3446" s="4">
        <f>SalesData[[#This Row],[Profit]]/SalesData[[#This Row],[Sales]]</f>
        <v>0.3</v>
      </c>
      <c r="J3446">
        <f>YEAR(SalesData[[#This Row],[Order Date]])</f>
        <v>2014</v>
      </c>
      <c r="K3446" t="str">
        <f>TEXT(SalesData[[#This Row],[Order Date]],"mmm")</f>
        <v>Apr</v>
      </c>
      <c r="L3446">
        <f>MONTH(SalesData[[#This Row],[Order Date]])</f>
        <v>4</v>
      </c>
      <c r="M3446">
        <f>SalesData[[#This Row],[Sales]]/SalesData[[#This Row],[Quantity]]</f>
        <v>19.84</v>
      </c>
      <c r="N3446" t="str">
        <f>IF(SalesData[[#This Row],[Profit]]&gt;0,"Profit","Loss")</f>
        <v>Profit</v>
      </c>
    </row>
    <row r="3447" spans="1:14" x14ac:dyDescent="0.3">
      <c r="A3447" t="s">
        <v>318</v>
      </c>
      <c r="B3447" s="3">
        <v>41733</v>
      </c>
      <c r="C3447" t="s">
        <v>13</v>
      </c>
      <c r="D3447" t="s">
        <v>21</v>
      </c>
      <c r="E3447" t="s">
        <v>319</v>
      </c>
      <c r="F3447" s="1">
        <v>7.1840000000000002</v>
      </c>
      <c r="G3447">
        <v>2</v>
      </c>
      <c r="H3447" s="1">
        <v>2.2450000000000001</v>
      </c>
      <c r="I3447" s="4">
        <f>SalesData[[#This Row],[Profit]]/SalesData[[#This Row],[Sales]]</f>
        <v>0.3125</v>
      </c>
      <c r="J3447">
        <f>YEAR(SalesData[[#This Row],[Order Date]])</f>
        <v>2014</v>
      </c>
      <c r="K3447" t="str">
        <f>TEXT(SalesData[[#This Row],[Order Date]],"mmm")</f>
        <v>Apr</v>
      </c>
      <c r="L3447">
        <f>MONTH(SalesData[[#This Row],[Order Date]])</f>
        <v>4</v>
      </c>
      <c r="M3447">
        <f>SalesData[[#This Row],[Sales]]/SalesData[[#This Row],[Quantity]]</f>
        <v>3.5920000000000001</v>
      </c>
      <c r="N3447" t="str">
        <f>IF(SalesData[[#This Row],[Profit]]&gt;0,"Profit","Loss")</f>
        <v>Profit</v>
      </c>
    </row>
    <row r="3448" spans="1:14" x14ac:dyDescent="0.3">
      <c r="A3448" t="s">
        <v>320</v>
      </c>
      <c r="B3448" s="3">
        <v>41733</v>
      </c>
      <c r="C3448" t="s">
        <v>46</v>
      </c>
      <c r="D3448" t="s">
        <v>21</v>
      </c>
      <c r="E3448" t="s">
        <v>321</v>
      </c>
      <c r="F3448" s="1">
        <v>232.55</v>
      </c>
      <c r="G3448">
        <v>5</v>
      </c>
      <c r="H3448" s="1">
        <v>9.3019999999999996</v>
      </c>
      <c r="I3448" s="4">
        <f>SalesData[[#This Row],[Profit]]/SalesData[[#This Row],[Sales]]</f>
        <v>3.9999999999999994E-2</v>
      </c>
      <c r="J3448">
        <f>YEAR(SalesData[[#This Row],[Order Date]])</f>
        <v>2014</v>
      </c>
      <c r="K3448" t="str">
        <f>TEXT(SalesData[[#This Row],[Order Date]],"mmm")</f>
        <v>Apr</v>
      </c>
      <c r="L3448">
        <f>MONTH(SalesData[[#This Row],[Order Date]])</f>
        <v>4</v>
      </c>
      <c r="M3448">
        <f>SalesData[[#This Row],[Sales]]/SalesData[[#This Row],[Quantity]]</f>
        <v>46.510000000000005</v>
      </c>
      <c r="N3448" t="str">
        <f>IF(SalesData[[#This Row],[Profit]]&gt;0,"Profit","Loss")</f>
        <v>Profit</v>
      </c>
    </row>
    <row r="3449" spans="1:14" x14ac:dyDescent="0.3">
      <c r="A3449" t="s">
        <v>320</v>
      </c>
      <c r="B3449" s="3">
        <v>41733</v>
      </c>
      <c r="C3449" t="s">
        <v>46</v>
      </c>
      <c r="D3449" t="s">
        <v>10</v>
      </c>
      <c r="E3449" t="s">
        <v>322</v>
      </c>
      <c r="F3449" s="1">
        <v>99.98</v>
      </c>
      <c r="G3449">
        <v>2</v>
      </c>
      <c r="H3449" s="1">
        <v>42.991399999999999</v>
      </c>
      <c r="I3449" s="4">
        <f>SalesData[[#This Row],[Profit]]/SalesData[[#This Row],[Sales]]</f>
        <v>0.43</v>
      </c>
      <c r="J3449">
        <f>YEAR(SalesData[[#This Row],[Order Date]])</f>
        <v>2014</v>
      </c>
      <c r="K3449" t="str">
        <f>TEXT(SalesData[[#This Row],[Order Date]],"mmm")</f>
        <v>Apr</v>
      </c>
      <c r="L3449">
        <f>MONTH(SalesData[[#This Row],[Order Date]])</f>
        <v>4</v>
      </c>
      <c r="M3449">
        <f>SalesData[[#This Row],[Sales]]/SalesData[[#This Row],[Quantity]]</f>
        <v>49.99</v>
      </c>
      <c r="N3449" t="str">
        <f>IF(SalesData[[#This Row],[Profit]]&gt;0,"Profit","Loss")</f>
        <v>Profit</v>
      </c>
    </row>
    <row r="3450" spans="1:14" x14ac:dyDescent="0.3">
      <c r="A3450" t="s">
        <v>320</v>
      </c>
      <c r="B3450" s="3">
        <v>41733</v>
      </c>
      <c r="C3450" t="s">
        <v>46</v>
      </c>
      <c r="D3450" t="s">
        <v>21</v>
      </c>
      <c r="E3450" t="s">
        <v>323</v>
      </c>
      <c r="F3450" s="1">
        <v>19.440000000000001</v>
      </c>
      <c r="G3450">
        <v>3</v>
      </c>
      <c r="H3450" s="1">
        <v>9.3312000000000008</v>
      </c>
      <c r="I3450" s="4">
        <f>SalesData[[#This Row],[Profit]]/SalesData[[#This Row],[Sales]]</f>
        <v>0.48000000000000004</v>
      </c>
      <c r="J3450">
        <f>YEAR(SalesData[[#This Row],[Order Date]])</f>
        <v>2014</v>
      </c>
      <c r="K3450" t="str">
        <f>TEXT(SalesData[[#This Row],[Order Date]],"mmm")</f>
        <v>Apr</v>
      </c>
      <c r="L3450">
        <f>MONTH(SalesData[[#This Row],[Order Date]])</f>
        <v>4</v>
      </c>
      <c r="M3450">
        <f>SalesData[[#This Row],[Sales]]/SalesData[[#This Row],[Quantity]]</f>
        <v>6.48</v>
      </c>
      <c r="N3450" t="str">
        <f>IF(SalesData[[#This Row],[Profit]]&gt;0,"Profit","Loss")</f>
        <v>Profit</v>
      </c>
    </row>
    <row r="3451" spans="1:14" x14ac:dyDescent="0.3">
      <c r="A3451" t="s">
        <v>320</v>
      </c>
      <c r="B3451" s="3">
        <v>41733</v>
      </c>
      <c r="C3451" t="s">
        <v>46</v>
      </c>
      <c r="D3451" t="s">
        <v>21</v>
      </c>
      <c r="E3451" t="s">
        <v>324</v>
      </c>
      <c r="F3451" s="1">
        <v>12.96</v>
      </c>
      <c r="G3451">
        <v>2</v>
      </c>
      <c r="H3451" s="1">
        <v>6.3503999999999996</v>
      </c>
      <c r="I3451" s="4">
        <f>SalesData[[#This Row],[Profit]]/SalesData[[#This Row],[Sales]]</f>
        <v>0.48999999999999994</v>
      </c>
      <c r="J3451">
        <f>YEAR(SalesData[[#This Row],[Order Date]])</f>
        <v>2014</v>
      </c>
      <c r="K3451" t="str">
        <f>TEXT(SalesData[[#This Row],[Order Date]],"mmm")</f>
        <v>Apr</v>
      </c>
      <c r="L3451">
        <f>MONTH(SalesData[[#This Row],[Order Date]])</f>
        <v>4</v>
      </c>
      <c r="M3451">
        <f>SalesData[[#This Row],[Sales]]/SalesData[[#This Row],[Quantity]]</f>
        <v>6.48</v>
      </c>
      <c r="N3451" t="str">
        <f>IF(SalesData[[#This Row],[Profit]]&gt;0,"Profit","Loss")</f>
        <v>Profit</v>
      </c>
    </row>
    <row r="3452" spans="1:14" x14ac:dyDescent="0.3">
      <c r="A3452" t="s">
        <v>325</v>
      </c>
      <c r="B3452" s="3">
        <v>41734</v>
      </c>
      <c r="C3452" t="s">
        <v>9</v>
      </c>
      <c r="D3452" t="s">
        <v>21</v>
      </c>
      <c r="E3452" t="s">
        <v>326</v>
      </c>
      <c r="F3452" s="1">
        <v>46.8</v>
      </c>
      <c r="G3452">
        <v>4</v>
      </c>
      <c r="H3452" s="1">
        <v>21.06</v>
      </c>
      <c r="I3452" s="4">
        <f>SalesData[[#This Row],[Profit]]/SalesData[[#This Row],[Sales]]</f>
        <v>0.45</v>
      </c>
      <c r="J3452">
        <f>YEAR(SalesData[[#This Row],[Order Date]])</f>
        <v>2014</v>
      </c>
      <c r="K3452" t="str">
        <f>TEXT(SalesData[[#This Row],[Order Date]],"mmm")</f>
        <v>Apr</v>
      </c>
      <c r="L3452">
        <f>MONTH(SalesData[[#This Row],[Order Date]])</f>
        <v>4</v>
      </c>
      <c r="M3452">
        <f>SalesData[[#This Row],[Sales]]/SalesData[[#This Row],[Quantity]]</f>
        <v>11.7</v>
      </c>
      <c r="N3452" t="str">
        <f>IF(SalesData[[#This Row],[Profit]]&gt;0,"Profit","Loss")</f>
        <v>Profit</v>
      </c>
    </row>
    <row r="3453" spans="1:14" x14ac:dyDescent="0.3">
      <c r="A3453" t="s">
        <v>327</v>
      </c>
      <c r="B3453" s="3">
        <v>41734</v>
      </c>
      <c r="C3453" t="s">
        <v>17</v>
      </c>
      <c r="D3453" t="s">
        <v>14</v>
      </c>
      <c r="E3453" t="s">
        <v>328</v>
      </c>
      <c r="F3453" s="1">
        <v>27.46</v>
      </c>
      <c r="G3453">
        <v>2</v>
      </c>
      <c r="H3453" s="1">
        <v>9.8856000000000002</v>
      </c>
      <c r="I3453" s="4">
        <f>SalesData[[#This Row],[Profit]]/SalesData[[#This Row],[Sales]]</f>
        <v>0.36</v>
      </c>
      <c r="J3453">
        <f>YEAR(SalesData[[#This Row],[Order Date]])</f>
        <v>2014</v>
      </c>
      <c r="K3453" t="str">
        <f>TEXT(SalesData[[#This Row],[Order Date]],"mmm")</f>
        <v>Apr</v>
      </c>
      <c r="L3453">
        <f>MONTH(SalesData[[#This Row],[Order Date]])</f>
        <v>4</v>
      </c>
      <c r="M3453">
        <f>SalesData[[#This Row],[Sales]]/SalesData[[#This Row],[Quantity]]</f>
        <v>13.73</v>
      </c>
      <c r="N3453" t="str">
        <f>IF(SalesData[[#This Row],[Profit]]&gt;0,"Profit","Loss")</f>
        <v>Profit</v>
      </c>
    </row>
    <row r="3454" spans="1:14" x14ac:dyDescent="0.3">
      <c r="A3454" t="s">
        <v>329</v>
      </c>
      <c r="B3454" s="3">
        <v>41734</v>
      </c>
      <c r="C3454" t="s">
        <v>9</v>
      </c>
      <c r="D3454" t="s">
        <v>21</v>
      </c>
      <c r="E3454" t="s">
        <v>330</v>
      </c>
      <c r="F3454" s="1">
        <v>37.840000000000003</v>
      </c>
      <c r="G3454">
        <v>2</v>
      </c>
      <c r="H3454" s="1">
        <v>2.8380000000000001</v>
      </c>
      <c r="I3454" s="4">
        <f>SalesData[[#This Row],[Profit]]/SalesData[[#This Row],[Sales]]</f>
        <v>7.4999999999999997E-2</v>
      </c>
      <c r="J3454">
        <f>YEAR(SalesData[[#This Row],[Order Date]])</f>
        <v>2014</v>
      </c>
      <c r="K3454" t="str">
        <f>TEXT(SalesData[[#This Row],[Order Date]],"mmm")</f>
        <v>Apr</v>
      </c>
      <c r="L3454">
        <f>MONTH(SalesData[[#This Row],[Order Date]])</f>
        <v>4</v>
      </c>
      <c r="M3454">
        <f>SalesData[[#This Row],[Sales]]/SalesData[[#This Row],[Quantity]]</f>
        <v>18.920000000000002</v>
      </c>
      <c r="N3454" t="str">
        <f>IF(SalesData[[#This Row],[Profit]]&gt;0,"Profit","Loss")</f>
        <v>Profit</v>
      </c>
    </row>
    <row r="3455" spans="1:14" x14ac:dyDescent="0.3">
      <c r="A3455" t="s">
        <v>329</v>
      </c>
      <c r="B3455" s="3">
        <v>41734</v>
      </c>
      <c r="C3455" t="s">
        <v>9</v>
      </c>
      <c r="D3455" t="s">
        <v>21</v>
      </c>
      <c r="E3455" t="s">
        <v>331</v>
      </c>
      <c r="F3455" s="1">
        <v>5.4720000000000004</v>
      </c>
      <c r="G3455">
        <v>6</v>
      </c>
      <c r="H3455" s="1">
        <v>1.8468</v>
      </c>
      <c r="I3455" s="4">
        <f>SalesData[[#This Row],[Profit]]/SalesData[[#This Row],[Sales]]</f>
        <v>0.33749999999999997</v>
      </c>
      <c r="J3455">
        <f>YEAR(SalesData[[#This Row],[Order Date]])</f>
        <v>2014</v>
      </c>
      <c r="K3455" t="str">
        <f>TEXT(SalesData[[#This Row],[Order Date]],"mmm")</f>
        <v>Apr</v>
      </c>
      <c r="L3455">
        <f>MONTH(SalesData[[#This Row],[Order Date]])</f>
        <v>4</v>
      </c>
      <c r="M3455">
        <f>SalesData[[#This Row],[Sales]]/SalesData[[#This Row],[Quantity]]</f>
        <v>0.91200000000000003</v>
      </c>
      <c r="N3455" t="str">
        <f>IF(SalesData[[#This Row],[Profit]]&gt;0,"Profit","Loss")</f>
        <v>Profit</v>
      </c>
    </row>
    <row r="3456" spans="1:14" x14ac:dyDescent="0.3">
      <c r="A3456" t="s">
        <v>332</v>
      </c>
      <c r="B3456" s="3">
        <v>41734</v>
      </c>
      <c r="C3456" t="s">
        <v>13</v>
      </c>
      <c r="D3456" t="s">
        <v>14</v>
      </c>
      <c r="E3456" t="s">
        <v>333</v>
      </c>
      <c r="F3456" s="1">
        <v>12.18</v>
      </c>
      <c r="G3456">
        <v>7</v>
      </c>
      <c r="H3456" s="1">
        <v>3.8976000000000002</v>
      </c>
      <c r="I3456" s="4">
        <f>SalesData[[#This Row],[Profit]]/SalesData[[#This Row],[Sales]]</f>
        <v>0.32</v>
      </c>
      <c r="J3456">
        <f>YEAR(SalesData[[#This Row],[Order Date]])</f>
        <v>2014</v>
      </c>
      <c r="K3456" t="str">
        <f>TEXT(SalesData[[#This Row],[Order Date]],"mmm")</f>
        <v>Apr</v>
      </c>
      <c r="L3456">
        <f>MONTH(SalesData[[#This Row],[Order Date]])</f>
        <v>4</v>
      </c>
      <c r="M3456">
        <f>SalesData[[#This Row],[Sales]]/SalesData[[#This Row],[Quantity]]</f>
        <v>1.74</v>
      </c>
      <c r="N3456" t="str">
        <f>IF(SalesData[[#This Row],[Profit]]&gt;0,"Profit","Loss")</f>
        <v>Profit</v>
      </c>
    </row>
    <row r="3457" spans="1:14" x14ac:dyDescent="0.3">
      <c r="A3457" t="s">
        <v>332</v>
      </c>
      <c r="B3457" s="3">
        <v>41734</v>
      </c>
      <c r="C3457" t="s">
        <v>13</v>
      </c>
      <c r="D3457" t="s">
        <v>21</v>
      </c>
      <c r="E3457" t="s">
        <v>334</v>
      </c>
      <c r="F3457" s="1">
        <v>57.68</v>
      </c>
      <c r="G3457">
        <v>4</v>
      </c>
      <c r="H3457" s="1">
        <v>19.034400000000002</v>
      </c>
      <c r="I3457" s="4">
        <f>SalesData[[#This Row],[Profit]]/SalesData[[#This Row],[Sales]]</f>
        <v>0.33</v>
      </c>
      <c r="J3457">
        <f>YEAR(SalesData[[#This Row],[Order Date]])</f>
        <v>2014</v>
      </c>
      <c r="K3457" t="str">
        <f>TEXT(SalesData[[#This Row],[Order Date]],"mmm")</f>
        <v>Apr</v>
      </c>
      <c r="L3457">
        <f>MONTH(SalesData[[#This Row],[Order Date]])</f>
        <v>4</v>
      </c>
      <c r="M3457">
        <f>SalesData[[#This Row],[Sales]]/SalesData[[#This Row],[Quantity]]</f>
        <v>14.42</v>
      </c>
      <c r="N3457" t="str">
        <f>IF(SalesData[[#This Row],[Profit]]&gt;0,"Profit","Loss")</f>
        <v>Profit</v>
      </c>
    </row>
    <row r="3458" spans="1:14" x14ac:dyDescent="0.3">
      <c r="A3458" t="s">
        <v>335</v>
      </c>
      <c r="B3458" s="3">
        <v>41735</v>
      </c>
      <c r="C3458" t="s">
        <v>17</v>
      </c>
      <c r="D3458" t="s">
        <v>21</v>
      </c>
      <c r="E3458" t="s">
        <v>94</v>
      </c>
      <c r="F3458" s="1">
        <v>16.224</v>
      </c>
      <c r="G3458">
        <v>2</v>
      </c>
      <c r="H3458" s="1">
        <v>5.8811999999999998</v>
      </c>
      <c r="I3458" s="4">
        <f>SalesData[[#This Row],[Profit]]/SalesData[[#This Row],[Sales]]</f>
        <v>0.36249999999999999</v>
      </c>
      <c r="J3458">
        <f>YEAR(SalesData[[#This Row],[Order Date]])</f>
        <v>2014</v>
      </c>
      <c r="K3458" t="str">
        <f>TEXT(SalesData[[#This Row],[Order Date]],"mmm")</f>
        <v>Apr</v>
      </c>
      <c r="L3458">
        <f>MONTH(SalesData[[#This Row],[Order Date]])</f>
        <v>4</v>
      </c>
      <c r="M3458">
        <f>SalesData[[#This Row],[Sales]]/SalesData[[#This Row],[Quantity]]</f>
        <v>8.1120000000000001</v>
      </c>
      <c r="N3458" t="str">
        <f>IF(SalesData[[#This Row],[Profit]]&gt;0,"Profit","Loss")</f>
        <v>Profit</v>
      </c>
    </row>
    <row r="3459" spans="1:14" x14ac:dyDescent="0.3">
      <c r="A3459" t="s">
        <v>336</v>
      </c>
      <c r="B3459" s="3">
        <v>41735</v>
      </c>
      <c r="C3459" t="s">
        <v>17</v>
      </c>
      <c r="D3459" t="s">
        <v>14</v>
      </c>
      <c r="E3459" t="s">
        <v>337</v>
      </c>
      <c r="F3459" s="1">
        <v>56.96</v>
      </c>
      <c r="G3459">
        <v>2</v>
      </c>
      <c r="H3459" s="1">
        <v>21.075199999999999</v>
      </c>
      <c r="I3459" s="4">
        <f>SalesData[[#This Row],[Profit]]/SalesData[[#This Row],[Sales]]</f>
        <v>0.37</v>
      </c>
      <c r="J3459">
        <f>YEAR(SalesData[[#This Row],[Order Date]])</f>
        <v>2014</v>
      </c>
      <c r="K3459" t="str">
        <f>TEXT(SalesData[[#This Row],[Order Date]],"mmm")</f>
        <v>Apr</v>
      </c>
      <c r="L3459">
        <f>MONTH(SalesData[[#This Row],[Order Date]])</f>
        <v>4</v>
      </c>
      <c r="M3459">
        <f>SalesData[[#This Row],[Sales]]/SalesData[[#This Row],[Quantity]]</f>
        <v>28.48</v>
      </c>
      <c r="N3459" t="str">
        <f>IF(SalesData[[#This Row],[Profit]]&gt;0,"Profit","Loss")</f>
        <v>Profit</v>
      </c>
    </row>
    <row r="3460" spans="1:14" x14ac:dyDescent="0.3">
      <c r="A3460" t="s">
        <v>336</v>
      </c>
      <c r="B3460" s="3">
        <v>41735</v>
      </c>
      <c r="C3460" t="s">
        <v>17</v>
      </c>
      <c r="D3460" t="s">
        <v>21</v>
      </c>
      <c r="E3460" t="s">
        <v>338</v>
      </c>
      <c r="F3460" s="1">
        <v>15.56</v>
      </c>
      <c r="G3460">
        <v>4</v>
      </c>
      <c r="H3460" s="1">
        <v>4.0456000000000003</v>
      </c>
      <c r="I3460" s="4">
        <f>SalesData[[#This Row],[Profit]]/SalesData[[#This Row],[Sales]]</f>
        <v>0.26</v>
      </c>
      <c r="J3460">
        <f>YEAR(SalesData[[#This Row],[Order Date]])</f>
        <v>2014</v>
      </c>
      <c r="K3460" t="str">
        <f>TEXT(SalesData[[#This Row],[Order Date]],"mmm")</f>
        <v>Apr</v>
      </c>
      <c r="L3460">
        <f>MONTH(SalesData[[#This Row],[Order Date]])</f>
        <v>4</v>
      </c>
      <c r="M3460">
        <f>SalesData[[#This Row],[Sales]]/SalesData[[#This Row],[Quantity]]</f>
        <v>3.89</v>
      </c>
      <c r="N3460" t="str">
        <f>IF(SalesData[[#This Row],[Profit]]&gt;0,"Profit","Loss")</f>
        <v>Profit</v>
      </c>
    </row>
    <row r="3461" spans="1:14" x14ac:dyDescent="0.3">
      <c r="A3461" t="s">
        <v>336</v>
      </c>
      <c r="B3461" s="3">
        <v>41735</v>
      </c>
      <c r="C3461" t="s">
        <v>17</v>
      </c>
      <c r="D3461" t="s">
        <v>14</v>
      </c>
      <c r="E3461" t="s">
        <v>198</v>
      </c>
      <c r="F3461" s="1">
        <v>353.56799999999998</v>
      </c>
      <c r="G3461">
        <v>2</v>
      </c>
      <c r="H3461" s="1">
        <v>-44.195999999999998</v>
      </c>
      <c r="I3461" s="4">
        <f>SalesData[[#This Row],[Profit]]/SalesData[[#This Row],[Sales]]</f>
        <v>-0.125</v>
      </c>
      <c r="J3461">
        <f>YEAR(SalesData[[#This Row],[Order Date]])</f>
        <v>2014</v>
      </c>
      <c r="K3461" t="str">
        <f>TEXT(SalesData[[#This Row],[Order Date]],"mmm")</f>
        <v>Apr</v>
      </c>
      <c r="L3461">
        <f>MONTH(SalesData[[#This Row],[Order Date]])</f>
        <v>4</v>
      </c>
      <c r="M3461">
        <f>SalesData[[#This Row],[Sales]]/SalesData[[#This Row],[Quantity]]</f>
        <v>176.78399999999999</v>
      </c>
      <c r="N3461" t="str">
        <f>IF(SalesData[[#This Row],[Profit]]&gt;0,"Profit","Loss")</f>
        <v>Loss</v>
      </c>
    </row>
    <row r="3462" spans="1:14" x14ac:dyDescent="0.3">
      <c r="A3462" t="s">
        <v>336</v>
      </c>
      <c r="B3462" s="3">
        <v>41735</v>
      </c>
      <c r="C3462" t="s">
        <v>17</v>
      </c>
      <c r="D3462" t="s">
        <v>14</v>
      </c>
      <c r="E3462" t="s">
        <v>339</v>
      </c>
      <c r="F3462" s="1">
        <v>13.96</v>
      </c>
      <c r="G3462">
        <v>2</v>
      </c>
      <c r="H3462" s="1">
        <v>6.7008000000000001</v>
      </c>
      <c r="I3462" s="4">
        <f>SalesData[[#This Row],[Profit]]/SalesData[[#This Row],[Sales]]</f>
        <v>0.48</v>
      </c>
      <c r="J3462">
        <f>YEAR(SalesData[[#This Row],[Order Date]])</f>
        <v>2014</v>
      </c>
      <c r="K3462" t="str">
        <f>TEXT(SalesData[[#This Row],[Order Date]],"mmm")</f>
        <v>Apr</v>
      </c>
      <c r="L3462">
        <f>MONTH(SalesData[[#This Row],[Order Date]])</f>
        <v>4</v>
      </c>
      <c r="M3462">
        <f>SalesData[[#This Row],[Sales]]/SalesData[[#This Row],[Quantity]]</f>
        <v>6.98</v>
      </c>
      <c r="N3462" t="str">
        <f>IF(SalesData[[#This Row],[Profit]]&gt;0,"Profit","Loss")</f>
        <v>Profit</v>
      </c>
    </row>
    <row r="3463" spans="1:14" x14ac:dyDescent="0.3">
      <c r="A3463" t="s">
        <v>340</v>
      </c>
      <c r="B3463" s="3">
        <v>41736</v>
      </c>
      <c r="C3463" t="s">
        <v>13</v>
      </c>
      <c r="D3463" t="s">
        <v>21</v>
      </c>
      <c r="E3463" t="s">
        <v>341</v>
      </c>
      <c r="F3463" s="1">
        <v>177.536</v>
      </c>
      <c r="G3463">
        <v>4</v>
      </c>
      <c r="H3463" s="1">
        <v>62.137599999999999</v>
      </c>
      <c r="I3463" s="4">
        <f>SalesData[[#This Row],[Profit]]/SalesData[[#This Row],[Sales]]</f>
        <v>0.35</v>
      </c>
      <c r="J3463">
        <f>YEAR(SalesData[[#This Row],[Order Date]])</f>
        <v>2014</v>
      </c>
      <c r="K3463" t="str">
        <f>TEXT(SalesData[[#This Row],[Order Date]],"mmm")</f>
        <v>Apr</v>
      </c>
      <c r="L3463">
        <f>MONTH(SalesData[[#This Row],[Order Date]])</f>
        <v>4</v>
      </c>
      <c r="M3463">
        <f>SalesData[[#This Row],[Sales]]/SalesData[[#This Row],[Quantity]]</f>
        <v>44.384</v>
      </c>
      <c r="N3463" t="str">
        <f>IF(SalesData[[#This Row],[Profit]]&gt;0,"Profit","Loss")</f>
        <v>Profit</v>
      </c>
    </row>
    <row r="3464" spans="1:14" x14ac:dyDescent="0.3">
      <c r="A3464" t="s">
        <v>340</v>
      </c>
      <c r="B3464" s="3">
        <v>41736</v>
      </c>
      <c r="C3464" t="s">
        <v>13</v>
      </c>
      <c r="D3464" t="s">
        <v>21</v>
      </c>
      <c r="E3464" t="s">
        <v>342</v>
      </c>
      <c r="F3464" s="1">
        <v>32.432000000000002</v>
      </c>
      <c r="G3464">
        <v>2</v>
      </c>
      <c r="H3464" s="1">
        <v>3.2431999999999999</v>
      </c>
      <c r="I3464" s="4">
        <f>SalesData[[#This Row],[Profit]]/SalesData[[#This Row],[Sales]]</f>
        <v>9.9999999999999992E-2</v>
      </c>
      <c r="J3464">
        <f>YEAR(SalesData[[#This Row],[Order Date]])</f>
        <v>2014</v>
      </c>
      <c r="K3464" t="str">
        <f>TEXT(SalesData[[#This Row],[Order Date]],"mmm")</f>
        <v>Apr</v>
      </c>
      <c r="L3464">
        <f>MONTH(SalesData[[#This Row],[Order Date]])</f>
        <v>4</v>
      </c>
      <c r="M3464">
        <f>SalesData[[#This Row],[Sales]]/SalesData[[#This Row],[Quantity]]</f>
        <v>16.216000000000001</v>
      </c>
      <c r="N3464" t="str">
        <f>IF(SalesData[[#This Row],[Profit]]&gt;0,"Profit","Loss")</f>
        <v>Profit</v>
      </c>
    </row>
    <row r="3465" spans="1:14" x14ac:dyDescent="0.3">
      <c r="A3465" t="s">
        <v>343</v>
      </c>
      <c r="B3465" s="3">
        <v>41736</v>
      </c>
      <c r="C3465" t="s">
        <v>46</v>
      </c>
      <c r="D3465" t="s">
        <v>21</v>
      </c>
      <c r="E3465" t="s">
        <v>344</v>
      </c>
      <c r="F3465" s="1">
        <v>21.84</v>
      </c>
      <c r="G3465">
        <v>3</v>
      </c>
      <c r="H3465" s="1">
        <v>10.92</v>
      </c>
      <c r="I3465" s="4">
        <f>SalesData[[#This Row],[Profit]]/SalesData[[#This Row],[Sales]]</f>
        <v>0.5</v>
      </c>
      <c r="J3465">
        <f>YEAR(SalesData[[#This Row],[Order Date]])</f>
        <v>2014</v>
      </c>
      <c r="K3465" t="str">
        <f>TEXT(SalesData[[#This Row],[Order Date]],"mmm")</f>
        <v>Apr</v>
      </c>
      <c r="L3465">
        <f>MONTH(SalesData[[#This Row],[Order Date]])</f>
        <v>4</v>
      </c>
      <c r="M3465">
        <f>SalesData[[#This Row],[Sales]]/SalesData[[#This Row],[Quantity]]</f>
        <v>7.28</v>
      </c>
      <c r="N3465" t="str">
        <f>IF(SalesData[[#This Row],[Profit]]&gt;0,"Profit","Loss")</f>
        <v>Profit</v>
      </c>
    </row>
    <row r="3466" spans="1:14" x14ac:dyDescent="0.3">
      <c r="A3466" t="s">
        <v>343</v>
      </c>
      <c r="B3466" s="3">
        <v>41736</v>
      </c>
      <c r="C3466" t="s">
        <v>46</v>
      </c>
      <c r="D3466" t="s">
        <v>21</v>
      </c>
      <c r="E3466" t="s">
        <v>36</v>
      </c>
      <c r="F3466" s="1">
        <v>15.6</v>
      </c>
      <c r="G3466">
        <v>5</v>
      </c>
      <c r="H3466" s="1">
        <v>7.6440000000000001</v>
      </c>
      <c r="I3466" s="4">
        <f>SalesData[[#This Row],[Profit]]/SalesData[[#This Row],[Sales]]</f>
        <v>0.49000000000000005</v>
      </c>
      <c r="J3466">
        <f>YEAR(SalesData[[#This Row],[Order Date]])</f>
        <v>2014</v>
      </c>
      <c r="K3466" t="str">
        <f>TEXT(SalesData[[#This Row],[Order Date]],"mmm")</f>
        <v>Apr</v>
      </c>
      <c r="L3466">
        <f>MONTH(SalesData[[#This Row],[Order Date]])</f>
        <v>4</v>
      </c>
      <c r="M3466">
        <f>SalesData[[#This Row],[Sales]]/SalesData[[#This Row],[Quantity]]</f>
        <v>3.12</v>
      </c>
      <c r="N3466" t="str">
        <f>IF(SalesData[[#This Row],[Profit]]&gt;0,"Profit","Loss")</f>
        <v>Profit</v>
      </c>
    </row>
    <row r="3467" spans="1:14" x14ac:dyDescent="0.3">
      <c r="A3467" t="s">
        <v>345</v>
      </c>
      <c r="B3467" s="3">
        <v>41737</v>
      </c>
      <c r="C3467" t="s">
        <v>13</v>
      </c>
      <c r="D3467" t="s">
        <v>21</v>
      </c>
      <c r="E3467" t="s">
        <v>346</v>
      </c>
      <c r="F3467" s="1">
        <v>1089.75</v>
      </c>
      <c r="G3467">
        <v>3</v>
      </c>
      <c r="H3467" s="1">
        <v>305.13</v>
      </c>
      <c r="I3467" s="4">
        <f>SalesData[[#This Row],[Profit]]/SalesData[[#This Row],[Sales]]</f>
        <v>0.27999999999999997</v>
      </c>
      <c r="J3467">
        <f>YEAR(SalesData[[#This Row],[Order Date]])</f>
        <v>2014</v>
      </c>
      <c r="K3467" t="str">
        <f>TEXT(SalesData[[#This Row],[Order Date]],"mmm")</f>
        <v>Apr</v>
      </c>
      <c r="L3467">
        <f>MONTH(SalesData[[#This Row],[Order Date]])</f>
        <v>4</v>
      </c>
      <c r="M3467">
        <f>SalesData[[#This Row],[Sales]]/SalesData[[#This Row],[Quantity]]</f>
        <v>363.25</v>
      </c>
      <c r="N3467" t="str">
        <f>IF(SalesData[[#This Row],[Profit]]&gt;0,"Profit","Loss")</f>
        <v>Profit</v>
      </c>
    </row>
    <row r="3468" spans="1:14" x14ac:dyDescent="0.3">
      <c r="A3468" t="s">
        <v>345</v>
      </c>
      <c r="B3468" s="3">
        <v>41737</v>
      </c>
      <c r="C3468" t="s">
        <v>13</v>
      </c>
      <c r="D3468" t="s">
        <v>21</v>
      </c>
      <c r="E3468" t="s">
        <v>97</v>
      </c>
      <c r="F3468" s="1">
        <v>447.84</v>
      </c>
      <c r="G3468">
        <v>8</v>
      </c>
      <c r="H3468" s="1">
        <v>219.44159999999999</v>
      </c>
      <c r="I3468" s="4">
        <f>SalesData[[#This Row],[Profit]]/SalesData[[#This Row],[Sales]]</f>
        <v>0.49</v>
      </c>
      <c r="J3468">
        <f>YEAR(SalesData[[#This Row],[Order Date]])</f>
        <v>2014</v>
      </c>
      <c r="K3468" t="str">
        <f>TEXT(SalesData[[#This Row],[Order Date]],"mmm")</f>
        <v>Apr</v>
      </c>
      <c r="L3468">
        <f>MONTH(SalesData[[#This Row],[Order Date]])</f>
        <v>4</v>
      </c>
      <c r="M3468">
        <f>SalesData[[#This Row],[Sales]]/SalesData[[#This Row],[Quantity]]</f>
        <v>55.98</v>
      </c>
      <c r="N3468" t="str">
        <f>IF(SalesData[[#This Row],[Profit]]&gt;0,"Profit","Loss")</f>
        <v>Profit</v>
      </c>
    </row>
    <row r="3469" spans="1:14" x14ac:dyDescent="0.3">
      <c r="A3469" t="s">
        <v>345</v>
      </c>
      <c r="B3469" s="3">
        <v>41737</v>
      </c>
      <c r="C3469" t="s">
        <v>13</v>
      </c>
      <c r="D3469" t="s">
        <v>21</v>
      </c>
      <c r="E3469" t="s">
        <v>347</v>
      </c>
      <c r="F3469" s="1">
        <v>16.399999999999999</v>
      </c>
      <c r="G3469">
        <v>5</v>
      </c>
      <c r="H3469" s="1">
        <v>4.2640000000000002</v>
      </c>
      <c r="I3469" s="4">
        <f>SalesData[[#This Row],[Profit]]/SalesData[[#This Row],[Sales]]</f>
        <v>0.26000000000000006</v>
      </c>
      <c r="J3469">
        <f>YEAR(SalesData[[#This Row],[Order Date]])</f>
        <v>2014</v>
      </c>
      <c r="K3469" t="str">
        <f>TEXT(SalesData[[#This Row],[Order Date]],"mmm")</f>
        <v>Apr</v>
      </c>
      <c r="L3469">
        <f>MONTH(SalesData[[#This Row],[Order Date]])</f>
        <v>4</v>
      </c>
      <c r="M3469">
        <f>SalesData[[#This Row],[Sales]]/SalesData[[#This Row],[Quantity]]</f>
        <v>3.28</v>
      </c>
      <c r="N3469" t="str">
        <f>IF(SalesData[[#This Row],[Profit]]&gt;0,"Profit","Loss")</f>
        <v>Profit</v>
      </c>
    </row>
    <row r="3470" spans="1:14" x14ac:dyDescent="0.3">
      <c r="A3470" t="s">
        <v>345</v>
      </c>
      <c r="B3470" s="3">
        <v>41737</v>
      </c>
      <c r="C3470" t="s">
        <v>13</v>
      </c>
      <c r="D3470" t="s">
        <v>10</v>
      </c>
      <c r="E3470" t="s">
        <v>348</v>
      </c>
      <c r="F3470" s="1">
        <v>399.96</v>
      </c>
      <c r="G3470">
        <v>5</v>
      </c>
      <c r="H3470" s="1">
        <v>34.996499999999997</v>
      </c>
      <c r="I3470" s="4">
        <f>SalesData[[#This Row],[Profit]]/SalesData[[#This Row],[Sales]]</f>
        <v>8.7499999999999994E-2</v>
      </c>
      <c r="J3470">
        <f>YEAR(SalesData[[#This Row],[Order Date]])</f>
        <v>2014</v>
      </c>
      <c r="K3470" t="str">
        <f>TEXT(SalesData[[#This Row],[Order Date]],"mmm")</f>
        <v>Apr</v>
      </c>
      <c r="L3470">
        <f>MONTH(SalesData[[#This Row],[Order Date]])</f>
        <v>4</v>
      </c>
      <c r="M3470">
        <f>SalesData[[#This Row],[Sales]]/SalesData[[#This Row],[Quantity]]</f>
        <v>79.99199999999999</v>
      </c>
      <c r="N3470" t="str">
        <f>IF(SalesData[[#This Row],[Profit]]&gt;0,"Profit","Loss")</f>
        <v>Profit</v>
      </c>
    </row>
    <row r="3471" spans="1:14" x14ac:dyDescent="0.3">
      <c r="A3471" t="s">
        <v>345</v>
      </c>
      <c r="B3471" s="3">
        <v>41737</v>
      </c>
      <c r="C3471" t="s">
        <v>13</v>
      </c>
      <c r="D3471" t="s">
        <v>21</v>
      </c>
      <c r="E3471" t="s">
        <v>349</v>
      </c>
      <c r="F3471" s="1">
        <v>158.9</v>
      </c>
      <c r="G3471">
        <v>5</v>
      </c>
      <c r="H3471" s="1">
        <v>7.9450000000000003</v>
      </c>
      <c r="I3471" s="4">
        <f>SalesData[[#This Row],[Profit]]/SalesData[[#This Row],[Sales]]</f>
        <v>0.05</v>
      </c>
      <c r="J3471">
        <f>YEAR(SalesData[[#This Row],[Order Date]])</f>
        <v>2014</v>
      </c>
      <c r="K3471" t="str">
        <f>TEXT(SalesData[[#This Row],[Order Date]],"mmm")</f>
        <v>Apr</v>
      </c>
      <c r="L3471">
        <f>MONTH(SalesData[[#This Row],[Order Date]])</f>
        <v>4</v>
      </c>
      <c r="M3471">
        <f>SalesData[[#This Row],[Sales]]/SalesData[[#This Row],[Quantity]]</f>
        <v>31.78</v>
      </c>
      <c r="N3471" t="str">
        <f>IF(SalesData[[#This Row],[Profit]]&gt;0,"Profit","Loss")</f>
        <v>Profit</v>
      </c>
    </row>
    <row r="3472" spans="1:14" x14ac:dyDescent="0.3">
      <c r="A3472" t="s">
        <v>345</v>
      </c>
      <c r="B3472" s="3">
        <v>41737</v>
      </c>
      <c r="C3472" t="s">
        <v>13</v>
      </c>
      <c r="D3472" t="s">
        <v>21</v>
      </c>
      <c r="E3472" t="s">
        <v>350</v>
      </c>
      <c r="F3472" s="1">
        <v>13.183999999999999</v>
      </c>
      <c r="G3472">
        <v>1</v>
      </c>
      <c r="H3472" s="1">
        <v>4.7792000000000003</v>
      </c>
      <c r="I3472" s="4">
        <f>SalesData[[#This Row],[Profit]]/SalesData[[#This Row],[Sales]]</f>
        <v>0.36250000000000004</v>
      </c>
      <c r="J3472">
        <f>YEAR(SalesData[[#This Row],[Order Date]])</f>
        <v>2014</v>
      </c>
      <c r="K3472" t="str">
        <f>TEXT(SalesData[[#This Row],[Order Date]],"mmm")</f>
        <v>Apr</v>
      </c>
      <c r="L3472">
        <f>MONTH(SalesData[[#This Row],[Order Date]])</f>
        <v>4</v>
      </c>
      <c r="M3472">
        <f>SalesData[[#This Row],[Sales]]/SalesData[[#This Row],[Quantity]]</f>
        <v>13.183999999999999</v>
      </c>
      <c r="N3472" t="str">
        <f>IF(SalesData[[#This Row],[Profit]]&gt;0,"Profit","Loss")</f>
        <v>Profit</v>
      </c>
    </row>
    <row r="3473" spans="1:14" x14ac:dyDescent="0.3">
      <c r="A3473" t="s">
        <v>351</v>
      </c>
      <c r="B3473" s="3">
        <v>41737</v>
      </c>
      <c r="C3473" t="s">
        <v>17</v>
      </c>
      <c r="D3473" t="s">
        <v>21</v>
      </c>
      <c r="E3473" t="s">
        <v>352</v>
      </c>
      <c r="F3473" s="1">
        <v>101.96</v>
      </c>
      <c r="G3473">
        <v>2</v>
      </c>
      <c r="H3473" s="1">
        <v>27.529199999999999</v>
      </c>
      <c r="I3473" s="4">
        <f>SalesData[[#This Row],[Profit]]/SalesData[[#This Row],[Sales]]</f>
        <v>0.27</v>
      </c>
      <c r="J3473">
        <f>YEAR(SalesData[[#This Row],[Order Date]])</f>
        <v>2014</v>
      </c>
      <c r="K3473" t="str">
        <f>TEXT(SalesData[[#This Row],[Order Date]],"mmm")</f>
        <v>Apr</v>
      </c>
      <c r="L3473">
        <f>MONTH(SalesData[[#This Row],[Order Date]])</f>
        <v>4</v>
      </c>
      <c r="M3473">
        <f>SalesData[[#This Row],[Sales]]/SalesData[[#This Row],[Quantity]]</f>
        <v>50.98</v>
      </c>
      <c r="N3473" t="str">
        <f>IF(SalesData[[#This Row],[Profit]]&gt;0,"Profit","Loss")</f>
        <v>Profit</v>
      </c>
    </row>
    <row r="3474" spans="1:14" x14ac:dyDescent="0.3">
      <c r="A3474" t="s">
        <v>351</v>
      </c>
      <c r="B3474" s="3">
        <v>41737</v>
      </c>
      <c r="C3474" t="s">
        <v>17</v>
      </c>
      <c r="D3474" t="s">
        <v>21</v>
      </c>
      <c r="E3474" t="s">
        <v>353</v>
      </c>
      <c r="F3474" s="1">
        <v>259.74</v>
      </c>
      <c r="G3474">
        <v>13</v>
      </c>
      <c r="H3474" s="1">
        <v>124.6752</v>
      </c>
      <c r="I3474" s="4">
        <f>SalesData[[#This Row],[Profit]]/SalesData[[#This Row],[Sales]]</f>
        <v>0.48</v>
      </c>
      <c r="J3474">
        <f>YEAR(SalesData[[#This Row],[Order Date]])</f>
        <v>2014</v>
      </c>
      <c r="K3474" t="str">
        <f>TEXT(SalesData[[#This Row],[Order Date]],"mmm")</f>
        <v>Apr</v>
      </c>
      <c r="L3474">
        <f>MONTH(SalesData[[#This Row],[Order Date]])</f>
        <v>4</v>
      </c>
      <c r="M3474">
        <f>SalesData[[#This Row],[Sales]]/SalesData[[#This Row],[Quantity]]</f>
        <v>19.98</v>
      </c>
      <c r="N3474" t="str">
        <f>IF(SalesData[[#This Row],[Profit]]&gt;0,"Profit","Loss")</f>
        <v>Profit</v>
      </c>
    </row>
    <row r="3475" spans="1:14" x14ac:dyDescent="0.3">
      <c r="A3475" t="s">
        <v>351</v>
      </c>
      <c r="B3475" s="3">
        <v>41737</v>
      </c>
      <c r="C3475" t="s">
        <v>17</v>
      </c>
      <c r="D3475" t="s">
        <v>10</v>
      </c>
      <c r="E3475" t="s">
        <v>354</v>
      </c>
      <c r="F3475" s="1">
        <v>255.42</v>
      </c>
      <c r="G3475">
        <v>9</v>
      </c>
      <c r="H3475" s="1">
        <v>104.7222</v>
      </c>
      <c r="I3475" s="4">
        <f>SalesData[[#This Row],[Profit]]/SalesData[[#This Row],[Sales]]</f>
        <v>0.41000000000000003</v>
      </c>
      <c r="J3475">
        <f>YEAR(SalesData[[#This Row],[Order Date]])</f>
        <v>2014</v>
      </c>
      <c r="K3475" t="str">
        <f>TEXT(SalesData[[#This Row],[Order Date]],"mmm")</f>
        <v>Apr</v>
      </c>
      <c r="L3475">
        <f>MONTH(SalesData[[#This Row],[Order Date]])</f>
        <v>4</v>
      </c>
      <c r="M3475">
        <f>SalesData[[#This Row],[Sales]]/SalesData[[#This Row],[Quantity]]</f>
        <v>28.38</v>
      </c>
      <c r="N3475" t="str">
        <f>IF(SalesData[[#This Row],[Profit]]&gt;0,"Profit","Loss")</f>
        <v>Profit</v>
      </c>
    </row>
    <row r="3476" spans="1:14" x14ac:dyDescent="0.3">
      <c r="A3476" t="s">
        <v>355</v>
      </c>
      <c r="B3476" s="3">
        <v>41739</v>
      </c>
      <c r="C3476" t="s">
        <v>13</v>
      </c>
      <c r="D3476" t="s">
        <v>21</v>
      </c>
      <c r="E3476" t="s">
        <v>356</v>
      </c>
      <c r="F3476" s="1">
        <v>14.45</v>
      </c>
      <c r="G3476">
        <v>5</v>
      </c>
      <c r="H3476" s="1">
        <v>6.7915000000000001</v>
      </c>
      <c r="I3476" s="4">
        <f>SalesData[[#This Row],[Profit]]/SalesData[[#This Row],[Sales]]</f>
        <v>0.47000000000000003</v>
      </c>
      <c r="J3476">
        <f>YEAR(SalesData[[#This Row],[Order Date]])</f>
        <v>2014</v>
      </c>
      <c r="K3476" t="str">
        <f>TEXT(SalesData[[#This Row],[Order Date]],"mmm")</f>
        <v>Apr</v>
      </c>
      <c r="L3476">
        <f>MONTH(SalesData[[#This Row],[Order Date]])</f>
        <v>4</v>
      </c>
      <c r="M3476">
        <f>SalesData[[#This Row],[Sales]]/SalesData[[#This Row],[Quantity]]</f>
        <v>2.8899999999999997</v>
      </c>
      <c r="N3476" t="str">
        <f>IF(SalesData[[#This Row],[Profit]]&gt;0,"Profit","Loss")</f>
        <v>Profit</v>
      </c>
    </row>
    <row r="3477" spans="1:14" x14ac:dyDescent="0.3">
      <c r="A3477" t="s">
        <v>355</v>
      </c>
      <c r="B3477" s="3">
        <v>41739</v>
      </c>
      <c r="C3477" t="s">
        <v>13</v>
      </c>
      <c r="D3477" t="s">
        <v>21</v>
      </c>
      <c r="E3477" t="s">
        <v>357</v>
      </c>
      <c r="F3477" s="1">
        <v>95.647999999999996</v>
      </c>
      <c r="G3477">
        <v>2</v>
      </c>
      <c r="H3477" s="1">
        <v>31.085599999999999</v>
      </c>
      <c r="I3477" s="4">
        <f>SalesData[[#This Row],[Profit]]/SalesData[[#This Row],[Sales]]</f>
        <v>0.32500000000000001</v>
      </c>
      <c r="J3477">
        <f>YEAR(SalesData[[#This Row],[Order Date]])</f>
        <v>2014</v>
      </c>
      <c r="K3477" t="str">
        <f>TEXT(SalesData[[#This Row],[Order Date]],"mmm")</f>
        <v>Apr</v>
      </c>
      <c r="L3477">
        <f>MONTH(SalesData[[#This Row],[Order Date]])</f>
        <v>4</v>
      </c>
      <c r="M3477">
        <f>SalesData[[#This Row],[Sales]]/SalesData[[#This Row],[Quantity]]</f>
        <v>47.823999999999998</v>
      </c>
      <c r="N3477" t="str">
        <f>IF(SalesData[[#This Row],[Profit]]&gt;0,"Profit","Loss")</f>
        <v>Profit</v>
      </c>
    </row>
    <row r="3478" spans="1:14" x14ac:dyDescent="0.3">
      <c r="A3478" t="s">
        <v>358</v>
      </c>
      <c r="B3478" s="3">
        <v>41739</v>
      </c>
      <c r="C3478" t="s">
        <v>13</v>
      </c>
      <c r="D3478" t="s">
        <v>21</v>
      </c>
      <c r="E3478" t="s">
        <v>359</v>
      </c>
      <c r="F3478" s="1">
        <v>29.24</v>
      </c>
      <c r="G3478">
        <v>4</v>
      </c>
      <c r="H3478" s="1">
        <v>13.742800000000001</v>
      </c>
      <c r="I3478" s="4">
        <f>SalesData[[#This Row],[Profit]]/SalesData[[#This Row],[Sales]]</f>
        <v>0.47000000000000003</v>
      </c>
      <c r="J3478">
        <f>YEAR(SalesData[[#This Row],[Order Date]])</f>
        <v>2014</v>
      </c>
      <c r="K3478" t="str">
        <f>TEXT(SalesData[[#This Row],[Order Date]],"mmm")</f>
        <v>Apr</v>
      </c>
      <c r="L3478">
        <f>MONTH(SalesData[[#This Row],[Order Date]])</f>
        <v>4</v>
      </c>
      <c r="M3478">
        <f>SalesData[[#This Row],[Sales]]/SalesData[[#This Row],[Quantity]]</f>
        <v>7.31</v>
      </c>
      <c r="N3478" t="str">
        <f>IF(SalesData[[#This Row],[Profit]]&gt;0,"Profit","Loss")</f>
        <v>Profit</v>
      </c>
    </row>
    <row r="3479" spans="1:14" x14ac:dyDescent="0.3">
      <c r="A3479" t="s">
        <v>360</v>
      </c>
      <c r="B3479" s="3">
        <v>41739</v>
      </c>
      <c r="C3479" t="s">
        <v>17</v>
      </c>
      <c r="D3479" t="s">
        <v>14</v>
      </c>
      <c r="E3479" t="s">
        <v>361</v>
      </c>
      <c r="F3479" s="1">
        <v>589.41</v>
      </c>
      <c r="G3479">
        <v>5</v>
      </c>
      <c r="H3479" s="1">
        <v>-6.5490000000000004</v>
      </c>
      <c r="I3479" s="4">
        <f>SalesData[[#This Row],[Profit]]/SalesData[[#This Row],[Sales]]</f>
        <v>-1.1111111111111112E-2</v>
      </c>
      <c r="J3479">
        <f>YEAR(SalesData[[#This Row],[Order Date]])</f>
        <v>2014</v>
      </c>
      <c r="K3479" t="str">
        <f>TEXT(SalesData[[#This Row],[Order Date]],"mmm")</f>
        <v>Apr</v>
      </c>
      <c r="L3479">
        <f>MONTH(SalesData[[#This Row],[Order Date]])</f>
        <v>4</v>
      </c>
      <c r="M3479">
        <f>SalesData[[#This Row],[Sales]]/SalesData[[#This Row],[Quantity]]</f>
        <v>117.88199999999999</v>
      </c>
      <c r="N3479" t="str">
        <f>IF(SalesData[[#This Row],[Profit]]&gt;0,"Profit","Loss")</f>
        <v>Loss</v>
      </c>
    </row>
    <row r="3480" spans="1:14" x14ac:dyDescent="0.3">
      <c r="A3480" t="s">
        <v>362</v>
      </c>
      <c r="B3480" s="3">
        <v>41740</v>
      </c>
      <c r="C3480" t="s">
        <v>17</v>
      </c>
      <c r="D3480" t="s">
        <v>14</v>
      </c>
      <c r="E3480" t="s">
        <v>363</v>
      </c>
      <c r="F3480" s="1">
        <v>135.88200000000001</v>
      </c>
      <c r="G3480">
        <v>1</v>
      </c>
      <c r="H3480" s="1">
        <v>24.1568</v>
      </c>
      <c r="I3480" s="4">
        <f>SalesData[[#This Row],[Profit]]/SalesData[[#This Row],[Sales]]</f>
        <v>0.17777777777777778</v>
      </c>
      <c r="J3480">
        <f>YEAR(SalesData[[#This Row],[Order Date]])</f>
        <v>2014</v>
      </c>
      <c r="K3480" t="str">
        <f>TEXT(SalesData[[#This Row],[Order Date]],"mmm")</f>
        <v>Apr</v>
      </c>
      <c r="L3480">
        <f>MONTH(SalesData[[#This Row],[Order Date]])</f>
        <v>4</v>
      </c>
      <c r="M3480">
        <f>SalesData[[#This Row],[Sales]]/SalesData[[#This Row],[Quantity]]</f>
        <v>135.88200000000001</v>
      </c>
      <c r="N3480" t="str">
        <f>IF(SalesData[[#This Row],[Profit]]&gt;0,"Profit","Loss")</f>
        <v>Profit</v>
      </c>
    </row>
    <row r="3481" spans="1:14" x14ac:dyDescent="0.3">
      <c r="A3481" t="s">
        <v>362</v>
      </c>
      <c r="B3481" s="3">
        <v>41740</v>
      </c>
      <c r="C3481" t="s">
        <v>17</v>
      </c>
      <c r="D3481" t="s">
        <v>10</v>
      </c>
      <c r="E3481" t="s">
        <v>364</v>
      </c>
      <c r="F3481" s="1">
        <v>3991.98</v>
      </c>
      <c r="G3481">
        <v>2</v>
      </c>
      <c r="H3481" s="1">
        <v>1995.99</v>
      </c>
      <c r="I3481" s="4">
        <f>SalesData[[#This Row],[Profit]]/SalesData[[#This Row],[Sales]]</f>
        <v>0.5</v>
      </c>
      <c r="J3481">
        <f>YEAR(SalesData[[#This Row],[Order Date]])</f>
        <v>2014</v>
      </c>
      <c r="K3481" t="str">
        <f>TEXT(SalesData[[#This Row],[Order Date]],"mmm")</f>
        <v>Apr</v>
      </c>
      <c r="L3481">
        <f>MONTH(SalesData[[#This Row],[Order Date]])</f>
        <v>4</v>
      </c>
      <c r="M3481">
        <f>SalesData[[#This Row],[Sales]]/SalesData[[#This Row],[Quantity]]</f>
        <v>1995.99</v>
      </c>
      <c r="N3481" t="str">
        <f>IF(SalesData[[#This Row],[Profit]]&gt;0,"Profit","Loss")</f>
        <v>Profit</v>
      </c>
    </row>
    <row r="3482" spans="1:14" x14ac:dyDescent="0.3">
      <c r="A3482" t="s">
        <v>362</v>
      </c>
      <c r="B3482" s="3">
        <v>41740</v>
      </c>
      <c r="C3482" t="s">
        <v>17</v>
      </c>
      <c r="D3482" t="s">
        <v>10</v>
      </c>
      <c r="E3482" t="s">
        <v>365</v>
      </c>
      <c r="F3482" s="1">
        <v>275.94</v>
      </c>
      <c r="G3482">
        <v>6</v>
      </c>
      <c r="H3482" s="1">
        <v>80.022599999999997</v>
      </c>
      <c r="I3482" s="4">
        <f>SalesData[[#This Row],[Profit]]/SalesData[[#This Row],[Sales]]</f>
        <v>0.28999999999999998</v>
      </c>
      <c r="J3482">
        <f>YEAR(SalesData[[#This Row],[Order Date]])</f>
        <v>2014</v>
      </c>
      <c r="K3482" t="str">
        <f>TEXT(SalesData[[#This Row],[Order Date]],"mmm")</f>
        <v>Apr</v>
      </c>
      <c r="L3482">
        <f>MONTH(SalesData[[#This Row],[Order Date]])</f>
        <v>4</v>
      </c>
      <c r="M3482">
        <f>SalesData[[#This Row],[Sales]]/SalesData[[#This Row],[Quantity]]</f>
        <v>45.99</v>
      </c>
      <c r="N3482" t="str">
        <f>IF(SalesData[[#This Row],[Profit]]&gt;0,"Profit","Loss")</f>
        <v>Profit</v>
      </c>
    </row>
    <row r="3483" spans="1:14" x14ac:dyDescent="0.3">
      <c r="A3483" t="s">
        <v>362</v>
      </c>
      <c r="B3483" s="3">
        <v>41740</v>
      </c>
      <c r="C3483" t="s">
        <v>17</v>
      </c>
      <c r="D3483" t="s">
        <v>10</v>
      </c>
      <c r="E3483" t="s">
        <v>366</v>
      </c>
      <c r="F3483" s="1">
        <v>360</v>
      </c>
      <c r="G3483">
        <v>4</v>
      </c>
      <c r="H3483" s="1">
        <v>129.6</v>
      </c>
      <c r="I3483" s="4">
        <f>SalesData[[#This Row],[Profit]]/SalesData[[#This Row],[Sales]]</f>
        <v>0.36</v>
      </c>
      <c r="J3483">
        <f>YEAR(SalesData[[#This Row],[Order Date]])</f>
        <v>2014</v>
      </c>
      <c r="K3483" t="str">
        <f>TEXT(SalesData[[#This Row],[Order Date]],"mmm")</f>
        <v>Apr</v>
      </c>
      <c r="L3483">
        <f>MONTH(SalesData[[#This Row],[Order Date]])</f>
        <v>4</v>
      </c>
      <c r="M3483">
        <f>SalesData[[#This Row],[Sales]]/SalesData[[#This Row],[Quantity]]</f>
        <v>90</v>
      </c>
      <c r="N3483" t="str">
        <f>IF(SalesData[[#This Row],[Profit]]&gt;0,"Profit","Loss")</f>
        <v>Profit</v>
      </c>
    </row>
    <row r="3484" spans="1:14" x14ac:dyDescent="0.3">
      <c r="A3484" t="s">
        <v>362</v>
      </c>
      <c r="B3484" s="3">
        <v>41740</v>
      </c>
      <c r="C3484" t="s">
        <v>17</v>
      </c>
      <c r="D3484" t="s">
        <v>21</v>
      </c>
      <c r="E3484" t="s">
        <v>367</v>
      </c>
      <c r="F3484" s="1">
        <v>43.57</v>
      </c>
      <c r="G3484">
        <v>1</v>
      </c>
      <c r="H3484" s="1">
        <v>13.071</v>
      </c>
      <c r="I3484" s="4">
        <f>SalesData[[#This Row],[Profit]]/SalesData[[#This Row],[Sales]]</f>
        <v>0.3</v>
      </c>
      <c r="J3484">
        <f>YEAR(SalesData[[#This Row],[Order Date]])</f>
        <v>2014</v>
      </c>
      <c r="K3484" t="str">
        <f>TEXT(SalesData[[#This Row],[Order Date]],"mmm")</f>
        <v>Apr</v>
      </c>
      <c r="L3484">
        <f>MONTH(SalesData[[#This Row],[Order Date]])</f>
        <v>4</v>
      </c>
      <c r="M3484">
        <f>SalesData[[#This Row],[Sales]]/SalesData[[#This Row],[Quantity]]</f>
        <v>43.57</v>
      </c>
      <c r="N3484" t="str">
        <f>IF(SalesData[[#This Row],[Profit]]&gt;0,"Profit","Loss")</f>
        <v>Profit</v>
      </c>
    </row>
    <row r="3485" spans="1:14" x14ac:dyDescent="0.3">
      <c r="A3485" t="s">
        <v>368</v>
      </c>
      <c r="B3485" s="3">
        <v>41740</v>
      </c>
      <c r="C3485" t="s">
        <v>46</v>
      </c>
      <c r="D3485" t="s">
        <v>21</v>
      </c>
      <c r="E3485" t="s">
        <v>369</v>
      </c>
      <c r="F3485" s="1">
        <v>8.3759999999999994</v>
      </c>
      <c r="G3485">
        <v>3</v>
      </c>
      <c r="H3485" s="1">
        <v>2.7222</v>
      </c>
      <c r="I3485" s="4">
        <f>SalesData[[#This Row],[Profit]]/SalesData[[#This Row],[Sales]]</f>
        <v>0.32500000000000001</v>
      </c>
      <c r="J3485">
        <f>YEAR(SalesData[[#This Row],[Order Date]])</f>
        <v>2014</v>
      </c>
      <c r="K3485" t="str">
        <f>TEXT(SalesData[[#This Row],[Order Date]],"mmm")</f>
        <v>Apr</v>
      </c>
      <c r="L3485">
        <f>MONTH(SalesData[[#This Row],[Order Date]])</f>
        <v>4</v>
      </c>
      <c r="M3485">
        <f>SalesData[[#This Row],[Sales]]/SalesData[[#This Row],[Quantity]]</f>
        <v>2.7919999999999998</v>
      </c>
      <c r="N3485" t="str">
        <f>IF(SalesData[[#This Row],[Profit]]&gt;0,"Profit","Loss")</f>
        <v>Profit</v>
      </c>
    </row>
    <row r="3486" spans="1:14" x14ac:dyDescent="0.3">
      <c r="A3486" t="s">
        <v>368</v>
      </c>
      <c r="B3486" s="3">
        <v>41740</v>
      </c>
      <c r="C3486" t="s">
        <v>46</v>
      </c>
      <c r="D3486" t="s">
        <v>21</v>
      </c>
      <c r="E3486" t="s">
        <v>51</v>
      </c>
      <c r="F3486" s="1">
        <v>58.24</v>
      </c>
      <c r="G3486">
        <v>5</v>
      </c>
      <c r="H3486" s="1">
        <v>5.0960000000000001</v>
      </c>
      <c r="I3486" s="4">
        <f>SalesData[[#This Row],[Profit]]/SalesData[[#This Row],[Sales]]</f>
        <v>8.7499999999999994E-2</v>
      </c>
      <c r="J3486">
        <f>YEAR(SalesData[[#This Row],[Order Date]])</f>
        <v>2014</v>
      </c>
      <c r="K3486" t="str">
        <f>TEXT(SalesData[[#This Row],[Order Date]],"mmm")</f>
        <v>Apr</v>
      </c>
      <c r="L3486">
        <f>MONTH(SalesData[[#This Row],[Order Date]])</f>
        <v>4</v>
      </c>
      <c r="M3486">
        <f>SalesData[[#This Row],[Sales]]/SalesData[[#This Row],[Quantity]]</f>
        <v>11.648</v>
      </c>
      <c r="N3486" t="str">
        <f>IF(SalesData[[#This Row],[Profit]]&gt;0,"Profit","Loss")</f>
        <v>Profit</v>
      </c>
    </row>
    <row r="3487" spans="1:14" x14ac:dyDescent="0.3">
      <c r="A3487" t="s">
        <v>370</v>
      </c>
      <c r="B3487" s="3">
        <v>41740</v>
      </c>
      <c r="C3487" t="s">
        <v>13</v>
      </c>
      <c r="D3487" t="s">
        <v>14</v>
      </c>
      <c r="E3487" t="s">
        <v>371</v>
      </c>
      <c r="F3487" s="1">
        <v>35.340000000000003</v>
      </c>
      <c r="G3487">
        <v>2</v>
      </c>
      <c r="H3487" s="1">
        <v>13.4292</v>
      </c>
      <c r="I3487" s="4">
        <f>SalesData[[#This Row],[Profit]]/SalesData[[#This Row],[Sales]]</f>
        <v>0.37999999999999995</v>
      </c>
      <c r="J3487">
        <f>YEAR(SalesData[[#This Row],[Order Date]])</f>
        <v>2014</v>
      </c>
      <c r="K3487" t="str">
        <f>TEXT(SalesData[[#This Row],[Order Date]],"mmm")</f>
        <v>Apr</v>
      </c>
      <c r="L3487">
        <f>MONTH(SalesData[[#This Row],[Order Date]])</f>
        <v>4</v>
      </c>
      <c r="M3487">
        <f>SalesData[[#This Row],[Sales]]/SalesData[[#This Row],[Quantity]]</f>
        <v>17.670000000000002</v>
      </c>
      <c r="N3487" t="str">
        <f>IF(SalesData[[#This Row],[Profit]]&gt;0,"Profit","Loss")</f>
        <v>Profit</v>
      </c>
    </row>
    <row r="3488" spans="1:14" x14ac:dyDescent="0.3">
      <c r="A3488" t="s">
        <v>372</v>
      </c>
      <c r="B3488" s="3">
        <v>41740</v>
      </c>
      <c r="C3488" t="s">
        <v>13</v>
      </c>
      <c r="D3488" t="s">
        <v>10</v>
      </c>
      <c r="E3488" t="s">
        <v>373</v>
      </c>
      <c r="F3488" s="1">
        <v>666.34400000000005</v>
      </c>
      <c r="G3488">
        <v>7</v>
      </c>
      <c r="H3488" s="1">
        <v>66.634399999999999</v>
      </c>
      <c r="I3488" s="4">
        <f>SalesData[[#This Row],[Profit]]/SalesData[[#This Row],[Sales]]</f>
        <v>9.9999999999999992E-2</v>
      </c>
      <c r="J3488">
        <f>YEAR(SalesData[[#This Row],[Order Date]])</f>
        <v>2014</v>
      </c>
      <c r="K3488" t="str">
        <f>TEXT(SalesData[[#This Row],[Order Date]],"mmm")</f>
        <v>Apr</v>
      </c>
      <c r="L3488">
        <f>MONTH(SalesData[[#This Row],[Order Date]])</f>
        <v>4</v>
      </c>
      <c r="M3488">
        <f>SalesData[[#This Row],[Sales]]/SalesData[[#This Row],[Quantity]]</f>
        <v>95.192000000000007</v>
      </c>
      <c r="N3488" t="str">
        <f>IF(SalesData[[#This Row],[Profit]]&gt;0,"Profit","Loss")</f>
        <v>Profit</v>
      </c>
    </row>
    <row r="3489" spans="1:14" x14ac:dyDescent="0.3">
      <c r="A3489" t="s">
        <v>372</v>
      </c>
      <c r="B3489" s="3">
        <v>41740</v>
      </c>
      <c r="C3489" t="s">
        <v>13</v>
      </c>
      <c r="D3489" t="s">
        <v>14</v>
      </c>
      <c r="E3489" t="s">
        <v>374</v>
      </c>
      <c r="F3489" s="1">
        <v>573.72799999999995</v>
      </c>
      <c r="G3489">
        <v>4</v>
      </c>
      <c r="H3489" s="1">
        <v>-64.544399999999996</v>
      </c>
      <c r="I3489" s="4">
        <f>SalesData[[#This Row],[Profit]]/SalesData[[#This Row],[Sales]]</f>
        <v>-0.1125</v>
      </c>
      <c r="J3489">
        <f>YEAR(SalesData[[#This Row],[Order Date]])</f>
        <v>2014</v>
      </c>
      <c r="K3489" t="str">
        <f>TEXT(SalesData[[#This Row],[Order Date]],"mmm")</f>
        <v>Apr</v>
      </c>
      <c r="L3489">
        <f>MONTH(SalesData[[#This Row],[Order Date]])</f>
        <v>4</v>
      </c>
      <c r="M3489">
        <f>SalesData[[#This Row],[Sales]]/SalesData[[#This Row],[Quantity]]</f>
        <v>143.43199999999999</v>
      </c>
      <c r="N3489" t="str">
        <f>IF(SalesData[[#This Row],[Profit]]&gt;0,"Profit","Loss")</f>
        <v>Loss</v>
      </c>
    </row>
    <row r="3490" spans="1:14" x14ac:dyDescent="0.3">
      <c r="A3490" t="s">
        <v>372</v>
      </c>
      <c r="B3490" s="3">
        <v>41740</v>
      </c>
      <c r="C3490" t="s">
        <v>13</v>
      </c>
      <c r="D3490" t="s">
        <v>21</v>
      </c>
      <c r="E3490" t="s">
        <v>375</v>
      </c>
      <c r="F3490" s="1">
        <v>21.936</v>
      </c>
      <c r="G3490">
        <v>3</v>
      </c>
      <c r="H3490" s="1">
        <v>8.2260000000000009</v>
      </c>
      <c r="I3490" s="4">
        <f>SalesData[[#This Row],[Profit]]/SalesData[[#This Row],[Sales]]</f>
        <v>0.37500000000000006</v>
      </c>
      <c r="J3490">
        <f>YEAR(SalesData[[#This Row],[Order Date]])</f>
        <v>2014</v>
      </c>
      <c r="K3490" t="str">
        <f>TEXT(SalesData[[#This Row],[Order Date]],"mmm")</f>
        <v>Apr</v>
      </c>
      <c r="L3490">
        <f>MONTH(SalesData[[#This Row],[Order Date]])</f>
        <v>4</v>
      </c>
      <c r="M3490">
        <f>SalesData[[#This Row],[Sales]]/SalesData[[#This Row],[Quantity]]</f>
        <v>7.3120000000000003</v>
      </c>
      <c r="N3490" t="str">
        <f>IF(SalesData[[#This Row],[Profit]]&gt;0,"Profit","Loss")</f>
        <v>Profit</v>
      </c>
    </row>
    <row r="3491" spans="1:14" x14ac:dyDescent="0.3">
      <c r="A3491" t="s">
        <v>372</v>
      </c>
      <c r="B3491" s="3">
        <v>41740</v>
      </c>
      <c r="C3491" t="s">
        <v>13</v>
      </c>
      <c r="D3491" t="s">
        <v>21</v>
      </c>
      <c r="E3491" t="s">
        <v>376</v>
      </c>
      <c r="F3491" s="1">
        <v>19.440000000000001</v>
      </c>
      <c r="G3491">
        <v>3</v>
      </c>
      <c r="H3491" s="1">
        <v>9.3312000000000008</v>
      </c>
      <c r="I3491" s="4">
        <f>SalesData[[#This Row],[Profit]]/SalesData[[#This Row],[Sales]]</f>
        <v>0.48000000000000004</v>
      </c>
      <c r="J3491">
        <f>YEAR(SalesData[[#This Row],[Order Date]])</f>
        <v>2014</v>
      </c>
      <c r="K3491" t="str">
        <f>TEXT(SalesData[[#This Row],[Order Date]],"mmm")</f>
        <v>Apr</v>
      </c>
      <c r="L3491">
        <f>MONTH(SalesData[[#This Row],[Order Date]])</f>
        <v>4</v>
      </c>
      <c r="M3491">
        <f>SalesData[[#This Row],[Sales]]/SalesData[[#This Row],[Quantity]]</f>
        <v>6.48</v>
      </c>
      <c r="N3491" t="str">
        <f>IF(SalesData[[#This Row],[Profit]]&gt;0,"Profit","Loss")</f>
        <v>Profit</v>
      </c>
    </row>
    <row r="3492" spans="1:14" x14ac:dyDescent="0.3">
      <c r="A3492" t="s">
        <v>372</v>
      </c>
      <c r="B3492" s="3">
        <v>41740</v>
      </c>
      <c r="C3492" t="s">
        <v>13</v>
      </c>
      <c r="D3492" t="s">
        <v>10</v>
      </c>
      <c r="E3492" t="s">
        <v>377</v>
      </c>
      <c r="F3492" s="1">
        <v>447.96800000000002</v>
      </c>
      <c r="G3492">
        <v>4</v>
      </c>
      <c r="H3492" s="1">
        <v>139.99</v>
      </c>
      <c r="I3492" s="4">
        <f>SalesData[[#This Row],[Profit]]/SalesData[[#This Row],[Sales]]</f>
        <v>0.3125</v>
      </c>
      <c r="J3492">
        <f>YEAR(SalesData[[#This Row],[Order Date]])</f>
        <v>2014</v>
      </c>
      <c r="K3492" t="str">
        <f>TEXT(SalesData[[#This Row],[Order Date]],"mmm")</f>
        <v>Apr</v>
      </c>
      <c r="L3492">
        <f>MONTH(SalesData[[#This Row],[Order Date]])</f>
        <v>4</v>
      </c>
      <c r="M3492">
        <f>SalesData[[#This Row],[Sales]]/SalesData[[#This Row],[Quantity]]</f>
        <v>111.992</v>
      </c>
      <c r="N3492" t="str">
        <f>IF(SalesData[[#This Row],[Profit]]&gt;0,"Profit","Loss")</f>
        <v>Profit</v>
      </c>
    </row>
    <row r="3493" spans="1:14" x14ac:dyDescent="0.3">
      <c r="A3493" t="s">
        <v>378</v>
      </c>
      <c r="B3493" s="3">
        <v>41740</v>
      </c>
      <c r="C3493" t="s">
        <v>17</v>
      </c>
      <c r="D3493" t="s">
        <v>21</v>
      </c>
      <c r="E3493" t="s">
        <v>379</v>
      </c>
      <c r="F3493" s="1">
        <v>52.064</v>
      </c>
      <c r="G3493">
        <v>4</v>
      </c>
      <c r="H3493" s="1">
        <v>18.873200000000001</v>
      </c>
      <c r="I3493" s="4">
        <f>SalesData[[#This Row],[Profit]]/SalesData[[#This Row],[Sales]]</f>
        <v>0.36249999999999999</v>
      </c>
      <c r="J3493">
        <f>YEAR(SalesData[[#This Row],[Order Date]])</f>
        <v>2014</v>
      </c>
      <c r="K3493" t="str">
        <f>TEXT(SalesData[[#This Row],[Order Date]],"mmm")</f>
        <v>Apr</v>
      </c>
      <c r="L3493">
        <f>MONTH(SalesData[[#This Row],[Order Date]])</f>
        <v>4</v>
      </c>
      <c r="M3493">
        <f>SalesData[[#This Row],[Sales]]/SalesData[[#This Row],[Quantity]]</f>
        <v>13.016</v>
      </c>
      <c r="N3493" t="str">
        <f>IF(SalesData[[#This Row],[Profit]]&gt;0,"Profit","Loss")</f>
        <v>Profit</v>
      </c>
    </row>
    <row r="3494" spans="1:14" x14ac:dyDescent="0.3">
      <c r="A3494" t="s">
        <v>380</v>
      </c>
      <c r="B3494" s="3">
        <v>41740</v>
      </c>
      <c r="C3494" t="s">
        <v>13</v>
      </c>
      <c r="D3494" t="s">
        <v>21</v>
      </c>
      <c r="E3494" t="s">
        <v>202</v>
      </c>
      <c r="F3494" s="1">
        <v>2.94</v>
      </c>
      <c r="G3494">
        <v>1</v>
      </c>
      <c r="H3494" s="1">
        <v>0.79379999999999995</v>
      </c>
      <c r="I3494" s="4">
        <f>SalesData[[#This Row],[Profit]]/SalesData[[#This Row],[Sales]]</f>
        <v>0.26999999999999996</v>
      </c>
      <c r="J3494">
        <f>YEAR(SalesData[[#This Row],[Order Date]])</f>
        <v>2014</v>
      </c>
      <c r="K3494" t="str">
        <f>TEXT(SalesData[[#This Row],[Order Date]],"mmm")</f>
        <v>Apr</v>
      </c>
      <c r="L3494">
        <f>MONTH(SalesData[[#This Row],[Order Date]])</f>
        <v>4</v>
      </c>
      <c r="M3494">
        <f>SalesData[[#This Row],[Sales]]/SalesData[[#This Row],[Quantity]]</f>
        <v>2.94</v>
      </c>
      <c r="N3494" t="str">
        <f>IF(SalesData[[#This Row],[Profit]]&gt;0,"Profit","Loss")</f>
        <v>Profit</v>
      </c>
    </row>
    <row r="3495" spans="1:14" x14ac:dyDescent="0.3">
      <c r="A3495" t="s">
        <v>381</v>
      </c>
      <c r="B3495" s="3">
        <v>41741</v>
      </c>
      <c r="C3495" t="s">
        <v>17</v>
      </c>
      <c r="D3495" t="s">
        <v>10</v>
      </c>
      <c r="E3495" t="s">
        <v>81</v>
      </c>
      <c r="F3495" s="1">
        <v>129.97999999999999</v>
      </c>
      <c r="G3495">
        <v>2</v>
      </c>
      <c r="H3495" s="1">
        <v>62.3904</v>
      </c>
      <c r="I3495" s="4">
        <f>SalesData[[#This Row],[Profit]]/SalesData[[#This Row],[Sales]]</f>
        <v>0.48000000000000004</v>
      </c>
      <c r="J3495">
        <f>YEAR(SalesData[[#This Row],[Order Date]])</f>
        <v>2014</v>
      </c>
      <c r="K3495" t="str">
        <f>TEXT(SalesData[[#This Row],[Order Date]],"mmm")</f>
        <v>Apr</v>
      </c>
      <c r="L3495">
        <f>MONTH(SalesData[[#This Row],[Order Date]])</f>
        <v>4</v>
      </c>
      <c r="M3495">
        <f>SalesData[[#This Row],[Sales]]/SalesData[[#This Row],[Quantity]]</f>
        <v>64.989999999999995</v>
      </c>
      <c r="N3495" t="str">
        <f>IF(SalesData[[#This Row],[Profit]]&gt;0,"Profit","Loss")</f>
        <v>Profit</v>
      </c>
    </row>
    <row r="3496" spans="1:14" x14ac:dyDescent="0.3">
      <c r="A3496" t="s">
        <v>382</v>
      </c>
      <c r="B3496" s="3">
        <v>41760</v>
      </c>
      <c r="C3496" t="s">
        <v>17</v>
      </c>
      <c r="D3496" t="s">
        <v>21</v>
      </c>
      <c r="E3496" t="s">
        <v>383</v>
      </c>
      <c r="F3496" s="1">
        <v>19.536000000000001</v>
      </c>
      <c r="G3496">
        <v>3</v>
      </c>
      <c r="H3496" s="1">
        <v>4.8840000000000003</v>
      </c>
      <c r="I3496" s="4">
        <f>SalesData[[#This Row],[Profit]]/SalesData[[#This Row],[Sales]]</f>
        <v>0.25</v>
      </c>
      <c r="J3496">
        <f>YEAR(SalesData[[#This Row],[Order Date]])</f>
        <v>2014</v>
      </c>
      <c r="K3496" t="str">
        <f>TEXT(SalesData[[#This Row],[Order Date]],"mmm")</f>
        <v>May</v>
      </c>
      <c r="L3496">
        <f>MONTH(SalesData[[#This Row],[Order Date]])</f>
        <v>5</v>
      </c>
      <c r="M3496">
        <f>SalesData[[#This Row],[Sales]]/SalesData[[#This Row],[Quantity]]</f>
        <v>6.5120000000000005</v>
      </c>
      <c r="N3496" t="str">
        <f>IF(SalesData[[#This Row],[Profit]]&gt;0,"Profit","Loss")</f>
        <v>Profit</v>
      </c>
    </row>
    <row r="3497" spans="1:14" x14ac:dyDescent="0.3">
      <c r="A3497" t="s">
        <v>384</v>
      </c>
      <c r="B3497" s="3">
        <v>41762</v>
      </c>
      <c r="C3497" t="s">
        <v>17</v>
      </c>
      <c r="D3497" t="s">
        <v>21</v>
      </c>
      <c r="E3497" t="s">
        <v>385</v>
      </c>
      <c r="F3497" s="1">
        <v>59.52</v>
      </c>
      <c r="G3497">
        <v>3</v>
      </c>
      <c r="H3497" s="1">
        <v>15.475199999999999</v>
      </c>
      <c r="I3497" s="4">
        <f>SalesData[[#This Row],[Profit]]/SalesData[[#This Row],[Sales]]</f>
        <v>0.25999999999999995</v>
      </c>
      <c r="J3497">
        <f>YEAR(SalesData[[#This Row],[Order Date]])</f>
        <v>2014</v>
      </c>
      <c r="K3497" t="str">
        <f>TEXT(SalesData[[#This Row],[Order Date]],"mmm")</f>
        <v>May</v>
      </c>
      <c r="L3497">
        <f>MONTH(SalesData[[#This Row],[Order Date]])</f>
        <v>5</v>
      </c>
      <c r="M3497">
        <f>SalesData[[#This Row],[Sales]]/SalesData[[#This Row],[Quantity]]</f>
        <v>19.84</v>
      </c>
      <c r="N3497" t="str">
        <f>IF(SalesData[[#This Row],[Profit]]&gt;0,"Profit","Loss")</f>
        <v>Profit</v>
      </c>
    </row>
    <row r="3498" spans="1:14" x14ac:dyDescent="0.3">
      <c r="A3498" t="s">
        <v>384</v>
      </c>
      <c r="B3498" s="3">
        <v>41762</v>
      </c>
      <c r="C3498" t="s">
        <v>17</v>
      </c>
      <c r="D3498" t="s">
        <v>10</v>
      </c>
      <c r="E3498" t="s">
        <v>386</v>
      </c>
      <c r="F3498" s="1">
        <v>479.97</v>
      </c>
      <c r="G3498">
        <v>3</v>
      </c>
      <c r="H3498" s="1">
        <v>177.5889</v>
      </c>
      <c r="I3498" s="4">
        <f>SalesData[[#This Row],[Profit]]/SalesData[[#This Row],[Sales]]</f>
        <v>0.37</v>
      </c>
      <c r="J3498">
        <f>YEAR(SalesData[[#This Row],[Order Date]])</f>
        <v>2014</v>
      </c>
      <c r="K3498" t="str">
        <f>TEXT(SalesData[[#This Row],[Order Date]],"mmm")</f>
        <v>May</v>
      </c>
      <c r="L3498">
        <f>MONTH(SalesData[[#This Row],[Order Date]])</f>
        <v>5</v>
      </c>
      <c r="M3498">
        <f>SalesData[[#This Row],[Sales]]/SalesData[[#This Row],[Quantity]]</f>
        <v>159.99</v>
      </c>
      <c r="N3498" t="str">
        <f>IF(SalesData[[#This Row],[Profit]]&gt;0,"Profit","Loss")</f>
        <v>Profit</v>
      </c>
    </row>
    <row r="3499" spans="1:14" x14ac:dyDescent="0.3">
      <c r="A3499" t="s">
        <v>384</v>
      </c>
      <c r="B3499" s="3">
        <v>41762</v>
      </c>
      <c r="C3499" t="s">
        <v>17</v>
      </c>
      <c r="D3499" t="s">
        <v>21</v>
      </c>
      <c r="E3499" t="s">
        <v>387</v>
      </c>
      <c r="F3499" s="1">
        <v>18.62</v>
      </c>
      <c r="G3499">
        <v>2</v>
      </c>
      <c r="H3499" s="1">
        <v>5.3997999999999999</v>
      </c>
      <c r="I3499" s="4">
        <f>SalesData[[#This Row],[Profit]]/SalesData[[#This Row],[Sales]]</f>
        <v>0.28999999999999998</v>
      </c>
      <c r="J3499">
        <f>YEAR(SalesData[[#This Row],[Order Date]])</f>
        <v>2014</v>
      </c>
      <c r="K3499" t="str">
        <f>TEXT(SalesData[[#This Row],[Order Date]],"mmm")</f>
        <v>May</v>
      </c>
      <c r="L3499">
        <f>MONTH(SalesData[[#This Row],[Order Date]])</f>
        <v>5</v>
      </c>
      <c r="M3499">
        <f>SalesData[[#This Row],[Sales]]/SalesData[[#This Row],[Quantity]]</f>
        <v>9.31</v>
      </c>
      <c r="N3499" t="str">
        <f>IF(SalesData[[#This Row],[Profit]]&gt;0,"Profit","Loss")</f>
        <v>Profit</v>
      </c>
    </row>
    <row r="3500" spans="1:14" x14ac:dyDescent="0.3">
      <c r="A3500" t="s">
        <v>384</v>
      </c>
      <c r="B3500" s="3">
        <v>41762</v>
      </c>
      <c r="C3500" t="s">
        <v>17</v>
      </c>
      <c r="D3500" t="s">
        <v>21</v>
      </c>
      <c r="E3500" t="s">
        <v>388</v>
      </c>
      <c r="F3500" s="1">
        <v>49.631999999999998</v>
      </c>
      <c r="G3500">
        <v>6</v>
      </c>
      <c r="H3500" s="1">
        <v>16.750800000000002</v>
      </c>
      <c r="I3500" s="4">
        <f>SalesData[[#This Row],[Profit]]/SalesData[[#This Row],[Sales]]</f>
        <v>0.33750000000000002</v>
      </c>
      <c r="J3500">
        <f>YEAR(SalesData[[#This Row],[Order Date]])</f>
        <v>2014</v>
      </c>
      <c r="K3500" t="str">
        <f>TEXT(SalesData[[#This Row],[Order Date]],"mmm")</f>
        <v>May</v>
      </c>
      <c r="L3500">
        <f>MONTH(SalesData[[#This Row],[Order Date]])</f>
        <v>5</v>
      </c>
      <c r="M3500">
        <f>SalesData[[#This Row],[Sales]]/SalesData[[#This Row],[Quantity]]</f>
        <v>8.2720000000000002</v>
      </c>
      <c r="N3500" t="str">
        <f>IF(SalesData[[#This Row],[Profit]]&gt;0,"Profit","Loss")</f>
        <v>Profit</v>
      </c>
    </row>
    <row r="3501" spans="1:14" x14ac:dyDescent="0.3">
      <c r="A3501" t="s">
        <v>384</v>
      </c>
      <c r="B3501" s="3">
        <v>41762</v>
      </c>
      <c r="C3501" t="s">
        <v>17</v>
      </c>
      <c r="D3501" t="s">
        <v>21</v>
      </c>
      <c r="E3501" t="s">
        <v>389</v>
      </c>
      <c r="F3501" s="1">
        <v>97.82</v>
      </c>
      <c r="G3501">
        <v>2</v>
      </c>
      <c r="H3501" s="1">
        <v>45.9754</v>
      </c>
      <c r="I3501" s="4">
        <f>SalesData[[#This Row],[Profit]]/SalesData[[#This Row],[Sales]]</f>
        <v>0.47000000000000003</v>
      </c>
      <c r="J3501">
        <f>YEAR(SalesData[[#This Row],[Order Date]])</f>
        <v>2014</v>
      </c>
      <c r="K3501" t="str">
        <f>TEXT(SalesData[[#This Row],[Order Date]],"mmm")</f>
        <v>May</v>
      </c>
      <c r="L3501">
        <f>MONTH(SalesData[[#This Row],[Order Date]])</f>
        <v>5</v>
      </c>
      <c r="M3501">
        <f>SalesData[[#This Row],[Sales]]/SalesData[[#This Row],[Quantity]]</f>
        <v>48.91</v>
      </c>
      <c r="N3501" t="str">
        <f>IF(SalesData[[#This Row],[Profit]]&gt;0,"Profit","Loss")</f>
        <v>Profit</v>
      </c>
    </row>
    <row r="3502" spans="1:14" x14ac:dyDescent="0.3">
      <c r="A3502" t="s">
        <v>390</v>
      </c>
      <c r="B3502" s="3">
        <v>41763</v>
      </c>
      <c r="C3502" t="s">
        <v>17</v>
      </c>
      <c r="D3502" t="s">
        <v>21</v>
      </c>
      <c r="E3502" t="s">
        <v>391</v>
      </c>
      <c r="F3502" s="1">
        <v>55.48</v>
      </c>
      <c r="G3502">
        <v>1</v>
      </c>
      <c r="H3502" s="1">
        <v>26.630400000000002</v>
      </c>
      <c r="I3502" s="4">
        <f>SalesData[[#This Row],[Profit]]/SalesData[[#This Row],[Sales]]</f>
        <v>0.48000000000000004</v>
      </c>
      <c r="J3502">
        <f>YEAR(SalesData[[#This Row],[Order Date]])</f>
        <v>2014</v>
      </c>
      <c r="K3502" t="str">
        <f>TEXT(SalesData[[#This Row],[Order Date]],"mmm")</f>
        <v>May</v>
      </c>
      <c r="L3502">
        <f>MONTH(SalesData[[#This Row],[Order Date]])</f>
        <v>5</v>
      </c>
      <c r="M3502">
        <f>SalesData[[#This Row],[Sales]]/SalesData[[#This Row],[Quantity]]</f>
        <v>55.48</v>
      </c>
      <c r="N3502" t="str">
        <f>IF(SalesData[[#This Row],[Profit]]&gt;0,"Profit","Loss")</f>
        <v>Profit</v>
      </c>
    </row>
    <row r="3503" spans="1:14" x14ac:dyDescent="0.3">
      <c r="A3503" t="s">
        <v>392</v>
      </c>
      <c r="B3503" s="3">
        <v>41763</v>
      </c>
      <c r="C3503" t="s">
        <v>46</v>
      </c>
      <c r="D3503" t="s">
        <v>21</v>
      </c>
      <c r="E3503" t="s">
        <v>393</v>
      </c>
      <c r="F3503" s="1">
        <v>22.96</v>
      </c>
      <c r="G3503">
        <v>7</v>
      </c>
      <c r="H3503" s="1">
        <v>7.5768000000000004</v>
      </c>
      <c r="I3503" s="4">
        <f>SalesData[[#This Row],[Profit]]/SalesData[[#This Row],[Sales]]</f>
        <v>0.33</v>
      </c>
      <c r="J3503">
        <f>YEAR(SalesData[[#This Row],[Order Date]])</f>
        <v>2014</v>
      </c>
      <c r="K3503" t="str">
        <f>TEXT(SalesData[[#This Row],[Order Date]],"mmm")</f>
        <v>May</v>
      </c>
      <c r="L3503">
        <f>MONTH(SalesData[[#This Row],[Order Date]])</f>
        <v>5</v>
      </c>
      <c r="M3503">
        <f>SalesData[[#This Row],[Sales]]/SalesData[[#This Row],[Quantity]]</f>
        <v>3.2800000000000002</v>
      </c>
      <c r="N3503" t="str">
        <f>IF(SalesData[[#This Row],[Profit]]&gt;0,"Profit","Loss")</f>
        <v>Profit</v>
      </c>
    </row>
    <row r="3504" spans="1:14" x14ac:dyDescent="0.3">
      <c r="A3504" t="s">
        <v>392</v>
      </c>
      <c r="B3504" s="3">
        <v>41763</v>
      </c>
      <c r="C3504" t="s">
        <v>46</v>
      </c>
      <c r="D3504" t="s">
        <v>10</v>
      </c>
      <c r="E3504" t="s">
        <v>191</v>
      </c>
      <c r="F3504" s="1">
        <v>28.99</v>
      </c>
      <c r="G3504">
        <v>1</v>
      </c>
      <c r="H3504" s="1">
        <v>8.4070999999999998</v>
      </c>
      <c r="I3504" s="4">
        <f>SalesData[[#This Row],[Profit]]/SalesData[[#This Row],[Sales]]</f>
        <v>0.29000000000000004</v>
      </c>
      <c r="J3504">
        <f>YEAR(SalesData[[#This Row],[Order Date]])</f>
        <v>2014</v>
      </c>
      <c r="K3504" t="str">
        <f>TEXT(SalesData[[#This Row],[Order Date]],"mmm")</f>
        <v>May</v>
      </c>
      <c r="L3504">
        <f>MONTH(SalesData[[#This Row],[Order Date]])</f>
        <v>5</v>
      </c>
      <c r="M3504">
        <f>SalesData[[#This Row],[Sales]]/SalesData[[#This Row],[Quantity]]</f>
        <v>28.99</v>
      </c>
      <c r="N3504" t="str">
        <f>IF(SalesData[[#This Row],[Profit]]&gt;0,"Profit","Loss")</f>
        <v>Profit</v>
      </c>
    </row>
    <row r="3505" spans="1:14" x14ac:dyDescent="0.3">
      <c r="A3505" t="s">
        <v>392</v>
      </c>
      <c r="B3505" s="3">
        <v>41763</v>
      </c>
      <c r="C3505" t="s">
        <v>46</v>
      </c>
      <c r="D3505" t="s">
        <v>21</v>
      </c>
      <c r="E3505" t="s">
        <v>394</v>
      </c>
      <c r="F3505" s="1">
        <v>12.96</v>
      </c>
      <c r="G3505">
        <v>2</v>
      </c>
      <c r="H3505" s="1">
        <v>6.3503999999999996</v>
      </c>
      <c r="I3505" s="4">
        <f>SalesData[[#This Row],[Profit]]/SalesData[[#This Row],[Sales]]</f>
        <v>0.48999999999999994</v>
      </c>
      <c r="J3505">
        <f>YEAR(SalesData[[#This Row],[Order Date]])</f>
        <v>2014</v>
      </c>
      <c r="K3505" t="str">
        <f>TEXT(SalesData[[#This Row],[Order Date]],"mmm")</f>
        <v>May</v>
      </c>
      <c r="L3505">
        <f>MONTH(SalesData[[#This Row],[Order Date]])</f>
        <v>5</v>
      </c>
      <c r="M3505">
        <f>SalesData[[#This Row],[Sales]]/SalesData[[#This Row],[Quantity]]</f>
        <v>6.48</v>
      </c>
      <c r="N3505" t="str">
        <f>IF(SalesData[[#This Row],[Profit]]&gt;0,"Profit","Loss")</f>
        <v>Profit</v>
      </c>
    </row>
    <row r="3506" spans="1:14" x14ac:dyDescent="0.3">
      <c r="A3506" t="s">
        <v>392</v>
      </c>
      <c r="B3506" s="3">
        <v>41763</v>
      </c>
      <c r="C3506" t="s">
        <v>46</v>
      </c>
      <c r="D3506" t="s">
        <v>21</v>
      </c>
      <c r="E3506" t="s">
        <v>395</v>
      </c>
      <c r="F3506" s="1">
        <v>22.96</v>
      </c>
      <c r="G3506">
        <v>7</v>
      </c>
      <c r="H3506" s="1">
        <v>6.6584000000000003</v>
      </c>
      <c r="I3506" s="4">
        <f>SalesData[[#This Row],[Profit]]/SalesData[[#This Row],[Sales]]</f>
        <v>0.28999999999999998</v>
      </c>
      <c r="J3506">
        <f>YEAR(SalesData[[#This Row],[Order Date]])</f>
        <v>2014</v>
      </c>
      <c r="K3506" t="str">
        <f>TEXT(SalesData[[#This Row],[Order Date]],"mmm")</f>
        <v>May</v>
      </c>
      <c r="L3506">
        <f>MONTH(SalesData[[#This Row],[Order Date]])</f>
        <v>5</v>
      </c>
      <c r="M3506">
        <f>SalesData[[#This Row],[Sales]]/SalesData[[#This Row],[Quantity]]</f>
        <v>3.2800000000000002</v>
      </c>
      <c r="N3506" t="str">
        <f>IF(SalesData[[#This Row],[Profit]]&gt;0,"Profit","Loss")</f>
        <v>Profit</v>
      </c>
    </row>
    <row r="3507" spans="1:14" x14ac:dyDescent="0.3">
      <c r="A3507" t="s">
        <v>392</v>
      </c>
      <c r="B3507" s="3">
        <v>41763</v>
      </c>
      <c r="C3507" t="s">
        <v>46</v>
      </c>
      <c r="D3507" t="s">
        <v>21</v>
      </c>
      <c r="E3507" t="s">
        <v>396</v>
      </c>
      <c r="F3507" s="1">
        <v>4164.05</v>
      </c>
      <c r="G3507">
        <v>5</v>
      </c>
      <c r="H3507" s="1">
        <v>83.281000000000006</v>
      </c>
      <c r="I3507" s="4">
        <f>SalesData[[#This Row],[Profit]]/SalesData[[#This Row],[Sales]]</f>
        <v>0.02</v>
      </c>
      <c r="J3507">
        <f>YEAR(SalesData[[#This Row],[Order Date]])</f>
        <v>2014</v>
      </c>
      <c r="K3507" t="str">
        <f>TEXT(SalesData[[#This Row],[Order Date]],"mmm")</f>
        <v>May</v>
      </c>
      <c r="L3507">
        <f>MONTH(SalesData[[#This Row],[Order Date]])</f>
        <v>5</v>
      </c>
      <c r="M3507">
        <f>SalesData[[#This Row],[Sales]]/SalesData[[#This Row],[Quantity]]</f>
        <v>832.81000000000006</v>
      </c>
      <c r="N3507" t="str">
        <f>IF(SalesData[[#This Row],[Profit]]&gt;0,"Profit","Loss")</f>
        <v>Profit</v>
      </c>
    </row>
    <row r="3508" spans="1:14" x14ac:dyDescent="0.3">
      <c r="A3508" t="s">
        <v>397</v>
      </c>
      <c r="B3508" s="3">
        <v>41763</v>
      </c>
      <c r="C3508" t="s">
        <v>9</v>
      </c>
      <c r="D3508" t="s">
        <v>21</v>
      </c>
      <c r="E3508" t="s">
        <v>398</v>
      </c>
      <c r="F3508" s="1">
        <v>49.631999999999998</v>
      </c>
      <c r="G3508">
        <v>4</v>
      </c>
      <c r="H3508" s="1">
        <v>3.7223999999999999</v>
      </c>
      <c r="I3508" s="4">
        <f>SalesData[[#This Row],[Profit]]/SalesData[[#This Row],[Sales]]</f>
        <v>7.4999999999999997E-2</v>
      </c>
      <c r="J3508">
        <f>YEAR(SalesData[[#This Row],[Order Date]])</f>
        <v>2014</v>
      </c>
      <c r="K3508" t="str">
        <f>TEXT(SalesData[[#This Row],[Order Date]],"mmm")</f>
        <v>May</v>
      </c>
      <c r="L3508">
        <f>MONTH(SalesData[[#This Row],[Order Date]])</f>
        <v>5</v>
      </c>
      <c r="M3508">
        <f>SalesData[[#This Row],[Sales]]/SalesData[[#This Row],[Quantity]]</f>
        <v>12.407999999999999</v>
      </c>
      <c r="N3508" t="str">
        <f>IF(SalesData[[#This Row],[Profit]]&gt;0,"Profit","Loss")</f>
        <v>Profit</v>
      </c>
    </row>
    <row r="3509" spans="1:14" x14ac:dyDescent="0.3">
      <c r="A3509" t="s">
        <v>397</v>
      </c>
      <c r="B3509" s="3">
        <v>41763</v>
      </c>
      <c r="C3509" t="s">
        <v>9</v>
      </c>
      <c r="D3509" t="s">
        <v>21</v>
      </c>
      <c r="E3509" t="s">
        <v>399</v>
      </c>
      <c r="F3509" s="1">
        <v>52.095999999999997</v>
      </c>
      <c r="G3509">
        <v>4</v>
      </c>
      <c r="H3509" s="1">
        <v>3.9072</v>
      </c>
      <c r="I3509" s="4">
        <f>SalesData[[#This Row],[Profit]]/SalesData[[#This Row],[Sales]]</f>
        <v>7.5000000000000011E-2</v>
      </c>
      <c r="J3509">
        <f>YEAR(SalesData[[#This Row],[Order Date]])</f>
        <v>2014</v>
      </c>
      <c r="K3509" t="str">
        <f>TEXT(SalesData[[#This Row],[Order Date]],"mmm")</f>
        <v>May</v>
      </c>
      <c r="L3509">
        <f>MONTH(SalesData[[#This Row],[Order Date]])</f>
        <v>5</v>
      </c>
      <c r="M3509">
        <f>SalesData[[#This Row],[Sales]]/SalesData[[#This Row],[Quantity]]</f>
        <v>13.023999999999999</v>
      </c>
      <c r="N3509" t="str">
        <f>IF(SalesData[[#This Row],[Profit]]&gt;0,"Profit","Loss")</f>
        <v>Profit</v>
      </c>
    </row>
    <row r="3510" spans="1:14" x14ac:dyDescent="0.3">
      <c r="A3510" t="s">
        <v>400</v>
      </c>
      <c r="B3510" s="3">
        <v>41763</v>
      </c>
      <c r="C3510" t="s">
        <v>9</v>
      </c>
      <c r="D3510" t="s">
        <v>21</v>
      </c>
      <c r="E3510" t="s">
        <v>401</v>
      </c>
      <c r="F3510" s="1">
        <v>26.7</v>
      </c>
      <c r="G3510">
        <v>2</v>
      </c>
      <c r="H3510" s="1">
        <v>7.476</v>
      </c>
      <c r="I3510" s="4">
        <f>SalesData[[#This Row],[Profit]]/SalesData[[#This Row],[Sales]]</f>
        <v>0.28000000000000003</v>
      </c>
      <c r="J3510">
        <f>YEAR(SalesData[[#This Row],[Order Date]])</f>
        <v>2014</v>
      </c>
      <c r="K3510" t="str">
        <f>TEXT(SalesData[[#This Row],[Order Date]],"mmm")</f>
        <v>May</v>
      </c>
      <c r="L3510">
        <f>MONTH(SalesData[[#This Row],[Order Date]])</f>
        <v>5</v>
      </c>
      <c r="M3510">
        <f>SalesData[[#This Row],[Sales]]/SalesData[[#This Row],[Quantity]]</f>
        <v>13.35</v>
      </c>
      <c r="N3510" t="str">
        <f>IF(SalesData[[#This Row],[Profit]]&gt;0,"Profit","Loss")</f>
        <v>Profit</v>
      </c>
    </row>
    <row r="3511" spans="1:14" x14ac:dyDescent="0.3">
      <c r="A3511" t="s">
        <v>400</v>
      </c>
      <c r="B3511" s="3">
        <v>41763</v>
      </c>
      <c r="C3511" t="s">
        <v>9</v>
      </c>
      <c r="D3511" t="s">
        <v>21</v>
      </c>
      <c r="E3511" t="s">
        <v>402</v>
      </c>
      <c r="F3511" s="1">
        <v>40.200000000000003</v>
      </c>
      <c r="G3511">
        <v>5</v>
      </c>
      <c r="H3511" s="1">
        <v>18.09</v>
      </c>
      <c r="I3511" s="4">
        <f>SalesData[[#This Row],[Profit]]/SalesData[[#This Row],[Sales]]</f>
        <v>0.44999999999999996</v>
      </c>
      <c r="J3511">
        <f>YEAR(SalesData[[#This Row],[Order Date]])</f>
        <v>2014</v>
      </c>
      <c r="K3511" t="str">
        <f>TEXT(SalesData[[#This Row],[Order Date]],"mmm")</f>
        <v>May</v>
      </c>
      <c r="L3511">
        <f>MONTH(SalesData[[#This Row],[Order Date]])</f>
        <v>5</v>
      </c>
      <c r="M3511">
        <f>SalesData[[#This Row],[Sales]]/SalesData[[#This Row],[Quantity]]</f>
        <v>8.0400000000000009</v>
      </c>
      <c r="N3511" t="str">
        <f>IF(SalesData[[#This Row],[Profit]]&gt;0,"Profit","Loss")</f>
        <v>Profit</v>
      </c>
    </row>
    <row r="3512" spans="1:14" x14ac:dyDescent="0.3">
      <c r="A3512" t="s">
        <v>400</v>
      </c>
      <c r="B3512" s="3">
        <v>41763</v>
      </c>
      <c r="C3512" t="s">
        <v>9</v>
      </c>
      <c r="D3512" t="s">
        <v>21</v>
      </c>
      <c r="E3512" t="s">
        <v>403</v>
      </c>
      <c r="F3512" s="1">
        <v>13.89</v>
      </c>
      <c r="G3512">
        <v>3</v>
      </c>
      <c r="H3512" s="1">
        <v>4.5837000000000003</v>
      </c>
      <c r="I3512" s="4">
        <f>SalesData[[#This Row],[Profit]]/SalesData[[#This Row],[Sales]]</f>
        <v>0.33</v>
      </c>
      <c r="J3512">
        <f>YEAR(SalesData[[#This Row],[Order Date]])</f>
        <v>2014</v>
      </c>
      <c r="K3512" t="str">
        <f>TEXT(SalesData[[#This Row],[Order Date]],"mmm")</f>
        <v>May</v>
      </c>
      <c r="L3512">
        <f>MONTH(SalesData[[#This Row],[Order Date]])</f>
        <v>5</v>
      </c>
      <c r="M3512">
        <f>SalesData[[#This Row],[Sales]]/SalesData[[#This Row],[Quantity]]</f>
        <v>4.63</v>
      </c>
      <c r="N3512" t="str">
        <f>IF(SalesData[[#This Row],[Profit]]&gt;0,"Profit","Loss")</f>
        <v>Profit</v>
      </c>
    </row>
    <row r="3513" spans="1:14" x14ac:dyDescent="0.3">
      <c r="A3513" t="s">
        <v>400</v>
      </c>
      <c r="B3513" s="3">
        <v>41763</v>
      </c>
      <c r="C3513" t="s">
        <v>9</v>
      </c>
      <c r="D3513" t="s">
        <v>21</v>
      </c>
      <c r="E3513" t="s">
        <v>404</v>
      </c>
      <c r="F3513" s="1">
        <v>689.82</v>
      </c>
      <c r="G3513">
        <v>6</v>
      </c>
      <c r="H3513" s="1">
        <v>20.694600000000001</v>
      </c>
      <c r="I3513" s="4">
        <f>SalesData[[#This Row],[Profit]]/SalesData[[#This Row],[Sales]]</f>
        <v>0.03</v>
      </c>
      <c r="J3513">
        <f>YEAR(SalesData[[#This Row],[Order Date]])</f>
        <v>2014</v>
      </c>
      <c r="K3513" t="str">
        <f>TEXT(SalesData[[#This Row],[Order Date]],"mmm")</f>
        <v>May</v>
      </c>
      <c r="L3513">
        <f>MONTH(SalesData[[#This Row],[Order Date]])</f>
        <v>5</v>
      </c>
      <c r="M3513">
        <f>SalesData[[#This Row],[Sales]]/SalesData[[#This Row],[Quantity]]</f>
        <v>114.97000000000001</v>
      </c>
      <c r="N3513" t="str">
        <f>IF(SalesData[[#This Row],[Profit]]&gt;0,"Profit","Loss")</f>
        <v>Profit</v>
      </c>
    </row>
    <row r="3514" spans="1:14" x14ac:dyDescent="0.3">
      <c r="A3514" t="s">
        <v>405</v>
      </c>
      <c r="B3514" s="3">
        <v>41763</v>
      </c>
      <c r="C3514" t="s">
        <v>46</v>
      </c>
      <c r="D3514" t="s">
        <v>21</v>
      </c>
      <c r="E3514" t="s">
        <v>350</v>
      </c>
      <c r="F3514" s="1">
        <v>115.36</v>
      </c>
      <c r="G3514">
        <v>7</v>
      </c>
      <c r="H3514" s="1">
        <v>56.526400000000002</v>
      </c>
      <c r="I3514" s="4">
        <f>SalesData[[#This Row],[Profit]]/SalesData[[#This Row],[Sales]]</f>
        <v>0.49000000000000005</v>
      </c>
      <c r="J3514">
        <f>YEAR(SalesData[[#This Row],[Order Date]])</f>
        <v>2014</v>
      </c>
      <c r="K3514" t="str">
        <f>TEXT(SalesData[[#This Row],[Order Date]],"mmm")</f>
        <v>May</v>
      </c>
      <c r="L3514">
        <f>MONTH(SalesData[[#This Row],[Order Date]])</f>
        <v>5</v>
      </c>
      <c r="M3514">
        <f>SalesData[[#This Row],[Sales]]/SalesData[[#This Row],[Quantity]]</f>
        <v>16.48</v>
      </c>
      <c r="N3514" t="str">
        <f>IF(SalesData[[#This Row],[Profit]]&gt;0,"Profit","Loss")</f>
        <v>Profit</v>
      </c>
    </row>
    <row r="3515" spans="1:14" x14ac:dyDescent="0.3">
      <c r="A3515" t="s">
        <v>406</v>
      </c>
      <c r="B3515" s="3">
        <v>41764</v>
      </c>
      <c r="C3515" t="s">
        <v>46</v>
      </c>
      <c r="D3515" t="s">
        <v>21</v>
      </c>
      <c r="E3515" t="s">
        <v>407</v>
      </c>
      <c r="F3515" s="1">
        <v>9.42</v>
      </c>
      <c r="G3515">
        <v>3</v>
      </c>
      <c r="H3515" s="1">
        <v>4.2389999999999999</v>
      </c>
      <c r="I3515" s="4">
        <f>SalesData[[#This Row],[Profit]]/SalesData[[#This Row],[Sales]]</f>
        <v>0.45</v>
      </c>
      <c r="J3515">
        <f>YEAR(SalesData[[#This Row],[Order Date]])</f>
        <v>2014</v>
      </c>
      <c r="K3515" t="str">
        <f>TEXT(SalesData[[#This Row],[Order Date]],"mmm")</f>
        <v>May</v>
      </c>
      <c r="L3515">
        <f>MONTH(SalesData[[#This Row],[Order Date]])</f>
        <v>5</v>
      </c>
      <c r="M3515">
        <f>SalesData[[#This Row],[Sales]]/SalesData[[#This Row],[Quantity]]</f>
        <v>3.14</v>
      </c>
      <c r="N3515" t="str">
        <f>IF(SalesData[[#This Row],[Profit]]&gt;0,"Profit","Loss")</f>
        <v>Profit</v>
      </c>
    </row>
    <row r="3516" spans="1:14" x14ac:dyDescent="0.3">
      <c r="A3516" t="s">
        <v>406</v>
      </c>
      <c r="B3516" s="3">
        <v>41764</v>
      </c>
      <c r="C3516" t="s">
        <v>46</v>
      </c>
      <c r="D3516" t="s">
        <v>21</v>
      </c>
      <c r="E3516" t="s">
        <v>408</v>
      </c>
      <c r="F3516" s="1">
        <v>6.56</v>
      </c>
      <c r="G3516">
        <v>2</v>
      </c>
      <c r="H3516" s="1">
        <v>1.9024000000000001</v>
      </c>
      <c r="I3516" s="4">
        <f>SalesData[[#This Row],[Profit]]/SalesData[[#This Row],[Sales]]</f>
        <v>0.29000000000000004</v>
      </c>
      <c r="J3516">
        <f>YEAR(SalesData[[#This Row],[Order Date]])</f>
        <v>2014</v>
      </c>
      <c r="K3516" t="str">
        <f>TEXT(SalesData[[#This Row],[Order Date]],"mmm")</f>
        <v>May</v>
      </c>
      <c r="L3516">
        <f>MONTH(SalesData[[#This Row],[Order Date]])</f>
        <v>5</v>
      </c>
      <c r="M3516">
        <f>SalesData[[#This Row],[Sales]]/SalesData[[#This Row],[Quantity]]</f>
        <v>3.28</v>
      </c>
      <c r="N3516" t="str">
        <f>IF(SalesData[[#This Row],[Profit]]&gt;0,"Profit","Loss")</f>
        <v>Profit</v>
      </c>
    </row>
    <row r="3517" spans="1:14" x14ac:dyDescent="0.3">
      <c r="A3517" t="s">
        <v>406</v>
      </c>
      <c r="B3517" s="3">
        <v>41764</v>
      </c>
      <c r="C3517" t="s">
        <v>46</v>
      </c>
      <c r="D3517" t="s">
        <v>21</v>
      </c>
      <c r="E3517" t="s">
        <v>409</v>
      </c>
      <c r="F3517" s="1">
        <v>24.56</v>
      </c>
      <c r="G3517">
        <v>2</v>
      </c>
      <c r="H3517" s="1">
        <v>11.543200000000001</v>
      </c>
      <c r="I3517" s="4">
        <f>SalesData[[#This Row],[Profit]]/SalesData[[#This Row],[Sales]]</f>
        <v>0.47000000000000003</v>
      </c>
      <c r="J3517">
        <f>YEAR(SalesData[[#This Row],[Order Date]])</f>
        <v>2014</v>
      </c>
      <c r="K3517" t="str">
        <f>TEXT(SalesData[[#This Row],[Order Date]],"mmm")</f>
        <v>May</v>
      </c>
      <c r="L3517">
        <f>MONTH(SalesData[[#This Row],[Order Date]])</f>
        <v>5</v>
      </c>
      <c r="M3517">
        <f>SalesData[[#This Row],[Sales]]/SalesData[[#This Row],[Quantity]]</f>
        <v>12.28</v>
      </c>
      <c r="N3517" t="str">
        <f>IF(SalesData[[#This Row],[Profit]]&gt;0,"Profit","Loss")</f>
        <v>Profit</v>
      </c>
    </row>
    <row r="3518" spans="1:14" x14ac:dyDescent="0.3">
      <c r="A3518" t="s">
        <v>410</v>
      </c>
      <c r="B3518" s="3">
        <v>41764</v>
      </c>
      <c r="C3518" t="s">
        <v>9</v>
      </c>
      <c r="D3518" t="s">
        <v>14</v>
      </c>
      <c r="E3518" t="s">
        <v>411</v>
      </c>
      <c r="F3518" s="1">
        <v>127.869</v>
      </c>
      <c r="G3518">
        <v>3</v>
      </c>
      <c r="H3518" s="1">
        <v>-9.1334999999999997</v>
      </c>
      <c r="I3518" s="4">
        <f>SalesData[[#This Row],[Profit]]/SalesData[[#This Row],[Sales]]</f>
        <v>-7.1428571428571425E-2</v>
      </c>
      <c r="J3518">
        <f>YEAR(SalesData[[#This Row],[Order Date]])</f>
        <v>2014</v>
      </c>
      <c r="K3518" t="str">
        <f>TEXT(SalesData[[#This Row],[Order Date]],"mmm")</f>
        <v>May</v>
      </c>
      <c r="L3518">
        <f>MONTH(SalesData[[#This Row],[Order Date]])</f>
        <v>5</v>
      </c>
      <c r="M3518">
        <f>SalesData[[#This Row],[Sales]]/SalesData[[#This Row],[Quantity]]</f>
        <v>42.622999999999998</v>
      </c>
      <c r="N3518" t="str">
        <f>IF(SalesData[[#This Row],[Profit]]&gt;0,"Profit","Loss")</f>
        <v>Loss</v>
      </c>
    </row>
    <row r="3519" spans="1:14" x14ac:dyDescent="0.3">
      <c r="A3519" t="s">
        <v>412</v>
      </c>
      <c r="B3519" s="3">
        <v>41764</v>
      </c>
      <c r="C3519" t="s">
        <v>9</v>
      </c>
      <c r="D3519" t="s">
        <v>21</v>
      </c>
      <c r="E3519" t="s">
        <v>413</v>
      </c>
      <c r="F3519" s="1">
        <v>45.247999999999998</v>
      </c>
      <c r="G3519">
        <v>2</v>
      </c>
      <c r="H3519" s="1">
        <v>3.9592000000000001</v>
      </c>
      <c r="I3519" s="4">
        <f>SalesData[[#This Row],[Profit]]/SalesData[[#This Row],[Sales]]</f>
        <v>8.7500000000000008E-2</v>
      </c>
      <c r="J3519">
        <f>YEAR(SalesData[[#This Row],[Order Date]])</f>
        <v>2014</v>
      </c>
      <c r="K3519" t="str">
        <f>TEXT(SalesData[[#This Row],[Order Date]],"mmm")</f>
        <v>May</v>
      </c>
      <c r="L3519">
        <f>MONTH(SalesData[[#This Row],[Order Date]])</f>
        <v>5</v>
      </c>
      <c r="M3519">
        <f>SalesData[[#This Row],[Sales]]/SalesData[[#This Row],[Quantity]]</f>
        <v>22.623999999999999</v>
      </c>
      <c r="N3519" t="str">
        <f>IF(SalesData[[#This Row],[Profit]]&gt;0,"Profit","Loss")</f>
        <v>Profit</v>
      </c>
    </row>
    <row r="3520" spans="1:14" x14ac:dyDescent="0.3">
      <c r="A3520" t="s">
        <v>414</v>
      </c>
      <c r="B3520" s="3">
        <v>41764</v>
      </c>
      <c r="C3520" t="s">
        <v>46</v>
      </c>
      <c r="D3520" t="s">
        <v>21</v>
      </c>
      <c r="E3520" t="s">
        <v>415</v>
      </c>
      <c r="F3520" s="1">
        <v>11.88</v>
      </c>
      <c r="G3520">
        <v>2</v>
      </c>
      <c r="H3520" s="1">
        <v>5.3460000000000001</v>
      </c>
      <c r="I3520" s="4">
        <f>SalesData[[#This Row],[Profit]]/SalesData[[#This Row],[Sales]]</f>
        <v>0.44999999999999996</v>
      </c>
      <c r="J3520">
        <f>YEAR(SalesData[[#This Row],[Order Date]])</f>
        <v>2014</v>
      </c>
      <c r="K3520" t="str">
        <f>TEXT(SalesData[[#This Row],[Order Date]],"mmm")</f>
        <v>May</v>
      </c>
      <c r="L3520">
        <f>MONTH(SalesData[[#This Row],[Order Date]])</f>
        <v>5</v>
      </c>
      <c r="M3520">
        <f>SalesData[[#This Row],[Sales]]/SalesData[[#This Row],[Quantity]]</f>
        <v>5.94</v>
      </c>
      <c r="N3520" t="str">
        <f>IF(SalesData[[#This Row],[Profit]]&gt;0,"Profit","Loss")</f>
        <v>Profit</v>
      </c>
    </row>
    <row r="3521" spans="1:14" x14ac:dyDescent="0.3">
      <c r="A3521" t="s">
        <v>414</v>
      </c>
      <c r="B3521" s="3">
        <v>41764</v>
      </c>
      <c r="C3521" t="s">
        <v>46</v>
      </c>
      <c r="D3521" t="s">
        <v>21</v>
      </c>
      <c r="E3521" t="s">
        <v>94</v>
      </c>
      <c r="F3521" s="1">
        <v>35.44</v>
      </c>
      <c r="G3521">
        <v>1</v>
      </c>
      <c r="H3521" s="1">
        <v>16.6568</v>
      </c>
      <c r="I3521" s="4">
        <f>SalesData[[#This Row],[Profit]]/SalesData[[#This Row],[Sales]]</f>
        <v>0.47000000000000003</v>
      </c>
      <c r="J3521">
        <f>YEAR(SalesData[[#This Row],[Order Date]])</f>
        <v>2014</v>
      </c>
      <c r="K3521" t="str">
        <f>TEXT(SalesData[[#This Row],[Order Date]],"mmm")</f>
        <v>May</v>
      </c>
      <c r="L3521">
        <f>MONTH(SalesData[[#This Row],[Order Date]])</f>
        <v>5</v>
      </c>
      <c r="M3521">
        <f>SalesData[[#This Row],[Sales]]/SalesData[[#This Row],[Quantity]]</f>
        <v>35.44</v>
      </c>
      <c r="N3521" t="str">
        <f>IF(SalesData[[#This Row],[Profit]]&gt;0,"Profit","Loss")</f>
        <v>Profit</v>
      </c>
    </row>
    <row r="3522" spans="1:14" x14ac:dyDescent="0.3">
      <c r="A3522" t="s">
        <v>416</v>
      </c>
      <c r="B3522" s="3">
        <v>41766</v>
      </c>
      <c r="C3522" t="s">
        <v>46</v>
      </c>
      <c r="D3522" t="s">
        <v>10</v>
      </c>
      <c r="E3522" t="s">
        <v>417</v>
      </c>
      <c r="F3522" s="1">
        <v>479.97</v>
      </c>
      <c r="G3522">
        <v>3</v>
      </c>
      <c r="H3522" s="1">
        <v>163.18979999999999</v>
      </c>
      <c r="I3522" s="4">
        <f>SalesData[[#This Row],[Profit]]/SalesData[[#This Row],[Sales]]</f>
        <v>0.33999999999999997</v>
      </c>
      <c r="J3522">
        <f>YEAR(SalesData[[#This Row],[Order Date]])</f>
        <v>2014</v>
      </c>
      <c r="K3522" t="str">
        <f>TEXT(SalesData[[#This Row],[Order Date]],"mmm")</f>
        <v>May</v>
      </c>
      <c r="L3522">
        <f>MONTH(SalesData[[#This Row],[Order Date]])</f>
        <v>5</v>
      </c>
      <c r="M3522">
        <f>SalesData[[#This Row],[Sales]]/SalesData[[#This Row],[Quantity]]</f>
        <v>159.99</v>
      </c>
      <c r="N3522" t="str">
        <f>IF(SalesData[[#This Row],[Profit]]&gt;0,"Profit","Loss")</f>
        <v>Profit</v>
      </c>
    </row>
    <row r="3523" spans="1:14" x14ac:dyDescent="0.3">
      <c r="A3523" t="s">
        <v>416</v>
      </c>
      <c r="B3523" s="3">
        <v>41766</v>
      </c>
      <c r="C3523" t="s">
        <v>46</v>
      </c>
      <c r="D3523" t="s">
        <v>21</v>
      </c>
      <c r="E3523" t="s">
        <v>418</v>
      </c>
      <c r="F3523" s="1">
        <v>14.62</v>
      </c>
      <c r="G3523">
        <v>2</v>
      </c>
      <c r="H3523" s="1">
        <v>6.8714000000000004</v>
      </c>
      <c r="I3523" s="4">
        <f>SalesData[[#This Row],[Profit]]/SalesData[[#This Row],[Sales]]</f>
        <v>0.47000000000000003</v>
      </c>
      <c r="J3523">
        <f>YEAR(SalesData[[#This Row],[Order Date]])</f>
        <v>2014</v>
      </c>
      <c r="K3523" t="str">
        <f>TEXT(SalesData[[#This Row],[Order Date]],"mmm")</f>
        <v>May</v>
      </c>
      <c r="L3523">
        <f>MONTH(SalesData[[#This Row],[Order Date]])</f>
        <v>5</v>
      </c>
      <c r="M3523">
        <f>SalesData[[#This Row],[Sales]]/SalesData[[#This Row],[Quantity]]</f>
        <v>7.31</v>
      </c>
      <c r="N3523" t="str">
        <f>IF(SalesData[[#This Row],[Profit]]&gt;0,"Profit","Loss")</f>
        <v>Profit</v>
      </c>
    </row>
    <row r="3524" spans="1:14" x14ac:dyDescent="0.3">
      <c r="A3524" t="s">
        <v>416</v>
      </c>
      <c r="B3524" s="3">
        <v>41766</v>
      </c>
      <c r="C3524" t="s">
        <v>46</v>
      </c>
      <c r="D3524" t="s">
        <v>21</v>
      </c>
      <c r="E3524" t="s">
        <v>419</v>
      </c>
      <c r="F3524" s="1">
        <v>19.440000000000001</v>
      </c>
      <c r="G3524">
        <v>3</v>
      </c>
      <c r="H3524" s="1">
        <v>9.3312000000000008</v>
      </c>
      <c r="I3524" s="4">
        <f>SalesData[[#This Row],[Profit]]/SalesData[[#This Row],[Sales]]</f>
        <v>0.48000000000000004</v>
      </c>
      <c r="J3524">
        <f>YEAR(SalesData[[#This Row],[Order Date]])</f>
        <v>2014</v>
      </c>
      <c r="K3524" t="str">
        <f>TEXT(SalesData[[#This Row],[Order Date]],"mmm")</f>
        <v>May</v>
      </c>
      <c r="L3524">
        <f>MONTH(SalesData[[#This Row],[Order Date]])</f>
        <v>5</v>
      </c>
      <c r="M3524">
        <f>SalesData[[#This Row],[Sales]]/SalesData[[#This Row],[Quantity]]</f>
        <v>6.48</v>
      </c>
      <c r="N3524" t="str">
        <f>IF(SalesData[[#This Row],[Profit]]&gt;0,"Profit","Loss")</f>
        <v>Profit</v>
      </c>
    </row>
    <row r="3525" spans="1:14" x14ac:dyDescent="0.3">
      <c r="A3525" t="s">
        <v>420</v>
      </c>
      <c r="B3525" s="3">
        <v>41766</v>
      </c>
      <c r="C3525" t="s">
        <v>9</v>
      </c>
      <c r="D3525" t="s">
        <v>21</v>
      </c>
      <c r="E3525" t="s">
        <v>421</v>
      </c>
      <c r="F3525" s="1">
        <v>220.77600000000001</v>
      </c>
      <c r="G3525">
        <v>3</v>
      </c>
      <c r="H3525" s="1">
        <v>-44.155200000000001</v>
      </c>
      <c r="I3525" s="4">
        <f>SalesData[[#This Row],[Profit]]/SalesData[[#This Row],[Sales]]</f>
        <v>-0.19999999999999998</v>
      </c>
      <c r="J3525">
        <f>YEAR(SalesData[[#This Row],[Order Date]])</f>
        <v>2014</v>
      </c>
      <c r="K3525" t="str">
        <f>TEXT(SalesData[[#This Row],[Order Date]],"mmm")</f>
        <v>May</v>
      </c>
      <c r="L3525">
        <f>MONTH(SalesData[[#This Row],[Order Date]])</f>
        <v>5</v>
      </c>
      <c r="M3525">
        <f>SalesData[[#This Row],[Sales]]/SalesData[[#This Row],[Quantity]]</f>
        <v>73.591999999999999</v>
      </c>
      <c r="N3525" t="str">
        <f>IF(SalesData[[#This Row],[Profit]]&gt;0,"Profit","Loss")</f>
        <v>Loss</v>
      </c>
    </row>
    <row r="3526" spans="1:14" x14ac:dyDescent="0.3">
      <c r="A3526" t="s">
        <v>420</v>
      </c>
      <c r="B3526" s="3">
        <v>41766</v>
      </c>
      <c r="C3526" t="s">
        <v>9</v>
      </c>
      <c r="D3526" t="s">
        <v>21</v>
      </c>
      <c r="E3526" t="s">
        <v>422</v>
      </c>
      <c r="F3526" s="1">
        <v>281.42399999999998</v>
      </c>
      <c r="G3526">
        <v>11</v>
      </c>
      <c r="H3526" s="1">
        <v>-35.177999999999997</v>
      </c>
      <c r="I3526" s="4">
        <f>SalesData[[#This Row],[Profit]]/SalesData[[#This Row],[Sales]]</f>
        <v>-0.125</v>
      </c>
      <c r="J3526">
        <f>YEAR(SalesData[[#This Row],[Order Date]])</f>
        <v>2014</v>
      </c>
      <c r="K3526" t="str">
        <f>TEXT(SalesData[[#This Row],[Order Date]],"mmm")</f>
        <v>May</v>
      </c>
      <c r="L3526">
        <f>MONTH(SalesData[[#This Row],[Order Date]])</f>
        <v>5</v>
      </c>
      <c r="M3526">
        <f>SalesData[[#This Row],[Sales]]/SalesData[[#This Row],[Quantity]]</f>
        <v>25.584</v>
      </c>
      <c r="N3526" t="str">
        <f>IF(SalesData[[#This Row],[Profit]]&gt;0,"Profit","Loss")</f>
        <v>Loss</v>
      </c>
    </row>
    <row r="3527" spans="1:14" x14ac:dyDescent="0.3">
      <c r="A3527" t="s">
        <v>423</v>
      </c>
      <c r="B3527" s="3">
        <v>41766</v>
      </c>
      <c r="C3527" t="s">
        <v>13</v>
      </c>
      <c r="D3527" t="s">
        <v>21</v>
      </c>
      <c r="E3527" t="s">
        <v>424</v>
      </c>
      <c r="F3527" s="1">
        <v>180.96</v>
      </c>
      <c r="G3527">
        <v>6</v>
      </c>
      <c r="H3527" s="1">
        <v>67.86</v>
      </c>
      <c r="I3527" s="4">
        <f>SalesData[[#This Row],[Profit]]/SalesData[[#This Row],[Sales]]</f>
        <v>0.375</v>
      </c>
      <c r="J3527">
        <f>YEAR(SalesData[[#This Row],[Order Date]])</f>
        <v>2014</v>
      </c>
      <c r="K3527" t="str">
        <f>TEXT(SalesData[[#This Row],[Order Date]],"mmm")</f>
        <v>May</v>
      </c>
      <c r="L3527">
        <f>MONTH(SalesData[[#This Row],[Order Date]])</f>
        <v>5</v>
      </c>
      <c r="M3527">
        <f>SalesData[[#This Row],[Sales]]/SalesData[[#This Row],[Quantity]]</f>
        <v>30.16</v>
      </c>
      <c r="N3527" t="str">
        <f>IF(SalesData[[#This Row],[Profit]]&gt;0,"Profit","Loss")</f>
        <v>Profit</v>
      </c>
    </row>
    <row r="3528" spans="1:14" x14ac:dyDescent="0.3">
      <c r="A3528" t="s">
        <v>425</v>
      </c>
      <c r="B3528" s="3">
        <v>41766</v>
      </c>
      <c r="C3528" t="s">
        <v>46</v>
      </c>
      <c r="D3528" t="s">
        <v>21</v>
      </c>
      <c r="E3528" t="s">
        <v>426</v>
      </c>
      <c r="F3528" s="1">
        <v>4.3680000000000003</v>
      </c>
      <c r="G3528">
        <v>3</v>
      </c>
      <c r="H3528" s="1">
        <v>0.38219999999999998</v>
      </c>
      <c r="I3528" s="4">
        <f>SalesData[[#This Row],[Profit]]/SalesData[[#This Row],[Sales]]</f>
        <v>8.7499999999999994E-2</v>
      </c>
      <c r="J3528">
        <f>YEAR(SalesData[[#This Row],[Order Date]])</f>
        <v>2014</v>
      </c>
      <c r="K3528" t="str">
        <f>TEXT(SalesData[[#This Row],[Order Date]],"mmm")</f>
        <v>May</v>
      </c>
      <c r="L3528">
        <f>MONTH(SalesData[[#This Row],[Order Date]])</f>
        <v>5</v>
      </c>
      <c r="M3528">
        <f>SalesData[[#This Row],[Sales]]/SalesData[[#This Row],[Quantity]]</f>
        <v>1.4560000000000002</v>
      </c>
      <c r="N3528" t="str">
        <f>IF(SalesData[[#This Row],[Profit]]&gt;0,"Profit","Loss")</f>
        <v>Profit</v>
      </c>
    </row>
    <row r="3529" spans="1:14" x14ac:dyDescent="0.3">
      <c r="A3529" t="s">
        <v>427</v>
      </c>
      <c r="B3529" s="3">
        <v>41766</v>
      </c>
      <c r="C3529" t="s">
        <v>46</v>
      </c>
      <c r="D3529" t="s">
        <v>14</v>
      </c>
      <c r="E3529" t="s">
        <v>428</v>
      </c>
      <c r="F3529" s="1">
        <v>19.52</v>
      </c>
      <c r="G3529">
        <v>2</v>
      </c>
      <c r="H3529" s="1">
        <v>5.3680000000000003</v>
      </c>
      <c r="I3529" s="4">
        <f>SalesData[[#This Row],[Profit]]/SalesData[[#This Row],[Sales]]</f>
        <v>0.27500000000000002</v>
      </c>
      <c r="J3529">
        <f>YEAR(SalesData[[#This Row],[Order Date]])</f>
        <v>2014</v>
      </c>
      <c r="K3529" t="str">
        <f>TEXT(SalesData[[#This Row],[Order Date]],"mmm")</f>
        <v>May</v>
      </c>
      <c r="L3529">
        <f>MONTH(SalesData[[#This Row],[Order Date]])</f>
        <v>5</v>
      </c>
      <c r="M3529">
        <f>SalesData[[#This Row],[Sales]]/SalesData[[#This Row],[Quantity]]</f>
        <v>9.76</v>
      </c>
      <c r="N3529" t="str">
        <f>IF(SalesData[[#This Row],[Profit]]&gt;0,"Profit","Loss")</f>
        <v>Profit</v>
      </c>
    </row>
    <row r="3530" spans="1:14" x14ac:dyDescent="0.3">
      <c r="A3530" t="s">
        <v>427</v>
      </c>
      <c r="B3530" s="3">
        <v>41766</v>
      </c>
      <c r="C3530" t="s">
        <v>46</v>
      </c>
      <c r="D3530" t="s">
        <v>21</v>
      </c>
      <c r="E3530" t="s">
        <v>429</v>
      </c>
      <c r="F3530" s="1">
        <v>9.81</v>
      </c>
      <c r="G3530">
        <v>5</v>
      </c>
      <c r="H3530" s="1">
        <v>-6.867</v>
      </c>
      <c r="I3530" s="4">
        <f>SalesData[[#This Row],[Profit]]/SalesData[[#This Row],[Sales]]</f>
        <v>-0.7</v>
      </c>
      <c r="J3530">
        <f>YEAR(SalesData[[#This Row],[Order Date]])</f>
        <v>2014</v>
      </c>
      <c r="K3530" t="str">
        <f>TEXT(SalesData[[#This Row],[Order Date]],"mmm")</f>
        <v>May</v>
      </c>
      <c r="L3530">
        <f>MONTH(SalesData[[#This Row],[Order Date]])</f>
        <v>5</v>
      </c>
      <c r="M3530">
        <f>SalesData[[#This Row],[Sales]]/SalesData[[#This Row],[Quantity]]</f>
        <v>1.9620000000000002</v>
      </c>
      <c r="N3530" t="str">
        <f>IF(SalesData[[#This Row],[Profit]]&gt;0,"Profit","Loss")</f>
        <v>Loss</v>
      </c>
    </row>
    <row r="3531" spans="1:14" x14ac:dyDescent="0.3">
      <c r="A3531" t="s">
        <v>427</v>
      </c>
      <c r="B3531" s="3">
        <v>41766</v>
      </c>
      <c r="C3531" t="s">
        <v>46</v>
      </c>
      <c r="D3531" t="s">
        <v>14</v>
      </c>
      <c r="E3531" t="s">
        <v>140</v>
      </c>
      <c r="F3531" s="1">
        <v>213.21600000000001</v>
      </c>
      <c r="G3531">
        <v>3</v>
      </c>
      <c r="H3531" s="1">
        <v>15.991199999999999</v>
      </c>
      <c r="I3531" s="4">
        <f>SalesData[[#This Row],[Profit]]/SalesData[[#This Row],[Sales]]</f>
        <v>7.4999999999999997E-2</v>
      </c>
      <c r="J3531">
        <f>YEAR(SalesData[[#This Row],[Order Date]])</f>
        <v>2014</v>
      </c>
      <c r="K3531" t="str">
        <f>TEXT(SalesData[[#This Row],[Order Date]],"mmm")</f>
        <v>May</v>
      </c>
      <c r="L3531">
        <f>MONTH(SalesData[[#This Row],[Order Date]])</f>
        <v>5</v>
      </c>
      <c r="M3531">
        <f>SalesData[[#This Row],[Sales]]/SalesData[[#This Row],[Quantity]]</f>
        <v>71.072000000000003</v>
      </c>
      <c r="N3531" t="str">
        <f>IF(SalesData[[#This Row],[Profit]]&gt;0,"Profit","Loss")</f>
        <v>Profit</v>
      </c>
    </row>
    <row r="3532" spans="1:14" x14ac:dyDescent="0.3">
      <c r="A3532" t="s">
        <v>430</v>
      </c>
      <c r="B3532" s="3">
        <v>41767</v>
      </c>
      <c r="C3532" t="s">
        <v>13</v>
      </c>
      <c r="D3532" t="s">
        <v>21</v>
      </c>
      <c r="E3532" t="s">
        <v>431</v>
      </c>
      <c r="F3532" s="1">
        <v>20.94</v>
      </c>
      <c r="G3532">
        <v>3</v>
      </c>
      <c r="H3532" s="1">
        <v>9.8417999999999992</v>
      </c>
      <c r="I3532" s="4">
        <f>SalesData[[#This Row],[Profit]]/SalesData[[#This Row],[Sales]]</f>
        <v>0.46999999999999992</v>
      </c>
      <c r="J3532">
        <f>YEAR(SalesData[[#This Row],[Order Date]])</f>
        <v>2014</v>
      </c>
      <c r="K3532" t="str">
        <f>TEXT(SalesData[[#This Row],[Order Date]],"mmm")</f>
        <v>May</v>
      </c>
      <c r="L3532">
        <f>MONTH(SalesData[[#This Row],[Order Date]])</f>
        <v>5</v>
      </c>
      <c r="M3532">
        <f>SalesData[[#This Row],[Sales]]/SalesData[[#This Row],[Quantity]]</f>
        <v>6.98</v>
      </c>
      <c r="N3532" t="str">
        <f>IF(SalesData[[#This Row],[Profit]]&gt;0,"Profit","Loss")</f>
        <v>Profit</v>
      </c>
    </row>
    <row r="3533" spans="1:14" x14ac:dyDescent="0.3">
      <c r="A3533" t="s">
        <v>430</v>
      </c>
      <c r="B3533" s="3">
        <v>41767</v>
      </c>
      <c r="C3533" t="s">
        <v>13</v>
      </c>
      <c r="D3533" t="s">
        <v>21</v>
      </c>
      <c r="E3533" t="s">
        <v>432</v>
      </c>
      <c r="F3533" s="1">
        <v>110.96</v>
      </c>
      <c r="G3533">
        <v>2</v>
      </c>
      <c r="H3533" s="1">
        <v>53.260800000000003</v>
      </c>
      <c r="I3533" s="4">
        <f>SalesData[[#This Row],[Profit]]/SalesData[[#This Row],[Sales]]</f>
        <v>0.48000000000000004</v>
      </c>
      <c r="J3533">
        <f>YEAR(SalesData[[#This Row],[Order Date]])</f>
        <v>2014</v>
      </c>
      <c r="K3533" t="str">
        <f>TEXT(SalesData[[#This Row],[Order Date]],"mmm")</f>
        <v>May</v>
      </c>
      <c r="L3533">
        <f>MONTH(SalesData[[#This Row],[Order Date]])</f>
        <v>5</v>
      </c>
      <c r="M3533">
        <f>SalesData[[#This Row],[Sales]]/SalesData[[#This Row],[Quantity]]</f>
        <v>55.48</v>
      </c>
      <c r="N3533" t="str">
        <f>IF(SalesData[[#This Row],[Profit]]&gt;0,"Profit","Loss")</f>
        <v>Profit</v>
      </c>
    </row>
    <row r="3534" spans="1:14" x14ac:dyDescent="0.3">
      <c r="A3534" t="s">
        <v>430</v>
      </c>
      <c r="B3534" s="3">
        <v>41767</v>
      </c>
      <c r="C3534" t="s">
        <v>13</v>
      </c>
      <c r="D3534" t="s">
        <v>14</v>
      </c>
      <c r="E3534" t="s">
        <v>433</v>
      </c>
      <c r="F3534" s="1">
        <v>340.14400000000001</v>
      </c>
      <c r="G3534">
        <v>7</v>
      </c>
      <c r="H3534" s="1">
        <v>21.259</v>
      </c>
      <c r="I3534" s="4">
        <f>SalesData[[#This Row],[Profit]]/SalesData[[#This Row],[Sales]]</f>
        <v>6.25E-2</v>
      </c>
      <c r="J3534">
        <f>YEAR(SalesData[[#This Row],[Order Date]])</f>
        <v>2014</v>
      </c>
      <c r="K3534" t="str">
        <f>TEXT(SalesData[[#This Row],[Order Date]],"mmm")</f>
        <v>May</v>
      </c>
      <c r="L3534">
        <f>MONTH(SalesData[[#This Row],[Order Date]])</f>
        <v>5</v>
      </c>
      <c r="M3534">
        <f>SalesData[[#This Row],[Sales]]/SalesData[[#This Row],[Quantity]]</f>
        <v>48.591999999999999</v>
      </c>
      <c r="N3534" t="str">
        <f>IF(SalesData[[#This Row],[Profit]]&gt;0,"Profit","Loss")</f>
        <v>Profit</v>
      </c>
    </row>
    <row r="3535" spans="1:14" x14ac:dyDescent="0.3">
      <c r="A3535" t="s">
        <v>434</v>
      </c>
      <c r="B3535" s="3">
        <v>41767</v>
      </c>
      <c r="C3535" t="s">
        <v>13</v>
      </c>
      <c r="D3535" t="s">
        <v>10</v>
      </c>
      <c r="E3535" t="s">
        <v>435</v>
      </c>
      <c r="F3535" s="1">
        <v>16.36</v>
      </c>
      <c r="G3535">
        <v>1</v>
      </c>
      <c r="H3535" s="1">
        <v>1.6359999999999999</v>
      </c>
      <c r="I3535" s="4">
        <f>SalesData[[#This Row],[Profit]]/SalesData[[#This Row],[Sales]]</f>
        <v>9.9999999999999992E-2</v>
      </c>
      <c r="J3535">
        <f>YEAR(SalesData[[#This Row],[Order Date]])</f>
        <v>2014</v>
      </c>
      <c r="K3535" t="str">
        <f>TEXT(SalesData[[#This Row],[Order Date]],"mmm")</f>
        <v>May</v>
      </c>
      <c r="L3535">
        <f>MONTH(SalesData[[#This Row],[Order Date]])</f>
        <v>5</v>
      </c>
      <c r="M3535">
        <f>SalesData[[#This Row],[Sales]]/SalesData[[#This Row],[Quantity]]</f>
        <v>16.36</v>
      </c>
      <c r="N3535" t="str">
        <f>IF(SalesData[[#This Row],[Profit]]&gt;0,"Profit","Loss")</f>
        <v>Profit</v>
      </c>
    </row>
    <row r="3536" spans="1:14" x14ac:dyDescent="0.3">
      <c r="A3536" t="s">
        <v>434</v>
      </c>
      <c r="B3536" s="3">
        <v>41767</v>
      </c>
      <c r="C3536" t="s">
        <v>13</v>
      </c>
      <c r="D3536" t="s">
        <v>21</v>
      </c>
      <c r="E3536" t="s">
        <v>436</v>
      </c>
      <c r="F3536" s="1">
        <v>15.78</v>
      </c>
      <c r="G3536">
        <v>2</v>
      </c>
      <c r="H3536" s="1">
        <v>0.63119999999999998</v>
      </c>
      <c r="I3536" s="4">
        <f>SalesData[[#This Row],[Profit]]/SalesData[[#This Row],[Sales]]</f>
        <v>0.04</v>
      </c>
      <c r="J3536">
        <f>YEAR(SalesData[[#This Row],[Order Date]])</f>
        <v>2014</v>
      </c>
      <c r="K3536" t="str">
        <f>TEXT(SalesData[[#This Row],[Order Date]],"mmm")</f>
        <v>May</v>
      </c>
      <c r="L3536">
        <f>MONTH(SalesData[[#This Row],[Order Date]])</f>
        <v>5</v>
      </c>
      <c r="M3536">
        <f>SalesData[[#This Row],[Sales]]/SalesData[[#This Row],[Quantity]]</f>
        <v>7.89</v>
      </c>
      <c r="N3536" t="str">
        <f>IF(SalesData[[#This Row],[Profit]]&gt;0,"Profit","Loss")</f>
        <v>Profit</v>
      </c>
    </row>
    <row r="3537" spans="1:14" x14ac:dyDescent="0.3">
      <c r="A3537" t="s">
        <v>434</v>
      </c>
      <c r="B3537" s="3">
        <v>41767</v>
      </c>
      <c r="C3537" t="s">
        <v>13</v>
      </c>
      <c r="D3537" t="s">
        <v>21</v>
      </c>
      <c r="E3537" t="s">
        <v>437</v>
      </c>
      <c r="F3537" s="1">
        <v>45.98</v>
      </c>
      <c r="G3537">
        <v>2</v>
      </c>
      <c r="H3537" s="1">
        <v>12.8744</v>
      </c>
      <c r="I3537" s="4">
        <f>SalesData[[#This Row],[Profit]]/SalesData[[#This Row],[Sales]]</f>
        <v>0.28000000000000003</v>
      </c>
      <c r="J3537">
        <f>YEAR(SalesData[[#This Row],[Order Date]])</f>
        <v>2014</v>
      </c>
      <c r="K3537" t="str">
        <f>TEXT(SalesData[[#This Row],[Order Date]],"mmm")</f>
        <v>May</v>
      </c>
      <c r="L3537">
        <f>MONTH(SalesData[[#This Row],[Order Date]])</f>
        <v>5</v>
      </c>
      <c r="M3537">
        <f>SalesData[[#This Row],[Sales]]/SalesData[[#This Row],[Quantity]]</f>
        <v>22.99</v>
      </c>
      <c r="N3537" t="str">
        <f>IF(SalesData[[#This Row],[Profit]]&gt;0,"Profit","Loss")</f>
        <v>Profit</v>
      </c>
    </row>
    <row r="3538" spans="1:14" x14ac:dyDescent="0.3">
      <c r="A3538" t="s">
        <v>438</v>
      </c>
      <c r="B3538" s="3">
        <v>41767</v>
      </c>
      <c r="C3538" t="s">
        <v>17</v>
      </c>
      <c r="D3538" t="s">
        <v>21</v>
      </c>
      <c r="E3538" t="s">
        <v>439</v>
      </c>
      <c r="F3538" s="1">
        <v>79.47</v>
      </c>
      <c r="G3538">
        <v>3</v>
      </c>
      <c r="H3538" s="1">
        <v>22.2516</v>
      </c>
      <c r="I3538" s="4">
        <f>SalesData[[#This Row],[Profit]]/SalesData[[#This Row],[Sales]]</f>
        <v>0.28000000000000003</v>
      </c>
      <c r="J3538">
        <f>YEAR(SalesData[[#This Row],[Order Date]])</f>
        <v>2014</v>
      </c>
      <c r="K3538" t="str">
        <f>TEXT(SalesData[[#This Row],[Order Date]],"mmm")</f>
        <v>May</v>
      </c>
      <c r="L3538">
        <f>MONTH(SalesData[[#This Row],[Order Date]])</f>
        <v>5</v>
      </c>
      <c r="M3538">
        <f>SalesData[[#This Row],[Sales]]/SalesData[[#This Row],[Quantity]]</f>
        <v>26.49</v>
      </c>
      <c r="N3538" t="str">
        <f>IF(SalesData[[#This Row],[Profit]]&gt;0,"Profit","Loss")</f>
        <v>Profit</v>
      </c>
    </row>
    <row r="3539" spans="1:14" x14ac:dyDescent="0.3">
      <c r="A3539" t="s">
        <v>438</v>
      </c>
      <c r="B3539" s="3">
        <v>41767</v>
      </c>
      <c r="C3539" t="s">
        <v>17</v>
      </c>
      <c r="D3539" t="s">
        <v>21</v>
      </c>
      <c r="E3539" t="s">
        <v>440</v>
      </c>
      <c r="F3539" s="1">
        <v>4.5599999999999996</v>
      </c>
      <c r="G3539">
        <v>2</v>
      </c>
      <c r="H3539" s="1">
        <v>2.0064000000000002</v>
      </c>
      <c r="I3539" s="4">
        <f>SalesData[[#This Row],[Profit]]/SalesData[[#This Row],[Sales]]</f>
        <v>0.44000000000000006</v>
      </c>
      <c r="J3539">
        <f>YEAR(SalesData[[#This Row],[Order Date]])</f>
        <v>2014</v>
      </c>
      <c r="K3539" t="str">
        <f>TEXT(SalesData[[#This Row],[Order Date]],"mmm")</f>
        <v>May</v>
      </c>
      <c r="L3539">
        <f>MONTH(SalesData[[#This Row],[Order Date]])</f>
        <v>5</v>
      </c>
      <c r="M3539">
        <f>SalesData[[#This Row],[Sales]]/SalesData[[#This Row],[Quantity]]</f>
        <v>2.2799999999999998</v>
      </c>
      <c r="N3539" t="str">
        <f>IF(SalesData[[#This Row],[Profit]]&gt;0,"Profit","Loss")</f>
        <v>Profit</v>
      </c>
    </row>
    <row r="3540" spans="1:14" x14ac:dyDescent="0.3">
      <c r="A3540" t="s">
        <v>438</v>
      </c>
      <c r="B3540" s="3">
        <v>41767</v>
      </c>
      <c r="C3540" t="s">
        <v>17</v>
      </c>
      <c r="D3540" t="s">
        <v>14</v>
      </c>
      <c r="E3540" t="s">
        <v>441</v>
      </c>
      <c r="F3540" s="1">
        <v>1133.3499999999999</v>
      </c>
      <c r="G3540">
        <v>5</v>
      </c>
      <c r="H3540" s="1">
        <v>294.67099999999999</v>
      </c>
      <c r="I3540" s="4">
        <f>SalesData[[#This Row],[Profit]]/SalesData[[#This Row],[Sales]]</f>
        <v>0.26</v>
      </c>
      <c r="J3540">
        <f>YEAR(SalesData[[#This Row],[Order Date]])</f>
        <v>2014</v>
      </c>
      <c r="K3540" t="str">
        <f>TEXT(SalesData[[#This Row],[Order Date]],"mmm")</f>
        <v>May</v>
      </c>
      <c r="L3540">
        <f>MONTH(SalesData[[#This Row],[Order Date]])</f>
        <v>5</v>
      </c>
      <c r="M3540">
        <f>SalesData[[#This Row],[Sales]]/SalesData[[#This Row],[Quantity]]</f>
        <v>226.67</v>
      </c>
      <c r="N3540" t="str">
        <f>IF(SalesData[[#This Row],[Profit]]&gt;0,"Profit","Loss")</f>
        <v>Profit</v>
      </c>
    </row>
    <row r="3541" spans="1:14" x14ac:dyDescent="0.3">
      <c r="A3541" t="s">
        <v>442</v>
      </c>
      <c r="B3541" s="3">
        <v>41767</v>
      </c>
      <c r="C3541" t="s">
        <v>17</v>
      </c>
      <c r="D3541" t="s">
        <v>10</v>
      </c>
      <c r="E3541" t="s">
        <v>443</v>
      </c>
      <c r="F3541" s="1">
        <v>135.99</v>
      </c>
      <c r="G3541">
        <v>1</v>
      </c>
      <c r="H3541" s="1">
        <v>36.717300000000002</v>
      </c>
      <c r="I3541" s="4">
        <f>SalesData[[#This Row],[Profit]]/SalesData[[#This Row],[Sales]]</f>
        <v>0.27</v>
      </c>
      <c r="J3541">
        <f>YEAR(SalesData[[#This Row],[Order Date]])</f>
        <v>2014</v>
      </c>
      <c r="K3541" t="str">
        <f>TEXT(SalesData[[#This Row],[Order Date]],"mmm")</f>
        <v>May</v>
      </c>
      <c r="L3541">
        <f>MONTH(SalesData[[#This Row],[Order Date]])</f>
        <v>5</v>
      </c>
      <c r="M3541">
        <f>SalesData[[#This Row],[Sales]]/SalesData[[#This Row],[Quantity]]</f>
        <v>135.99</v>
      </c>
      <c r="N3541" t="str">
        <f>IF(SalesData[[#This Row],[Profit]]&gt;0,"Profit","Loss")</f>
        <v>Profit</v>
      </c>
    </row>
    <row r="3542" spans="1:14" x14ac:dyDescent="0.3">
      <c r="A3542" t="s">
        <v>442</v>
      </c>
      <c r="B3542" s="3">
        <v>41767</v>
      </c>
      <c r="C3542" t="s">
        <v>17</v>
      </c>
      <c r="D3542" t="s">
        <v>21</v>
      </c>
      <c r="E3542" t="s">
        <v>440</v>
      </c>
      <c r="F3542" s="1">
        <v>15.96</v>
      </c>
      <c r="G3542">
        <v>7</v>
      </c>
      <c r="H3542" s="1">
        <v>7.0224000000000002</v>
      </c>
      <c r="I3542" s="4">
        <f>SalesData[[#This Row],[Profit]]/SalesData[[#This Row],[Sales]]</f>
        <v>0.44</v>
      </c>
      <c r="J3542">
        <f>YEAR(SalesData[[#This Row],[Order Date]])</f>
        <v>2014</v>
      </c>
      <c r="K3542" t="str">
        <f>TEXT(SalesData[[#This Row],[Order Date]],"mmm")</f>
        <v>May</v>
      </c>
      <c r="L3542">
        <f>MONTH(SalesData[[#This Row],[Order Date]])</f>
        <v>5</v>
      </c>
      <c r="M3542">
        <f>SalesData[[#This Row],[Sales]]/SalesData[[#This Row],[Quantity]]</f>
        <v>2.2800000000000002</v>
      </c>
      <c r="N3542" t="str">
        <f>IF(SalesData[[#This Row],[Profit]]&gt;0,"Profit","Loss")</f>
        <v>Profit</v>
      </c>
    </row>
    <row r="3543" spans="1:14" x14ac:dyDescent="0.3">
      <c r="A3543" t="s">
        <v>444</v>
      </c>
      <c r="B3543" s="3">
        <v>41767</v>
      </c>
      <c r="C3543" t="s">
        <v>9</v>
      </c>
      <c r="D3543" t="s">
        <v>14</v>
      </c>
      <c r="E3543" t="s">
        <v>445</v>
      </c>
      <c r="F3543" s="1">
        <v>489.23</v>
      </c>
      <c r="G3543">
        <v>2</v>
      </c>
      <c r="H3543" s="1">
        <v>41.933999999999997</v>
      </c>
      <c r="I3543" s="4">
        <f>SalesData[[#This Row],[Profit]]/SalesData[[#This Row],[Sales]]</f>
        <v>8.5714285714285701E-2</v>
      </c>
      <c r="J3543">
        <f>YEAR(SalesData[[#This Row],[Order Date]])</f>
        <v>2014</v>
      </c>
      <c r="K3543" t="str">
        <f>TEXT(SalesData[[#This Row],[Order Date]],"mmm")</f>
        <v>May</v>
      </c>
      <c r="L3543">
        <f>MONTH(SalesData[[#This Row],[Order Date]])</f>
        <v>5</v>
      </c>
      <c r="M3543">
        <f>SalesData[[#This Row],[Sales]]/SalesData[[#This Row],[Quantity]]</f>
        <v>244.61500000000001</v>
      </c>
      <c r="N3543" t="str">
        <f>IF(SalesData[[#This Row],[Profit]]&gt;0,"Profit","Loss")</f>
        <v>Profit</v>
      </c>
    </row>
    <row r="3544" spans="1:14" x14ac:dyDescent="0.3">
      <c r="A3544" t="s">
        <v>446</v>
      </c>
      <c r="B3544" s="3">
        <v>41768</v>
      </c>
      <c r="C3544" t="s">
        <v>17</v>
      </c>
      <c r="D3544" t="s">
        <v>21</v>
      </c>
      <c r="E3544" t="s">
        <v>447</v>
      </c>
      <c r="F3544" s="1">
        <v>264.32</v>
      </c>
      <c r="G3544">
        <v>2</v>
      </c>
      <c r="H3544" s="1">
        <v>19.824000000000002</v>
      </c>
      <c r="I3544" s="4">
        <f>SalesData[[#This Row],[Profit]]/SalesData[[#This Row],[Sales]]</f>
        <v>7.5000000000000011E-2</v>
      </c>
      <c r="J3544">
        <f>YEAR(SalesData[[#This Row],[Order Date]])</f>
        <v>2014</v>
      </c>
      <c r="K3544" t="str">
        <f>TEXT(SalesData[[#This Row],[Order Date]],"mmm")</f>
        <v>May</v>
      </c>
      <c r="L3544">
        <f>MONTH(SalesData[[#This Row],[Order Date]])</f>
        <v>5</v>
      </c>
      <c r="M3544">
        <f>SalesData[[#This Row],[Sales]]/SalesData[[#This Row],[Quantity]]</f>
        <v>132.16</v>
      </c>
      <c r="N3544" t="str">
        <f>IF(SalesData[[#This Row],[Profit]]&gt;0,"Profit","Loss")</f>
        <v>Profit</v>
      </c>
    </row>
    <row r="3545" spans="1:14" x14ac:dyDescent="0.3">
      <c r="A3545" t="s">
        <v>448</v>
      </c>
      <c r="B3545" s="3">
        <v>41768</v>
      </c>
      <c r="C3545" t="s">
        <v>46</v>
      </c>
      <c r="D3545" t="s">
        <v>14</v>
      </c>
      <c r="E3545" t="s">
        <v>449</v>
      </c>
      <c r="F3545" s="1">
        <v>31.984000000000002</v>
      </c>
      <c r="G3545">
        <v>2</v>
      </c>
      <c r="H3545" s="1">
        <v>1.9990000000000001</v>
      </c>
      <c r="I3545" s="4">
        <f>SalesData[[#This Row],[Profit]]/SalesData[[#This Row],[Sales]]</f>
        <v>6.25E-2</v>
      </c>
      <c r="J3545">
        <f>YEAR(SalesData[[#This Row],[Order Date]])</f>
        <v>2014</v>
      </c>
      <c r="K3545" t="str">
        <f>TEXT(SalesData[[#This Row],[Order Date]],"mmm")</f>
        <v>May</v>
      </c>
      <c r="L3545">
        <f>MONTH(SalesData[[#This Row],[Order Date]])</f>
        <v>5</v>
      </c>
      <c r="M3545">
        <f>SalesData[[#This Row],[Sales]]/SalesData[[#This Row],[Quantity]]</f>
        <v>15.992000000000001</v>
      </c>
      <c r="N3545" t="str">
        <f>IF(SalesData[[#This Row],[Profit]]&gt;0,"Profit","Loss")</f>
        <v>Profit</v>
      </c>
    </row>
    <row r="3546" spans="1:14" x14ac:dyDescent="0.3">
      <c r="A3546" t="s">
        <v>450</v>
      </c>
      <c r="B3546" s="3">
        <v>41769</v>
      </c>
      <c r="C3546" t="s">
        <v>17</v>
      </c>
      <c r="D3546" t="s">
        <v>21</v>
      </c>
      <c r="E3546" t="s">
        <v>451</v>
      </c>
      <c r="F3546" s="1">
        <v>91.92</v>
      </c>
      <c r="G3546">
        <v>5</v>
      </c>
      <c r="H3546" s="1">
        <v>11.49</v>
      </c>
      <c r="I3546" s="4">
        <f>SalesData[[#This Row],[Profit]]/SalesData[[#This Row],[Sales]]</f>
        <v>0.125</v>
      </c>
      <c r="J3546">
        <f>YEAR(SalesData[[#This Row],[Order Date]])</f>
        <v>2014</v>
      </c>
      <c r="K3546" t="str">
        <f>TEXT(SalesData[[#This Row],[Order Date]],"mmm")</f>
        <v>May</v>
      </c>
      <c r="L3546">
        <f>MONTH(SalesData[[#This Row],[Order Date]])</f>
        <v>5</v>
      </c>
      <c r="M3546">
        <f>SalesData[[#This Row],[Sales]]/SalesData[[#This Row],[Quantity]]</f>
        <v>18.384</v>
      </c>
      <c r="N3546" t="str">
        <f>IF(SalesData[[#This Row],[Profit]]&gt;0,"Profit","Loss")</f>
        <v>Profit</v>
      </c>
    </row>
    <row r="3547" spans="1:14" x14ac:dyDescent="0.3">
      <c r="A3547" t="s">
        <v>452</v>
      </c>
      <c r="B3547" s="3">
        <v>41769</v>
      </c>
      <c r="C3547" t="s">
        <v>13</v>
      </c>
      <c r="D3547" t="s">
        <v>10</v>
      </c>
      <c r="E3547" t="s">
        <v>453</v>
      </c>
      <c r="F3547" s="1">
        <v>99.98</v>
      </c>
      <c r="G3547">
        <v>2</v>
      </c>
      <c r="H3547" s="1">
        <v>34.993000000000002</v>
      </c>
      <c r="I3547" s="4">
        <f>SalesData[[#This Row],[Profit]]/SalesData[[#This Row],[Sales]]</f>
        <v>0.35000000000000003</v>
      </c>
      <c r="J3547">
        <f>YEAR(SalesData[[#This Row],[Order Date]])</f>
        <v>2014</v>
      </c>
      <c r="K3547" t="str">
        <f>TEXT(SalesData[[#This Row],[Order Date]],"mmm")</f>
        <v>May</v>
      </c>
      <c r="L3547">
        <f>MONTH(SalesData[[#This Row],[Order Date]])</f>
        <v>5</v>
      </c>
      <c r="M3547">
        <f>SalesData[[#This Row],[Sales]]/SalesData[[#This Row],[Quantity]]</f>
        <v>49.99</v>
      </c>
      <c r="N3547" t="str">
        <f>IF(SalesData[[#This Row],[Profit]]&gt;0,"Profit","Loss")</f>
        <v>Profit</v>
      </c>
    </row>
    <row r="3548" spans="1:14" x14ac:dyDescent="0.3">
      <c r="A3548" t="s">
        <v>454</v>
      </c>
      <c r="B3548" s="3">
        <v>41770</v>
      </c>
      <c r="C3548" t="s">
        <v>13</v>
      </c>
      <c r="D3548" t="s">
        <v>14</v>
      </c>
      <c r="E3548" t="s">
        <v>455</v>
      </c>
      <c r="F3548" s="1">
        <v>20.04</v>
      </c>
      <c r="G3548">
        <v>6</v>
      </c>
      <c r="H3548" s="1">
        <v>8.8176000000000005</v>
      </c>
      <c r="I3548" s="4">
        <f>SalesData[[#This Row],[Profit]]/SalesData[[#This Row],[Sales]]</f>
        <v>0.44000000000000006</v>
      </c>
      <c r="J3548">
        <f>YEAR(SalesData[[#This Row],[Order Date]])</f>
        <v>2014</v>
      </c>
      <c r="K3548" t="str">
        <f>TEXT(SalesData[[#This Row],[Order Date]],"mmm")</f>
        <v>May</v>
      </c>
      <c r="L3548">
        <f>MONTH(SalesData[[#This Row],[Order Date]])</f>
        <v>5</v>
      </c>
      <c r="M3548">
        <f>SalesData[[#This Row],[Sales]]/SalesData[[#This Row],[Quantity]]</f>
        <v>3.34</v>
      </c>
      <c r="N3548" t="str">
        <f>IF(SalesData[[#This Row],[Profit]]&gt;0,"Profit","Loss")</f>
        <v>Profit</v>
      </c>
    </row>
    <row r="3549" spans="1:14" x14ac:dyDescent="0.3">
      <c r="A3549" t="s">
        <v>456</v>
      </c>
      <c r="B3549" s="3">
        <v>41770</v>
      </c>
      <c r="C3549" t="s">
        <v>46</v>
      </c>
      <c r="D3549" t="s">
        <v>10</v>
      </c>
      <c r="E3549" t="s">
        <v>457</v>
      </c>
      <c r="F3549" s="1">
        <v>47.79</v>
      </c>
      <c r="G3549">
        <v>3</v>
      </c>
      <c r="H3549" s="1">
        <v>16.2486</v>
      </c>
      <c r="I3549" s="4">
        <f>SalesData[[#This Row],[Profit]]/SalesData[[#This Row],[Sales]]</f>
        <v>0.34</v>
      </c>
      <c r="J3549">
        <f>YEAR(SalesData[[#This Row],[Order Date]])</f>
        <v>2014</v>
      </c>
      <c r="K3549" t="str">
        <f>TEXT(SalesData[[#This Row],[Order Date]],"mmm")</f>
        <v>May</v>
      </c>
      <c r="L3549">
        <f>MONTH(SalesData[[#This Row],[Order Date]])</f>
        <v>5</v>
      </c>
      <c r="M3549">
        <f>SalesData[[#This Row],[Sales]]/SalesData[[#This Row],[Quantity]]</f>
        <v>15.93</v>
      </c>
      <c r="N3549" t="str">
        <f>IF(SalesData[[#This Row],[Profit]]&gt;0,"Profit","Loss")</f>
        <v>Profit</v>
      </c>
    </row>
    <row r="3550" spans="1:14" x14ac:dyDescent="0.3">
      <c r="A3550" t="s">
        <v>458</v>
      </c>
      <c r="B3550" s="3">
        <v>41770</v>
      </c>
      <c r="C3550" t="s">
        <v>17</v>
      </c>
      <c r="D3550" t="s">
        <v>14</v>
      </c>
      <c r="E3550" t="s">
        <v>291</v>
      </c>
      <c r="F3550" s="1">
        <v>273.56799999999998</v>
      </c>
      <c r="G3550">
        <v>2</v>
      </c>
      <c r="H3550" s="1">
        <v>-34.195999999999998</v>
      </c>
      <c r="I3550" s="4">
        <f>SalesData[[#This Row],[Profit]]/SalesData[[#This Row],[Sales]]</f>
        <v>-0.125</v>
      </c>
      <c r="J3550">
        <f>YEAR(SalesData[[#This Row],[Order Date]])</f>
        <v>2014</v>
      </c>
      <c r="K3550" t="str">
        <f>TEXT(SalesData[[#This Row],[Order Date]],"mmm")</f>
        <v>May</v>
      </c>
      <c r="L3550">
        <f>MONTH(SalesData[[#This Row],[Order Date]])</f>
        <v>5</v>
      </c>
      <c r="M3550">
        <f>SalesData[[#This Row],[Sales]]/SalesData[[#This Row],[Quantity]]</f>
        <v>136.78399999999999</v>
      </c>
      <c r="N3550" t="str">
        <f>IF(SalesData[[#This Row],[Profit]]&gt;0,"Profit","Loss")</f>
        <v>Loss</v>
      </c>
    </row>
    <row r="3551" spans="1:14" x14ac:dyDescent="0.3">
      <c r="A3551" t="s">
        <v>458</v>
      </c>
      <c r="B3551" s="3">
        <v>41770</v>
      </c>
      <c r="C3551" t="s">
        <v>17</v>
      </c>
      <c r="D3551" t="s">
        <v>21</v>
      </c>
      <c r="E3551" t="s">
        <v>459</v>
      </c>
      <c r="F3551" s="1">
        <v>13.194000000000001</v>
      </c>
      <c r="G3551">
        <v>2</v>
      </c>
      <c r="H3551" s="1">
        <v>-8.7959999999999994</v>
      </c>
      <c r="I3551" s="4">
        <f>SalesData[[#This Row],[Profit]]/SalesData[[#This Row],[Sales]]</f>
        <v>-0.66666666666666663</v>
      </c>
      <c r="J3551">
        <f>YEAR(SalesData[[#This Row],[Order Date]])</f>
        <v>2014</v>
      </c>
      <c r="K3551" t="str">
        <f>TEXT(SalesData[[#This Row],[Order Date]],"mmm")</f>
        <v>May</v>
      </c>
      <c r="L3551">
        <f>MONTH(SalesData[[#This Row],[Order Date]])</f>
        <v>5</v>
      </c>
      <c r="M3551">
        <f>SalesData[[#This Row],[Sales]]/SalesData[[#This Row],[Quantity]]</f>
        <v>6.5970000000000004</v>
      </c>
      <c r="N3551" t="str">
        <f>IF(SalesData[[#This Row],[Profit]]&gt;0,"Profit","Loss")</f>
        <v>Loss</v>
      </c>
    </row>
    <row r="3552" spans="1:14" x14ac:dyDescent="0.3">
      <c r="A3552" t="s">
        <v>458</v>
      </c>
      <c r="B3552" s="3">
        <v>41770</v>
      </c>
      <c r="C3552" t="s">
        <v>17</v>
      </c>
      <c r="D3552" t="s">
        <v>21</v>
      </c>
      <c r="E3552" t="s">
        <v>460</v>
      </c>
      <c r="F3552" s="1">
        <v>1080.096</v>
      </c>
      <c r="G3552">
        <v>6</v>
      </c>
      <c r="H3552" s="1">
        <v>-94.508399999999995</v>
      </c>
      <c r="I3552" s="4">
        <f>SalesData[[#This Row],[Profit]]/SalesData[[#This Row],[Sales]]</f>
        <v>-8.7499999999999994E-2</v>
      </c>
      <c r="J3552">
        <f>YEAR(SalesData[[#This Row],[Order Date]])</f>
        <v>2014</v>
      </c>
      <c r="K3552" t="str">
        <f>TEXT(SalesData[[#This Row],[Order Date]],"mmm")</f>
        <v>May</v>
      </c>
      <c r="L3552">
        <f>MONTH(SalesData[[#This Row],[Order Date]])</f>
        <v>5</v>
      </c>
      <c r="M3552">
        <f>SalesData[[#This Row],[Sales]]/SalesData[[#This Row],[Quantity]]</f>
        <v>180.01599999999999</v>
      </c>
      <c r="N3552" t="str">
        <f>IF(SalesData[[#This Row],[Profit]]&gt;0,"Profit","Loss")</f>
        <v>Loss</v>
      </c>
    </row>
    <row r="3553" spans="1:14" x14ac:dyDescent="0.3">
      <c r="A3553" t="s">
        <v>458</v>
      </c>
      <c r="B3553" s="3">
        <v>41770</v>
      </c>
      <c r="C3553" t="s">
        <v>17</v>
      </c>
      <c r="D3553" t="s">
        <v>10</v>
      </c>
      <c r="E3553" t="s">
        <v>461</v>
      </c>
      <c r="F3553" s="1">
        <v>51.56</v>
      </c>
      <c r="G3553">
        <v>5</v>
      </c>
      <c r="H3553" s="1">
        <v>-6.4450000000000003</v>
      </c>
      <c r="I3553" s="4">
        <f>SalesData[[#This Row],[Profit]]/SalesData[[#This Row],[Sales]]</f>
        <v>-0.125</v>
      </c>
      <c r="J3553">
        <f>YEAR(SalesData[[#This Row],[Order Date]])</f>
        <v>2014</v>
      </c>
      <c r="K3553" t="str">
        <f>TEXT(SalesData[[#This Row],[Order Date]],"mmm")</f>
        <v>May</v>
      </c>
      <c r="L3553">
        <f>MONTH(SalesData[[#This Row],[Order Date]])</f>
        <v>5</v>
      </c>
      <c r="M3553">
        <f>SalesData[[#This Row],[Sales]]/SalesData[[#This Row],[Quantity]]</f>
        <v>10.312000000000001</v>
      </c>
      <c r="N3553" t="str">
        <f>IF(SalesData[[#This Row],[Profit]]&gt;0,"Profit","Loss")</f>
        <v>Loss</v>
      </c>
    </row>
    <row r="3554" spans="1:14" x14ac:dyDescent="0.3">
      <c r="A3554" t="s">
        <v>458</v>
      </c>
      <c r="B3554" s="3">
        <v>41770</v>
      </c>
      <c r="C3554" t="s">
        <v>17</v>
      </c>
      <c r="D3554" t="s">
        <v>10</v>
      </c>
      <c r="E3554" t="s">
        <v>462</v>
      </c>
      <c r="F3554" s="1">
        <v>58.415999999999997</v>
      </c>
      <c r="G3554">
        <v>2</v>
      </c>
      <c r="H3554" s="1">
        <v>16.794599999999999</v>
      </c>
      <c r="I3554" s="4">
        <f>SalesData[[#This Row],[Profit]]/SalesData[[#This Row],[Sales]]</f>
        <v>0.28749999999999998</v>
      </c>
      <c r="J3554">
        <f>YEAR(SalesData[[#This Row],[Order Date]])</f>
        <v>2014</v>
      </c>
      <c r="K3554" t="str">
        <f>TEXT(SalesData[[#This Row],[Order Date]],"mmm")</f>
        <v>May</v>
      </c>
      <c r="L3554">
        <f>MONTH(SalesData[[#This Row],[Order Date]])</f>
        <v>5</v>
      </c>
      <c r="M3554">
        <f>SalesData[[#This Row],[Sales]]/SalesData[[#This Row],[Quantity]]</f>
        <v>29.207999999999998</v>
      </c>
      <c r="N3554" t="str">
        <f>IF(SalesData[[#This Row],[Profit]]&gt;0,"Profit","Loss")</f>
        <v>Profit</v>
      </c>
    </row>
    <row r="3555" spans="1:14" x14ac:dyDescent="0.3">
      <c r="A3555" t="s">
        <v>463</v>
      </c>
      <c r="B3555" s="3">
        <v>41770</v>
      </c>
      <c r="C3555" t="s">
        <v>46</v>
      </c>
      <c r="D3555" t="s">
        <v>14</v>
      </c>
      <c r="E3555" t="s">
        <v>211</v>
      </c>
      <c r="F3555" s="1">
        <v>149.9</v>
      </c>
      <c r="G3555">
        <v>5</v>
      </c>
      <c r="H3555" s="1">
        <v>40.472999999999999</v>
      </c>
      <c r="I3555" s="4">
        <f>SalesData[[#This Row],[Profit]]/SalesData[[#This Row],[Sales]]</f>
        <v>0.26999999999999996</v>
      </c>
      <c r="J3555">
        <f>YEAR(SalesData[[#This Row],[Order Date]])</f>
        <v>2014</v>
      </c>
      <c r="K3555" t="str">
        <f>TEXT(SalesData[[#This Row],[Order Date]],"mmm")</f>
        <v>May</v>
      </c>
      <c r="L3555">
        <f>MONTH(SalesData[[#This Row],[Order Date]])</f>
        <v>5</v>
      </c>
      <c r="M3555">
        <f>SalesData[[#This Row],[Sales]]/SalesData[[#This Row],[Quantity]]</f>
        <v>29.98</v>
      </c>
      <c r="N3555" t="str">
        <f>IF(SalesData[[#This Row],[Profit]]&gt;0,"Profit","Loss")</f>
        <v>Profit</v>
      </c>
    </row>
    <row r="3556" spans="1:14" x14ac:dyDescent="0.3">
      <c r="A3556" t="s">
        <v>464</v>
      </c>
      <c r="B3556" s="3">
        <v>41771</v>
      </c>
      <c r="C3556" t="s">
        <v>13</v>
      </c>
      <c r="D3556" t="s">
        <v>21</v>
      </c>
      <c r="E3556" t="s">
        <v>465</v>
      </c>
      <c r="F3556" s="1">
        <v>1113.0239999999999</v>
      </c>
      <c r="G3556">
        <v>8</v>
      </c>
      <c r="H3556" s="1">
        <v>111.30240000000001</v>
      </c>
      <c r="I3556" s="4">
        <f>SalesData[[#This Row],[Profit]]/SalesData[[#This Row],[Sales]]</f>
        <v>0.10000000000000002</v>
      </c>
      <c r="J3556">
        <f>YEAR(SalesData[[#This Row],[Order Date]])</f>
        <v>2014</v>
      </c>
      <c r="K3556" t="str">
        <f>TEXT(SalesData[[#This Row],[Order Date]],"mmm")</f>
        <v>May</v>
      </c>
      <c r="L3556">
        <f>MONTH(SalesData[[#This Row],[Order Date]])</f>
        <v>5</v>
      </c>
      <c r="M3556">
        <f>SalesData[[#This Row],[Sales]]/SalesData[[#This Row],[Quantity]]</f>
        <v>139.12799999999999</v>
      </c>
      <c r="N3556" t="str">
        <f>IF(SalesData[[#This Row],[Profit]]&gt;0,"Profit","Loss")</f>
        <v>Profit</v>
      </c>
    </row>
    <row r="3557" spans="1:14" x14ac:dyDescent="0.3">
      <c r="A3557" t="s">
        <v>464</v>
      </c>
      <c r="B3557" s="3">
        <v>41771</v>
      </c>
      <c r="C3557" t="s">
        <v>13</v>
      </c>
      <c r="D3557" t="s">
        <v>10</v>
      </c>
      <c r="E3557" t="s">
        <v>466</v>
      </c>
      <c r="F3557" s="1">
        <v>167.96799999999999</v>
      </c>
      <c r="G3557">
        <v>4</v>
      </c>
      <c r="H3557" s="1">
        <v>62.988</v>
      </c>
      <c r="I3557" s="4">
        <f>SalesData[[#This Row],[Profit]]/SalesData[[#This Row],[Sales]]</f>
        <v>0.375</v>
      </c>
      <c r="J3557">
        <f>YEAR(SalesData[[#This Row],[Order Date]])</f>
        <v>2014</v>
      </c>
      <c r="K3557" t="str">
        <f>TEXT(SalesData[[#This Row],[Order Date]],"mmm")</f>
        <v>May</v>
      </c>
      <c r="L3557">
        <f>MONTH(SalesData[[#This Row],[Order Date]])</f>
        <v>5</v>
      </c>
      <c r="M3557">
        <f>SalesData[[#This Row],[Sales]]/SalesData[[#This Row],[Quantity]]</f>
        <v>41.991999999999997</v>
      </c>
      <c r="N3557" t="str">
        <f>IF(SalesData[[#This Row],[Profit]]&gt;0,"Profit","Loss")</f>
        <v>Profit</v>
      </c>
    </row>
    <row r="3558" spans="1:14" x14ac:dyDescent="0.3">
      <c r="A3558" t="s">
        <v>467</v>
      </c>
      <c r="B3558" s="3">
        <v>41771</v>
      </c>
      <c r="C3558" t="s">
        <v>9</v>
      </c>
      <c r="D3558" t="s">
        <v>21</v>
      </c>
      <c r="E3558" t="s">
        <v>398</v>
      </c>
      <c r="F3558" s="1">
        <v>24.815999999999999</v>
      </c>
      <c r="G3558">
        <v>2</v>
      </c>
      <c r="H3558" s="1">
        <v>1.8612</v>
      </c>
      <c r="I3558" s="4">
        <f>SalesData[[#This Row],[Profit]]/SalesData[[#This Row],[Sales]]</f>
        <v>7.4999999999999997E-2</v>
      </c>
      <c r="J3558">
        <f>YEAR(SalesData[[#This Row],[Order Date]])</f>
        <v>2014</v>
      </c>
      <c r="K3558" t="str">
        <f>TEXT(SalesData[[#This Row],[Order Date]],"mmm")</f>
        <v>May</v>
      </c>
      <c r="L3558">
        <f>MONTH(SalesData[[#This Row],[Order Date]])</f>
        <v>5</v>
      </c>
      <c r="M3558">
        <f>SalesData[[#This Row],[Sales]]/SalesData[[#This Row],[Quantity]]</f>
        <v>12.407999999999999</v>
      </c>
      <c r="N3558" t="str">
        <f>IF(SalesData[[#This Row],[Profit]]&gt;0,"Profit","Loss")</f>
        <v>Profit</v>
      </c>
    </row>
    <row r="3559" spans="1:14" x14ac:dyDescent="0.3">
      <c r="A3559" t="s">
        <v>467</v>
      </c>
      <c r="B3559" s="3">
        <v>41771</v>
      </c>
      <c r="C3559" t="s">
        <v>9</v>
      </c>
      <c r="D3559" t="s">
        <v>10</v>
      </c>
      <c r="E3559" t="s">
        <v>468</v>
      </c>
      <c r="F3559" s="1">
        <v>408.74400000000003</v>
      </c>
      <c r="G3559">
        <v>7</v>
      </c>
      <c r="H3559" s="1">
        <v>76.639499999999998</v>
      </c>
      <c r="I3559" s="4">
        <f>SalesData[[#This Row],[Profit]]/SalesData[[#This Row],[Sales]]</f>
        <v>0.18749999999999997</v>
      </c>
      <c r="J3559">
        <f>YEAR(SalesData[[#This Row],[Order Date]])</f>
        <v>2014</v>
      </c>
      <c r="K3559" t="str">
        <f>TEXT(SalesData[[#This Row],[Order Date]],"mmm")</f>
        <v>May</v>
      </c>
      <c r="L3559">
        <f>MONTH(SalesData[[#This Row],[Order Date]])</f>
        <v>5</v>
      </c>
      <c r="M3559">
        <f>SalesData[[#This Row],[Sales]]/SalesData[[#This Row],[Quantity]]</f>
        <v>58.392000000000003</v>
      </c>
      <c r="N3559" t="str">
        <f>IF(SalesData[[#This Row],[Profit]]&gt;0,"Profit","Loss")</f>
        <v>Profit</v>
      </c>
    </row>
    <row r="3560" spans="1:14" x14ac:dyDescent="0.3">
      <c r="A3560" t="s">
        <v>469</v>
      </c>
      <c r="B3560" s="3">
        <v>41771</v>
      </c>
      <c r="C3560" t="s">
        <v>46</v>
      </c>
      <c r="D3560" t="s">
        <v>21</v>
      </c>
      <c r="E3560" t="s">
        <v>470</v>
      </c>
      <c r="F3560" s="1">
        <v>24.56</v>
      </c>
      <c r="G3560">
        <v>2</v>
      </c>
      <c r="H3560" s="1">
        <v>6.8768000000000002</v>
      </c>
      <c r="I3560" s="4">
        <f>SalesData[[#This Row],[Profit]]/SalesData[[#This Row],[Sales]]</f>
        <v>0.28000000000000003</v>
      </c>
      <c r="J3560">
        <f>YEAR(SalesData[[#This Row],[Order Date]])</f>
        <v>2014</v>
      </c>
      <c r="K3560" t="str">
        <f>TEXT(SalesData[[#This Row],[Order Date]],"mmm")</f>
        <v>May</v>
      </c>
      <c r="L3560">
        <f>MONTH(SalesData[[#This Row],[Order Date]])</f>
        <v>5</v>
      </c>
      <c r="M3560">
        <f>SalesData[[#This Row],[Sales]]/SalesData[[#This Row],[Quantity]]</f>
        <v>12.28</v>
      </c>
      <c r="N3560" t="str">
        <f>IF(SalesData[[#This Row],[Profit]]&gt;0,"Profit","Loss")</f>
        <v>Profit</v>
      </c>
    </row>
    <row r="3561" spans="1:14" x14ac:dyDescent="0.3">
      <c r="A3561" t="s">
        <v>471</v>
      </c>
      <c r="B3561" s="3">
        <v>41771</v>
      </c>
      <c r="C3561" t="s">
        <v>17</v>
      </c>
      <c r="D3561" t="s">
        <v>21</v>
      </c>
      <c r="E3561" t="s">
        <v>472</v>
      </c>
      <c r="F3561" s="1">
        <v>348.488</v>
      </c>
      <c r="G3561">
        <v>7</v>
      </c>
      <c r="H3561" s="1">
        <v>117.6147</v>
      </c>
      <c r="I3561" s="4">
        <f>SalesData[[#This Row],[Profit]]/SalesData[[#This Row],[Sales]]</f>
        <v>0.33750000000000002</v>
      </c>
      <c r="J3561">
        <f>YEAR(SalesData[[#This Row],[Order Date]])</f>
        <v>2014</v>
      </c>
      <c r="K3561" t="str">
        <f>TEXT(SalesData[[#This Row],[Order Date]],"mmm")</f>
        <v>May</v>
      </c>
      <c r="L3561">
        <f>MONTH(SalesData[[#This Row],[Order Date]])</f>
        <v>5</v>
      </c>
      <c r="M3561">
        <f>SalesData[[#This Row],[Sales]]/SalesData[[#This Row],[Quantity]]</f>
        <v>49.783999999999999</v>
      </c>
      <c r="N3561" t="str">
        <f>IF(SalesData[[#This Row],[Profit]]&gt;0,"Profit","Loss")</f>
        <v>Profit</v>
      </c>
    </row>
    <row r="3562" spans="1:14" x14ac:dyDescent="0.3">
      <c r="A3562" t="s">
        <v>471</v>
      </c>
      <c r="B3562" s="3">
        <v>41771</v>
      </c>
      <c r="C3562" t="s">
        <v>17</v>
      </c>
      <c r="D3562" t="s">
        <v>21</v>
      </c>
      <c r="E3562" t="s">
        <v>27</v>
      </c>
      <c r="F3562" s="1">
        <v>172.73599999999999</v>
      </c>
      <c r="G3562">
        <v>4</v>
      </c>
      <c r="H3562" s="1">
        <v>-30.2288</v>
      </c>
      <c r="I3562" s="4">
        <f>SalesData[[#This Row],[Profit]]/SalesData[[#This Row],[Sales]]</f>
        <v>-0.17500000000000002</v>
      </c>
      <c r="J3562">
        <f>YEAR(SalesData[[#This Row],[Order Date]])</f>
        <v>2014</v>
      </c>
      <c r="K3562" t="str">
        <f>TEXT(SalesData[[#This Row],[Order Date]],"mmm")</f>
        <v>May</v>
      </c>
      <c r="L3562">
        <f>MONTH(SalesData[[#This Row],[Order Date]])</f>
        <v>5</v>
      </c>
      <c r="M3562">
        <f>SalesData[[#This Row],[Sales]]/SalesData[[#This Row],[Quantity]]</f>
        <v>43.183999999999997</v>
      </c>
      <c r="N3562" t="str">
        <f>IF(SalesData[[#This Row],[Profit]]&gt;0,"Profit","Loss")</f>
        <v>Loss</v>
      </c>
    </row>
    <row r="3563" spans="1:14" x14ac:dyDescent="0.3">
      <c r="A3563" t="s">
        <v>473</v>
      </c>
      <c r="B3563" s="3">
        <v>41771</v>
      </c>
      <c r="C3563" t="s">
        <v>17</v>
      </c>
      <c r="D3563" t="s">
        <v>21</v>
      </c>
      <c r="E3563" t="s">
        <v>474</v>
      </c>
      <c r="F3563" s="1">
        <v>98.376000000000005</v>
      </c>
      <c r="G3563">
        <v>3</v>
      </c>
      <c r="H3563" s="1">
        <v>35.661299999999997</v>
      </c>
      <c r="I3563" s="4">
        <f>SalesData[[#This Row],[Profit]]/SalesData[[#This Row],[Sales]]</f>
        <v>0.36249999999999993</v>
      </c>
      <c r="J3563">
        <f>YEAR(SalesData[[#This Row],[Order Date]])</f>
        <v>2014</v>
      </c>
      <c r="K3563" t="str">
        <f>TEXT(SalesData[[#This Row],[Order Date]],"mmm")</f>
        <v>May</v>
      </c>
      <c r="L3563">
        <f>MONTH(SalesData[[#This Row],[Order Date]])</f>
        <v>5</v>
      </c>
      <c r="M3563">
        <f>SalesData[[#This Row],[Sales]]/SalesData[[#This Row],[Quantity]]</f>
        <v>32.792000000000002</v>
      </c>
      <c r="N3563" t="str">
        <f>IF(SalesData[[#This Row],[Profit]]&gt;0,"Profit","Loss")</f>
        <v>Profit</v>
      </c>
    </row>
    <row r="3564" spans="1:14" x14ac:dyDescent="0.3">
      <c r="A3564" t="s">
        <v>473</v>
      </c>
      <c r="B3564" s="3">
        <v>41771</v>
      </c>
      <c r="C3564" t="s">
        <v>17</v>
      </c>
      <c r="D3564" t="s">
        <v>21</v>
      </c>
      <c r="E3564" t="s">
        <v>475</v>
      </c>
      <c r="F3564" s="1">
        <v>29.94</v>
      </c>
      <c r="G3564">
        <v>4</v>
      </c>
      <c r="H3564" s="1">
        <v>-23.952000000000002</v>
      </c>
      <c r="I3564" s="4">
        <f>SalesData[[#This Row],[Profit]]/SalesData[[#This Row],[Sales]]</f>
        <v>-0.8</v>
      </c>
      <c r="J3564">
        <f>YEAR(SalesData[[#This Row],[Order Date]])</f>
        <v>2014</v>
      </c>
      <c r="K3564" t="str">
        <f>TEXT(SalesData[[#This Row],[Order Date]],"mmm")</f>
        <v>May</v>
      </c>
      <c r="L3564">
        <f>MONTH(SalesData[[#This Row],[Order Date]])</f>
        <v>5</v>
      </c>
      <c r="M3564">
        <f>SalesData[[#This Row],[Sales]]/SalesData[[#This Row],[Quantity]]</f>
        <v>7.4850000000000003</v>
      </c>
      <c r="N3564" t="str">
        <f>IF(SalesData[[#This Row],[Profit]]&gt;0,"Profit","Loss")</f>
        <v>Loss</v>
      </c>
    </row>
    <row r="3565" spans="1:14" x14ac:dyDescent="0.3">
      <c r="A3565" t="s">
        <v>473</v>
      </c>
      <c r="B3565" s="3">
        <v>41771</v>
      </c>
      <c r="C3565" t="s">
        <v>17</v>
      </c>
      <c r="D3565" t="s">
        <v>21</v>
      </c>
      <c r="E3565" t="s">
        <v>22</v>
      </c>
      <c r="F3565" s="1">
        <v>17.472000000000001</v>
      </c>
      <c r="G3565">
        <v>3</v>
      </c>
      <c r="H3565" s="1">
        <v>5.6783999999999999</v>
      </c>
      <c r="I3565" s="4">
        <f>SalesData[[#This Row],[Profit]]/SalesData[[#This Row],[Sales]]</f>
        <v>0.32499999999999996</v>
      </c>
      <c r="J3565">
        <f>YEAR(SalesData[[#This Row],[Order Date]])</f>
        <v>2014</v>
      </c>
      <c r="K3565" t="str">
        <f>TEXT(SalesData[[#This Row],[Order Date]],"mmm")</f>
        <v>May</v>
      </c>
      <c r="L3565">
        <f>MONTH(SalesData[[#This Row],[Order Date]])</f>
        <v>5</v>
      </c>
      <c r="M3565">
        <f>SalesData[[#This Row],[Sales]]/SalesData[[#This Row],[Quantity]]</f>
        <v>5.8240000000000007</v>
      </c>
      <c r="N3565" t="str">
        <f>IF(SalesData[[#This Row],[Profit]]&gt;0,"Profit","Loss")</f>
        <v>Profit</v>
      </c>
    </row>
    <row r="3566" spans="1:14" x14ac:dyDescent="0.3">
      <c r="A3566" t="s">
        <v>473</v>
      </c>
      <c r="B3566" s="3">
        <v>41771</v>
      </c>
      <c r="C3566" t="s">
        <v>17</v>
      </c>
      <c r="D3566" t="s">
        <v>10</v>
      </c>
      <c r="E3566" t="s">
        <v>476</v>
      </c>
      <c r="F3566" s="1">
        <v>36.738</v>
      </c>
      <c r="G3566">
        <v>1</v>
      </c>
      <c r="H3566" s="1">
        <v>-9.1844999999999999</v>
      </c>
      <c r="I3566" s="4">
        <f>SalesData[[#This Row],[Profit]]/SalesData[[#This Row],[Sales]]</f>
        <v>-0.25</v>
      </c>
      <c r="J3566">
        <f>YEAR(SalesData[[#This Row],[Order Date]])</f>
        <v>2014</v>
      </c>
      <c r="K3566" t="str">
        <f>TEXT(SalesData[[#This Row],[Order Date]],"mmm")</f>
        <v>May</v>
      </c>
      <c r="L3566">
        <f>MONTH(SalesData[[#This Row],[Order Date]])</f>
        <v>5</v>
      </c>
      <c r="M3566">
        <f>SalesData[[#This Row],[Sales]]/SalesData[[#This Row],[Quantity]]</f>
        <v>36.738</v>
      </c>
      <c r="N3566" t="str">
        <f>IF(SalesData[[#This Row],[Profit]]&gt;0,"Profit","Loss")</f>
        <v>Loss</v>
      </c>
    </row>
    <row r="3567" spans="1:14" x14ac:dyDescent="0.3">
      <c r="A3567" t="s">
        <v>473</v>
      </c>
      <c r="B3567" s="3">
        <v>41771</v>
      </c>
      <c r="C3567" t="s">
        <v>17</v>
      </c>
      <c r="D3567" t="s">
        <v>10</v>
      </c>
      <c r="E3567" t="s">
        <v>477</v>
      </c>
      <c r="F3567" s="1">
        <v>179.94</v>
      </c>
      <c r="G3567">
        <v>2</v>
      </c>
      <c r="H3567" s="1">
        <v>-44.984999999999999</v>
      </c>
      <c r="I3567" s="4">
        <f>SalesData[[#This Row],[Profit]]/SalesData[[#This Row],[Sales]]</f>
        <v>-0.25</v>
      </c>
      <c r="J3567">
        <f>YEAR(SalesData[[#This Row],[Order Date]])</f>
        <v>2014</v>
      </c>
      <c r="K3567" t="str">
        <f>TEXT(SalesData[[#This Row],[Order Date]],"mmm")</f>
        <v>May</v>
      </c>
      <c r="L3567">
        <f>MONTH(SalesData[[#This Row],[Order Date]])</f>
        <v>5</v>
      </c>
      <c r="M3567">
        <f>SalesData[[#This Row],[Sales]]/SalesData[[#This Row],[Quantity]]</f>
        <v>89.97</v>
      </c>
      <c r="N3567" t="str">
        <f>IF(SalesData[[#This Row],[Profit]]&gt;0,"Profit","Loss")</f>
        <v>Loss</v>
      </c>
    </row>
    <row r="3568" spans="1:14" x14ac:dyDescent="0.3">
      <c r="A3568" t="s">
        <v>478</v>
      </c>
      <c r="B3568" s="3">
        <v>41771</v>
      </c>
      <c r="C3568" t="s">
        <v>13</v>
      </c>
      <c r="D3568" t="s">
        <v>21</v>
      </c>
      <c r="E3568" t="s">
        <v>479</v>
      </c>
      <c r="F3568" s="1">
        <v>26.46</v>
      </c>
      <c r="G3568">
        <v>9</v>
      </c>
      <c r="H3568" s="1">
        <v>11.907</v>
      </c>
      <c r="I3568" s="4">
        <f>SalesData[[#This Row],[Profit]]/SalesData[[#This Row],[Sales]]</f>
        <v>0.45</v>
      </c>
      <c r="J3568">
        <f>YEAR(SalesData[[#This Row],[Order Date]])</f>
        <v>2014</v>
      </c>
      <c r="K3568" t="str">
        <f>TEXT(SalesData[[#This Row],[Order Date]],"mmm")</f>
        <v>May</v>
      </c>
      <c r="L3568">
        <f>MONTH(SalesData[[#This Row],[Order Date]])</f>
        <v>5</v>
      </c>
      <c r="M3568">
        <f>SalesData[[#This Row],[Sales]]/SalesData[[#This Row],[Quantity]]</f>
        <v>2.94</v>
      </c>
      <c r="N3568" t="str">
        <f>IF(SalesData[[#This Row],[Profit]]&gt;0,"Profit","Loss")</f>
        <v>Profit</v>
      </c>
    </row>
    <row r="3569" spans="1:14" x14ac:dyDescent="0.3">
      <c r="A3569" t="s">
        <v>478</v>
      </c>
      <c r="B3569" s="3">
        <v>41771</v>
      </c>
      <c r="C3569" t="s">
        <v>13</v>
      </c>
      <c r="D3569" t="s">
        <v>21</v>
      </c>
      <c r="E3569" t="s">
        <v>409</v>
      </c>
      <c r="F3569" s="1">
        <v>49.12</v>
      </c>
      <c r="G3569">
        <v>4</v>
      </c>
      <c r="H3569" s="1">
        <v>23.086400000000001</v>
      </c>
      <c r="I3569" s="4">
        <f>SalesData[[#This Row],[Profit]]/SalesData[[#This Row],[Sales]]</f>
        <v>0.47000000000000003</v>
      </c>
      <c r="J3569">
        <f>YEAR(SalesData[[#This Row],[Order Date]])</f>
        <v>2014</v>
      </c>
      <c r="K3569" t="str">
        <f>TEXT(SalesData[[#This Row],[Order Date]],"mmm")</f>
        <v>May</v>
      </c>
      <c r="L3569">
        <f>MONTH(SalesData[[#This Row],[Order Date]])</f>
        <v>5</v>
      </c>
      <c r="M3569">
        <f>SalesData[[#This Row],[Sales]]/SalesData[[#This Row],[Quantity]]</f>
        <v>12.28</v>
      </c>
      <c r="N3569" t="str">
        <f>IF(SalesData[[#This Row],[Profit]]&gt;0,"Profit","Loss")</f>
        <v>Profit</v>
      </c>
    </row>
    <row r="3570" spans="1:14" x14ac:dyDescent="0.3">
      <c r="A3570" t="s">
        <v>478</v>
      </c>
      <c r="B3570" s="3">
        <v>41771</v>
      </c>
      <c r="C3570" t="s">
        <v>13</v>
      </c>
      <c r="D3570" t="s">
        <v>21</v>
      </c>
      <c r="E3570" t="s">
        <v>480</v>
      </c>
      <c r="F3570" s="1">
        <v>15</v>
      </c>
      <c r="G3570">
        <v>3</v>
      </c>
      <c r="H3570" s="1">
        <v>7.2</v>
      </c>
      <c r="I3570" s="4">
        <f>SalesData[[#This Row],[Profit]]/SalesData[[#This Row],[Sales]]</f>
        <v>0.48000000000000004</v>
      </c>
      <c r="J3570">
        <f>YEAR(SalesData[[#This Row],[Order Date]])</f>
        <v>2014</v>
      </c>
      <c r="K3570" t="str">
        <f>TEXT(SalesData[[#This Row],[Order Date]],"mmm")</f>
        <v>May</v>
      </c>
      <c r="L3570">
        <f>MONTH(SalesData[[#This Row],[Order Date]])</f>
        <v>5</v>
      </c>
      <c r="M3570">
        <f>SalesData[[#This Row],[Sales]]/SalesData[[#This Row],[Quantity]]</f>
        <v>5</v>
      </c>
      <c r="N3570" t="str">
        <f>IF(SalesData[[#This Row],[Profit]]&gt;0,"Profit","Loss")</f>
        <v>Profit</v>
      </c>
    </row>
    <row r="3571" spans="1:14" x14ac:dyDescent="0.3">
      <c r="A3571" t="s">
        <v>481</v>
      </c>
      <c r="B3571" s="3">
        <v>41771</v>
      </c>
      <c r="C3571" t="s">
        <v>13</v>
      </c>
      <c r="D3571" t="s">
        <v>21</v>
      </c>
      <c r="E3571" t="s">
        <v>482</v>
      </c>
      <c r="F3571" s="1">
        <v>250.26</v>
      </c>
      <c r="G3571">
        <v>6</v>
      </c>
      <c r="H3571" s="1">
        <v>72.575400000000002</v>
      </c>
      <c r="I3571" s="4">
        <f>SalesData[[#This Row],[Profit]]/SalesData[[#This Row],[Sales]]</f>
        <v>0.29000000000000004</v>
      </c>
      <c r="J3571">
        <f>YEAR(SalesData[[#This Row],[Order Date]])</f>
        <v>2014</v>
      </c>
      <c r="K3571" t="str">
        <f>TEXT(SalesData[[#This Row],[Order Date]],"mmm")</f>
        <v>May</v>
      </c>
      <c r="L3571">
        <f>MONTH(SalesData[[#This Row],[Order Date]])</f>
        <v>5</v>
      </c>
      <c r="M3571">
        <f>SalesData[[#This Row],[Sales]]/SalesData[[#This Row],[Quantity]]</f>
        <v>41.71</v>
      </c>
      <c r="N3571" t="str">
        <f>IF(SalesData[[#This Row],[Profit]]&gt;0,"Profit","Loss")</f>
        <v>Profit</v>
      </c>
    </row>
    <row r="3572" spans="1:14" x14ac:dyDescent="0.3">
      <c r="A3572" t="s">
        <v>483</v>
      </c>
      <c r="B3572" s="3">
        <v>41791</v>
      </c>
      <c r="C3572" t="s">
        <v>13</v>
      </c>
      <c r="D3572" t="s">
        <v>21</v>
      </c>
      <c r="E3572" t="s">
        <v>484</v>
      </c>
      <c r="F3572" s="1">
        <v>19.440000000000001</v>
      </c>
      <c r="G3572">
        <v>3</v>
      </c>
      <c r="H3572" s="1">
        <v>9.3312000000000008</v>
      </c>
      <c r="I3572" s="4">
        <f>SalesData[[#This Row],[Profit]]/SalesData[[#This Row],[Sales]]</f>
        <v>0.48000000000000004</v>
      </c>
      <c r="J3572">
        <f>YEAR(SalesData[[#This Row],[Order Date]])</f>
        <v>2014</v>
      </c>
      <c r="K3572" t="str">
        <f>TEXT(SalesData[[#This Row],[Order Date]],"mmm")</f>
        <v>Jun</v>
      </c>
      <c r="L3572">
        <f>MONTH(SalesData[[#This Row],[Order Date]])</f>
        <v>6</v>
      </c>
      <c r="M3572">
        <f>SalesData[[#This Row],[Sales]]/SalesData[[#This Row],[Quantity]]</f>
        <v>6.48</v>
      </c>
      <c r="N3572" t="str">
        <f>IF(SalesData[[#This Row],[Profit]]&gt;0,"Profit","Loss")</f>
        <v>Profit</v>
      </c>
    </row>
    <row r="3573" spans="1:14" x14ac:dyDescent="0.3">
      <c r="A3573" t="s">
        <v>485</v>
      </c>
      <c r="B3573" s="3">
        <v>41791</v>
      </c>
      <c r="C3573" t="s">
        <v>46</v>
      </c>
      <c r="D3573" t="s">
        <v>21</v>
      </c>
      <c r="E3573" t="s">
        <v>486</v>
      </c>
      <c r="F3573" s="1">
        <v>12.78</v>
      </c>
      <c r="G3573">
        <v>3</v>
      </c>
      <c r="H3573" s="1">
        <v>5.2397999999999998</v>
      </c>
      <c r="I3573" s="4">
        <f>SalesData[[#This Row],[Profit]]/SalesData[[#This Row],[Sales]]</f>
        <v>0.41000000000000003</v>
      </c>
      <c r="J3573">
        <f>YEAR(SalesData[[#This Row],[Order Date]])</f>
        <v>2014</v>
      </c>
      <c r="K3573" t="str">
        <f>TEXT(SalesData[[#This Row],[Order Date]],"mmm")</f>
        <v>Jun</v>
      </c>
      <c r="L3573">
        <f>MONTH(SalesData[[#This Row],[Order Date]])</f>
        <v>6</v>
      </c>
      <c r="M3573">
        <f>SalesData[[#This Row],[Sales]]/SalesData[[#This Row],[Quantity]]</f>
        <v>4.26</v>
      </c>
      <c r="N3573" t="str">
        <f>IF(SalesData[[#This Row],[Profit]]&gt;0,"Profit","Loss")</f>
        <v>Profit</v>
      </c>
    </row>
    <row r="3574" spans="1:14" x14ac:dyDescent="0.3">
      <c r="A3574" t="s">
        <v>487</v>
      </c>
      <c r="B3574" s="3">
        <v>41791</v>
      </c>
      <c r="C3574" t="s">
        <v>46</v>
      </c>
      <c r="D3574" t="s">
        <v>14</v>
      </c>
      <c r="E3574" t="s">
        <v>15</v>
      </c>
      <c r="F3574" s="1">
        <v>2573.8200000000002</v>
      </c>
      <c r="G3574">
        <v>9</v>
      </c>
      <c r="H3574" s="1">
        <v>746.40779999999995</v>
      </c>
      <c r="I3574" s="4">
        <f>SalesData[[#This Row],[Profit]]/SalesData[[#This Row],[Sales]]</f>
        <v>0.28999999999999998</v>
      </c>
      <c r="J3574">
        <f>YEAR(SalesData[[#This Row],[Order Date]])</f>
        <v>2014</v>
      </c>
      <c r="K3574" t="str">
        <f>TEXT(SalesData[[#This Row],[Order Date]],"mmm")</f>
        <v>Jun</v>
      </c>
      <c r="L3574">
        <f>MONTH(SalesData[[#This Row],[Order Date]])</f>
        <v>6</v>
      </c>
      <c r="M3574">
        <f>SalesData[[#This Row],[Sales]]/SalesData[[#This Row],[Quantity]]</f>
        <v>285.98</v>
      </c>
      <c r="N3574" t="str">
        <f>IF(SalesData[[#This Row],[Profit]]&gt;0,"Profit","Loss")</f>
        <v>Profit</v>
      </c>
    </row>
    <row r="3575" spans="1:14" x14ac:dyDescent="0.3">
      <c r="A3575" t="s">
        <v>487</v>
      </c>
      <c r="B3575" s="3">
        <v>41791</v>
      </c>
      <c r="C3575" t="s">
        <v>46</v>
      </c>
      <c r="D3575" t="s">
        <v>21</v>
      </c>
      <c r="E3575" t="s">
        <v>488</v>
      </c>
      <c r="F3575" s="1">
        <v>609.98</v>
      </c>
      <c r="G3575">
        <v>2</v>
      </c>
      <c r="H3575" s="1">
        <v>274.49099999999999</v>
      </c>
      <c r="I3575" s="4">
        <f>SalesData[[#This Row],[Profit]]/SalesData[[#This Row],[Sales]]</f>
        <v>0.44999999999999996</v>
      </c>
      <c r="J3575">
        <f>YEAR(SalesData[[#This Row],[Order Date]])</f>
        <v>2014</v>
      </c>
      <c r="K3575" t="str">
        <f>TEXT(SalesData[[#This Row],[Order Date]],"mmm")</f>
        <v>Jun</v>
      </c>
      <c r="L3575">
        <f>MONTH(SalesData[[#This Row],[Order Date]])</f>
        <v>6</v>
      </c>
      <c r="M3575">
        <f>SalesData[[#This Row],[Sales]]/SalesData[[#This Row],[Quantity]]</f>
        <v>304.99</v>
      </c>
      <c r="N3575" t="str">
        <f>IF(SalesData[[#This Row],[Profit]]&gt;0,"Profit","Loss")</f>
        <v>Profit</v>
      </c>
    </row>
    <row r="3576" spans="1:14" x14ac:dyDescent="0.3">
      <c r="A3576" t="s">
        <v>487</v>
      </c>
      <c r="B3576" s="3">
        <v>41791</v>
      </c>
      <c r="C3576" t="s">
        <v>46</v>
      </c>
      <c r="D3576" t="s">
        <v>21</v>
      </c>
      <c r="E3576" t="s">
        <v>489</v>
      </c>
      <c r="F3576" s="1">
        <v>5.48</v>
      </c>
      <c r="G3576">
        <v>2</v>
      </c>
      <c r="H3576" s="1">
        <v>1.4796</v>
      </c>
      <c r="I3576" s="4">
        <f>SalesData[[#This Row],[Profit]]/SalesData[[#This Row],[Sales]]</f>
        <v>0.26999999999999996</v>
      </c>
      <c r="J3576">
        <f>YEAR(SalesData[[#This Row],[Order Date]])</f>
        <v>2014</v>
      </c>
      <c r="K3576" t="str">
        <f>TEXT(SalesData[[#This Row],[Order Date]],"mmm")</f>
        <v>Jun</v>
      </c>
      <c r="L3576">
        <f>MONTH(SalesData[[#This Row],[Order Date]])</f>
        <v>6</v>
      </c>
      <c r="M3576">
        <f>SalesData[[#This Row],[Sales]]/SalesData[[#This Row],[Quantity]]</f>
        <v>2.74</v>
      </c>
      <c r="N3576" t="str">
        <f>IF(SalesData[[#This Row],[Profit]]&gt;0,"Profit","Loss")</f>
        <v>Profit</v>
      </c>
    </row>
    <row r="3577" spans="1:14" x14ac:dyDescent="0.3">
      <c r="A3577" t="s">
        <v>487</v>
      </c>
      <c r="B3577" s="3">
        <v>41791</v>
      </c>
      <c r="C3577" t="s">
        <v>46</v>
      </c>
      <c r="D3577" t="s">
        <v>10</v>
      </c>
      <c r="E3577" t="s">
        <v>490</v>
      </c>
      <c r="F3577" s="1">
        <v>391.98</v>
      </c>
      <c r="G3577">
        <v>2</v>
      </c>
      <c r="H3577" s="1">
        <v>113.6742</v>
      </c>
      <c r="I3577" s="4">
        <f>SalesData[[#This Row],[Profit]]/SalesData[[#This Row],[Sales]]</f>
        <v>0.28999999999999998</v>
      </c>
      <c r="J3577">
        <f>YEAR(SalesData[[#This Row],[Order Date]])</f>
        <v>2014</v>
      </c>
      <c r="K3577" t="str">
        <f>TEXT(SalesData[[#This Row],[Order Date]],"mmm")</f>
        <v>Jun</v>
      </c>
      <c r="L3577">
        <f>MONTH(SalesData[[#This Row],[Order Date]])</f>
        <v>6</v>
      </c>
      <c r="M3577">
        <f>SalesData[[#This Row],[Sales]]/SalesData[[#This Row],[Quantity]]</f>
        <v>195.99</v>
      </c>
      <c r="N3577" t="str">
        <f>IF(SalesData[[#This Row],[Profit]]&gt;0,"Profit","Loss")</f>
        <v>Profit</v>
      </c>
    </row>
    <row r="3578" spans="1:14" x14ac:dyDescent="0.3">
      <c r="A3578" t="s">
        <v>487</v>
      </c>
      <c r="B3578" s="3">
        <v>41791</v>
      </c>
      <c r="C3578" t="s">
        <v>46</v>
      </c>
      <c r="D3578" t="s">
        <v>10</v>
      </c>
      <c r="E3578" t="s">
        <v>491</v>
      </c>
      <c r="F3578" s="1">
        <v>755.96</v>
      </c>
      <c r="G3578">
        <v>4</v>
      </c>
      <c r="H3578" s="1">
        <v>204.10919999999999</v>
      </c>
      <c r="I3578" s="4">
        <f>SalesData[[#This Row],[Profit]]/SalesData[[#This Row],[Sales]]</f>
        <v>0.26999999999999996</v>
      </c>
      <c r="J3578">
        <f>YEAR(SalesData[[#This Row],[Order Date]])</f>
        <v>2014</v>
      </c>
      <c r="K3578" t="str">
        <f>TEXT(SalesData[[#This Row],[Order Date]],"mmm")</f>
        <v>Jun</v>
      </c>
      <c r="L3578">
        <f>MONTH(SalesData[[#This Row],[Order Date]])</f>
        <v>6</v>
      </c>
      <c r="M3578">
        <f>SalesData[[#This Row],[Sales]]/SalesData[[#This Row],[Quantity]]</f>
        <v>188.99</v>
      </c>
      <c r="N3578" t="str">
        <f>IF(SalesData[[#This Row],[Profit]]&gt;0,"Profit","Loss")</f>
        <v>Profit</v>
      </c>
    </row>
    <row r="3579" spans="1:14" x14ac:dyDescent="0.3">
      <c r="A3579" t="s">
        <v>487</v>
      </c>
      <c r="B3579" s="3">
        <v>41791</v>
      </c>
      <c r="C3579" t="s">
        <v>46</v>
      </c>
      <c r="D3579" t="s">
        <v>21</v>
      </c>
      <c r="E3579" t="s">
        <v>492</v>
      </c>
      <c r="F3579" s="1">
        <v>31.12</v>
      </c>
      <c r="G3579">
        <v>4</v>
      </c>
      <c r="H3579" s="1">
        <v>0.31119999999999998</v>
      </c>
      <c r="I3579" s="4">
        <f>SalesData[[#This Row],[Profit]]/SalesData[[#This Row],[Sales]]</f>
        <v>9.9999999999999985E-3</v>
      </c>
      <c r="J3579">
        <f>YEAR(SalesData[[#This Row],[Order Date]])</f>
        <v>2014</v>
      </c>
      <c r="K3579" t="str">
        <f>TEXT(SalesData[[#This Row],[Order Date]],"mmm")</f>
        <v>Jun</v>
      </c>
      <c r="L3579">
        <f>MONTH(SalesData[[#This Row],[Order Date]])</f>
        <v>6</v>
      </c>
      <c r="M3579">
        <f>SalesData[[#This Row],[Sales]]/SalesData[[#This Row],[Quantity]]</f>
        <v>7.78</v>
      </c>
      <c r="N3579" t="str">
        <f>IF(SalesData[[#This Row],[Profit]]&gt;0,"Profit","Loss")</f>
        <v>Profit</v>
      </c>
    </row>
    <row r="3580" spans="1:14" x14ac:dyDescent="0.3">
      <c r="A3580" t="s">
        <v>487</v>
      </c>
      <c r="B3580" s="3">
        <v>41791</v>
      </c>
      <c r="C3580" t="s">
        <v>46</v>
      </c>
      <c r="D3580" t="s">
        <v>21</v>
      </c>
      <c r="E3580" t="s">
        <v>493</v>
      </c>
      <c r="F3580" s="1">
        <v>6.54</v>
      </c>
      <c r="G3580">
        <v>1</v>
      </c>
      <c r="H3580" s="1">
        <v>3.0084</v>
      </c>
      <c r="I3580" s="4">
        <f>SalesData[[#This Row],[Profit]]/SalesData[[#This Row],[Sales]]</f>
        <v>0.45999999999999996</v>
      </c>
      <c r="J3580">
        <f>YEAR(SalesData[[#This Row],[Order Date]])</f>
        <v>2014</v>
      </c>
      <c r="K3580" t="str">
        <f>TEXT(SalesData[[#This Row],[Order Date]],"mmm")</f>
        <v>Jun</v>
      </c>
      <c r="L3580">
        <f>MONTH(SalesData[[#This Row],[Order Date]])</f>
        <v>6</v>
      </c>
      <c r="M3580">
        <f>SalesData[[#This Row],[Sales]]/SalesData[[#This Row],[Quantity]]</f>
        <v>6.54</v>
      </c>
      <c r="N3580" t="str">
        <f>IF(SalesData[[#This Row],[Profit]]&gt;0,"Profit","Loss")</f>
        <v>Profit</v>
      </c>
    </row>
    <row r="3581" spans="1:14" x14ac:dyDescent="0.3">
      <c r="A3581" t="s">
        <v>494</v>
      </c>
      <c r="B3581" s="3">
        <v>41792</v>
      </c>
      <c r="C3581" t="s">
        <v>46</v>
      </c>
      <c r="D3581" t="s">
        <v>21</v>
      </c>
      <c r="E3581" t="s">
        <v>495</v>
      </c>
      <c r="F3581" s="1">
        <v>15</v>
      </c>
      <c r="G3581">
        <v>4</v>
      </c>
      <c r="H3581" s="1">
        <v>7.2</v>
      </c>
      <c r="I3581" s="4">
        <f>SalesData[[#This Row],[Profit]]/SalesData[[#This Row],[Sales]]</f>
        <v>0.48000000000000004</v>
      </c>
      <c r="J3581">
        <f>YEAR(SalesData[[#This Row],[Order Date]])</f>
        <v>2014</v>
      </c>
      <c r="K3581" t="str">
        <f>TEXT(SalesData[[#This Row],[Order Date]],"mmm")</f>
        <v>Jun</v>
      </c>
      <c r="L3581">
        <f>MONTH(SalesData[[#This Row],[Order Date]])</f>
        <v>6</v>
      </c>
      <c r="M3581">
        <f>SalesData[[#This Row],[Sales]]/SalesData[[#This Row],[Quantity]]</f>
        <v>3.75</v>
      </c>
      <c r="N3581" t="str">
        <f>IF(SalesData[[#This Row],[Profit]]&gt;0,"Profit","Loss")</f>
        <v>Profit</v>
      </c>
    </row>
    <row r="3582" spans="1:14" x14ac:dyDescent="0.3">
      <c r="A3582" t="s">
        <v>494</v>
      </c>
      <c r="B3582" s="3">
        <v>41792</v>
      </c>
      <c r="C3582" t="s">
        <v>46</v>
      </c>
      <c r="D3582" t="s">
        <v>10</v>
      </c>
      <c r="E3582" t="s">
        <v>496</v>
      </c>
      <c r="F3582" s="1">
        <v>161.61000000000001</v>
      </c>
      <c r="G3582">
        <v>1</v>
      </c>
      <c r="H3582" s="1">
        <v>42.018599999999999</v>
      </c>
      <c r="I3582" s="4">
        <f>SalesData[[#This Row],[Profit]]/SalesData[[#This Row],[Sales]]</f>
        <v>0.25999999999999995</v>
      </c>
      <c r="J3582">
        <f>YEAR(SalesData[[#This Row],[Order Date]])</f>
        <v>2014</v>
      </c>
      <c r="K3582" t="str">
        <f>TEXT(SalesData[[#This Row],[Order Date]],"mmm")</f>
        <v>Jun</v>
      </c>
      <c r="L3582">
        <f>MONTH(SalesData[[#This Row],[Order Date]])</f>
        <v>6</v>
      </c>
      <c r="M3582">
        <f>SalesData[[#This Row],[Sales]]/SalesData[[#This Row],[Quantity]]</f>
        <v>161.61000000000001</v>
      </c>
      <c r="N3582" t="str">
        <f>IF(SalesData[[#This Row],[Profit]]&gt;0,"Profit","Loss")</f>
        <v>Profit</v>
      </c>
    </row>
    <row r="3583" spans="1:14" x14ac:dyDescent="0.3">
      <c r="A3583" t="s">
        <v>494</v>
      </c>
      <c r="B3583" s="3">
        <v>41792</v>
      </c>
      <c r="C3583" t="s">
        <v>46</v>
      </c>
      <c r="D3583" t="s">
        <v>10</v>
      </c>
      <c r="E3583" t="s">
        <v>191</v>
      </c>
      <c r="F3583" s="1">
        <v>144.94999999999999</v>
      </c>
      <c r="G3583">
        <v>5</v>
      </c>
      <c r="H3583" s="1">
        <v>42.035499999999999</v>
      </c>
      <c r="I3583" s="4">
        <f>SalesData[[#This Row],[Profit]]/SalesData[[#This Row],[Sales]]</f>
        <v>0.29000000000000004</v>
      </c>
      <c r="J3583">
        <f>YEAR(SalesData[[#This Row],[Order Date]])</f>
        <v>2014</v>
      </c>
      <c r="K3583" t="str">
        <f>TEXT(SalesData[[#This Row],[Order Date]],"mmm")</f>
        <v>Jun</v>
      </c>
      <c r="L3583">
        <f>MONTH(SalesData[[#This Row],[Order Date]])</f>
        <v>6</v>
      </c>
      <c r="M3583">
        <f>SalesData[[#This Row],[Sales]]/SalesData[[#This Row],[Quantity]]</f>
        <v>28.99</v>
      </c>
      <c r="N3583" t="str">
        <f>IF(SalesData[[#This Row],[Profit]]&gt;0,"Profit","Loss")</f>
        <v>Profit</v>
      </c>
    </row>
    <row r="3584" spans="1:14" x14ac:dyDescent="0.3">
      <c r="A3584" t="s">
        <v>497</v>
      </c>
      <c r="B3584" s="3">
        <v>41792</v>
      </c>
      <c r="C3584" t="s">
        <v>9</v>
      </c>
      <c r="D3584" t="s">
        <v>21</v>
      </c>
      <c r="E3584" t="s">
        <v>498</v>
      </c>
      <c r="F3584" s="1">
        <v>8.952</v>
      </c>
      <c r="G3584">
        <v>2</v>
      </c>
      <c r="H3584" s="1">
        <v>-14.770799999999999</v>
      </c>
      <c r="I3584" s="4">
        <f>SalesData[[#This Row],[Profit]]/SalesData[[#This Row],[Sales]]</f>
        <v>-1.65</v>
      </c>
      <c r="J3584">
        <f>YEAR(SalesData[[#This Row],[Order Date]])</f>
        <v>2014</v>
      </c>
      <c r="K3584" t="str">
        <f>TEXT(SalesData[[#This Row],[Order Date]],"mmm")</f>
        <v>Jun</v>
      </c>
      <c r="L3584">
        <f>MONTH(SalesData[[#This Row],[Order Date]])</f>
        <v>6</v>
      </c>
      <c r="M3584">
        <f>SalesData[[#This Row],[Sales]]/SalesData[[#This Row],[Quantity]]</f>
        <v>4.476</v>
      </c>
      <c r="N3584" t="str">
        <f>IF(SalesData[[#This Row],[Profit]]&gt;0,"Profit","Loss")</f>
        <v>Loss</v>
      </c>
    </row>
    <row r="3585" spans="1:14" x14ac:dyDescent="0.3">
      <c r="A3585" t="s">
        <v>499</v>
      </c>
      <c r="B3585" s="3">
        <v>41794</v>
      </c>
      <c r="C3585" t="s">
        <v>17</v>
      </c>
      <c r="D3585" t="s">
        <v>21</v>
      </c>
      <c r="E3585" t="s">
        <v>475</v>
      </c>
      <c r="F3585" s="1">
        <v>44.91</v>
      </c>
      <c r="G3585">
        <v>6</v>
      </c>
      <c r="H3585" s="1">
        <v>-35.927999999999997</v>
      </c>
      <c r="I3585" s="4">
        <f>SalesData[[#This Row],[Profit]]/SalesData[[#This Row],[Sales]]</f>
        <v>-0.8</v>
      </c>
      <c r="J3585">
        <f>YEAR(SalesData[[#This Row],[Order Date]])</f>
        <v>2014</v>
      </c>
      <c r="K3585" t="str">
        <f>TEXT(SalesData[[#This Row],[Order Date]],"mmm")</f>
        <v>Jun</v>
      </c>
      <c r="L3585">
        <f>MONTH(SalesData[[#This Row],[Order Date]])</f>
        <v>6</v>
      </c>
      <c r="M3585">
        <f>SalesData[[#This Row],[Sales]]/SalesData[[#This Row],[Quantity]]</f>
        <v>7.4849999999999994</v>
      </c>
      <c r="N3585" t="str">
        <f>IF(SalesData[[#This Row],[Profit]]&gt;0,"Profit","Loss")</f>
        <v>Loss</v>
      </c>
    </row>
    <row r="3586" spans="1:14" x14ac:dyDescent="0.3">
      <c r="A3586" t="s">
        <v>500</v>
      </c>
      <c r="B3586" s="3">
        <v>41794</v>
      </c>
      <c r="C3586" t="s">
        <v>17</v>
      </c>
      <c r="D3586" t="s">
        <v>21</v>
      </c>
      <c r="E3586" t="s">
        <v>501</v>
      </c>
      <c r="F3586" s="1">
        <v>10.304</v>
      </c>
      <c r="G3586">
        <v>1</v>
      </c>
      <c r="H3586" s="1">
        <v>-2.1896</v>
      </c>
      <c r="I3586" s="4">
        <f>SalesData[[#This Row],[Profit]]/SalesData[[#This Row],[Sales]]</f>
        <v>-0.21249999999999999</v>
      </c>
      <c r="J3586">
        <f>YEAR(SalesData[[#This Row],[Order Date]])</f>
        <v>2014</v>
      </c>
      <c r="K3586" t="str">
        <f>TEXT(SalesData[[#This Row],[Order Date]],"mmm")</f>
        <v>Jun</v>
      </c>
      <c r="L3586">
        <f>MONTH(SalesData[[#This Row],[Order Date]])</f>
        <v>6</v>
      </c>
      <c r="M3586">
        <f>SalesData[[#This Row],[Sales]]/SalesData[[#This Row],[Quantity]]</f>
        <v>10.304</v>
      </c>
      <c r="N3586" t="str">
        <f>IF(SalesData[[#This Row],[Profit]]&gt;0,"Profit","Loss")</f>
        <v>Loss</v>
      </c>
    </row>
    <row r="3587" spans="1:14" x14ac:dyDescent="0.3">
      <c r="A3587" t="s">
        <v>500</v>
      </c>
      <c r="B3587" s="3">
        <v>41794</v>
      </c>
      <c r="C3587" t="s">
        <v>17</v>
      </c>
      <c r="D3587" t="s">
        <v>14</v>
      </c>
      <c r="E3587" t="s">
        <v>243</v>
      </c>
      <c r="F3587" s="1">
        <v>154.76400000000001</v>
      </c>
      <c r="G3587">
        <v>3</v>
      </c>
      <c r="H3587" s="1">
        <v>-36.111600000000003</v>
      </c>
      <c r="I3587" s="4">
        <f>SalesData[[#This Row],[Profit]]/SalesData[[#This Row],[Sales]]</f>
        <v>-0.23333333333333334</v>
      </c>
      <c r="J3587">
        <f>YEAR(SalesData[[#This Row],[Order Date]])</f>
        <v>2014</v>
      </c>
      <c r="K3587" t="str">
        <f>TEXT(SalesData[[#This Row],[Order Date]],"mmm")</f>
        <v>Jun</v>
      </c>
      <c r="L3587">
        <f>MONTH(SalesData[[#This Row],[Order Date]])</f>
        <v>6</v>
      </c>
      <c r="M3587">
        <f>SalesData[[#This Row],[Sales]]/SalesData[[#This Row],[Quantity]]</f>
        <v>51.588000000000001</v>
      </c>
      <c r="N3587" t="str">
        <f>IF(SalesData[[#This Row],[Profit]]&gt;0,"Profit","Loss")</f>
        <v>Loss</v>
      </c>
    </row>
    <row r="3588" spans="1:14" x14ac:dyDescent="0.3">
      <c r="A3588" t="s">
        <v>500</v>
      </c>
      <c r="B3588" s="3">
        <v>41794</v>
      </c>
      <c r="C3588" t="s">
        <v>17</v>
      </c>
      <c r="D3588" t="s">
        <v>10</v>
      </c>
      <c r="E3588" t="s">
        <v>468</v>
      </c>
      <c r="F3588" s="1">
        <v>116.78400000000001</v>
      </c>
      <c r="G3588">
        <v>2</v>
      </c>
      <c r="H3588" s="1">
        <v>21.896999999999998</v>
      </c>
      <c r="I3588" s="4">
        <f>SalesData[[#This Row],[Profit]]/SalesData[[#This Row],[Sales]]</f>
        <v>0.18749999999999997</v>
      </c>
      <c r="J3588">
        <f>YEAR(SalesData[[#This Row],[Order Date]])</f>
        <v>2014</v>
      </c>
      <c r="K3588" t="str">
        <f>TEXT(SalesData[[#This Row],[Order Date]],"mmm")</f>
        <v>Jun</v>
      </c>
      <c r="L3588">
        <f>MONTH(SalesData[[#This Row],[Order Date]])</f>
        <v>6</v>
      </c>
      <c r="M3588">
        <f>SalesData[[#This Row],[Sales]]/SalesData[[#This Row],[Quantity]]</f>
        <v>58.392000000000003</v>
      </c>
      <c r="N3588" t="str">
        <f>IF(SalesData[[#This Row],[Profit]]&gt;0,"Profit","Loss")</f>
        <v>Profit</v>
      </c>
    </row>
    <row r="3589" spans="1:14" x14ac:dyDescent="0.3">
      <c r="A3589" t="s">
        <v>502</v>
      </c>
      <c r="B3589" s="3">
        <v>41794</v>
      </c>
      <c r="C3589" t="s">
        <v>13</v>
      </c>
      <c r="D3589" t="s">
        <v>14</v>
      </c>
      <c r="E3589" t="s">
        <v>503</v>
      </c>
      <c r="F3589" s="1">
        <v>653.54999999999995</v>
      </c>
      <c r="G3589">
        <v>3</v>
      </c>
      <c r="H3589" s="1">
        <v>111.1035</v>
      </c>
      <c r="I3589" s="4">
        <f>SalesData[[#This Row],[Profit]]/SalesData[[#This Row],[Sales]]</f>
        <v>0.17</v>
      </c>
      <c r="J3589">
        <f>YEAR(SalesData[[#This Row],[Order Date]])</f>
        <v>2014</v>
      </c>
      <c r="K3589" t="str">
        <f>TEXT(SalesData[[#This Row],[Order Date]],"mmm")</f>
        <v>Jun</v>
      </c>
      <c r="L3589">
        <f>MONTH(SalesData[[#This Row],[Order Date]])</f>
        <v>6</v>
      </c>
      <c r="M3589">
        <f>SalesData[[#This Row],[Sales]]/SalesData[[#This Row],[Quantity]]</f>
        <v>217.85</v>
      </c>
      <c r="N3589" t="str">
        <f>IF(SalesData[[#This Row],[Profit]]&gt;0,"Profit","Loss")</f>
        <v>Profit</v>
      </c>
    </row>
    <row r="3590" spans="1:14" x14ac:dyDescent="0.3">
      <c r="A3590" t="s">
        <v>502</v>
      </c>
      <c r="B3590" s="3">
        <v>41794</v>
      </c>
      <c r="C3590" t="s">
        <v>13</v>
      </c>
      <c r="D3590" t="s">
        <v>10</v>
      </c>
      <c r="E3590" t="s">
        <v>504</v>
      </c>
      <c r="F3590" s="1">
        <v>33.9</v>
      </c>
      <c r="G3590">
        <v>2</v>
      </c>
      <c r="H3590" s="1">
        <v>2.0339999999999998</v>
      </c>
      <c r="I3590" s="4">
        <f>SalesData[[#This Row],[Profit]]/SalesData[[#This Row],[Sales]]</f>
        <v>0.06</v>
      </c>
      <c r="J3590">
        <f>YEAR(SalesData[[#This Row],[Order Date]])</f>
        <v>2014</v>
      </c>
      <c r="K3590" t="str">
        <f>TEXT(SalesData[[#This Row],[Order Date]],"mmm")</f>
        <v>Jun</v>
      </c>
      <c r="L3590">
        <f>MONTH(SalesData[[#This Row],[Order Date]])</f>
        <v>6</v>
      </c>
      <c r="M3590">
        <f>SalesData[[#This Row],[Sales]]/SalesData[[#This Row],[Quantity]]</f>
        <v>16.95</v>
      </c>
      <c r="N3590" t="str">
        <f>IF(SalesData[[#This Row],[Profit]]&gt;0,"Profit","Loss")</f>
        <v>Profit</v>
      </c>
    </row>
    <row r="3591" spans="1:14" x14ac:dyDescent="0.3">
      <c r="A3591" t="s">
        <v>505</v>
      </c>
      <c r="B3591" s="3">
        <v>41794</v>
      </c>
      <c r="C3591" t="s">
        <v>13</v>
      </c>
      <c r="D3591" t="s">
        <v>14</v>
      </c>
      <c r="E3591" t="s">
        <v>506</v>
      </c>
      <c r="F3591" s="1">
        <v>91.96</v>
      </c>
      <c r="G3591">
        <v>2</v>
      </c>
      <c r="H3591" s="1">
        <v>15.6332</v>
      </c>
      <c r="I3591" s="4">
        <f>SalesData[[#This Row],[Profit]]/SalesData[[#This Row],[Sales]]</f>
        <v>0.17</v>
      </c>
      <c r="J3591">
        <f>YEAR(SalesData[[#This Row],[Order Date]])</f>
        <v>2014</v>
      </c>
      <c r="K3591" t="str">
        <f>TEXT(SalesData[[#This Row],[Order Date]],"mmm")</f>
        <v>Jun</v>
      </c>
      <c r="L3591">
        <f>MONTH(SalesData[[#This Row],[Order Date]])</f>
        <v>6</v>
      </c>
      <c r="M3591">
        <f>SalesData[[#This Row],[Sales]]/SalesData[[#This Row],[Quantity]]</f>
        <v>45.98</v>
      </c>
      <c r="N3591" t="str">
        <f>IF(SalesData[[#This Row],[Profit]]&gt;0,"Profit","Loss")</f>
        <v>Profit</v>
      </c>
    </row>
    <row r="3592" spans="1:14" x14ac:dyDescent="0.3">
      <c r="A3592" t="s">
        <v>505</v>
      </c>
      <c r="B3592" s="3">
        <v>41794</v>
      </c>
      <c r="C3592" t="s">
        <v>13</v>
      </c>
      <c r="D3592" t="s">
        <v>14</v>
      </c>
      <c r="E3592" t="s">
        <v>507</v>
      </c>
      <c r="F3592" s="1">
        <v>33.11</v>
      </c>
      <c r="G3592">
        <v>7</v>
      </c>
      <c r="H3592" s="1">
        <v>12.9129</v>
      </c>
      <c r="I3592" s="4">
        <f>SalesData[[#This Row],[Profit]]/SalesData[[#This Row],[Sales]]</f>
        <v>0.39</v>
      </c>
      <c r="J3592">
        <f>YEAR(SalesData[[#This Row],[Order Date]])</f>
        <v>2014</v>
      </c>
      <c r="K3592" t="str">
        <f>TEXT(SalesData[[#This Row],[Order Date]],"mmm")</f>
        <v>Jun</v>
      </c>
      <c r="L3592">
        <f>MONTH(SalesData[[#This Row],[Order Date]])</f>
        <v>6</v>
      </c>
      <c r="M3592">
        <f>SalesData[[#This Row],[Sales]]/SalesData[[#This Row],[Quantity]]</f>
        <v>4.7299999999999995</v>
      </c>
      <c r="N3592" t="str">
        <f>IF(SalesData[[#This Row],[Profit]]&gt;0,"Profit","Loss")</f>
        <v>Profit</v>
      </c>
    </row>
    <row r="3593" spans="1:14" x14ac:dyDescent="0.3">
      <c r="A3593" t="s">
        <v>505</v>
      </c>
      <c r="B3593" s="3">
        <v>41794</v>
      </c>
      <c r="C3593" t="s">
        <v>13</v>
      </c>
      <c r="D3593" t="s">
        <v>21</v>
      </c>
      <c r="E3593" t="s">
        <v>508</v>
      </c>
      <c r="F3593" s="1">
        <v>19.440000000000001</v>
      </c>
      <c r="G3593">
        <v>3</v>
      </c>
      <c r="H3593" s="1">
        <v>9.3312000000000008</v>
      </c>
      <c r="I3593" s="4">
        <f>SalesData[[#This Row],[Profit]]/SalesData[[#This Row],[Sales]]</f>
        <v>0.48000000000000004</v>
      </c>
      <c r="J3593">
        <f>YEAR(SalesData[[#This Row],[Order Date]])</f>
        <v>2014</v>
      </c>
      <c r="K3593" t="str">
        <f>TEXT(SalesData[[#This Row],[Order Date]],"mmm")</f>
        <v>Jun</v>
      </c>
      <c r="L3593">
        <f>MONTH(SalesData[[#This Row],[Order Date]])</f>
        <v>6</v>
      </c>
      <c r="M3593">
        <f>SalesData[[#This Row],[Sales]]/SalesData[[#This Row],[Quantity]]</f>
        <v>6.48</v>
      </c>
      <c r="N3593" t="str">
        <f>IF(SalesData[[#This Row],[Profit]]&gt;0,"Profit","Loss")</f>
        <v>Profit</v>
      </c>
    </row>
    <row r="3594" spans="1:14" x14ac:dyDescent="0.3">
      <c r="A3594" t="s">
        <v>505</v>
      </c>
      <c r="B3594" s="3">
        <v>41794</v>
      </c>
      <c r="C3594" t="s">
        <v>13</v>
      </c>
      <c r="D3594" t="s">
        <v>21</v>
      </c>
      <c r="E3594" t="s">
        <v>341</v>
      </c>
      <c r="F3594" s="1">
        <v>55.48</v>
      </c>
      <c r="G3594">
        <v>1</v>
      </c>
      <c r="H3594" s="1">
        <v>26.630400000000002</v>
      </c>
      <c r="I3594" s="4">
        <f>SalesData[[#This Row],[Profit]]/SalesData[[#This Row],[Sales]]</f>
        <v>0.48000000000000004</v>
      </c>
      <c r="J3594">
        <f>YEAR(SalesData[[#This Row],[Order Date]])</f>
        <v>2014</v>
      </c>
      <c r="K3594" t="str">
        <f>TEXT(SalesData[[#This Row],[Order Date]],"mmm")</f>
        <v>Jun</v>
      </c>
      <c r="L3594">
        <f>MONTH(SalesData[[#This Row],[Order Date]])</f>
        <v>6</v>
      </c>
      <c r="M3594">
        <f>SalesData[[#This Row],[Sales]]/SalesData[[#This Row],[Quantity]]</f>
        <v>55.48</v>
      </c>
      <c r="N3594" t="str">
        <f>IF(SalesData[[#This Row],[Profit]]&gt;0,"Profit","Loss")</f>
        <v>Profit</v>
      </c>
    </row>
    <row r="3595" spans="1:14" x14ac:dyDescent="0.3">
      <c r="A3595" t="s">
        <v>509</v>
      </c>
      <c r="B3595" s="3">
        <v>41794</v>
      </c>
      <c r="C3595" t="s">
        <v>13</v>
      </c>
      <c r="D3595" t="s">
        <v>21</v>
      </c>
      <c r="E3595" t="s">
        <v>330</v>
      </c>
      <c r="F3595" s="1">
        <v>70.95</v>
      </c>
      <c r="G3595">
        <v>3</v>
      </c>
      <c r="H3595" s="1">
        <v>18.446999999999999</v>
      </c>
      <c r="I3595" s="4">
        <f>SalesData[[#This Row],[Profit]]/SalesData[[#This Row],[Sales]]</f>
        <v>0.25999999999999995</v>
      </c>
      <c r="J3595">
        <f>YEAR(SalesData[[#This Row],[Order Date]])</f>
        <v>2014</v>
      </c>
      <c r="K3595" t="str">
        <f>TEXT(SalesData[[#This Row],[Order Date]],"mmm")</f>
        <v>Jun</v>
      </c>
      <c r="L3595">
        <f>MONTH(SalesData[[#This Row],[Order Date]])</f>
        <v>6</v>
      </c>
      <c r="M3595">
        <f>SalesData[[#This Row],[Sales]]/SalesData[[#This Row],[Quantity]]</f>
        <v>23.650000000000002</v>
      </c>
      <c r="N3595" t="str">
        <f>IF(SalesData[[#This Row],[Profit]]&gt;0,"Profit","Loss")</f>
        <v>Profit</v>
      </c>
    </row>
    <row r="3596" spans="1:14" x14ac:dyDescent="0.3">
      <c r="A3596" t="s">
        <v>509</v>
      </c>
      <c r="B3596" s="3">
        <v>41794</v>
      </c>
      <c r="C3596" t="s">
        <v>13</v>
      </c>
      <c r="D3596" t="s">
        <v>21</v>
      </c>
      <c r="E3596" t="s">
        <v>510</v>
      </c>
      <c r="F3596" s="1">
        <v>65.567999999999998</v>
      </c>
      <c r="G3596">
        <v>2</v>
      </c>
      <c r="H3596" s="1">
        <v>23.7684</v>
      </c>
      <c r="I3596" s="4">
        <f>SalesData[[#This Row],[Profit]]/SalesData[[#This Row],[Sales]]</f>
        <v>0.36249999999999999</v>
      </c>
      <c r="J3596">
        <f>YEAR(SalesData[[#This Row],[Order Date]])</f>
        <v>2014</v>
      </c>
      <c r="K3596" t="str">
        <f>TEXT(SalesData[[#This Row],[Order Date]],"mmm")</f>
        <v>Jun</v>
      </c>
      <c r="L3596">
        <f>MONTH(SalesData[[#This Row],[Order Date]])</f>
        <v>6</v>
      </c>
      <c r="M3596">
        <f>SalesData[[#This Row],[Sales]]/SalesData[[#This Row],[Quantity]]</f>
        <v>32.783999999999999</v>
      </c>
      <c r="N3596" t="str">
        <f>IF(SalesData[[#This Row],[Profit]]&gt;0,"Profit","Loss")</f>
        <v>Profit</v>
      </c>
    </row>
    <row r="3597" spans="1:14" x14ac:dyDescent="0.3">
      <c r="A3597" t="s">
        <v>509</v>
      </c>
      <c r="B3597" s="3">
        <v>41794</v>
      </c>
      <c r="C3597" t="s">
        <v>13</v>
      </c>
      <c r="D3597" t="s">
        <v>10</v>
      </c>
      <c r="E3597" t="s">
        <v>189</v>
      </c>
      <c r="F3597" s="1">
        <v>299.97000000000003</v>
      </c>
      <c r="G3597">
        <v>3</v>
      </c>
      <c r="H3597" s="1">
        <v>131.98679999999999</v>
      </c>
      <c r="I3597" s="4">
        <f>SalesData[[#This Row],[Profit]]/SalesData[[#This Row],[Sales]]</f>
        <v>0.43999999999999995</v>
      </c>
      <c r="J3597">
        <f>YEAR(SalesData[[#This Row],[Order Date]])</f>
        <v>2014</v>
      </c>
      <c r="K3597" t="str">
        <f>TEXT(SalesData[[#This Row],[Order Date]],"mmm")</f>
        <v>Jun</v>
      </c>
      <c r="L3597">
        <f>MONTH(SalesData[[#This Row],[Order Date]])</f>
        <v>6</v>
      </c>
      <c r="M3597">
        <f>SalesData[[#This Row],[Sales]]/SalesData[[#This Row],[Quantity]]</f>
        <v>99.990000000000009</v>
      </c>
      <c r="N3597" t="str">
        <f>IF(SalesData[[#This Row],[Profit]]&gt;0,"Profit","Loss")</f>
        <v>Profit</v>
      </c>
    </row>
    <row r="3598" spans="1:14" x14ac:dyDescent="0.3">
      <c r="A3598" t="s">
        <v>511</v>
      </c>
      <c r="B3598" s="3">
        <v>41795</v>
      </c>
      <c r="C3598" t="s">
        <v>13</v>
      </c>
      <c r="D3598" t="s">
        <v>21</v>
      </c>
      <c r="E3598" t="s">
        <v>459</v>
      </c>
      <c r="F3598" s="1">
        <v>140.73599999999999</v>
      </c>
      <c r="G3598">
        <v>8</v>
      </c>
      <c r="H3598" s="1">
        <v>52.776000000000003</v>
      </c>
      <c r="I3598" s="4">
        <f>SalesData[[#This Row],[Profit]]/SalesData[[#This Row],[Sales]]</f>
        <v>0.37500000000000006</v>
      </c>
      <c r="J3598">
        <f>YEAR(SalesData[[#This Row],[Order Date]])</f>
        <v>2014</v>
      </c>
      <c r="K3598" t="str">
        <f>TEXT(SalesData[[#This Row],[Order Date]],"mmm")</f>
        <v>Jun</v>
      </c>
      <c r="L3598">
        <f>MONTH(SalesData[[#This Row],[Order Date]])</f>
        <v>6</v>
      </c>
      <c r="M3598">
        <f>SalesData[[#This Row],[Sales]]/SalesData[[#This Row],[Quantity]]</f>
        <v>17.591999999999999</v>
      </c>
      <c r="N3598" t="str">
        <f>IF(SalesData[[#This Row],[Profit]]&gt;0,"Profit","Loss")</f>
        <v>Profit</v>
      </c>
    </row>
    <row r="3599" spans="1:14" x14ac:dyDescent="0.3">
      <c r="A3599" t="s">
        <v>512</v>
      </c>
      <c r="B3599" s="3">
        <v>41795</v>
      </c>
      <c r="C3599" t="s">
        <v>13</v>
      </c>
      <c r="D3599" t="s">
        <v>21</v>
      </c>
      <c r="E3599" t="s">
        <v>513</v>
      </c>
      <c r="F3599" s="1">
        <v>5.78</v>
      </c>
      <c r="G3599">
        <v>2</v>
      </c>
      <c r="H3599" s="1">
        <v>2.7166000000000001</v>
      </c>
      <c r="I3599" s="4">
        <f>SalesData[[#This Row],[Profit]]/SalesData[[#This Row],[Sales]]</f>
        <v>0.47000000000000003</v>
      </c>
      <c r="J3599">
        <f>YEAR(SalesData[[#This Row],[Order Date]])</f>
        <v>2014</v>
      </c>
      <c r="K3599" t="str">
        <f>TEXT(SalesData[[#This Row],[Order Date]],"mmm")</f>
        <v>Jun</v>
      </c>
      <c r="L3599">
        <f>MONTH(SalesData[[#This Row],[Order Date]])</f>
        <v>6</v>
      </c>
      <c r="M3599">
        <f>SalesData[[#This Row],[Sales]]/SalesData[[#This Row],[Quantity]]</f>
        <v>2.89</v>
      </c>
      <c r="N3599" t="str">
        <f>IF(SalesData[[#This Row],[Profit]]&gt;0,"Profit","Loss")</f>
        <v>Profit</v>
      </c>
    </row>
    <row r="3600" spans="1:14" x14ac:dyDescent="0.3">
      <c r="A3600" t="s">
        <v>512</v>
      </c>
      <c r="B3600" s="3">
        <v>41795</v>
      </c>
      <c r="C3600" t="s">
        <v>13</v>
      </c>
      <c r="D3600" t="s">
        <v>21</v>
      </c>
      <c r="E3600" t="s">
        <v>77</v>
      </c>
      <c r="F3600" s="1">
        <v>107.94</v>
      </c>
      <c r="G3600">
        <v>6</v>
      </c>
      <c r="H3600" s="1">
        <v>30.223199999999999</v>
      </c>
      <c r="I3600" s="4">
        <f>SalesData[[#This Row],[Profit]]/SalesData[[#This Row],[Sales]]</f>
        <v>0.27999999999999997</v>
      </c>
      <c r="J3600">
        <f>YEAR(SalesData[[#This Row],[Order Date]])</f>
        <v>2014</v>
      </c>
      <c r="K3600" t="str">
        <f>TEXT(SalesData[[#This Row],[Order Date]],"mmm")</f>
        <v>Jun</v>
      </c>
      <c r="L3600">
        <f>MONTH(SalesData[[#This Row],[Order Date]])</f>
        <v>6</v>
      </c>
      <c r="M3600">
        <f>SalesData[[#This Row],[Sales]]/SalesData[[#This Row],[Quantity]]</f>
        <v>17.989999999999998</v>
      </c>
      <c r="N3600" t="str">
        <f>IF(SalesData[[#This Row],[Profit]]&gt;0,"Profit","Loss")</f>
        <v>Profit</v>
      </c>
    </row>
    <row r="3601" spans="1:14" x14ac:dyDescent="0.3">
      <c r="A3601" t="s">
        <v>514</v>
      </c>
      <c r="B3601" s="3">
        <v>41796</v>
      </c>
      <c r="C3601" t="s">
        <v>17</v>
      </c>
      <c r="D3601" t="s">
        <v>21</v>
      </c>
      <c r="E3601" t="s">
        <v>515</v>
      </c>
      <c r="F3601" s="1">
        <v>13.36</v>
      </c>
      <c r="G3601">
        <v>2</v>
      </c>
      <c r="H3601" s="1">
        <v>4.9432</v>
      </c>
      <c r="I3601" s="4">
        <f>SalesData[[#This Row],[Profit]]/SalesData[[#This Row],[Sales]]</f>
        <v>0.37</v>
      </c>
      <c r="J3601">
        <f>YEAR(SalesData[[#This Row],[Order Date]])</f>
        <v>2014</v>
      </c>
      <c r="K3601" t="str">
        <f>TEXT(SalesData[[#This Row],[Order Date]],"mmm")</f>
        <v>Jun</v>
      </c>
      <c r="L3601">
        <f>MONTH(SalesData[[#This Row],[Order Date]])</f>
        <v>6</v>
      </c>
      <c r="M3601">
        <f>SalesData[[#This Row],[Sales]]/SalesData[[#This Row],[Quantity]]</f>
        <v>6.68</v>
      </c>
      <c r="N3601" t="str">
        <f>IF(SalesData[[#This Row],[Profit]]&gt;0,"Profit","Loss")</f>
        <v>Profit</v>
      </c>
    </row>
    <row r="3602" spans="1:14" x14ac:dyDescent="0.3">
      <c r="A3602" t="s">
        <v>516</v>
      </c>
      <c r="B3602" s="3">
        <v>41796</v>
      </c>
      <c r="C3602" t="s">
        <v>17</v>
      </c>
      <c r="D3602" t="s">
        <v>21</v>
      </c>
      <c r="E3602" t="s">
        <v>517</v>
      </c>
      <c r="F3602" s="1">
        <v>149.54400000000001</v>
      </c>
      <c r="G3602">
        <v>9</v>
      </c>
      <c r="H3602" s="1">
        <v>50.4711</v>
      </c>
      <c r="I3602" s="4">
        <f>SalesData[[#This Row],[Profit]]/SalesData[[#This Row],[Sales]]</f>
        <v>0.33749999999999997</v>
      </c>
      <c r="J3602">
        <f>YEAR(SalesData[[#This Row],[Order Date]])</f>
        <v>2014</v>
      </c>
      <c r="K3602" t="str">
        <f>TEXT(SalesData[[#This Row],[Order Date]],"mmm")</f>
        <v>Jun</v>
      </c>
      <c r="L3602">
        <f>MONTH(SalesData[[#This Row],[Order Date]])</f>
        <v>6</v>
      </c>
      <c r="M3602">
        <f>SalesData[[#This Row],[Sales]]/SalesData[[#This Row],[Quantity]]</f>
        <v>16.616</v>
      </c>
      <c r="N3602" t="str">
        <f>IF(SalesData[[#This Row],[Profit]]&gt;0,"Profit","Loss")</f>
        <v>Profit</v>
      </c>
    </row>
    <row r="3603" spans="1:14" x14ac:dyDescent="0.3">
      <c r="A3603" t="s">
        <v>516</v>
      </c>
      <c r="B3603" s="3">
        <v>41796</v>
      </c>
      <c r="C3603" t="s">
        <v>17</v>
      </c>
      <c r="D3603" t="s">
        <v>21</v>
      </c>
      <c r="E3603" t="s">
        <v>518</v>
      </c>
      <c r="F3603" s="1">
        <v>17.14</v>
      </c>
      <c r="G3603">
        <v>2</v>
      </c>
      <c r="H3603" s="1">
        <v>4.4564000000000004</v>
      </c>
      <c r="I3603" s="4">
        <f>SalesData[[#This Row],[Profit]]/SalesData[[#This Row],[Sales]]</f>
        <v>0.26</v>
      </c>
      <c r="J3603">
        <f>YEAR(SalesData[[#This Row],[Order Date]])</f>
        <v>2014</v>
      </c>
      <c r="K3603" t="str">
        <f>TEXT(SalesData[[#This Row],[Order Date]],"mmm")</f>
        <v>Jun</v>
      </c>
      <c r="L3603">
        <f>MONTH(SalesData[[#This Row],[Order Date]])</f>
        <v>6</v>
      </c>
      <c r="M3603">
        <f>SalesData[[#This Row],[Sales]]/SalesData[[#This Row],[Quantity]]</f>
        <v>8.57</v>
      </c>
      <c r="N3603" t="str">
        <f>IF(SalesData[[#This Row],[Profit]]&gt;0,"Profit","Loss")</f>
        <v>Profit</v>
      </c>
    </row>
    <row r="3604" spans="1:14" x14ac:dyDescent="0.3">
      <c r="A3604" t="s">
        <v>516</v>
      </c>
      <c r="B3604" s="3">
        <v>41796</v>
      </c>
      <c r="C3604" t="s">
        <v>17</v>
      </c>
      <c r="D3604" t="s">
        <v>14</v>
      </c>
      <c r="E3604" t="s">
        <v>519</v>
      </c>
      <c r="F3604" s="1">
        <v>991.76400000000001</v>
      </c>
      <c r="G3604">
        <v>3</v>
      </c>
      <c r="H3604" s="1">
        <v>-347.11739999999998</v>
      </c>
      <c r="I3604" s="4">
        <f>SalesData[[#This Row],[Profit]]/SalesData[[#This Row],[Sales]]</f>
        <v>-0.35</v>
      </c>
      <c r="J3604">
        <f>YEAR(SalesData[[#This Row],[Order Date]])</f>
        <v>2014</v>
      </c>
      <c r="K3604" t="str">
        <f>TEXT(SalesData[[#This Row],[Order Date]],"mmm")</f>
        <v>Jun</v>
      </c>
      <c r="L3604">
        <f>MONTH(SalesData[[#This Row],[Order Date]])</f>
        <v>6</v>
      </c>
      <c r="M3604">
        <f>SalesData[[#This Row],[Sales]]/SalesData[[#This Row],[Quantity]]</f>
        <v>330.58800000000002</v>
      </c>
      <c r="N3604" t="str">
        <f>IF(SalesData[[#This Row],[Profit]]&gt;0,"Profit","Loss")</f>
        <v>Loss</v>
      </c>
    </row>
    <row r="3605" spans="1:14" x14ac:dyDescent="0.3">
      <c r="A3605" t="s">
        <v>520</v>
      </c>
      <c r="B3605" s="3">
        <v>41796</v>
      </c>
      <c r="C3605" t="s">
        <v>9</v>
      </c>
      <c r="D3605" t="s">
        <v>21</v>
      </c>
      <c r="E3605" t="s">
        <v>510</v>
      </c>
      <c r="F3605" s="1">
        <v>24.588000000000001</v>
      </c>
      <c r="G3605">
        <v>3</v>
      </c>
      <c r="H3605" s="1">
        <v>-38.111400000000003</v>
      </c>
      <c r="I3605" s="4">
        <f>SalesData[[#This Row],[Profit]]/SalesData[[#This Row],[Sales]]</f>
        <v>-1.55</v>
      </c>
      <c r="J3605">
        <f>YEAR(SalesData[[#This Row],[Order Date]])</f>
        <v>2014</v>
      </c>
      <c r="K3605" t="str">
        <f>TEXT(SalesData[[#This Row],[Order Date]],"mmm")</f>
        <v>Jun</v>
      </c>
      <c r="L3605">
        <f>MONTH(SalesData[[#This Row],[Order Date]])</f>
        <v>6</v>
      </c>
      <c r="M3605">
        <f>SalesData[[#This Row],[Sales]]/SalesData[[#This Row],[Quantity]]</f>
        <v>8.1959999999999997</v>
      </c>
      <c r="N3605" t="str">
        <f>IF(SalesData[[#This Row],[Profit]]&gt;0,"Profit","Loss")</f>
        <v>Loss</v>
      </c>
    </row>
    <row r="3606" spans="1:14" x14ac:dyDescent="0.3">
      <c r="A3606" t="s">
        <v>520</v>
      </c>
      <c r="B3606" s="3">
        <v>41796</v>
      </c>
      <c r="C3606" t="s">
        <v>9</v>
      </c>
      <c r="D3606" t="s">
        <v>21</v>
      </c>
      <c r="E3606" t="s">
        <v>521</v>
      </c>
      <c r="F3606" s="1">
        <v>13.984</v>
      </c>
      <c r="G3606">
        <v>2</v>
      </c>
      <c r="H3606" s="1">
        <v>4.7195999999999998</v>
      </c>
      <c r="I3606" s="4">
        <f>SalesData[[#This Row],[Profit]]/SalesData[[#This Row],[Sales]]</f>
        <v>0.33749999999999997</v>
      </c>
      <c r="J3606">
        <f>YEAR(SalesData[[#This Row],[Order Date]])</f>
        <v>2014</v>
      </c>
      <c r="K3606" t="str">
        <f>TEXT(SalesData[[#This Row],[Order Date]],"mmm")</f>
        <v>Jun</v>
      </c>
      <c r="L3606">
        <f>MONTH(SalesData[[#This Row],[Order Date]])</f>
        <v>6</v>
      </c>
      <c r="M3606">
        <f>SalesData[[#This Row],[Sales]]/SalesData[[#This Row],[Quantity]]</f>
        <v>6.992</v>
      </c>
      <c r="N3606" t="str">
        <f>IF(SalesData[[#This Row],[Profit]]&gt;0,"Profit","Loss")</f>
        <v>Profit</v>
      </c>
    </row>
    <row r="3607" spans="1:14" x14ac:dyDescent="0.3">
      <c r="A3607" t="s">
        <v>522</v>
      </c>
      <c r="B3607" s="3">
        <v>41796</v>
      </c>
      <c r="C3607" t="s">
        <v>9</v>
      </c>
      <c r="D3607" t="s">
        <v>21</v>
      </c>
      <c r="E3607" t="s">
        <v>523</v>
      </c>
      <c r="F3607" s="1">
        <v>100.24</v>
      </c>
      <c r="G3607">
        <v>10</v>
      </c>
      <c r="H3607" s="1">
        <v>33.831000000000003</v>
      </c>
      <c r="I3607" s="4">
        <f>SalesData[[#This Row],[Profit]]/SalesData[[#This Row],[Sales]]</f>
        <v>0.33750000000000002</v>
      </c>
      <c r="J3607">
        <f>YEAR(SalesData[[#This Row],[Order Date]])</f>
        <v>2014</v>
      </c>
      <c r="K3607" t="str">
        <f>TEXT(SalesData[[#This Row],[Order Date]],"mmm")</f>
        <v>Jun</v>
      </c>
      <c r="L3607">
        <f>MONTH(SalesData[[#This Row],[Order Date]])</f>
        <v>6</v>
      </c>
      <c r="M3607">
        <f>SalesData[[#This Row],[Sales]]/SalesData[[#This Row],[Quantity]]</f>
        <v>10.023999999999999</v>
      </c>
      <c r="N3607" t="str">
        <f>IF(SalesData[[#This Row],[Profit]]&gt;0,"Profit","Loss")</f>
        <v>Profit</v>
      </c>
    </row>
    <row r="3608" spans="1:14" x14ac:dyDescent="0.3">
      <c r="A3608" t="s">
        <v>524</v>
      </c>
      <c r="B3608" s="3">
        <v>41796</v>
      </c>
      <c r="C3608" t="s">
        <v>46</v>
      </c>
      <c r="D3608" t="s">
        <v>21</v>
      </c>
      <c r="E3608" t="s">
        <v>525</v>
      </c>
      <c r="F3608" s="1">
        <v>1.365</v>
      </c>
      <c r="G3608">
        <v>1</v>
      </c>
      <c r="H3608" s="1">
        <v>-0.91</v>
      </c>
      <c r="I3608" s="4">
        <f>SalesData[[#This Row],[Profit]]/SalesData[[#This Row],[Sales]]</f>
        <v>-0.66666666666666674</v>
      </c>
      <c r="J3608">
        <f>YEAR(SalesData[[#This Row],[Order Date]])</f>
        <v>2014</v>
      </c>
      <c r="K3608" t="str">
        <f>TEXT(SalesData[[#This Row],[Order Date]],"mmm")</f>
        <v>Jun</v>
      </c>
      <c r="L3608">
        <f>MONTH(SalesData[[#This Row],[Order Date]])</f>
        <v>6</v>
      </c>
      <c r="M3608">
        <f>SalesData[[#This Row],[Sales]]/SalesData[[#This Row],[Quantity]]</f>
        <v>1.365</v>
      </c>
      <c r="N3608" t="str">
        <f>IF(SalesData[[#This Row],[Profit]]&gt;0,"Profit","Loss")</f>
        <v>Loss</v>
      </c>
    </row>
    <row r="3609" spans="1:14" x14ac:dyDescent="0.3">
      <c r="A3609" t="s">
        <v>524</v>
      </c>
      <c r="B3609" s="3">
        <v>41796</v>
      </c>
      <c r="C3609" t="s">
        <v>46</v>
      </c>
      <c r="D3609" t="s">
        <v>21</v>
      </c>
      <c r="E3609" t="s">
        <v>526</v>
      </c>
      <c r="F3609" s="1">
        <v>62.015999999999998</v>
      </c>
      <c r="G3609">
        <v>2</v>
      </c>
      <c r="H3609" s="1">
        <v>22.480799999999999</v>
      </c>
      <c r="I3609" s="4">
        <f>SalesData[[#This Row],[Profit]]/SalesData[[#This Row],[Sales]]</f>
        <v>0.36249999999999999</v>
      </c>
      <c r="J3609">
        <f>YEAR(SalesData[[#This Row],[Order Date]])</f>
        <v>2014</v>
      </c>
      <c r="K3609" t="str">
        <f>TEXT(SalesData[[#This Row],[Order Date]],"mmm")</f>
        <v>Jun</v>
      </c>
      <c r="L3609">
        <f>MONTH(SalesData[[#This Row],[Order Date]])</f>
        <v>6</v>
      </c>
      <c r="M3609">
        <f>SalesData[[#This Row],[Sales]]/SalesData[[#This Row],[Quantity]]</f>
        <v>31.007999999999999</v>
      </c>
      <c r="N3609" t="str">
        <f>IF(SalesData[[#This Row],[Profit]]&gt;0,"Profit","Loss")</f>
        <v>Profit</v>
      </c>
    </row>
    <row r="3610" spans="1:14" x14ac:dyDescent="0.3">
      <c r="A3610" t="s">
        <v>527</v>
      </c>
      <c r="B3610" s="3">
        <v>41797</v>
      </c>
      <c r="C3610" t="s">
        <v>17</v>
      </c>
      <c r="D3610" t="s">
        <v>10</v>
      </c>
      <c r="E3610" t="s">
        <v>528</v>
      </c>
      <c r="F3610" s="1">
        <v>559.99199999999996</v>
      </c>
      <c r="G3610">
        <v>1</v>
      </c>
      <c r="H3610" s="1">
        <v>174.9975</v>
      </c>
      <c r="I3610" s="4">
        <f>SalesData[[#This Row],[Profit]]/SalesData[[#This Row],[Sales]]</f>
        <v>0.3125</v>
      </c>
      <c r="J3610">
        <f>YEAR(SalesData[[#This Row],[Order Date]])</f>
        <v>2014</v>
      </c>
      <c r="K3610" t="str">
        <f>TEXT(SalesData[[#This Row],[Order Date]],"mmm")</f>
        <v>Jun</v>
      </c>
      <c r="L3610">
        <f>MONTH(SalesData[[#This Row],[Order Date]])</f>
        <v>6</v>
      </c>
      <c r="M3610">
        <f>SalesData[[#This Row],[Sales]]/SalesData[[#This Row],[Quantity]]</f>
        <v>559.99199999999996</v>
      </c>
      <c r="N3610" t="str">
        <f>IF(SalesData[[#This Row],[Profit]]&gt;0,"Profit","Loss")</f>
        <v>Profit</v>
      </c>
    </row>
    <row r="3611" spans="1:14" x14ac:dyDescent="0.3">
      <c r="A3611" t="s">
        <v>529</v>
      </c>
      <c r="B3611" s="3">
        <v>41797</v>
      </c>
      <c r="C3611" t="s">
        <v>13</v>
      </c>
      <c r="D3611" t="s">
        <v>14</v>
      </c>
      <c r="E3611" t="s">
        <v>530</v>
      </c>
      <c r="F3611" s="1">
        <v>478.48</v>
      </c>
      <c r="G3611">
        <v>2</v>
      </c>
      <c r="H3611" s="1">
        <v>47.847999999999999</v>
      </c>
      <c r="I3611" s="4">
        <f>SalesData[[#This Row],[Profit]]/SalesData[[#This Row],[Sales]]</f>
        <v>9.9999999999999992E-2</v>
      </c>
      <c r="J3611">
        <f>YEAR(SalesData[[#This Row],[Order Date]])</f>
        <v>2014</v>
      </c>
      <c r="K3611" t="str">
        <f>TEXT(SalesData[[#This Row],[Order Date]],"mmm")</f>
        <v>Jun</v>
      </c>
      <c r="L3611">
        <f>MONTH(SalesData[[#This Row],[Order Date]])</f>
        <v>6</v>
      </c>
      <c r="M3611">
        <f>SalesData[[#This Row],[Sales]]/SalesData[[#This Row],[Quantity]]</f>
        <v>239.24</v>
      </c>
      <c r="N3611" t="str">
        <f>IF(SalesData[[#This Row],[Profit]]&gt;0,"Profit","Loss")</f>
        <v>Profit</v>
      </c>
    </row>
    <row r="3612" spans="1:14" x14ac:dyDescent="0.3">
      <c r="A3612" t="s">
        <v>531</v>
      </c>
      <c r="B3612" s="3">
        <v>41798</v>
      </c>
      <c r="C3612" t="s">
        <v>46</v>
      </c>
      <c r="D3612" t="s">
        <v>10</v>
      </c>
      <c r="E3612" t="s">
        <v>194</v>
      </c>
      <c r="F3612" s="1">
        <v>62.91</v>
      </c>
      <c r="G3612">
        <v>3</v>
      </c>
      <c r="H3612" s="1">
        <v>22.647600000000001</v>
      </c>
      <c r="I3612" s="4">
        <f>SalesData[[#This Row],[Profit]]/SalesData[[#This Row],[Sales]]</f>
        <v>0.36000000000000004</v>
      </c>
      <c r="J3612">
        <f>YEAR(SalesData[[#This Row],[Order Date]])</f>
        <v>2014</v>
      </c>
      <c r="K3612" t="str">
        <f>TEXT(SalesData[[#This Row],[Order Date]],"mmm")</f>
        <v>Jun</v>
      </c>
      <c r="L3612">
        <f>MONTH(SalesData[[#This Row],[Order Date]])</f>
        <v>6</v>
      </c>
      <c r="M3612">
        <f>SalesData[[#This Row],[Sales]]/SalesData[[#This Row],[Quantity]]</f>
        <v>20.97</v>
      </c>
      <c r="N3612" t="str">
        <f>IF(SalesData[[#This Row],[Profit]]&gt;0,"Profit","Loss")</f>
        <v>Profit</v>
      </c>
    </row>
    <row r="3613" spans="1:14" x14ac:dyDescent="0.3">
      <c r="A3613" t="s">
        <v>532</v>
      </c>
      <c r="B3613" s="3">
        <v>41798</v>
      </c>
      <c r="C3613" t="s">
        <v>17</v>
      </c>
      <c r="D3613" t="s">
        <v>10</v>
      </c>
      <c r="E3613" t="s">
        <v>533</v>
      </c>
      <c r="F3613" s="1">
        <v>199.98</v>
      </c>
      <c r="G3613">
        <v>2</v>
      </c>
      <c r="H3613" s="1">
        <v>83.991600000000005</v>
      </c>
      <c r="I3613" s="4">
        <f>SalesData[[#This Row],[Profit]]/SalesData[[#This Row],[Sales]]</f>
        <v>0.42000000000000004</v>
      </c>
      <c r="J3613">
        <f>YEAR(SalesData[[#This Row],[Order Date]])</f>
        <v>2014</v>
      </c>
      <c r="K3613" t="str">
        <f>TEXT(SalesData[[#This Row],[Order Date]],"mmm")</f>
        <v>Jun</v>
      </c>
      <c r="L3613">
        <f>MONTH(SalesData[[#This Row],[Order Date]])</f>
        <v>6</v>
      </c>
      <c r="M3613">
        <f>SalesData[[#This Row],[Sales]]/SalesData[[#This Row],[Quantity]]</f>
        <v>99.99</v>
      </c>
      <c r="N3613" t="str">
        <f>IF(SalesData[[#This Row],[Profit]]&gt;0,"Profit","Loss")</f>
        <v>Profit</v>
      </c>
    </row>
    <row r="3614" spans="1:14" x14ac:dyDescent="0.3">
      <c r="A3614" t="s">
        <v>534</v>
      </c>
      <c r="B3614" s="3">
        <v>41799</v>
      </c>
      <c r="C3614" t="s">
        <v>13</v>
      </c>
      <c r="D3614" t="s">
        <v>14</v>
      </c>
      <c r="E3614" t="s">
        <v>535</v>
      </c>
      <c r="F3614" s="1">
        <v>41.88</v>
      </c>
      <c r="G3614">
        <v>6</v>
      </c>
      <c r="H3614" s="1">
        <v>12.145200000000001</v>
      </c>
      <c r="I3614" s="4">
        <f>SalesData[[#This Row],[Profit]]/SalesData[[#This Row],[Sales]]</f>
        <v>0.28999999999999998</v>
      </c>
      <c r="J3614">
        <f>YEAR(SalesData[[#This Row],[Order Date]])</f>
        <v>2014</v>
      </c>
      <c r="K3614" t="str">
        <f>TEXT(SalesData[[#This Row],[Order Date]],"mmm")</f>
        <v>Jun</v>
      </c>
      <c r="L3614">
        <f>MONTH(SalesData[[#This Row],[Order Date]])</f>
        <v>6</v>
      </c>
      <c r="M3614">
        <f>SalesData[[#This Row],[Sales]]/SalesData[[#This Row],[Quantity]]</f>
        <v>6.98</v>
      </c>
      <c r="N3614" t="str">
        <f>IF(SalesData[[#This Row],[Profit]]&gt;0,"Profit","Loss")</f>
        <v>Profit</v>
      </c>
    </row>
    <row r="3615" spans="1:14" x14ac:dyDescent="0.3">
      <c r="A3615" t="s">
        <v>534</v>
      </c>
      <c r="B3615" s="3">
        <v>41799</v>
      </c>
      <c r="C3615" t="s">
        <v>13</v>
      </c>
      <c r="D3615" t="s">
        <v>21</v>
      </c>
      <c r="E3615" t="s">
        <v>418</v>
      </c>
      <c r="F3615" s="1">
        <v>58.48</v>
      </c>
      <c r="G3615">
        <v>8</v>
      </c>
      <c r="H3615" s="1">
        <v>27.485600000000002</v>
      </c>
      <c r="I3615" s="4">
        <f>SalesData[[#This Row],[Profit]]/SalesData[[#This Row],[Sales]]</f>
        <v>0.47000000000000003</v>
      </c>
      <c r="J3615">
        <f>YEAR(SalesData[[#This Row],[Order Date]])</f>
        <v>2014</v>
      </c>
      <c r="K3615" t="str">
        <f>TEXT(SalesData[[#This Row],[Order Date]],"mmm")</f>
        <v>Jun</v>
      </c>
      <c r="L3615">
        <f>MONTH(SalesData[[#This Row],[Order Date]])</f>
        <v>6</v>
      </c>
      <c r="M3615">
        <f>SalesData[[#This Row],[Sales]]/SalesData[[#This Row],[Quantity]]</f>
        <v>7.31</v>
      </c>
      <c r="N3615" t="str">
        <f>IF(SalesData[[#This Row],[Profit]]&gt;0,"Profit","Loss")</f>
        <v>Profit</v>
      </c>
    </row>
    <row r="3616" spans="1:14" x14ac:dyDescent="0.3">
      <c r="A3616" t="s">
        <v>536</v>
      </c>
      <c r="B3616" s="3">
        <v>41800</v>
      </c>
      <c r="C3616" t="s">
        <v>13</v>
      </c>
      <c r="D3616" t="s">
        <v>10</v>
      </c>
      <c r="E3616" t="s">
        <v>537</v>
      </c>
      <c r="F3616" s="1">
        <v>9.09</v>
      </c>
      <c r="G3616">
        <v>3</v>
      </c>
      <c r="H3616" s="1">
        <v>1.9089</v>
      </c>
      <c r="I3616" s="4">
        <f>SalesData[[#This Row],[Profit]]/SalesData[[#This Row],[Sales]]</f>
        <v>0.21000000000000002</v>
      </c>
      <c r="J3616">
        <f>YEAR(SalesData[[#This Row],[Order Date]])</f>
        <v>2014</v>
      </c>
      <c r="K3616" t="str">
        <f>TEXT(SalesData[[#This Row],[Order Date]],"mmm")</f>
        <v>Jun</v>
      </c>
      <c r="L3616">
        <f>MONTH(SalesData[[#This Row],[Order Date]])</f>
        <v>6</v>
      </c>
      <c r="M3616">
        <f>SalesData[[#This Row],[Sales]]/SalesData[[#This Row],[Quantity]]</f>
        <v>3.03</v>
      </c>
      <c r="N3616" t="str">
        <f>IF(SalesData[[#This Row],[Profit]]&gt;0,"Profit","Loss")</f>
        <v>Profit</v>
      </c>
    </row>
    <row r="3617" spans="1:14" x14ac:dyDescent="0.3">
      <c r="A3617" t="s">
        <v>538</v>
      </c>
      <c r="B3617" s="3">
        <v>41800</v>
      </c>
      <c r="C3617" t="s">
        <v>9</v>
      </c>
      <c r="D3617" t="s">
        <v>21</v>
      </c>
      <c r="E3617" t="s">
        <v>261</v>
      </c>
      <c r="F3617" s="1">
        <v>15.36</v>
      </c>
      <c r="G3617">
        <v>2</v>
      </c>
      <c r="H3617" s="1">
        <v>7.68</v>
      </c>
      <c r="I3617" s="4">
        <f>SalesData[[#This Row],[Profit]]/SalesData[[#This Row],[Sales]]</f>
        <v>0.5</v>
      </c>
      <c r="J3617">
        <f>YEAR(SalesData[[#This Row],[Order Date]])</f>
        <v>2014</v>
      </c>
      <c r="K3617" t="str">
        <f>TEXT(SalesData[[#This Row],[Order Date]],"mmm")</f>
        <v>Jun</v>
      </c>
      <c r="L3617">
        <f>MONTH(SalesData[[#This Row],[Order Date]])</f>
        <v>6</v>
      </c>
      <c r="M3617">
        <f>SalesData[[#This Row],[Sales]]/SalesData[[#This Row],[Quantity]]</f>
        <v>7.68</v>
      </c>
      <c r="N3617" t="str">
        <f>IF(SalesData[[#This Row],[Profit]]&gt;0,"Profit","Loss")</f>
        <v>Profit</v>
      </c>
    </row>
    <row r="3618" spans="1:14" x14ac:dyDescent="0.3">
      <c r="A3618" t="s">
        <v>539</v>
      </c>
      <c r="B3618" s="3">
        <v>41800</v>
      </c>
      <c r="C3618" t="s">
        <v>17</v>
      </c>
      <c r="D3618" t="s">
        <v>21</v>
      </c>
      <c r="E3618" t="s">
        <v>540</v>
      </c>
      <c r="F3618" s="1">
        <v>83.92</v>
      </c>
      <c r="G3618">
        <v>5</v>
      </c>
      <c r="H3618" s="1">
        <v>-13.637</v>
      </c>
      <c r="I3618" s="4">
        <f>SalesData[[#This Row],[Profit]]/SalesData[[#This Row],[Sales]]</f>
        <v>-0.16250000000000001</v>
      </c>
      <c r="J3618">
        <f>YEAR(SalesData[[#This Row],[Order Date]])</f>
        <v>2014</v>
      </c>
      <c r="K3618" t="str">
        <f>TEXT(SalesData[[#This Row],[Order Date]],"mmm")</f>
        <v>Jun</v>
      </c>
      <c r="L3618">
        <f>MONTH(SalesData[[#This Row],[Order Date]])</f>
        <v>6</v>
      </c>
      <c r="M3618">
        <f>SalesData[[#This Row],[Sales]]/SalesData[[#This Row],[Quantity]]</f>
        <v>16.783999999999999</v>
      </c>
      <c r="N3618" t="str">
        <f>IF(SalesData[[#This Row],[Profit]]&gt;0,"Profit","Loss")</f>
        <v>Loss</v>
      </c>
    </row>
    <row r="3619" spans="1:14" x14ac:dyDescent="0.3">
      <c r="A3619" t="s">
        <v>541</v>
      </c>
      <c r="B3619" s="3">
        <v>41800</v>
      </c>
      <c r="C3619" t="s">
        <v>9</v>
      </c>
      <c r="D3619" t="s">
        <v>21</v>
      </c>
      <c r="E3619" t="s">
        <v>542</v>
      </c>
      <c r="F3619" s="1">
        <v>386.34</v>
      </c>
      <c r="G3619">
        <v>2</v>
      </c>
      <c r="H3619" s="1">
        <v>54.087600000000002</v>
      </c>
      <c r="I3619" s="4">
        <f>SalesData[[#This Row],[Profit]]/SalesData[[#This Row],[Sales]]</f>
        <v>0.14000000000000001</v>
      </c>
      <c r="J3619">
        <f>YEAR(SalesData[[#This Row],[Order Date]])</f>
        <v>2014</v>
      </c>
      <c r="K3619" t="str">
        <f>TEXT(SalesData[[#This Row],[Order Date]],"mmm")</f>
        <v>Jun</v>
      </c>
      <c r="L3619">
        <f>MONTH(SalesData[[#This Row],[Order Date]])</f>
        <v>6</v>
      </c>
      <c r="M3619">
        <f>SalesData[[#This Row],[Sales]]/SalesData[[#This Row],[Quantity]]</f>
        <v>193.17</v>
      </c>
      <c r="N3619" t="str">
        <f>IF(SalesData[[#This Row],[Profit]]&gt;0,"Profit","Loss")</f>
        <v>Profit</v>
      </c>
    </row>
    <row r="3620" spans="1:14" x14ac:dyDescent="0.3">
      <c r="A3620" t="s">
        <v>543</v>
      </c>
      <c r="B3620" s="3">
        <v>41801</v>
      </c>
      <c r="C3620" t="s">
        <v>46</v>
      </c>
      <c r="D3620" t="s">
        <v>21</v>
      </c>
      <c r="E3620" t="s">
        <v>128</v>
      </c>
      <c r="F3620" s="1">
        <v>43.68</v>
      </c>
      <c r="G3620">
        <v>6</v>
      </c>
      <c r="H3620" s="1">
        <v>20.9664</v>
      </c>
      <c r="I3620" s="4">
        <f>SalesData[[#This Row],[Profit]]/SalesData[[#This Row],[Sales]]</f>
        <v>0.48</v>
      </c>
      <c r="J3620">
        <f>YEAR(SalesData[[#This Row],[Order Date]])</f>
        <v>2014</v>
      </c>
      <c r="K3620" t="str">
        <f>TEXT(SalesData[[#This Row],[Order Date]],"mmm")</f>
        <v>Jun</v>
      </c>
      <c r="L3620">
        <f>MONTH(SalesData[[#This Row],[Order Date]])</f>
        <v>6</v>
      </c>
      <c r="M3620">
        <f>SalesData[[#This Row],[Sales]]/SalesData[[#This Row],[Quantity]]</f>
        <v>7.28</v>
      </c>
      <c r="N3620" t="str">
        <f>IF(SalesData[[#This Row],[Profit]]&gt;0,"Profit","Loss")</f>
        <v>Profit</v>
      </c>
    </row>
    <row r="3621" spans="1:14" x14ac:dyDescent="0.3">
      <c r="A3621" t="s">
        <v>544</v>
      </c>
      <c r="B3621" s="3">
        <v>41802</v>
      </c>
      <c r="C3621" t="s">
        <v>9</v>
      </c>
      <c r="D3621" t="s">
        <v>14</v>
      </c>
      <c r="E3621" t="s">
        <v>203</v>
      </c>
      <c r="F3621" s="1">
        <v>23.975999999999999</v>
      </c>
      <c r="G3621">
        <v>3</v>
      </c>
      <c r="H3621" s="1">
        <v>-14.3856</v>
      </c>
      <c r="I3621" s="4">
        <f>SalesData[[#This Row],[Profit]]/SalesData[[#This Row],[Sales]]</f>
        <v>-0.6</v>
      </c>
      <c r="J3621">
        <f>YEAR(SalesData[[#This Row],[Order Date]])</f>
        <v>2014</v>
      </c>
      <c r="K3621" t="str">
        <f>TEXT(SalesData[[#This Row],[Order Date]],"mmm")</f>
        <v>Jun</v>
      </c>
      <c r="L3621">
        <f>MONTH(SalesData[[#This Row],[Order Date]])</f>
        <v>6</v>
      </c>
      <c r="M3621">
        <f>SalesData[[#This Row],[Sales]]/SalesData[[#This Row],[Quantity]]</f>
        <v>7.992</v>
      </c>
      <c r="N3621" t="str">
        <f>IF(SalesData[[#This Row],[Profit]]&gt;0,"Profit","Loss")</f>
        <v>Loss</v>
      </c>
    </row>
    <row r="3622" spans="1:14" x14ac:dyDescent="0.3">
      <c r="A3622" t="s">
        <v>545</v>
      </c>
      <c r="B3622" s="3">
        <v>41802</v>
      </c>
      <c r="C3622" t="s">
        <v>13</v>
      </c>
      <c r="D3622" t="s">
        <v>21</v>
      </c>
      <c r="E3622" t="s">
        <v>546</v>
      </c>
      <c r="F3622" s="1">
        <v>53.423999999999999</v>
      </c>
      <c r="G3622">
        <v>3</v>
      </c>
      <c r="H3622" s="1">
        <v>4.6745999999999999</v>
      </c>
      <c r="I3622" s="4">
        <f>SalesData[[#This Row],[Profit]]/SalesData[[#This Row],[Sales]]</f>
        <v>8.7499999999999994E-2</v>
      </c>
      <c r="J3622">
        <f>YEAR(SalesData[[#This Row],[Order Date]])</f>
        <v>2014</v>
      </c>
      <c r="K3622" t="str">
        <f>TEXT(SalesData[[#This Row],[Order Date]],"mmm")</f>
        <v>Jun</v>
      </c>
      <c r="L3622">
        <f>MONTH(SalesData[[#This Row],[Order Date]])</f>
        <v>6</v>
      </c>
      <c r="M3622">
        <f>SalesData[[#This Row],[Sales]]/SalesData[[#This Row],[Quantity]]</f>
        <v>17.808</v>
      </c>
      <c r="N3622" t="str">
        <f>IF(SalesData[[#This Row],[Profit]]&gt;0,"Profit","Loss")</f>
        <v>Profit</v>
      </c>
    </row>
    <row r="3623" spans="1:14" x14ac:dyDescent="0.3">
      <c r="A3623" t="s">
        <v>545</v>
      </c>
      <c r="B3623" s="3">
        <v>41802</v>
      </c>
      <c r="C3623" t="s">
        <v>13</v>
      </c>
      <c r="D3623" t="s">
        <v>14</v>
      </c>
      <c r="E3623" t="s">
        <v>519</v>
      </c>
      <c r="F3623" s="1">
        <v>275.49</v>
      </c>
      <c r="G3623">
        <v>1</v>
      </c>
      <c r="H3623" s="1">
        <v>-170.8038</v>
      </c>
      <c r="I3623" s="4">
        <f>SalesData[[#This Row],[Profit]]/SalesData[[#This Row],[Sales]]</f>
        <v>-0.62</v>
      </c>
      <c r="J3623">
        <f>YEAR(SalesData[[#This Row],[Order Date]])</f>
        <v>2014</v>
      </c>
      <c r="K3623" t="str">
        <f>TEXT(SalesData[[#This Row],[Order Date]],"mmm")</f>
        <v>Jun</v>
      </c>
      <c r="L3623">
        <f>MONTH(SalesData[[#This Row],[Order Date]])</f>
        <v>6</v>
      </c>
      <c r="M3623">
        <f>SalesData[[#This Row],[Sales]]/SalesData[[#This Row],[Quantity]]</f>
        <v>275.49</v>
      </c>
      <c r="N3623" t="str">
        <f>IF(SalesData[[#This Row],[Profit]]&gt;0,"Profit","Loss")</f>
        <v>Loss</v>
      </c>
    </row>
    <row r="3624" spans="1:14" x14ac:dyDescent="0.3">
      <c r="A3624" t="s">
        <v>547</v>
      </c>
      <c r="B3624" s="3">
        <v>41802</v>
      </c>
      <c r="C3624" t="s">
        <v>9</v>
      </c>
      <c r="D3624" t="s">
        <v>21</v>
      </c>
      <c r="E3624" t="s">
        <v>548</v>
      </c>
      <c r="F3624" s="1">
        <v>14.016</v>
      </c>
      <c r="G3624">
        <v>4</v>
      </c>
      <c r="H3624" s="1">
        <v>-31.536000000000001</v>
      </c>
      <c r="I3624" s="4">
        <f>SalesData[[#This Row],[Profit]]/SalesData[[#This Row],[Sales]]</f>
        <v>-2.25</v>
      </c>
      <c r="J3624">
        <f>YEAR(SalesData[[#This Row],[Order Date]])</f>
        <v>2014</v>
      </c>
      <c r="K3624" t="str">
        <f>TEXT(SalesData[[#This Row],[Order Date]],"mmm")</f>
        <v>Jun</v>
      </c>
      <c r="L3624">
        <f>MONTH(SalesData[[#This Row],[Order Date]])</f>
        <v>6</v>
      </c>
      <c r="M3624">
        <f>SalesData[[#This Row],[Sales]]/SalesData[[#This Row],[Quantity]]</f>
        <v>3.504</v>
      </c>
      <c r="N3624" t="str">
        <f>IF(SalesData[[#This Row],[Profit]]&gt;0,"Profit","Loss")</f>
        <v>Loss</v>
      </c>
    </row>
    <row r="3625" spans="1:14" x14ac:dyDescent="0.3">
      <c r="A3625" t="s">
        <v>547</v>
      </c>
      <c r="B3625" s="3">
        <v>41802</v>
      </c>
      <c r="C3625" t="s">
        <v>9</v>
      </c>
      <c r="D3625" t="s">
        <v>14</v>
      </c>
      <c r="E3625" t="s">
        <v>243</v>
      </c>
      <c r="F3625" s="1">
        <v>214.95</v>
      </c>
      <c r="G3625">
        <v>5</v>
      </c>
      <c r="H3625" s="1">
        <v>-120.372</v>
      </c>
      <c r="I3625" s="4">
        <f>SalesData[[#This Row],[Profit]]/SalesData[[#This Row],[Sales]]</f>
        <v>-0.56000000000000005</v>
      </c>
      <c r="J3625">
        <f>YEAR(SalesData[[#This Row],[Order Date]])</f>
        <v>2014</v>
      </c>
      <c r="K3625" t="str">
        <f>TEXT(SalesData[[#This Row],[Order Date]],"mmm")</f>
        <v>Jun</v>
      </c>
      <c r="L3625">
        <f>MONTH(SalesData[[#This Row],[Order Date]])</f>
        <v>6</v>
      </c>
      <c r="M3625">
        <f>SalesData[[#This Row],[Sales]]/SalesData[[#This Row],[Quantity]]</f>
        <v>42.989999999999995</v>
      </c>
      <c r="N3625" t="str">
        <f>IF(SalesData[[#This Row],[Profit]]&gt;0,"Profit","Loss")</f>
        <v>Loss</v>
      </c>
    </row>
    <row r="3626" spans="1:14" x14ac:dyDescent="0.3">
      <c r="A3626" t="s">
        <v>547</v>
      </c>
      <c r="B3626" s="3">
        <v>41802</v>
      </c>
      <c r="C3626" t="s">
        <v>9</v>
      </c>
      <c r="D3626" t="s">
        <v>10</v>
      </c>
      <c r="E3626" t="s">
        <v>549</v>
      </c>
      <c r="F3626" s="1">
        <v>35.04</v>
      </c>
      <c r="G3626">
        <v>4</v>
      </c>
      <c r="H3626" s="1">
        <v>-7.008</v>
      </c>
      <c r="I3626" s="4">
        <f>SalesData[[#This Row],[Profit]]/SalesData[[#This Row],[Sales]]</f>
        <v>-0.2</v>
      </c>
      <c r="J3626">
        <f>YEAR(SalesData[[#This Row],[Order Date]])</f>
        <v>2014</v>
      </c>
      <c r="K3626" t="str">
        <f>TEXT(SalesData[[#This Row],[Order Date]],"mmm")</f>
        <v>Jun</v>
      </c>
      <c r="L3626">
        <f>MONTH(SalesData[[#This Row],[Order Date]])</f>
        <v>6</v>
      </c>
      <c r="M3626">
        <f>SalesData[[#This Row],[Sales]]/SalesData[[#This Row],[Quantity]]</f>
        <v>8.76</v>
      </c>
      <c r="N3626" t="str">
        <f>IF(SalesData[[#This Row],[Profit]]&gt;0,"Profit","Loss")</f>
        <v>Loss</v>
      </c>
    </row>
    <row r="3627" spans="1:14" x14ac:dyDescent="0.3">
      <c r="A3627" t="s">
        <v>547</v>
      </c>
      <c r="B3627" s="3">
        <v>41802</v>
      </c>
      <c r="C3627" t="s">
        <v>9</v>
      </c>
      <c r="D3627" t="s">
        <v>14</v>
      </c>
      <c r="E3627" t="s">
        <v>550</v>
      </c>
      <c r="F3627" s="1">
        <v>10.776</v>
      </c>
      <c r="G3627">
        <v>3</v>
      </c>
      <c r="H3627" s="1">
        <v>-4.8491999999999997</v>
      </c>
      <c r="I3627" s="4">
        <f>SalesData[[#This Row],[Profit]]/SalesData[[#This Row],[Sales]]</f>
        <v>-0.45</v>
      </c>
      <c r="J3627">
        <f>YEAR(SalesData[[#This Row],[Order Date]])</f>
        <v>2014</v>
      </c>
      <c r="K3627" t="str">
        <f>TEXT(SalesData[[#This Row],[Order Date]],"mmm")</f>
        <v>Jun</v>
      </c>
      <c r="L3627">
        <f>MONTH(SalesData[[#This Row],[Order Date]])</f>
        <v>6</v>
      </c>
      <c r="M3627">
        <f>SalesData[[#This Row],[Sales]]/SalesData[[#This Row],[Quantity]]</f>
        <v>3.5920000000000001</v>
      </c>
      <c r="N3627" t="str">
        <f>IF(SalesData[[#This Row],[Profit]]&gt;0,"Profit","Loss")</f>
        <v>Loss</v>
      </c>
    </row>
    <row r="3628" spans="1:14" x14ac:dyDescent="0.3">
      <c r="A3628" t="s">
        <v>547</v>
      </c>
      <c r="B3628" s="3">
        <v>41802</v>
      </c>
      <c r="C3628" t="s">
        <v>9</v>
      </c>
      <c r="D3628" t="s">
        <v>21</v>
      </c>
      <c r="E3628" t="s">
        <v>551</v>
      </c>
      <c r="F3628" s="1">
        <v>4.5999999999999996</v>
      </c>
      <c r="G3628">
        <v>2</v>
      </c>
      <c r="H3628" s="1">
        <v>-8.0500000000000007</v>
      </c>
      <c r="I3628" s="4">
        <f>SalesData[[#This Row],[Profit]]/SalesData[[#This Row],[Sales]]</f>
        <v>-1.7500000000000002</v>
      </c>
      <c r="J3628">
        <f>YEAR(SalesData[[#This Row],[Order Date]])</f>
        <v>2014</v>
      </c>
      <c r="K3628" t="str">
        <f>TEXT(SalesData[[#This Row],[Order Date]],"mmm")</f>
        <v>Jun</v>
      </c>
      <c r="L3628">
        <f>MONTH(SalesData[[#This Row],[Order Date]])</f>
        <v>6</v>
      </c>
      <c r="M3628">
        <f>SalesData[[#This Row],[Sales]]/SalesData[[#This Row],[Quantity]]</f>
        <v>2.2999999999999998</v>
      </c>
      <c r="N3628" t="str">
        <f>IF(SalesData[[#This Row],[Profit]]&gt;0,"Profit","Loss")</f>
        <v>Loss</v>
      </c>
    </row>
    <row r="3629" spans="1:14" x14ac:dyDescent="0.3">
      <c r="A3629" t="s">
        <v>547</v>
      </c>
      <c r="B3629" s="3">
        <v>41802</v>
      </c>
      <c r="C3629" t="s">
        <v>9</v>
      </c>
      <c r="D3629" t="s">
        <v>21</v>
      </c>
      <c r="E3629" t="s">
        <v>552</v>
      </c>
      <c r="F3629" s="1">
        <v>35.167999999999999</v>
      </c>
      <c r="G3629">
        <v>2</v>
      </c>
      <c r="H3629" s="1">
        <v>-8.3523999999999994</v>
      </c>
      <c r="I3629" s="4">
        <f>SalesData[[#This Row],[Profit]]/SalesData[[#This Row],[Sales]]</f>
        <v>-0.23749999999999999</v>
      </c>
      <c r="J3629">
        <f>YEAR(SalesData[[#This Row],[Order Date]])</f>
        <v>2014</v>
      </c>
      <c r="K3629" t="str">
        <f>TEXT(SalesData[[#This Row],[Order Date]],"mmm")</f>
        <v>Jun</v>
      </c>
      <c r="L3629">
        <f>MONTH(SalesData[[#This Row],[Order Date]])</f>
        <v>6</v>
      </c>
      <c r="M3629">
        <f>SalesData[[#This Row],[Sales]]/SalesData[[#This Row],[Quantity]]</f>
        <v>17.584</v>
      </c>
      <c r="N3629" t="str">
        <f>IF(SalesData[[#This Row],[Profit]]&gt;0,"Profit","Loss")</f>
        <v>Loss</v>
      </c>
    </row>
    <row r="3630" spans="1:14" x14ac:dyDescent="0.3">
      <c r="A3630" t="s">
        <v>553</v>
      </c>
      <c r="B3630" s="3">
        <v>41802</v>
      </c>
      <c r="C3630" t="s">
        <v>13</v>
      </c>
      <c r="D3630" t="s">
        <v>21</v>
      </c>
      <c r="E3630" t="s">
        <v>554</v>
      </c>
      <c r="F3630" s="1">
        <v>1261.33</v>
      </c>
      <c r="G3630">
        <v>7</v>
      </c>
      <c r="H3630" s="1">
        <v>327.94580000000002</v>
      </c>
      <c r="I3630" s="4">
        <f>SalesData[[#This Row],[Profit]]/SalesData[[#This Row],[Sales]]</f>
        <v>0.26</v>
      </c>
      <c r="J3630">
        <f>YEAR(SalesData[[#This Row],[Order Date]])</f>
        <v>2014</v>
      </c>
      <c r="K3630" t="str">
        <f>TEXT(SalesData[[#This Row],[Order Date]],"mmm")</f>
        <v>Jun</v>
      </c>
      <c r="L3630">
        <f>MONTH(SalesData[[#This Row],[Order Date]])</f>
        <v>6</v>
      </c>
      <c r="M3630">
        <f>SalesData[[#This Row],[Sales]]/SalesData[[#This Row],[Quantity]]</f>
        <v>180.19</v>
      </c>
      <c r="N3630" t="str">
        <f>IF(SalesData[[#This Row],[Profit]]&gt;0,"Profit","Loss")</f>
        <v>Profit</v>
      </c>
    </row>
    <row r="3631" spans="1:14" x14ac:dyDescent="0.3">
      <c r="A3631" t="s">
        <v>555</v>
      </c>
      <c r="B3631" s="3">
        <v>41802</v>
      </c>
      <c r="C3631" t="s">
        <v>46</v>
      </c>
      <c r="D3631" t="s">
        <v>21</v>
      </c>
      <c r="E3631" t="s">
        <v>556</v>
      </c>
      <c r="F3631" s="1">
        <v>42.207999999999998</v>
      </c>
      <c r="G3631">
        <v>2</v>
      </c>
      <c r="H3631" s="1">
        <v>13.717599999999999</v>
      </c>
      <c r="I3631" s="4">
        <f>SalesData[[#This Row],[Profit]]/SalesData[[#This Row],[Sales]]</f>
        <v>0.32500000000000001</v>
      </c>
      <c r="J3631">
        <f>YEAR(SalesData[[#This Row],[Order Date]])</f>
        <v>2014</v>
      </c>
      <c r="K3631" t="str">
        <f>TEXT(SalesData[[#This Row],[Order Date]],"mmm")</f>
        <v>Jun</v>
      </c>
      <c r="L3631">
        <f>MONTH(SalesData[[#This Row],[Order Date]])</f>
        <v>6</v>
      </c>
      <c r="M3631">
        <f>SalesData[[#This Row],[Sales]]/SalesData[[#This Row],[Quantity]]</f>
        <v>21.103999999999999</v>
      </c>
      <c r="N3631" t="str">
        <f>IF(SalesData[[#This Row],[Profit]]&gt;0,"Profit","Loss")</f>
        <v>Profit</v>
      </c>
    </row>
    <row r="3632" spans="1:14" x14ac:dyDescent="0.3">
      <c r="A3632" t="s">
        <v>557</v>
      </c>
      <c r="B3632" s="3">
        <v>41821</v>
      </c>
      <c r="C3632" t="s">
        <v>9</v>
      </c>
      <c r="D3632" t="s">
        <v>14</v>
      </c>
      <c r="E3632" t="s">
        <v>558</v>
      </c>
      <c r="F3632" s="1">
        <v>76.727999999999994</v>
      </c>
      <c r="G3632">
        <v>3</v>
      </c>
      <c r="H3632" s="1">
        <v>-53.709600000000002</v>
      </c>
      <c r="I3632" s="4">
        <f>SalesData[[#This Row],[Profit]]/SalesData[[#This Row],[Sales]]</f>
        <v>-0.70000000000000007</v>
      </c>
      <c r="J3632">
        <f>YEAR(SalesData[[#This Row],[Order Date]])</f>
        <v>2014</v>
      </c>
      <c r="K3632" t="str">
        <f>TEXT(SalesData[[#This Row],[Order Date]],"mmm")</f>
        <v>Jul</v>
      </c>
      <c r="L3632">
        <f>MONTH(SalesData[[#This Row],[Order Date]])</f>
        <v>7</v>
      </c>
      <c r="M3632">
        <f>SalesData[[#This Row],[Sales]]/SalesData[[#This Row],[Quantity]]</f>
        <v>25.575999999999997</v>
      </c>
      <c r="N3632" t="str">
        <f>IF(SalesData[[#This Row],[Profit]]&gt;0,"Profit","Loss")</f>
        <v>Loss</v>
      </c>
    </row>
    <row r="3633" spans="1:14" x14ac:dyDescent="0.3">
      <c r="A3633" t="s">
        <v>557</v>
      </c>
      <c r="B3633" s="3">
        <v>41821</v>
      </c>
      <c r="C3633" t="s">
        <v>9</v>
      </c>
      <c r="D3633" t="s">
        <v>21</v>
      </c>
      <c r="E3633" t="s">
        <v>559</v>
      </c>
      <c r="F3633" s="1">
        <v>10.43</v>
      </c>
      <c r="G3633">
        <v>7</v>
      </c>
      <c r="H3633" s="1">
        <v>-18.252500000000001</v>
      </c>
      <c r="I3633" s="4">
        <f>SalesData[[#This Row],[Profit]]/SalesData[[#This Row],[Sales]]</f>
        <v>-1.7500000000000002</v>
      </c>
      <c r="J3633">
        <f>YEAR(SalesData[[#This Row],[Order Date]])</f>
        <v>2014</v>
      </c>
      <c r="K3633" t="str">
        <f>TEXT(SalesData[[#This Row],[Order Date]],"mmm")</f>
        <v>Jul</v>
      </c>
      <c r="L3633">
        <f>MONTH(SalesData[[#This Row],[Order Date]])</f>
        <v>7</v>
      </c>
      <c r="M3633">
        <f>SalesData[[#This Row],[Sales]]/SalesData[[#This Row],[Quantity]]</f>
        <v>1.49</v>
      </c>
      <c r="N3633" t="str">
        <f>IF(SalesData[[#This Row],[Profit]]&gt;0,"Profit","Loss")</f>
        <v>Loss</v>
      </c>
    </row>
    <row r="3634" spans="1:14" x14ac:dyDescent="0.3">
      <c r="A3634" t="s">
        <v>560</v>
      </c>
      <c r="B3634" s="3">
        <v>41822</v>
      </c>
      <c r="C3634" t="s">
        <v>17</v>
      </c>
      <c r="D3634" t="s">
        <v>10</v>
      </c>
      <c r="E3634" t="s">
        <v>561</v>
      </c>
      <c r="F3634" s="1">
        <v>115.36</v>
      </c>
      <c r="G3634">
        <v>7</v>
      </c>
      <c r="H3634" s="1">
        <v>49.604799999999997</v>
      </c>
      <c r="I3634" s="4">
        <f>SalesData[[#This Row],[Profit]]/SalesData[[#This Row],[Sales]]</f>
        <v>0.43</v>
      </c>
      <c r="J3634">
        <f>YEAR(SalesData[[#This Row],[Order Date]])</f>
        <v>2014</v>
      </c>
      <c r="K3634" t="str">
        <f>TEXT(SalesData[[#This Row],[Order Date]],"mmm")</f>
        <v>Jul</v>
      </c>
      <c r="L3634">
        <f>MONTH(SalesData[[#This Row],[Order Date]])</f>
        <v>7</v>
      </c>
      <c r="M3634">
        <f>SalesData[[#This Row],[Sales]]/SalesData[[#This Row],[Quantity]]</f>
        <v>16.48</v>
      </c>
      <c r="N3634" t="str">
        <f>IF(SalesData[[#This Row],[Profit]]&gt;0,"Profit","Loss")</f>
        <v>Profit</v>
      </c>
    </row>
    <row r="3635" spans="1:14" x14ac:dyDescent="0.3">
      <c r="A3635" t="s">
        <v>562</v>
      </c>
      <c r="B3635" s="3">
        <v>41822</v>
      </c>
      <c r="C3635" t="s">
        <v>17</v>
      </c>
      <c r="D3635" t="s">
        <v>21</v>
      </c>
      <c r="E3635" t="s">
        <v>288</v>
      </c>
      <c r="F3635" s="1">
        <v>64.959999999999994</v>
      </c>
      <c r="G3635">
        <v>4</v>
      </c>
      <c r="H3635" s="1">
        <v>9.7439999999999998</v>
      </c>
      <c r="I3635" s="4">
        <f>SalesData[[#This Row],[Profit]]/SalesData[[#This Row],[Sales]]</f>
        <v>0.15000000000000002</v>
      </c>
      <c r="J3635">
        <f>YEAR(SalesData[[#This Row],[Order Date]])</f>
        <v>2014</v>
      </c>
      <c r="K3635" t="str">
        <f>TEXT(SalesData[[#This Row],[Order Date]],"mmm")</f>
        <v>Jul</v>
      </c>
      <c r="L3635">
        <f>MONTH(SalesData[[#This Row],[Order Date]])</f>
        <v>7</v>
      </c>
      <c r="M3635">
        <f>SalesData[[#This Row],[Sales]]/SalesData[[#This Row],[Quantity]]</f>
        <v>16.239999999999998</v>
      </c>
      <c r="N3635" t="str">
        <f>IF(SalesData[[#This Row],[Profit]]&gt;0,"Profit","Loss")</f>
        <v>Profit</v>
      </c>
    </row>
    <row r="3636" spans="1:14" x14ac:dyDescent="0.3">
      <c r="A3636" t="s">
        <v>563</v>
      </c>
      <c r="B3636" s="3">
        <v>41823</v>
      </c>
      <c r="C3636" t="s">
        <v>13</v>
      </c>
      <c r="D3636" t="s">
        <v>14</v>
      </c>
      <c r="E3636" t="s">
        <v>564</v>
      </c>
      <c r="F3636" s="1">
        <v>48.712000000000003</v>
      </c>
      <c r="G3636">
        <v>1</v>
      </c>
      <c r="H3636" s="1">
        <v>5.4801000000000002</v>
      </c>
      <c r="I3636" s="4">
        <f>SalesData[[#This Row],[Profit]]/SalesData[[#This Row],[Sales]]</f>
        <v>0.1125</v>
      </c>
      <c r="J3636">
        <f>YEAR(SalesData[[#This Row],[Order Date]])</f>
        <v>2014</v>
      </c>
      <c r="K3636" t="str">
        <f>TEXT(SalesData[[#This Row],[Order Date]],"mmm")</f>
        <v>Jul</v>
      </c>
      <c r="L3636">
        <f>MONTH(SalesData[[#This Row],[Order Date]])</f>
        <v>7</v>
      </c>
      <c r="M3636">
        <f>SalesData[[#This Row],[Sales]]/SalesData[[#This Row],[Quantity]]</f>
        <v>48.712000000000003</v>
      </c>
      <c r="N3636" t="str">
        <f>IF(SalesData[[#This Row],[Profit]]&gt;0,"Profit","Loss")</f>
        <v>Profit</v>
      </c>
    </row>
    <row r="3637" spans="1:14" x14ac:dyDescent="0.3">
      <c r="A3637" t="s">
        <v>563</v>
      </c>
      <c r="B3637" s="3">
        <v>41823</v>
      </c>
      <c r="C3637" t="s">
        <v>13</v>
      </c>
      <c r="D3637" t="s">
        <v>21</v>
      </c>
      <c r="E3637" t="s">
        <v>565</v>
      </c>
      <c r="F3637" s="1">
        <v>17.940000000000001</v>
      </c>
      <c r="G3637">
        <v>3</v>
      </c>
      <c r="H3637" s="1">
        <v>4.6643999999999997</v>
      </c>
      <c r="I3637" s="4">
        <f>SalesData[[#This Row],[Profit]]/SalesData[[#This Row],[Sales]]</f>
        <v>0.25999999999999995</v>
      </c>
      <c r="J3637">
        <f>YEAR(SalesData[[#This Row],[Order Date]])</f>
        <v>2014</v>
      </c>
      <c r="K3637" t="str">
        <f>TEXT(SalesData[[#This Row],[Order Date]],"mmm")</f>
        <v>Jul</v>
      </c>
      <c r="L3637">
        <f>MONTH(SalesData[[#This Row],[Order Date]])</f>
        <v>7</v>
      </c>
      <c r="M3637">
        <f>SalesData[[#This Row],[Sales]]/SalesData[[#This Row],[Quantity]]</f>
        <v>5.98</v>
      </c>
      <c r="N3637" t="str">
        <f>IF(SalesData[[#This Row],[Profit]]&gt;0,"Profit","Loss")</f>
        <v>Profit</v>
      </c>
    </row>
    <row r="3638" spans="1:14" x14ac:dyDescent="0.3">
      <c r="A3638" t="s">
        <v>563</v>
      </c>
      <c r="B3638" s="3">
        <v>41823</v>
      </c>
      <c r="C3638" t="s">
        <v>13</v>
      </c>
      <c r="D3638" t="s">
        <v>21</v>
      </c>
      <c r="E3638" t="s">
        <v>566</v>
      </c>
      <c r="F3638" s="1">
        <v>242.94</v>
      </c>
      <c r="G3638">
        <v>3</v>
      </c>
      <c r="H3638" s="1">
        <v>4.8587999999999996</v>
      </c>
      <c r="I3638" s="4">
        <f>SalesData[[#This Row],[Profit]]/SalesData[[#This Row],[Sales]]</f>
        <v>1.9999999999999997E-2</v>
      </c>
      <c r="J3638">
        <f>YEAR(SalesData[[#This Row],[Order Date]])</f>
        <v>2014</v>
      </c>
      <c r="K3638" t="str">
        <f>TEXT(SalesData[[#This Row],[Order Date]],"mmm")</f>
        <v>Jul</v>
      </c>
      <c r="L3638">
        <f>MONTH(SalesData[[#This Row],[Order Date]])</f>
        <v>7</v>
      </c>
      <c r="M3638">
        <f>SalesData[[#This Row],[Sales]]/SalesData[[#This Row],[Quantity]]</f>
        <v>80.98</v>
      </c>
      <c r="N3638" t="str">
        <f>IF(SalesData[[#This Row],[Profit]]&gt;0,"Profit","Loss")</f>
        <v>Profit</v>
      </c>
    </row>
    <row r="3639" spans="1:14" x14ac:dyDescent="0.3">
      <c r="A3639" t="s">
        <v>567</v>
      </c>
      <c r="B3639" s="3">
        <v>41823</v>
      </c>
      <c r="C3639" t="s">
        <v>13</v>
      </c>
      <c r="D3639" t="s">
        <v>21</v>
      </c>
      <c r="E3639" t="s">
        <v>568</v>
      </c>
      <c r="F3639" s="1">
        <v>107.648</v>
      </c>
      <c r="G3639">
        <v>2</v>
      </c>
      <c r="H3639" s="1">
        <v>33.64</v>
      </c>
      <c r="I3639" s="4">
        <f>SalesData[[#This Row],[Profit]]/SalesData[[#This Row],[Sales]]</f>
        <v>0.3125</v>
      </c>
      <c r="J3639">
        <f>YEAR(SalesData[[#This Row],[Order Date]])</f>
        <v>2014</v>
      </c>
      <c r="K3639" t="str">
        <f>TEXT(SalesData[[#This Row],[Order Date]],"mmm")</f>
        <v>Jul</v>
      </c>
      <c r="L3639">
        <f>MONTH(SalesData[[#This Row],[Order Date]])</f>
        <v>7</v>
      </c>
      <c r="M3639">
        <f>SalesData[[#This Row],[Sales]]/SalesData[[#This Row],[Quantity]]</f>
        <v>53.823999999999998</v>
      </c>
      <c r="N3639" t="str">
        <f>IF(SalesData[[#This Row],[Profit]]&gt;0,"Profit","Loss")</f>
        <v>Profit</v>
      </c>
    </row>
    <row r="3640" spans="1:14" x14ac:dyDescent="0.3">
      <c r="A3640" t="s">
        <v>569</v>
      </c>
      <c r="B3640" s="3">
        <v>41823</v>
      </c>
      <c r="C3640" t="s">
        <v>13</v>
      </c>
      <c r="D3640" t="s">
        <v>21</v>
      </c>
      <c r="E3640" t="s">
        <v>570</v>
      </c>
      <c r="F3640" s="1">
        <v>20.65</v>
      </c>
      <c r="G3640">
        <v>5</v>
      </c>
      <c r="H3640" s="1">
        <v>9.4990000000000006</v>
      </c>
      <c r="I3640" s="4">
        <f>SalesData[[#This Row],[Profit]]/SalesData[[#This Row],[Sales]]</f>
        <v>0.46000000000000008</v>
      </c>
      <c r="J3640">
        <f>YEAR(SalesData[[#This Row],[Order Date]])</f>
        <v>2014</v>
      </c>
      <c r="K3640" t="str">
        <f>TEXT(SalesData[[#This Row],[Order Date]],"mmm")</f>
        <v>Jul</v>
      </c>
      <c r="L3640">
        <f>MONTH(SalesData[[#This Row],[Order Date]])</f>
        <v>7</v>
      </c>
      <c r="M3640">
        <f>SalesData[[#This Row],[Sales]]/SalesData[[#This Row],[Quantity]]</f>
        <v>4.13</v>
      </c>
      <c r="N3640" t="str">
        <f>IF(SalesData[[#This Row],[Profit]]&gt;0,"Profit","Loss")</f>
        <v>Profit</v>
      </c>
    </row>
    <row r="3641" spans="1:14" x14ac:dyDescent="0.3">
      <c r="A3641" t="s">
        <v>569</v>
      </c>
      <c r="B3641" s="3">
        <v>41823</v>
      </c>
      <c r="C3641" t="s">
        <v>13</v>
      </c>
      <c r="D3641" t="s">
        <v>21</v>
      </c>
      <c r="E3641" t="s">
        <v>571</v>
      </c>
      <c r="F3641" s="1">
        <v>204.9</v>
      </c>
      <c r="G3641">
        <v>5</v>
      </c>
      <c r="H3641" s="1">
        <v>0</v>
      </c>
      <c r="I3641" s="4">
        <f>SalesData[[#This Row],[Profit]]/SalesData[[#This Row],[Sales]]</f>
        <v>0</v>
      </c>
      <c r="J3641">
        <f>YEAR(SalesData[[#This Row],[Order Date]])</f>
        <v>2014</v>
      </c>
      <c r="K3641" t="str">
        <f>TEXT(SalesData[[#This Row],[Order Date]],"mmm")</f>
        <v>Jul</v>
      </c>
      <c r="L3641">
        <f>MONTH(SalesData[[#This Row],[Order Date]])</f>
        <v>7</v>
      </c>
      <c r="M3641">
        <f>SalesData[[#This Row],[Sales]]/SalesData[[#This Row],[Quantity]]</f>
        <v>40.980000000000004</v>
      </c>
      <c r="N3641" t="str">
        <f>IF(SalesData[[#This Row],[Profit]]&gt;0,"Profit","Loss")</f>
        <v>Loss</v>
      </c>
    </row>
    <row r="3642" spans="1:14" x14ac:dyDescent="0.3">
      <c r="A3642" t="s">
        <v>569</v>
      </c>
      <c r="B3642" s="3">
        <v>41823</v>
      </c>
      <c r="C3642" t="s">
        <v>13</v>
      </c>
      <c r="D3642" t="s">
        <v>14</v>
      </c>
      <c r="E3642" t="s">
        <v>572</v>
      </c>
      <c r="F3642" s="1">
        <v>436.70400000000001</v>
      </c>
      <c r="G3642">
        <v>6</v>
      </c>
      <c r="H3642" s="1">
        <v>21.8352</v>
      </c>
      <c r="I3642" s="4">
        <f>SalesData[[#This Row],[Profit]]/SalesData[[#This Row],[Sales]]</f>
        <v>0.05</v>
      </c>
      <c r="J3642">
        <f>YEAR(SalesData[[#This Row],[Order Date]])</f>
        <v>2014</v>
      </c>
      <c r="K3642" t="str">
        <f>TEXT(SalesData[[#This Row],[Order Date]],"mmm")</f>
        <v>Jul</v>
      </c>
      <c r="L3642">
        <f>MONTH(SalesData[[#This Row],[Order Date]])</f>
        <v>7</v>
      </c>
      <c r="M3642">
        <f>SalesData[[#This Row],[Sales]]/SalesData[[#This Row],[Quantity]]</f>
        <v>72.784000000000006</v>
      </c>
      <c r="N3642" t="str">
        <f>IF(SalesData[[#This Row],[Profit]]&gt;0,"Profit","Loss")</f>
        <v>Profit</v>
      </c>
    </row>
    <row r="3643" spans="1:14" x14ac:dyDescent="0.3">
      <c r="A3643" t="s">
        <v>569</v>
      </c>
      <c r="B3643" s="3">
        <v>41823</v>
      </c>
      <c r="C3643" t="s">
        <v>13</v>
      </c>
      <c r="D3643" t="s">
        <v>14</v>
      </c>
      <c r="E3643" t="s">
        <v>573</v>
      </c>
      <c r="F3643" s="1">
        <v>481.56799999999998</v>
      </c>
      <c r="G3643">
        <v>2</v>
      </c>
      <c r="H3643" s="1">
        <v>54.176400000000001</v>
      </c>
      <c r="I3643" s="4">
        <f>SalesData[[#This Row],[Profit]]/SalesData[[#This Row],[Sales]]</f>
        <v>0.1125</v>
      </c>
      <c r="J3643">
        <f>YEAR(SalesData[[#This Row],[Order Date]])</f>
        <v>2014</v>
      </c>
      <c r="K3643" t="str">
        <f>TEXT(SalesData[[#This Row],[Order Date]],"mmm")</f>
        <v>Jul</v>
      </c>
      <c r="L3643">
        <f>MONTH(SalesData[[#This Row],[Order Date]])</f>
        <v>7</v>
      </c>
      <c r="M3643">
        <f>SalesData[[#This Row],[Sales]]/SalesData[[#This Row],[Quantity]]</f>
        <v>240.78399999999999</v>
      </c>
      <c r="N3643" t="str">
        <f>IF(SalesData[[#This Row],[Profit]]&gt;0,"Profit","Loss")</f>
        <v>Profit</v>
      </c>
    </row>
    <row r="3644" spans="1:14" x14ac:dyDescent="0.3">
      <c r="A3644" t="s">
        <v>574</v>
      </c>
      <c r="B3644" s="3">
        <v>41824</v>
      </c>
      <c r="C3644" t="s">
        <v>46</v>
      </c>
      <c r="D3644" t="s">
        <v>14</v>
      </c>
      <c r="E3644" t="s">
        <v>575</v>
      </c>
      <c r="F3644" s="1">
        <v>8.9600000000000009</v>
      </c>
      <c r="G3644">
        <v>2</v>
      </c>
      <c r="H3644" s="1">
        <v>2.7776000000000001</v>
      </c>
      <c r="I3644" s="4">
        <f>SalesData[[#This Row],[Profit]]/SalesData[[#This Row],[Sales]]</f>
        <v>0.31</v>
      </c>
      <c r="J3644">
        <f>YEAR(SalesData[[#This Row],[Order Date]])</f>
        <v>2014</v>
      </c>
      <c r="K3644" t="str">
        <f>TEXT(SalesData[[#This Row],[Order Date]],"mmm")</f>
        <v>Jul</v>
      </c>
      <c r="L3644">
        <f>MONTH(SalesData[[#This Row],[Order Date]])</f>
        <v>7</v>
      </c>
      <c r="M3644">
        <f>SalesData[[#This Row],[Sales]]/SalesData[[#This Row],[Quantity]]</f>
        <v>4.4800000000000004</v>
      </c>
      <c r="N3644" t="str">
        <f>IF(SalesData[[#This Row],[Profit]]&gt;0,"Profit","Loss")</f>
        <v>Profit</v>
      </c>
    </row>
    <row r="3645" spans="1:14" x14ac:dyDescent="0.3">
      <c r="A3645" t="s">
        <v>576</v>
      </c>
      <c r="B3645" s="3">
        <v>41824</v>
      </c>
      <c r="C3645" t="s">
        <v>46</v>
      </c>
      <c r="D3645" t="s">
        <v>10</v>
      </c>
      <c r="E3645" t="s">
        <v>577</v>
      </c>
      <c r="F3645" s="1">
        <v>629.95000000000005</v>
      </c>
      <c r="G3645">
        <v>5</v>
      </c>
      <c r="H3645" s="1">
        <v>163.78700000000001</v>
      </c>
      <c r="I3645" s="4">
        <f>SalesData[[#This Row],[Profit]]/SalesData[[#This Row],[Sales]]</f>
        <v>0.26</v>
      </c>
      <c r="J3645">
        <f>YEAR(SalesData[[#This Row],[Order Date]])</f>
        <v>2014</v>
      </c>
      <c r="K3645" t="str">
        <f>TEXT(SalesData[[#This Row],[Order Date]],"mmm")</f>
        <v>Jul</v>
      </c>
      <c r="L3645">
        <f>MONTH(SalesData[[#This Row],[Order Date]])</f>
        <v>7</v>
      </c>
      <c r="M3645">
        <f>SalesData[[#This Row],[Sales]]/SalesData[[#This Row],[Quantity]]</f>
        <v>125.99000000000001</v>
      </c>
      <c r="N3645" t="str">
        <f>IF(SalesData[[#This Row],[Profit]]&gt;0,"Profit","Loss")</f>
        <v>Profit</v>
      </c>
    </row>
    <row r="3646" spans="1:14" x14ac:dyDescent="0.3">
      <c r="A3646" t="s">
        <v>576</v>
      </c>
      <c r="B3646" s="3">
        <v>41824</v>
      </c>
      <c r="C3646" t="s">
        <v>46</v>
      </c>
      <c r="D3646" t="s">
        <v>21</v>
      </c>
      <c r="E3646" t="s">
        <v>578</v>
      </c>
      <c r="F3646" s="1">
        <v>122.97</v>
      </c>
      <c r="G3646">
        <v>3</v>
      </c>
      <c r="H3646" s="1">
        <v>60.255299999999998</v>
      </c>
      <c r="I3646" s="4">
        <f>SalesData[[#This Row],[Profit]]/SalesData[[#This Row],[Sales]]</f>
        <v>0.49</v>
      </c>
      <c r="J3646">
        <f>YEAR(SalesData[[#This Row],[Order Date]])</f>
        <v>2014</v>
      </c>
      <c r="K3646" t="str">
        <f>TEXT(SalesData[[#This Row],[Order Date]],"mmm")</f>
        <v>Jul</v>
      </c>
      <c r="L3646">
        <f>MONTH(SalesData[[#This Row],[Order Date]])</f>
        <v>7</v>
      </c>
      <c r="M3646">
        <f>SalesData[[#This Row],[Sales]]/SalesData[[#This Row],[Quantity]]</f>
        <v>40.99</v>
      </c>
      <c r="N3646" t="str">
        <f>IF(SalesData[[#This Row],[Profit]]&gt;0,"Profit","Loss")</f>
        <v>Profit</v>
      </c>
    </row>
    <row r="3647" spans="1:14" x14ac:dyDescent="0.3">
      <c r="A3647" t="s">
        <v>579</v>
      </c>
      <c r="B3647" s="3">
        <v>41824</v>
      </c>
      <c r="C3647" t="s">
        <v>46</v>
      </c>
      <c r="D3647" t="s">
        <v>21</v>
      </c>
      <c r="E3647" t="s">
        <v>580</v>
      </c>
      <c r="F3647" s="1">
        <v>58.32</v>
      </c>
      <c r="G3647">
        <v>9</v>
      </c>
      <c r="H3647" s="1">
        <v>27.993600000000001</v>
      </c>
      <c r="I3647" s="4">
        <f>SalesData[[#This Row],[Profit]]/SalesData[[#This Row],[Sales]]</f>
        <v>0.48</v>
      </c>
      <c r="J3647">
        <f>YEAR(SalesData[[#This Row],[Order Date]])</f>
        <v>2014</v>
      </c>
      <c r="K3647" t="str">
        <f>TEXT(SalesData[[#This Row],[Order Date]],"mmm")</f>
        <v>Jul</v>
      </c>
      <c r="L3647">
        <f>MONTH(SalesData[[#This Row],[Order Date]])</f>
        <v>7</v>
      </c>
      <c r="M3647">
        <f>SalesData[[#This Row],[Sales]]/SalesData[[#This Row],[Quantity]]</f>
        <v>6.48</v>
      </c>
      <c r="N3647" t="str">
        <f>IF(SalesData[[#This Row],[Profit]]&gt;0,"Profit","Loss")</f>
        <v>Profit</v>
      </c>
    </row>
    <row r="3648" spans="1:14" x14ac:dyDescent="0.3">
      <c r="A3648" t="s">
        <v>579</v>
      </c>
      <c r="B3648" s="3">
        <v>41824</v>
      </c>
      <c r="C3648" t="s">
        <v>46</v>
      </c>
      <c r="D3648" t="s">
        <v>10</v>
      </c>
      <c r="E3648" t="s">
        <v>581</v>
      </c>
      <c r="F3648" s="1">
        <v>200.97</v>
      </c>
      <c r="G3648">
        <v>3</v>
      </c>
      <c r="H3648" s="1">
        <v>50.2425</v>
      </c>
      <c r="I3648" s="4">
        <f>SalesData[[#This Row],[Profit]]/SalesData[[#This Row],[Sales]]</f>
        <v>0.25</v>
      </c>
      <c r="J3648">
        <f>YEAR(SalesData[[#This Row],[Order Date]])</f>
        <v>2014</v>
      </c>
      <c r="K3648" t="str">
        <f>TEXT(SalesData[[#This Row],[Order Date]],"mmm")</f>
        <v>Jul</v>
      </c>
      <c r="L3648">
        <f>MONTH(SalesData[[#This Row],[Order Date]])</f>
        <v>7</v>
      </c>
      <c r="M3648">
        <f>SalesData[[#This Row],[Sales]]/SalesData[[#This Row],[Quantity]]</f>
        <v>66.989999999999995</v>
      </c>
      <c r="N3648" t="str">
        <f>IF(SalesData[[#This Row],[Profit]]&gt;0,"Profit","Loss")</f>
        <v>Profit</v>
      </c>
    </row>
    <row r="3649" spans="1:14" x14ac:dyDescent="0.3">
      <c r="A3649" t="s">
        <v>582</v>
      </c>
      <c r="B3649" s="3">
        <v>41825</v>
      </c>
      <c r="C3649" t="s">
        <v>17</v>
      </c>
      <c r="D3649" t="s">
        <v>21</v>
      </c>
      <c r="E3649" t="s">
        <v>583</v>
      </c>
      <c r="F3649" s="1">
        <v>16.14</v>
      </c>
      <c r="G3649">
        <v>3</v>
      </c>
      <c r="H3649" s="1">
        <v>7.9085999999999999</v>
      </c>
      <c r="I3649" s="4">
        <f>SalesData[[#This Row],[Profit]]/SalesData[[#This Row],[Sales]]</f>
        <v>0.49</v>
      </c>
      <c r="J3649">
        <f>YEAR(SalesData[[#This Row],[Order Date]])</f>
        <v>2014</v>
      </c>
      <c r="K3649" t="str">
        <f>TEXT(SalesData[[#This Row],[Order Date]],"mmm")</f>
        <v>Jul</v>
      </c>
      <c r="L3649">
        <f>MONTH(SalesData[[#This Row],[Order Date]])</f>
        <v>7</v>
      </c>
      <c r="M3649">
        <f>SalesData[[#This Row],[Sales]]/SalesData[[#This Row],[Quantity]]</f>
        <v>5.38</v>
      </c>
      <c r="N3649" t="str">
        <f>IF(SalesData[[#This Row],[Profit]]&gt;0,"Profit","Loss")</f>
        <v>Profit</v>
      </c>
    </row>
    <row r="3650" spans="1:14" x14ac:dyDescent="0.3">
      <c r="A3650" t="s">
        <v>582</v>
      </c>
      <c r="B3650" s="3">
        <v>41825</v>
      </c>
      <c r="C3650" t="s">
        <v>17</v>
      </c>
      <c r="D3650" t="s">
        <v>14</v>
      </c>
      <c r="E3650" t="s">
        <v>584</v>
      </c>
      <c r="F3650" s="1">
        <v>194.25</v>
      </c>
      <c r="G3650">
        <v>2</v>
      </c>
      <c r="H3650" s="1">
        <v>-38.85</v>
      </c>
      <c r="I3650" s="4">
        <f>SalesData[[#This Row],[Profit]]/SalesData[[#This Row],[Sales]]</f>
        <v>-0.2</v>
      </c>
      <c r="J3650">
        <f>YEAR(SalesData[[#This Row],[Order Date]])</f>
        <v>2014</v>
      </c>
      <c r="K3650" t="str">
        <f>TEXT(SalesData[[#This Row],[Order Date]],"mmm")</f>
        <v>Jul</v>
      </c>
      <c r="L3650">
        <f>MONTH(SalesData[[#This Row],[Order Date]])</f>
        <v>7</v>
      </c>
      <c r="M3650">
        <f>SalesData[[#This Row],[Sales]]/SalesData[[#This Row],[Quantity]]</f>
        <v>97.125</v>
      </c>
      <c r="N3650" t="str">
        <f>IF(SalesData[[#This Row],[Profit]]&gt;0,"Profit","Loss")</f>
        <v>Loss</v>
      </c>
    </row>
    <row r="3651" spans="1:14" x14ac:dyDescent="0.3">
      <c r="A3651" t="s">
        <v>582</v>
      </c>
      <c r="B3651" s="3">
        <v>41825</v>
      </c>
      <c r="C3651" t="s">
        <v>17</v>
      </c>
      <c r="D3651" t="s">
        <v>21</v>
      </c>
      <c r="E3651" t="s">
        <v>585</v>
      </c>
      <c r="F3651" s="1">
        <v>8.64</v>
      </c>
      <c r="G3651">
        <v>3</v>
      </c>
      <c r="H3651" s="1">
        <v>2.5055999999999998</v>
      </c>
      <c r="I3651" s="4">
        <f>SalesData[[#This Row],[Profit]]/SalesData[[#This Row],[Sales]]</f>
        <v>0.28999999999999998</v>
      </c>
      <c r="J3651">
        <f>YEAR(SalesData[[#This Row],[Order Date]])</f>
        <v>2014</v>
      </c>
      <c r="K3651" t="str">
        <f>TEXT(SalesData[[#This Row],[Order Date]],"mmm")</f>
        <v>Jul</v>
      </c>
      <c r="L3651">
        <f>MONTH(SalesData[[#This Row],[Order Date]])</f>
        <v>7</v>
      </c>
      <c r="M3651">
        <f>SalesData[[#This Row],[Sales]]/SalesData[[#This Row],[Quantity]]</f>
        <v>2.8800000000000003</v>
      </c>
      <c r="N3651" t="str">
        <f>IF(SalesData[[#This Row],[Profit]]&gt;0,"Profit","Loss")</f>
        <v>Profit</v>
      </c>
    </row>
    <row r="3652" spans="1:14" x14ac:dyDescent="0.3">
      <c r="A3652" t="s">
        <v>582</v>
      </c>
      <c r="B3652" s="3">
        <v>41825</v>
      </c>
      <c r="C3652" t="s">
        <v>17</v>
      </c>
      <c r="D3652" t="s">
        <v>14</v>
      </c>
      <c r="E3652" t="s">
        <v>586</v>
      </c>
      <c r="F3652" s="1">
        <v>872.32</v>
      </c>
      <c r="G3652">
        <v>4</v>
      </c>
      <c r="H3652" s="1">
        <v>244.24959999999999</v>
      </c>
      <c r="I3652" s="4">
        <f>SalesData[[#This Row],[Profit]]/SalesData[[#This Row],[Sales]]</f>
        <v>0.27999999999999997</v>
      </c>
      <c r="J3652">
        <f>YEAR(SalesData[[#This Row],[Order Date]])</f>
        <v>2014</v>
      </c>
      <c r="K3652" t="str">
        <f>TEXT(SalesData[[#This Row],[Order Date]],"mmm")</f>
        <v>Jul</v>
      </c>
      <c r="L3652">
        <f>MONTH(SalesData[[#This Row],[Order Date]])</f>
        <v>7</v>
      </c>
      <c r="M3652">
        <f>SalesData[[#This Row],[Sales]]/SalesData[[#This Row],[Quantity]]</f>
        <v>218.08</v>
      </c>
      <c r="N3652" t="str">
        <f>IF(SalesData[[#This Row],[Profit]]&gt;0,"Profit","Loss")</f>
        <v>Profit</v>
      </c>
    </row>
    <row r="3653" spans="1:14" x14ac:dyDescent="0.3">
      <c r="A3653" t="s">
        <v>587</v>
      </c>
      <c r="B3653" s="3">
        <v>41826</v>
      </c>
      <c r="C3653" t="s">
        <v>9</v>
      </c>
      <c r="D3653" t="s">
        <v>21</v>
      </c>
      <c r="E3653" t="s">
        <v>517</v>
      </c>
      <c r="F3653" s="1">
        <v>12.462</v>
      </c>
      <c r="G3653">
        <v>3</v>
      </c>
      <c r="H3653" s="1">
        <v>-20.5623</v>
      </c>
      <c r="I3653" s="4">
        <f>SalesData[[#This Row],[Profit]]/SalesData[[#This Row],[Sales]]</f>
        <v>-1.6500000000000001</v>
      </c>
      <c r="J3653">
        <f>YEAR(SalesData[[#This Row],[Order Date]])</f>
        <v>2014</v>
      </c>
      <c r="K3653" t="str">
        <f>TEXT(SalesData[[#This Row],[Order Date]],"mmm")</f>
        <v>Jul</v>
      </c>
      <c r="L3653">
        <f>MONTH(SalesData[[#This Row],[Order Date]])</f>
        <v>7</v>
      </c>
      <c r="M3653">
        <f>SalesData[[#This Row],[Sales]]/SalesData[[#This Row],[Quantity]]</f>
        <v>4.1539999999999999</v>
      </c>
      <c r="N3653" t="str">
        <f>IF(SalesData[[#This Row],[Profit]]&gt;0,"Profit","Loss")</f>
        <v>Loss</v>
      </c>
    </row>
    <row r="3654" spans="1:14" x14ac:dyDescent="0.3">
      <c r="A3654" t="s">
        <v>588</v>
      </c>
      <c r="B3654" s="3">
        <v>41826</v>
      </c>
      <c r="C3654" t="s">
        <v>9</v>
      </c>
      <c r="D3654" t="s">
        <v>14</v>
      </c>
      <c r="E3654" t="s">
        <v>374</v>
      </c>
      <c r="F3654" s="1">
        <v>268.935</v>
      </c>
      <c r="G3654">
        <v>3</v>
      </c>
      <c r="H3654" s="1">
        <v>-209.76929999999999</v>
      </c>
      <c r="I3654" s="4">
        <f>SalesData[[#This Row],[Profit]]/SalesData[[#This Row],[Sales]]</f>
        <v>-0.77999999999999992</v>
      </c>
      <c r="J3654">
        <f>YEAR(SalesData[[#This Row],[Order Date]])</f>
        <v>2014</v>
      </c>
      <c r="K3654" t="str">
        <f>TEXT(SalesData[[#This Row],[Order Date]],"mmm")</f>
        <v>Jul</v>
      </c>
      <c r="L3654">
        <f>MONTH(SalesData[[#This Row],[Order Date]])</f>
        <v>7</v>
      </c>
      <c r="M3654">
        <f>SalesData[[#This Row],[Sales]]/SalesData[[#This Row],[Quantity]]</f>
        <v>89.644999999999996</v>
      </c>
      <c r="N3654" t="str">
        <f>IF(SalesData[[#This Row],[Profit]]&gt;0,"Profit","Loss")</f>
        <v>Loss</v>
      </c>
    </row>
    <row r="3655" spans="1:14" x14ac:dyDescent="0.3">
      <c r="A3655" t="s">
        <v>589</v>
      </c>
      <c r="B3655" s="3">
        <v>41827</v>
      </c>
      <c r="C3655" t="s">
        <v>17</v>
      </c>
      <c r="D3655" t="s">
        <v>14</v>
      </c>
      <c r="E3655" t="s">
        <v>263</v>
      </c>
      <c r="F3655" s="1">
        <v>172.18600000000001</v>
      </c>
      <c r="G3655">
        <v>2</v>
      </c>
      <c r="H3655" s="1">
        <v>-46.736199999999997</v>
      </c>
      <c r="I3655" s="4">
        <f>SalesData[[#This Row],[Profit]]/SalesData[[#This Row],[Sales]]</f>
        <v>-0.27142857142857141</v>
      </c>
      <c r="J3655">
        <f>YEAR(SalesData[[#This Row],[Order Date]])</f>
        <v>2014</v>
      </c>
      <c r="K3655" t="str">
        <f>TEXT(SalesData[[#This Row],[Order Date]],"mmm")</f>
        <v>Jul</v>
      </c>
      <c r="L3655">
        <f>MONTH(SalesData[[#This Row],[Order Date]])</f>
        <v>7</v>
      </c>
      <c r="M3655">
        <f>SalesData[[#This Row],[Sales]]/SalesData[[#This Row],[Quantity]]</f>
        <v>86.093000000000004</v>
      </c>
      <c r="N3655" t="str">
        <f>IF(SalesData[[#This Row],[Profit]]&gt;0,"Profit","Loss")</f>
        <v>Loss</v>
      </c>
    </row>
    <row r="3656" spans="1:14" x14ac:dyDescent="0.3">
      <c r="A3656" t="s">
        <v>589</v>
      </c>
      <c r="B3656" s="3">
        <v>41827</v>
      </c>
      <c r="C3656" t="s">
        <v>17</v>
      </c>
      <c r="D3656" t="s">
        <v>14</v>
      </c>
      <c r="E3656" t="s">
        <v>590</v>
      </c>
      <c r="F3656" s="1">
        <v>69.007999999999996</v>
      </c>
      <c r="G3656">
        <v>2</v>
      </c>
      <c r="H3656" s="1">
        <v>12.0764</v>
      </c>
      <c r="I3656" s="4">
        <f>SalesData[[#This Row],[Profit]]/SalesData[[#This Row],[Sales]]</f>
        <v>0.17500000000000002</v>
      </c>
      <c r="J3656">
        <f>YEAR(SalesData[[#This Row],[Order Date]])</f>
        <v>2014</v>
      </c>
      <c r="K3656" t="str">
        <f>TEXT(SalesData[[#This Row],[Order Date]],"mmm")</f>
        <v>Jul</v>
      </c>
      <c r="L3656">
        <f>MONTH(SalesData[[#This Row],[Order Date]])</f>
        <v>7</v>
      </c>
      <c r="M3656">
        <f>SalesData[[#This Row],[Sales]]/SalesData[[#This Row],[Quantity]]</f>
        <v>34.503999999999998</v>
      </c>
      <c r="N3656" t="str">
        <f>IF(SalesData[[#This Row],[Profit]]&gt;0,"Profit","Loss")</f>
        <v>Profit</v>
      </c>
    </row>
    <row r="3657" spans="1:14" x14ac:dyDescent="0.3">
      <c r="A3657" t="s">
        <v>591</v>
      </c>
      <c r="B3657" s="3">
        <v>41829</v>
      </c>
      <c r="C3657" t="s">
        <v>17</v>
      </c>
      <c r="D3657" t="s">
        <v>21</v>
      </c>
      <c r="E3657" t="s">
        <v>566</v>
      </c>
      <c r="F3657" s="1">
        <v>64.784000000000006</v>
      </c>
      <c r="G3657">
        <v>1</v>
      </c>
      <c r="H3657" s="1">
        <v>-14.5764</v>
      </c>
      <c r="I3657" s="4">
        <f>SalesData[[#This Row],[Profit]]/SalesData[[#This Row],[Sales]]</f>
        <v>-0.22499999999999998</v>
      </c>
      <c r="J3657">
        <f>YEAR(SalesData[[#This Row],[Order Date]])</f>
        <v>2014</v>
      </c>
      <c r="K3657" t="str">
        <f>TEXT(SalesData[[#This Row],[Order Date]],"mmm")</f>
        <v>Jul</v>
      </c>
      <c r="L3657">
        <f>MONTH(SalesData[[#This Row],[Order Date]])</f>
        <v>7</v>
      </c>
      <c r="M3657">
        <f>SalesData[[#This Row],[Sales]]/SalesData[[#This Row],[Quantity]]</f>
        <v>64.784000000000006</v>
      </c>
      <c r="N3657" t="str">
        <f>IF(SalesData[[#This Row],[Profit]]&gt;0,"Profit","Loss")</f>
        <v>Loss</v>
      </c>
    </row>
    <row r="3658" spans="1:14" x14ac:dyDescent="0.3">
      <c r="A3658" t="s">
        <v>591</v>
      </c>
      <c r="B3658" s="3">
        <v>41829</v>
      </c>
      <c r="C3658" t="s">
        <v>17</v>
      </c>
      <c r="D3658" t="s">
        <v>10</v>
      </c>
      <c r="E3658" t="s">
        <v>592</v>
      </c>
      <c r="F3658" s="1">
        <v>32.381999999999998</v>
      </c>
      <c r="G3658">
        <v>3</v>
      </c>
      <c r="H3658" s="1">
        <v>4.3175999999999997</v>
      </c>
      <c r="I3658" s="4">
        <f>SalesData[[#This Row],[Profit]]/SalesData[[#This Row],[Sales]]</f>
        <v>0.13333333333333333</v>
      </c>
      <c r="J3658">
        <f>YEAR(SalesData[[#This Row],[Order Date]])</f>
        <v>2014</v>
      </c>
      <c r="K3658" t="str">
        <f>TEXT(SalesData[[#This Row],[Order Date]],"mmm")</f>
        <v>Jul</v>
      </c>
      <c r="L3658">
        <f>MONTH(SalesData[[#This Row],[Order Date]])</f>
        <v>7</v>
      </c>
      <c r="M3658">
        <f>SalesData[[#This Row],[Sales]]/SalesData[[#This Row],[Quantity]]</f>
        <v>10.793999999999999</v>
      </c>
      <c r="N3658" t="str">
        <f>IF(SalesData[[#This Row],[Profit]]&gt;0,"Profit","Loss")</f>
        <v>Profit</v>
      </c>
    </row>
    <row r="3659" spans="1:14" x14ac:dyDescent="0.3">
      <c r="A3659" t="s">
        <v>591</v>
      </c>
      <c r="B3659" s="3">
        <v>41829</v>
      </c>
      <c r="C3659" t="s">
        <v>17</v>
      </c>
      <c r="D3659" t="s">
        <v>14</v>
      </c>
      <c r="E3659" t="s">
        <v>275</v>
      </c>
      <c r="F3659" s="1">
        <v>42.368000000000002</v>
      </c>
      <c r="G3659">
        <v>2</v>
      </c>
      <c r="H3659" s="1">
        <v>8.4735999999999994</v>
      </c>
      <c r="I3659" s="4">
        <f>SalesData[[#This Row],[Profit]]/SalesData[[#This Row],[Sales]]</f>
        <v>0.19999999999999998</v>
      </c>
      <c r="J3659">
        <f>YEAR(SalesData[[#This Row],[Order Date]])</f>
        <v>2014</v>
      </c>
      <c r="K3659" t="str">
        <f>TEXT(SalesData[[#This Row],[Order Date]],"mmm")</f>
        <v>Jul</v>
      </c>
      <c r="L3659">
        <f>MONTH(SalesData[[#This Row],[Order Date]])</f>
        <v>7</v>
      </c>
      <c r="M3659">
        <f>SalesData[[#This Row],[Sales]]/SalesData[[#This Row],[Quantity]]</f>
        <v>21.184000000000001</v>
      </c>
      <c r="N3659" t="str">
        <f>IF(SalesData[[#This Row],[Profit]]&gt;0,"Profit","Loss")</f>
        <v>Profit</v>
      </c>
    </row>
    <row r="3660" spans="1:14" x14ac:dyDescent="0.3">
      <c r="A3660" t="s">
        <v>591</v>
      </c>
      <c r="B3660" s="3">
        <v>41829</v>
      </c>
      <c r="C3660" t="s">
        <v>17</v>
      </c>
      <c r="D3660" t="s">
        <v>10</v>
      </c>
      <c r="E3660" t="s">
        <v>593</v>
      </c>
      <c r="F3660" s="1">
        <v>399.54</v>
      </c>
      <c r="G3660">
        <v>4</v>
      </c>
      <c r="H3660" s="1">
        <v>-559.35599999999999</v>
      </c>
      <c r="I3660" s="4">
        <f>SalesData[[#This Row],[Profit]]/SalesData[[#This Row],[Sales]]</f>
        <v>-1.4</v>
      </c>
      <c r="J3660">
        <f>YEAR(SalesData[[#This Row],[Order Date]])</f>
        <v>2014</v>
      </c>
      <c r="K3660" t="str">
        <f>TEXT(SalesData[[#This Row],[Order Date]],"mmm")</f>
        <v>Jul</v>
      </c>
      <c r="L3660">
        <f>MONTH(SalesData[[#This Row],[Order Date]])</f>
        <v>7</v>
      </c>
      <c r="M3660">
        <f>SalesData[[#This Row],[Sales]]/SalesData[[#This Row],[Quantity]]</f>
        <v>99.885000000000005</v>
      </c>
      <c r="N3660" t="str">
        <f>IF(SalesData[[#This Row],[Profit]]&gt;0,"Profit","Loss")</f>
        <v>Loss</v>
      </c>
    </row>
    <row r="3661" spans="1:14" x14ac:dyDescent="0.3">
      <c r="A3661" t="s">
        <v>594</v>
      </c>
      <c r="B3661" s="3">
        <v>41829</v>
      </c>
      <c r="C3661" t="s">
        <v>9</v>
      </c>
      <c r="D3661" t="s">
        <v>14</v>
      </c>
      <c r="E3661" t="s">
        <v>595</v>
      </c>
      <c r="F3661" s="1">
        <v>57.69</v>
      </c>
      <c r="G3661">
        <v>3</v>
      </c>
      <c r="H3661" s="1">
        <v>23.652899999999999</v>
      </c>
      <c r="I3661" s="4">
        <f>SalesData[[#This Row],[Profit]]/SalesData[[#This Row],[Sales]]</f>
        <v>0.41</v>
      </c>
      <c r="J3661">
        <f>YEAR(SalesData[[#This Row],[Order Date]])</f>
        <v>2014</v>
      </c>
      <c r="K3661" t="str">
        <f>TEXT(SalesData[[#This Row],[Order Date]],"mmm")</f>
        <v>Jul</v>
      </c>
      <c r="L3661">
        <f>MONTH(SalesData[[#This Row],[Order Date]])</f>
        <v>7</v>
      </c>
      <c r="M3661">
        <f>SalesData[[#This Row],[Sales]]/SalesData[[#This Row],[Quantity]]</f>
        <v>19.23</v>
      </c>
      <c r="N3661" t="str">
        <f>IF(SalesData[[#This Row],[Profit]]&gt;0,"Profit","Loss")</f>
        <v>Profit</v>
      </c>
    </row>
    <row r="3662" spans="1:14" x14ac:dyDescent="0.3">
      <c r="A3662" t="s">
        <v>594</v>
      </c>
      <c r="B3662" s="3">
        <v>41829</v>
      </c>
      <c r="C3662" t="s">
        <v>9</v>
      </c>
      <c r="D3662" t="s">
        <v>21</v>
      </c>
      <c r="E3662" t="s">
        <v>596</v>
      </c>
      <c r="F3662" s="1">
        <v>42.81</v>
      </c>
      <c r="G3662">
        <v>3</v>
      </c>
      <c r="H3662" s="1">
        <v>20.120699999999999</v>
      </c>
      <c r="I3662" s="4">
        <f>SalesData[[#This Row],[Profit]]/SalesData[[#This Row],[Sales]]</f>
        <v>0.47</v>
      </c>
      <c r="J3662">
        <f>YEAR(SalesData[[#This Row],[Order Date]])</f>
        <v>2014</v>
      </c>
      <c r="K3662" t="str">
        <f>TEXT(SalesData[[#This Row],[Order Date]],"mmm")</f>
        <v>Jul</v>
      </c>
      <c r="L3662">
        <f>MONTH(SalesData[[#This Row],[Order Date]])</f>
        <v>7</v>
      </c>
      <c r="M3662">
        <f>SalesData[[#This Row],[Sales]]/SalesData[[#This Row],[Quantity]]</f>
        <v>14.270000000000001</v>
      </c>
      <c r="N3662" t="str">
        <f>IF(SalesData[[#This Row],[Profit]]&gt;0,"Profit","Loss")</f>
        <v>Profit</v>
      </c>
    </row>
    <row r="3663" spans="1:14" x14ac:dyDescent="0.3">
      <c r="A3663" t="s">
        <v>594</v>
      </c>
      <c r="B3663" s="3">
        <v>41829</v>
      </c>
      <c r="C3663" t="s">
        <v>9</v>
      </c>
      <c r="D3663" t="s">
        <v>21</v>
      </c>
      <c r="E3663" t="s">
        <v>376</v>
      </c>
      <c r="F3663" s="1">
        <v>12.96</v>
      </c>
      <c r="G3663">
        <v>2</v>
      </c>
      <c r="H3663" s="1">
        <v>6.2207999999999997</v>
      </c>
      <c r="I3663" s="4">
        <f>SalesData[[#This Row],[Profit]]/SalesData[[#This Row],[Sales]]</f>
        <v>0.47999999999999993</v>
      </c>
      <c r="J3663">
        <f>YEAR(SalesData[[#This Row],[Order Date]])</f>
        <v>2014</v>
      </c>
      <c r="K3663" t="str">
        <f>TEXT(SalesData[[#This Row],[Order Date]],"mmm")</f>
        <v>Jul</v>
      </c>
      <c r="L3663">
        <f>MONTH(SalesData[[#This Row],[Order Date]])</f>
        <v>7</v>
      </c>
      <c r="M3663">
        <f>SalesData[[#This Row],[Sales]]/SalesData[[#This Row],[Quantity]]</f>
        <v>6.48</v>
      </c>
      <c r="N3663" t="str">
        <f>IF(SalesData[[#This Row],[Profit]]&gt;0,"Profit","Loss")</f>
        <v>Profit</v>
      </c>
    </row>
    <row r="3664" spans="1:14" x14ac:dyDescent="0.3">
      <c r="A3664" t="s">
        <v>594</v>
      </c>
      <c r="B3664" s="3">
        <v>41829</v>
      </c>
      <c r="C3664" t="s">
        <v>9</v>
      </c>
      <c r="D3664" t="s">
        <v>14</v>
      </c>
      <c r="E3664" t="s">
        <v>597</v>
      </c>
      <c r="F3664" s="1">
        <v>821.88</v>
      </c>
      <c r="G3664">
        <v>6</v>
      </c>
      <c r="H3664" s="1">
        <v>213.68879999999999</v>
      </c>
      <c r="I3664" s="4">
        <f>SalesData[[#This Row],[Profit]]/SalesData[[#This Row],[Sales]]</f>
        <v>0.26</v>
      </c>
      <c r="J3664">
        <f>YEAR(SalesData[[#This Row],[Order Date]])</f>
        <v>2014</v>
      </c>
      <c r="K3664" t="str">
        <f>TEXT(SalesData[[#This Row],[Order Date]],"mmm")</f>
        <v>Jul</v>
      </c>
      <c r="L3664">
        <f>MONTH(SalesData[[#This Row],[Order Date]])</f>
        <v>7</v>
      </c>
      <c r="M3664">
        <f>SalesData[[#This Row],[Sales]]/SalesData[[#This Row],[Quantity]]</f>
        <v>136.97999999999999</v>
      </c>
      <c r="N3664" t="str">
        <f>IF(SalesData[[#This Row],[Profit]]&gt;0,"Profit","Loss")</f>
        <v>Profit</v>
      </c>
    </row>
    <row r="3665" spans="1:14" x14ac:dyDescent="0.3">
      <c r="A3665" t="s">
        <v>594</v>
      </c>
      <c r="B3665" s="3">
        <v>41829</v>
      </c>
      <c r="C3665" t="s">
        <v>9</v>
      </c>
      <c r="D3665" t="s">
        <v>10</v>
      </c>
      <c r="E3665" t="s">
        <v>598</v>
      </c>
      <c r="F3665" s="1">
        <v>104.85</v>
      </c>
      <c r="G3665">
        <v>3</v>
      </c>
      <c r="H3665" s="1">
        <v>28.3095</v>
      </c>
      <c r="I3665" s="4">
        <f>SalesData[[#This Row],[Profit]]/SalesData[[#This Row],[Sales]]</f>
        <v>0.27</v>
      </c>
      <c r="J3665">
        <f>YEAR(SalesData[[#This Row],[Order Date]])</f>
        <v>2014</v>
      </c>
      <c r="K3665" t="str">
        <f>TEXT(SalesData[[#This Row],[Order Date]],"mmm")</f>
        <v>Jul</v>
      </c>
      <c r="L3665">
        <f>MONTH(SalesData[[#This Row],[Order Date]])</f>
        <v>7</v>
      </c>
      <c r="M3665">
        <f>SalesData[[#This Row],[Sales]]/SalesData[[#This Row],[Quantity]]</f>
        <v>34.949999999999996</v>
      </c>
      <c r="N3665" t="str">
        <f>IF(SalesData[[#This Row],[Profit]]&gt;0,"Profit","Loss")</f>
        <v>Profit</v>
      </c>
    </row>
    <row r="3666" spans="1:14" x14ac:dyDescent="0.3">
      <c r="A3666" t="s">
        <v>599</v>
      </c>
      <c r="B3666" s="3">
        <v>41829</v>
      </c>
      <c r="C3666" t="s">
        <v>17</v>
      </c>
      <c r="D3666" t="s">
        <v>10</v>
      </c>
      <c r="E3666" t="s">
        <v>600</v>
      </c>
      <c r="F3666" s="1">
        <v>377.97</v>
      </c>
      <c r="G3666">
        <v>3</v>
      </c>
      <c r="H3666" s="1">
        <v>109.6113</v>
      </c>
      <c r="I3666" s="4">
        <f>SalesData[[#This Row],[Profit]]/SalesData[[#This Row],[Sales]]</f>
        <v>0.28999999999999998</v>
      </c>
      <c r="J3666">
        <f>YEAR(SalesData[[#This Row],[Order Date]])</f>
        <v>2014</v>
      </c>
      <c r="K3666" t="str">
        <f>TEXT(SalesData[[#This Row],[Order Date]],"mmm")</f>
        <v>Jul</v>
      </c>
      <c r="L3666">
        <f>MONTH(SalesData[[#This Row],[Order Date]])</f>
        <v>7</v>
      </c>
      <c r="M3666">
        <f>SalesData[[#This Row],[Sales]]/SalesData[[#This Row],[Quantity]]</f>
        <v>125.99000000000001</v>
      </c>
      <c r="N3666" t="str">
        <f>IF(SalesData[[#This Row],[Profit]]&gt;0,"Profit","Loss")</f>
        <v>Profit</v>
      </c>
    </row>
    <row r="3667" spans="1:14" x14ac:dyDescent="0.3">
      <c r="A3667" t="s">
        <v>601</v>
      </c>
      <c r="B3667" s="3">
        <v>41829</v>
      </c>
      <c r="C3667" t="s">
        <v>9</v>
      </c>
      <c r="D3667" t="s">
        <v>10</v>
      </c>
      <c r="E3667" t="s">
        <v>602</v>
      </c>
      <c r="F3667" s="1">
        <v>196.77600000000001</v>
      </c>
      <c r="G3667">
        <v>3</v>
      </c>
      <c r="H3667" s="1">
        <v>14.7582</v>
      </c>
      <c r="I3667" s="4">
        <f>SalesData[[#This Row],[Profit]]/SalesData[[#This Row],[Sales]]</f>
        <v>7.4999999999999997E-2</v>
      </c>
      <c r="J3667">
        <f>YEAR(SalesData[[#This Row],[Order Date]])</f>
        <v>2014</v>
      </c>
      <c r="K3667" t="str">
        <f>TEXT(SalesData[[#This Row],[Order Date]],"mmm")</f>
        <v>Jul</v>
      </c>
      <c r="L3667">
        <f>MONTH(SalesData[[#This Row],[Order Date]])</f>
        <v>7</v>
      </c>
      <c r="M3667">
        <f>SalesData[[#This Row],[Sales]]/SalesData[[#This Row],[Quantity]]</f>
        <v>65.591999999999999</v>
      </c>
      <c r="N3667" t="str">
        <f>IF(SalesData[[#This Row],[Profit]]&gt;0,"Profit","Loss")</f>
        <v>Profit</v>
      </c>
    </row>
    <row r="3668" spans="1:14" x14ac:dyDescent="0.3">
      <c r="A3668" t="s">
        <v>601</v>
      </c>
      <c r="B3668" s="3">
        <v>41829</v>
      </c>
      <c r="C3668" t="s">
        <v>9</v>
      </c>
      <c r="D3668" t="s">
        <v>21</v>
      </c>
      <c r="E3668" t="s">
        <v>199</v>
      </c>
      <c r="F3668" s="1">
        <v>2.92</v>
      </c>
      <c r="G3668">
        <v>2</v>
      </c>
      <c r="H3668" s="1">
        <v>-4.8179999999999996</v>
      </c>
      <c r="I3668" s="4">
        <f>SalesData[[#This Row],[Profit]]/SalesData[[#This Row],[Sales]]</f>
        <v>-1.65</v>
      </c>
      <c r="J3668">
        <f>YEAR(SalesData[[#This Row],[Order Date]])</f>
        <v>2014</v>
      </c>
      <c r="K3668" t="str">
        <f>TEXT(SalesData[[#This Row],[Order Date]],"mmm")</f>
        <v>Jul</v>
      </c>
      <c r="L3668">
        <f>MONTH(SalesData[[#This Row],[Order Date]])</f>
        <v>7</v>
      </c>
      <c r="M3668">
        <f>SalesData[[#This Row],[Sales]]/SalesData[[#This Row],[Quantity]]</f>
        <v>1.46</v>
      </c>
      <c r="N3668" t="str">
        <f>IF(SalesData[[#This Row],[Profit]]&gt;0,"Profit","Loss")</f>
        <v>Loss</v>
      </c>
    </row>
    <row r="3669" spans="1:14" x14ac:dyDescent="0.3">
      <c r="A3669" t="s">
        <v>601</v>
      </c>
      <c r="B3669" s="3">
        <v>41829</v>
      </c>
      <c r="C3669" t="s">
        <v>9</v>
      </c>
      <c r="D3669" t="s">
        <v>14</v>
      </c>
      <c r="E3669" t="s">
        <v>603</v>
      </c>
      <c r="F3669" s="1">
        <v>200.79499999999999</v>
      </c>
      <c r="G3669">
        <v>1</v>
      </c>
      <c r="H3669" s="1">
        <v>-22.948</v>
      </c>
      <c r="I3669" s="4">
        <f>SalesData[[#This Row],[Profit]]/SalesData[[#This Row],[Sales]]</f>
        <v>-0.1142857142857143</v>
      </c>
      <c r="J3669">
        <f>YEAR(SalesData[[#This Row],[Order Date]])</f>
        <v>2014</v>
      </c>
      <c r="K3669" t="str">
        <f>TEXT(SalesData[[#This Row],[Order Date]],"mmm")</f>
        <v>Jul</v>
      </c>
      <c r="L3669">
        <f>MONTH(SalesData[[#This Row],[Order Date]])</f>
        <v>7</v>
      </c>
      <c r="M3669">
        <f>SalesData[[#This Row],[Sales]]/SalesData[[#This Row],[Quantity]]</f>
        <v>200.79499999999999</v>
      </c>
      <c r="N3669" t="str">
        <f>IF(SalesData[[#This Row],[Profit]]&gt;0,"Profit","Loss")</f>
        <v>Loss</v>
      </c>
    </row>
    <row r="3670" spans="1:14" x14ac:dyDescent="0.3">
      <c r="A3670" t="s">
        <v>601</v>
      </c>
      <c r="B3670" s="3">
        <v>41829</v>
      </c>
      <c r="C3670" t="s">
        <v>9</v>
      </c>
      <c r="D3670" t="s">
        <v>10</v>
      </c>
      <c r="E3670" t="s">
        <v>604</v>
      </c>
      <c r="F3670" s="1">
        <v>46.688000000000002</v>
      </c>
      <c r="G3670">
        <v>4</v>
      </c>
      <c r="H3670" s="1">
        <v>-2.9180000000000001</v>
      </c>
      <c r="I3670" s="4">
        <f>SalesData[[#This Row],[Profit]]/SalesData[[#This Row],[Sales]]</f>
        <v>-6.25E-2</v>
      </c>
      <c r="J3670">
        <f>YEAR(SalesData[[#This Row],[Order Date]])</f>
        <v>2014</v>
      </c>
      <c r="K3670" t="str">
        <f>TEXT(SalesData[[#This Row],[Order Date]],"mmm")</f>
        <v>Jul</v>
      </c>
      <c r="L3670">
        <f>MONTH(SalesData[[#This Row],[Order Date]])</f>
        <v>7</v>
      </c>
      <c r="M3670">
        <f>SalesData[[#This Row],[Sales]]/SalesData[[#This Row],[Quantity]]</f>
        <v>11.672000000000001</v>
      </c>
      <c r="N3670" t="str">
        <f>IF(SalesData[[#This Row],[Profit]]&gt;0,"Profit","Loss")</f>
        <v>Loss</v>
      </c>
    </row>
    <row r="3671" spans="1:14" x14ac:dyDescent="0.3">
      <c r="A3671" t="s">
        <v>601</v>
      </c>
      <c r="B3671" s="3">
        <v>41829</v>
      </c>
      <c r="C3671" t="s">
        <v>9</v>
      </c>
      <c r="D3671" t="s">
        <v>21</v>
      </c>
      <c r="E3671" t="s">
        <v>605</v>
      </c>
      <c r="F3671" s="1">
        <v>21.864000000000001</v>
      </c>
      <c r="G3671">
        <v>3</v>
      </c>
      <c r="H3671" s="1">
        <v>3.5529000000000002</v>
      </c>
      <c r="I3671" s="4">
        <f>SalesData[[#This Row],[Profit]]/SalesData[[#This Row],[Sales]]</f>
        <v>0.16250000000000001</v>
      </c>
      <c r="J3671">
        <f>YEAR(SalesData[[#This Row],[Order Date]])</f>
        <v>2014</v>
      </c>
      <c r="K3671" t="str">
        <f>TEXT(SalesData[[#This Row],[Order Date]],"mmm")</f>
        <v>Jul</v>
      </c>
      <c r="L3671">
        <f>MONTH(SalesData[[#This Row],[Order Date]])</f>
        <v>7</v>
      </c>
      <c r="M3671">
        <f>SalesData[[#This Row],[Sales]]/SalesData[[#This Row],[Quantity]]</f>
        <v>7.2880000000000003</v>
      </c>
      <c r="N3671" t="str">
        <f>IF(SalesData[[#This Row],[Profit]]&gt;0,"Profit","Loss")</f>
        <v>Profit</v>
      </c>
    </row>
    <row r="3672" spans="1:14" x14ac:dyDescent="0.3">
      <c r="A3672" t="s">
        <v>606</v>
      </c>
      <c r="B3672" s="3">
        <v>41829</v>
      </c>
      <c r="C3672" t="s">
        <v>9</v>
      </c>
      <c r="D3672" t="s">
        <v>14</v>
      </c>
      <c r="E3672" t="s">
        <v>243</v>
      </c>
      <c r="F3672" s="1">
        <v>429.9</v>
      </c>
      <c r="G3672">
        <v>5</v>
      </c>
      <c r="H3672" s="1">
        <v>111.774</v>
      </c>
      <c r="I3672" s="4">
        <f>SalesData[[#This Row],[Profit]]/SalesData[[#This Row],[Sales]]</f>
        <v>0.26</v>
      </c>
      <c r="J3672">
        <f>YEAR(SalesData[[#This Row],[Order Date]])</f>
        <v>2014</v>
      </c>
      <c r="K3672" t="str">
        <f>TEXT(SalesData[[#This Row],[Order Date]],"mmm")</f>
        <v>Jul</v>
      </c>
      <c r="L3672">
        <f>MONTH(SalesData[[#This Row],[Order Date]])</f>
        <v>7</v>
      </c>
      <c r="M3672">
        <f>SalesData[[#This Row],[Sales]]/SalesData[[#This Row],[Quantity]]</f>
        <v>85.97999999999999</v>
      </c>
      <c r="N3672" t="str">
        <f>IF(SalesData[[#This Row],[Profit]]&gt;0,"Profit","Loss")</f>
        <v>Profit</v>
      </c>
    </row>
    <row r="3673" spans="1:14" x14ac:dyDescent="0.3">
      <c r="A3673" t="s">
        <v>606</v>
      </c>
      <c r="B3673" s="3">
        <v>41829</v>
      </c>
      <c r="C3673" t="s">
        <v>9</v>
      </c>
      <c r="D3673" t="s">
        <v>21</v>
      </c>
      <c r="E3673" t="s">
        <v>607</v>
      </c>
      <c r="F3673" s="1">
        <v>32.06</v>
      </c>
      <c r="G3673">
        <v>2</v>
      </c>
      <c r="H3673" s="1">
        <v>15.3888</v>
      </c>
      <c r="I3673" s="4">
        <f>SalesData[[#This Row],[Profit]]/SalesData[[#This Row],[Sales]]</f>
        <v>0.48</v>
      </c>
      <c r="J3673">
        <f>YEAR(SalesData[[#This Row],[Order Date]])</f>
        <v>2014</v>
      </c>
      <c r="K3673" t="str">
        <f>TEXT(SalesData[[#This Row],[Order Date]],"mmm")</f>
        <v>Jul</v>
      </c>
      <c r="L3673">
        <f>MONTH(SalesData[[#This Row],[Order Date]])</f>
        <v>7</v>
      </c>
      <c r="M3673">
        <f>SalesData[[#This Row],[Sales]]/SalesData[[#This Row],[Quantity]]</f>
        <v>16.03</v>
      </c>
      <c r="N3673" t="str">
        <f>IF(SalesData[[#This Row],[Profit]]&gt;0,"Profit","Loss")</f>
        <v>Profit</v>
      </c>
    </row>
    <row r="3674" spans="1:14" x14ac:dyDescent="0.3">
      <c r="A3674" t="s">
        <v>606</v>
      </c>
      <c r="B3674" s="3">
        <v>41829</v>
      </c>
      <c r="C3674" t="s">
        <v>9</v>
      </c>
      <c r="D3674" t="s">
        <v>14</v>
      </c>
      <c r="E3674" t="s">
        <v>608</v>
      </c>
      <c r="F3674" s="1">
        <v>161.96</v>
      </c>
      <c r="G3674">
        <v>2</v>
      </c>
      <c r="H3674" s="1">
        <v>45.348799999999997</v>
      </c>
      <c r="I3674" s="4">
        <f>SalesData[[#This Row],[Profit]]/SalesData[[#This Row],[Sales]]</f>
        <v>0.27999999999999997</v>
      </c>
      <c r="J3674">
        <f>YEAR(SalesData[[#This Row],[Order Date]])</f>
        <v>2014</v>
      </c>
      <c r="K3674" t="str">
        <f>TEXT(SalesData[[#This Row],[Order Date]],"mmm")</f>
        <v>Jul</v>
      </c>
      <c r="L3674">
        <f>MONTH(SalesData[[#This Row],[Order Date]])</f>
        <v>7</v>
      </c>
      <c r="M3674">
        <f>SalesData[[#This Row],[Sales]]/SalesData[[#This Row],[Quantity]]</f>
        <v>80.98</v>
      </c>
      <c r="N3674" t="str">
        <f>IF(SalesData[[#This Row],[Profit]]&gt;0,"Profit","Loss")</f>
        <v>Profit</v>
      </c>
    </row>
    <row r="3675" spans="1:14" x14ac:dyDescent="0.3">
      <c r="A3675" t="s">
        <v>606</v>
      </c>
      <c r="B3675" s="3">
        <v>41829</v>
      </c>
      <c r="C3675" t="s">
        <v>9</v>
      </c>
      <c r="D3675" t="s">
        <v>21</v>
      </c>
      <c r="E3675" t="s">
        <v>609</v>
      </c>
      <c r="F3675" s="1">
        <v>19.86</v>
      </c>
      <c r="G3675">
        <v>2</v>
      </c>
      <c r="H3675" s="1">
        <v>5.7594000000000003</v>
      </c>
      <c r="I3675" s="4">
        <f>SalesData[[#This Row],[Profit]]/SalesData[[#This Row],[Sales]]</f>
        <v>0.29000000000000004</v>
      </c>
      <c r="J3675">
        <f>YEAR(SalesData[[#This Row],[Order Date]])</f>
        <v>2014</v>
      </c>
      <c r="K3675" t="str">
        <f>TEXT(SalesData[[#This Row],[Order Date]],"mmm")</f>
        <v>Jul</v>
      </c>
      <c r="L3675">
        <f>MONTH(SalesData[[#This Row],[Order Date]])</f>
        <v>7</v>
      </c>
      <c r="M3675">
        <f>SalesData[[#This Row],[Sales]]/SalesData[[#This Row],[Quantity]]</f>
        <v>9.93</v>
      </c>
      <c r="N3675" t="str">
        <f>IF(SalesData[[#This Row],[Profit]]&gt;0,"Profit","Loss")</f>
        <v>Profit</v>
      </c>
    </row>
    <row r="3676" spans="1:14" x14ac:dyDescent="0.3">
      <c r="A3676" t="s">
        <v>610</v>
      </c>
      <c r="B3676" s="3">
        <v>41829</v>
      </c>
      <c r="C3676" t="s">
        <v>13</v>
      </c>
      <c r="D3676" t="s">
        <v>21</v>
      </c>
      <c r="E3676" t="s">
        <v>611</v>
      </c>
      <c r="F3676" s="1">
        <v>27.36</v>
      </c>
      <c r="G3676">
        <v>4</v>
      </c>
      <c r="H3676" s="1">
        <v>7.3872</v>
      </c>
      <c r="I3676" s="4">
        <f>SalesData[[#This Row],[Profit]]/SalesData[[#This Row],[Sales]]</f>
        <v>0.27</v>
      </c>
      <c r="J3676">
        <f>YEAR(SalesData[[#This Row],[Order Date]])</f>
        <v>2014</v>
      </c>
      <c r="K3676" t="str">
        <f>TEXT(SalesData[[#This Row],[Order Date]],"mmm")</f>
        <v>Jul</v>
      </c>
      <c r="L3676">
        <f>MONTH(SalesData[[#This Row],[Order Date]])</f>
        <v>7</v>
      </c>
      <c r="M3676">
        <f>SalesData[[#This Row],[Sales]]/SalesData[[#This Row],[Quantity]]</f>
        <v>6.84</v>
      </c>
      <c r="N3676" t="str">
        <f>IF(SalesData[[#This Row],[Profit]]&gt;0,"Profit","Loss")</f>
        <v>Profit</v>
      </c>
    </row>
    <row r="3677" spans="1:14" x14ac:dyDescent="0.3">
      <c r="A3677" t="s">
        <v>610</v>
      </c>
      <c r="B3677" s="3">
        <v>41829</v>
      </c>
      <c r="C3677" t="s">
        <v>13</v>
      </c>
      <c r="D3677" t="s">
        <v>21</v>
      </c>
      <c r="E3677" t="s">
        <v>217</v>
      </c>
      <c r="F3677" s="1">
        <v>20.56</v>
      </c>
      <c r="G3677">
        <v>2</v>
      </c>
      <c r="H3677" s="1">
        <v>9.6631999999999998</v>
      </c>
      <c r="I3677" s="4">
        <f>SalesData[[#This Row],[Profit]]/SalesData[[#This Row],[Sales]]</f>
        <v>0.47000000000000003</v>
      </c>
      <c r="J3677">
        <f>YEAR(SalesData[[#This Row],[Order Date]])</f>
        <v>2014</v>
      </c>
      <c r="K3677" t="str">
        <f>TEXT(SalesData[[#This Row],[Order Date]],"mmm")</f>
        <v>Jul</v>
      </c>
      <c r="L3677">
        <f>MONTH(SalesData[[#This Row],[Order Date]])</f>
        <v>7</v>
      </c>
      <c r="M3677">
        <f>SalesData[[#This Row],[Sales]]/SalesData[[#This Row],[Quantity]]</f>
        <v>10.28</v>
      </c>
      <c r="N3677" t="str">
        <f>IF(SalesData[[#This Row],[Profit]]&gt;0,"Profit","Loss")</f>
        <v>Profit</v>
      </c>
    </row>
    <row r="3678" spans="1:14" x14ac:dyDescent="0.3">
      <c r="A3678" t="s">
        <v>610</v>
      </c>
      <c r="B3678" s="3">
        <v>41829</v>
      </c>
      <c r="C3678" t="s">
        <v>13</v>
      </c>
      <c r="D3678" t="s">
        <v>21</v>
      </c>
      <c r="E3678" t="s">
        <v>612</v>
      </c>
      <c r="F3678" s="1">
        <v>83.92</v>
      </c>
      <c r="G3678">
        <v>5</v>
      </c>
      <c r="H3678" s="1">
        <v>31.47</v>
      </c>
      <c r="I3678" s="4">
        <f>SalesData[[#This Row],[Profit]]/SalesData[[#This Row],[Sales]]</f>
        <v>0.375</v>
      </c>
      <c r="J3678">
        <f>YEAR(SalesData[[#This Row],[Order Date]])</f>
        <v>2014</v>
      </c>
      <c r="K3678" t="str">
        <f>TEXT(SalesData[[#This Row],[Order Date]],"mmm")</f>
        <v>Jul</v>
      </c>
      <c r="L3678">
        <f>MONTH(SalesData[[#This Row],[Order Date]])</f>
        <v>7</v>
      </c>
      <c r="M3678">
        <f>SalesData[[#This Row],[Sales]]/SalesData[[#This Row],[Quantity]]</f>
        <v>16.783999999999999</v>
      </c>
      <c r="N3678" t="str">
        <f>IF(SalesData[[#This Row],[Profit]]&gt;0,"Profit","Loss")</f>
        <v>Profit</v>
      </c>
    </row>
    <row r="3679" spans="1:14" x14ac:dyDescent="0.3">
      <c r="A3679" t="s">
        <v>613</v>
      </c>
      <c r="B3679" s="3">
        <v>41829</v>
      </c>
      <c r="C3679" t="s">
        <v>9</v>
      </c>
      <c r="D3679" t="s">
        <v>21</v>
      </c>
      <c r="E3679" t="s">
        <v>614</v>
      </c>
      <c r="F3679" s="1">
        <v>13.16</v>
      </c>
      <c r="G3679">
        <v>5</v>
      </c>
      <c r="H3679" s="1">
        <v>4.1124999999999998</v>
      </c>
      <c r="I3679" s="4">
        <f>SalesData[[#This Row],[Profit]]/SalesData[[#This Row],[Sales]]</f>
        <v>0.3125</v>
      </c>
      <c r="J3679">
        <f>YEAR(SalesData[[#This Row],[Order Date]])</f>
        <v>2014</v>
      </c>
      <c r="K3679" t="str">
        <f>TEXT(SalesData[[#This Row],[Order Date]],"mmm")</f>
        <v>Jul</v>
      </c>
      <c r="L3679">
        <f>MONTH(SalesData[[#This Row],[Order Date]])</f>
        <v>7</v>
      </c>
      <c r="M3679">
        <f>SalesData[[#This Row],[Sales]]/SalesData[[#This Row],[Quantity]]</f>
        <v>2.6320000000000001</v>
      </c>
      <c r="N3679" t="str">
        <f>IF(SalesData[[#This Row],[Profit]]&gt;0,"Profit","Loss")</f>
        <v>Profit</v>
      </c>
    </row>
    <row r="3680" spans="1:14" x14ac:dyDescent="0.3">
      <c r="A3680" t="s">
        <v>613</v>
      </c>
      <c r="B3680" s="3">
        <v>41829</v>
      </c>
      <c r="C3680" t="s">
        <v>9</v>
      </c>
      <c r="D3680" t="s">
        <v>21</v>
      </c>
      <c r="E3680" t="s">
        <v>615</v>
      </c>
      <c r="F3680" s="1">
        <v>3.8279999999999998</v>
      </c>
      <c r="G3680">
        <v>3</v>
      </c>
      <c r="H3680" s="1">
        <v>-6.5076000000000001</v>
      </c>
      <c r="I3680" s="4">
        <f>SalesData[[#This Row],[Profit]]/SalesData[[#This Row],[Sales]]</f>
        <v>-1.7000000000000002</v>
      </c>
      <c r="J3680">
        <f>YEAR(SalesData[[#This Row],[Order Date]])</f>
        <v>2014</v>
      </c>
      <c r="K3680" t="str">
        <f>TEXT(SalesData[[#This Row],[Order Date]],"mmm")</f>
        <v>Jul</v>
      </c>
      <c r="L3680">
        <f>MONTH(SalesData[[#This Row],[Order Date]])</f>
        <v>7</v>
      </c>
      <c r="M3680">
        <f>SalesData[[#This Row],[Sales]]/SalesData[[#This Row],[Quantity]]</f>
        <v>1.276</v>
      </c>
      <c r="N3680" t="str">
        <f>IF(SalesData[[#This Row],[Profit]]&gt;0,"Profit","Loss")</f>
        <v>Loss</v>
      </c>
    </row>
    <row r="3681" spans="1:14" x14ac:dyDescent="0.3">
      <c r="A3681" t="s">
        <v>613</v>
      </c>
      <c r="B3681" s="3">
        <v>41829</v>
      </c>
      <c r="C3681" t="s">
        <v>9</v>
      </c>
      <c r="D3681" t="s">
        <v>21</v>
      </c>
      <c r="E3681" t="s">
        <v>488</v>
      </c>
      <c r="F3681" s="1">
        <v>304.99</v>
      </c>
      <c r="G3681">
        <v>5</v>
      </c>
      <c r="H3681" s="1">
        <v>-533.73249999999996</v>
      </c>
      <c r="I3681" s="4">
        <f>SalesData[[#This Row],[Profit]]/SalesData[[#This Row],[Sales]]</f>
        <v>-1.7499999999999998</v>
      </c>
      <c r="J3681">
        <f>YEAR(SalesData[[#This Row],[Order Date]])</f>
        <v>2014</v>
      </c>
      <c r="K3681" t="str">
        <f>TEXT(SalesData[[#This Row],[Order Date]],"mmm")</f>
        <v>Jul</v>
      </c>
      <c r="L3681">
        <f>MONTH(SalesData[[#This Row],[Order Date]])</f>
        <v>7</v>
      </c>
      <c r="M3681">
        <f>SalesData[[#This Row],[Sales]]/SalesData[[#This Row],[Quantity]]</f>
        <v>60.998000000000005</v>
      </c>
      <c r="N3681" t="str">
        <f>IF(SalesData[[#This Row],[Profit]]&gt;0,"Profit","Loss")</f>
        <v>Loss</v>
      </c>
    </row>
    <row r="3682" spans="1:14" x14ac:dyDescent="0.3">
      <c r="A3682" t="s">
        <v>616</v>
      </c>
      <c r="B3682" s="3">
        <v>41830</v>
      </c>
      <c r="C3682" t="s">
        <v>17</v>
      </c>
      <c r="D3682" t="s">
        <v>14</v>
      </c>
      <c r="E3682" t="s">
        <v>617</v>
      </c>
      <c r="F3682" s="1">
        <v>129.91999999999999</v>
      </c>
      <c r="G3682">
        <v>5</v>
      </c>
      <c r="H3682" s="1">
        <v>21.111999999999998</v>
      </c>
      <c r="I3682" s="4">
        <f>SalesData[[#This Row],[Profit]]/SalesData[[#This Row],[Sales]]</f>
        <v>0.16250000000000001</v>
      </c>
      <c r="J3682">
        <f>YEAR(SalesData[[#This Row],[Order Date]])</f>
        <v>2014</v>
      </c>
      <c r="K3682" t="str">
        <f>TEXT(SalesData[[#This Row],[Order Date]],"mmm")</f>
        <v>Jul</v>
      </c>
      <c r="L3682">
        <f>MONTH(SalesData[[#This Row],[Order Date]])</f>
        <v>7</v>
      </c>
      <c r="M3682">
        <f>SalesData[[#This Row],[Sales]]/SalesData[[#This Row],[Quantity]]</f>
        <v>25.983999999999998</v>
      </c>
      <c r="N3682" t="str">
        <f>IF(SalesData[[#This Row],[Profit]]&gt;0,"Profit","Loss")</f>
        <v>Profit</v>
      </c>
    </row>
    <row r="3683" spans="1:14" x14ac:dyDescent="0.3">
      <c r="A3683" t="s">
        <v>618</v>
      </c>
      <c r="B3683" s="3">
        <v>41830</v>
      </c>
      <c r="C3683" t="s">
        <v>9</v>
      </c>
      <c r="D3683" t="s">
        <v>21</v>
      </c>
      <c r="E3683" t="s">
        <v>619</v>
      </c>
      <c r="F3683" s="1">
        <v>107.44</v>
      </c>
      <c r="G3683">
        <v>10</v>
      </c>
      <c r="H3683" s="1">
        <v>10.744</v>
      </c>
      <c r="I3683" s="4">
        <f>SalesData[[#This Row],[Profit]]/SalesData[[#This Row],[Sales]]</f>
        <v>0.1</v>
      </c>
      <c r="J3683">
        <f>YEAR(SalesData[[#This Row],[Order Date]])</f>
        <v>2014</v>
      </c>
      <c r="K3683" t="str">
        <f>TEXT(SalesData[[#This Row],[Order Date]],"mmm")</f>
        <v>Jul</v>
      </c>
      <c r="L3683">
        <f>MONTH(SalesData[[#This Row],[Order Date]])</f>
        <v>7</v>
      </c>
      <c r="M3683">
        <f>SalesData[[#This Row],[Sales]]/SalesData[[#This Row],[Quantity]]</f>
        <v>10.744</v>
      </c>
      <c r="N3683" t="str">
        <f>IF(SalesData[[#This Row],[Profit]]&gt;0,"Profit","Loss")</f>
        <v>Profit</v>
      </c>
    </row>
    <row r="3684" spans="1:14" x14ac:dyDescent="0.3">
      <c r="A3684" t="s">
        <v>620</v>
      </c>
      <c r="B3684" s="3">
        <v>41831</v>
      </c>
      <c r="C3684" t="s">
        <v>9</v>
      </c>
      <c r="D3684" t="s">
        <v>21</v>
      </c>
      <c r="E3684" t="s">
        <v>621</v>
      </c>
      <c r="F3684" s="1">
        <v>26.045999999999999</v>
      </c>
      <c r="G3684">
        <v>3</v>
      </c>
      <c r="H3684" s="1">
        <v>-44.278199999999998</v>
      </c>
      <c r="I3684" s="4">
        <f>SalesData[[#This Row],[Profit]]/SalesData[[#This Row],[Sales]]</f>
        <v>-1.7</v>
      </c>
      <c r="J3684">
        <f>YEAR(SalesData[[#This Row],[Order Date]])</f>
        <v>2014</v>
      </c>
      <c r="K3684" t="str">
        <f>TEXT(SalesData[[#This Row],[Order Date]],"mmm")</f>
        <v>Jul</v>
      </c>
      <c r="L3684">
        <f>MONTH(SalesData[[#This Row],[Order Date]])</f>
        <v>7</v>
      </c>
      <c r="M3684">
        <f>SalesData[[#This Row],[Sales]]/SalesData[[#This Row],[Quantity]]</f>
        <v>8.6820000000000004</v>
      </c>
      <c r="N3684" t="str">
        <f>IF(SalesData[[#This Row],[Profit]]&gt;0,"Profit","Loss")</f>
        <v>Loss</v>
      </c>
    </row>
    <row r="3685" spans="1:14" x14ac:dyDescent="0.3">
      <c r="A3685" t="s">
        <v>620</v>
      </c>
      <c r="B3685" s="3">
        <v>41831</v>
      </c>
      <c r="C3685" t="s">
        <v>9</v>
      </c>
      <c r="D3685" t="s">
        <v>21</v>
      </c>
      <c r="E3685" t="s">
        <v>127</v>
      </c>
      <c r="F3685" s="1">
        <v>74.352000000000004</v>
      </c>
      <c r="G3685">
        <v>3</v>
      </c>
      <c r="H3685" s="1">
        <v>26.9526</v>
      </c>
      <c r="I3685" s="4">
        <f>SalesData[[#This Row],[Profit]]/SalesData[[#This Row],[Sales]]</f>
        <v>0.36249999999999999</v>
      </c>
      <c r="J3685">
        <f>YEAR(SalesData[[#This Row],[Order Date]])</f>
        <v>2014</v>
      </c>
      <c r="K3685" t="str">
        <f>TEXT(SalesData[[#This Row],[Order Date]],"mmm")</f>
        <v>Jul</v>
      </c>
      <c r="L3685">
        <f>MONTH(SalesData[[#This Row],[Order Date]])</f>
        <v>7</v>
      </c>
      <c r="M3685">
        <f>SalesData[[#This Row],[Sales]]/SalesData[[#This Row],[Quantity]]</f>
        <v>24.784000000000002</v>
      </c>
      <c r="N3685" t="str">
        <f>IF(SalesData[[#This Row],[Profit]]&gt;0,"Profit","Loss")</f>
        <v>Profit</v>
      </c>
    </row>
    <row r="3686" spans="1:14" x14ac:dyDescent="0.3">
      <c r="A3686" t="s">
        <v>622</v>
      </c>
      <c r="B3686" s="3">
        <v>41831</v>
      </c>
      <c r="C3686" t="s">
        <v>13</v>
      </c>
      <c r="D3686" t="s">
        <v>21</v>
      </c>
      <c r="E3686" t="s">
        <v>459</v>
      </c>
      <c r="F3686" s="1">
        <v>123.14400000000001</v>
      </c>
      <c r="G3686">
        <v>7</v>
      </c>
      <c r="H3686" s="1">
        <v>46.179000000000002</v>
      </c>
      <c r="I3686" s="4">
        <f>SalesData[[#This Row],[Profit]]/SalesData[[#This Row],[Sales]]</f>
        <v>0.375</v>
      </c>
      <c r="J3686">
        <f>YEAR(SalesData[[#This Row],[Order Date]])</f>
        <v>2014</v>
      </c>
      <c r="K3686" t="str">
        <f>TEXT(SalesData[[#This Row],[Order Date]],"mmm")</f>
        <v>Jul</v>
      </c>
      <c r="L3686">
        <f>MONTH(SalesData[[#This Row],[Order Date]])</f>
        <v>7</v>
      </c>
      <c r="M3686">
        <f>SalesData[[#This Row],[Sales]]/SalesData[[#This Row],[Quantity]]</f>
        <v>17.592000000000002</v>
      </c>
      <c r="N3686" t="str">
        <f>IF(SalesData[[#This Row],[Profit]]&gt;0,"Profit","Loss")</f>
        <v>Profit</v>
      </c>
    </row>
    <row r="3687" spans="1:14" x14ac:dyDescent="0.3">
      <c r="A3687" t="s">
        <v>623</v>
      </c>
      <c r="B3687" s="3">
        <v>41831</v>
      </c>
      <c r="C3687" t="s">
        <v>9</v>
      </c>
      <c r="D3687" t="s">
        <v>14</v>
      </c>
      <c r="E3687" t="s">
        <v>624</v>
      </c>
      <c r="F3687" s="1">
        <v>683.14400000000001</v>
      </c>
      <c r="G3687">
        <v>4</v>
      </c>
      <c r="H3687" s="1">
        <v>0</v>
      </c>
      <c r="I3687" s="4">
        <f>SalesData[[#This Row],[Profit]]/SalesData[[#This Row],[Sales]]</f>
        <v>0</v>
      </c>
      <c r="J3687">
        <f>YEAR(SalesData[[#This Row],[Order Date]])</f>
        <v>2014</v>
      </c>
      <c r="K3687" t="str">
        <f>TEXT(SalesData[[#This Row],[Order Date]],"mmm")</f>
        <v>Jul</v>
      </c>
      <c r="L3687">
        <f>MONTH(SalesData[[#This Row],[Order Date]])</f>
        <v>7</v>
      </c>
      <c r="M3687">
        <f>SalesData[[#This Row],[Sales]]/SalesData[[#This Row],[Quantity]]</f>
        <v>170.786</v>
      </c>
      <c r="N3687" t="str">
        <f>IF(SalesData[[#This Row],[Profit]]&gt;0,"Profit","Loss")</f>
        <v>Loss</v>
      </c>
    </row>
    <row r="3688" spans="1:14" x14ac:dyDescent="0.3">
      <c r="A3688" t="s">
        <v>623</v>
      </c>
      <c r="B3688" s="3">
        <v>41831</v>
      </c>
      <c r="C3688" t="s">
        <v>9</v>
      </c>
      <c r="D3688" t="s">
        <v>21</v>
      </c>
      <c r="E3688" t="s">
        <v>625</v>
      </c>
      <c r="F3688" s="1">
        <v>1.476</v>
      </c>
      <c r="G3688">
        <v>3</v>
      </c>
      <c r="H3688" s="1">
        <v>-2.214</v>
      </c>
      <c r="I3688" s="4">
        <f>SalesData[[#This Row],[Profit]]/SalesData[[#This Row],[Sales]]</f>
        <v>-1.5</v>
      </c>
      <c r="J3688">
        <f>YEAR(SalesData[[#This Row],[Order Date]])</f>
        <v>2014</v>
      </c>
      <c r="K3688" t="str">
        <f>TEXT(SalesData[[#This Row],[Order Date]],"mmm")</f>
        <v>Jul</v>
      </c>
      <c r="L3688">
        <f>MONTH(SalesData[[#This Row],[Order Date]])</f>
        <v>7</v>
      </c>
      <c r="M3688">
        <f>SalesData[[#This Row],[Sales]]/SalesData[[#This Row],[Quantity]]</f>
        <v>0.49199999999999999</v>
      </c>
      <c r="N3688" t="str">
        <f>IF(SalesData[[#This Row],[Profit]]&gt;0,"Profit","Loss")</f>
        <v>Loss</v>
      </c>
    </row>
    <row r="3689" spans="1:14" x14ac:dyDescent="0.3">
      <c r="A3689" t="s">
        <v>623</v>
      </c>
      <c r="B3689" s="3">
        <v>41831</v>
      </c>
      <c r="C3689" t="s">
        <v>9</v>
      </c>
      <c r="D3689" t="s">
        <v>21</v>
      </c>
      <c r="E3689" t="s">
        <v>626</v>
      </c>
      <c r="F3689" s="1">
        <v>40.712000000000003</v>
      </c>
      <c r="G3689">
        <v>7</v>
      </c>
      <c r="H3689" s="1">
        <v>3.5623</v>
      </c>
      <c r="I3689" s="4">
        <f>SalesData[[#This Row],[Profit]]/SalesData[[#This Row],[Sales]]</f>
        <v>8.7499999999999994E-2</v>
      </c>
      <c r="J3689">
        <f>YEAR(SalesData[[#This Row],[Order Date]])</f>
        <v>2014</v>
      </c>
      <c r="K3689" t="str">
        <f>TEXT(SalesData[[#This Row],[Order Date]],"mmm")</f>
        <v>Jul</v>
      </c>
      <c r="L3689">
        <f>MONTH(SalesData[[#This Row],[Order Date]])</f>
        <v>7</v>
      </c>
      <c r="M3689">
        <f>SalesData[[#This Row],[Sales]]/SalesData[[#This Row],[Quantity]]</f>
        <v>5.8160000000000007</v>
      </c>
      <c r="N3689" t="str">
        <f>IF(SalesData[[#This Row],[Profit]]&gt;0,"Profit","Loss")</f>
        <v>Profit</v>
      </c>
    </row>
    <row r="3690" spans="1:14" x14ac:dyDescent="0.3">
      <c r="A3690" t="s">
        <v>627</v>
      </c>
      <c r="B3690" s="3">
        <v>41831</v>
      </c>
      <c r="C3690" t="s">
        <v>9</v>
      </c>
      <c r="D3690" t="s">
        <v>21</v>
      </c>
      <c r="E3690" t="s">
        <v>628</v>
      </c>
      <c r="F3690" s="1">
        <v>245.88</v>
      </c>
      <c r="G3690">
        <v>6</v>
      </c>
      <c r="H3690" s="1">
        <v>68.846400000000003</v>
      </c>
      <c r="I3690" s="4">
        <f>SalesData[[#This Row],[Profit]]/SalesData[[#This Row],[Sales]]</f>
        <v>0.28000000000000003</v>
      </c>
      <c r="J3690">
        <f>YEAR(SalesData[[#This Row],[Order Date]])</f>
        <v>2014</v>
      </c>
      <c r="K3690" t="str">
        <f>TEXT(SalesData[[#This Row],[Order Date]],"mmm")</f>
        <v>Jul</v>
      </c>
      <c r="L3690">
        <f>MONTH(SalesData[[#This Row],[Order Date]])</f>
        <v>7</v>
      </c>
      <c r="M3690">
        <f>SalesData[[#This Row],[Sales]]/SalesData[[#This Row],[Quantity]]</f>
        <v>40.98</v>
      </c>
      <c r="N3690" t="str">
        <f>IF(SalesData[[#This Row],[Profit]]&gt;0,"Profit","Loss")</f>
        <v>Profit</v>
      </c>
    </row>
    <row r="3691" spans="1:14" x14ac:dyDescent="0.3">
      <c r="A3691" t="s">
        <v>627</v>
      </c>
      <c r="B3691" s="3">
        <v>41831</v>
      </c>
      <c r="C3691" t="s">
        <v>9</v>
      </c>
      <c r="D3691" t="s">
        <v>21</v>
      </c>
      <c r="E3691" t="s">
        <v>629</v>
      </c>
      <c r="F3691" s="1">
        <v>36.630000000000003</v>
      </c>
      <c r="G3691">
        <v>3</v>
      </c>
      <c r="H3691" s="1">
        <v>9.8901000000000003</v>
      </c>
      <c r="I3691" s="4">
        <f>SalesData[[#This Row],[Profit]]/SalesData[[#This Row],[Sales]]</f>
        <v>0.27</v>
      </c>
      <c r="J3691">
        <f>YEAR(SalesData[[#This Row],[Order Date]])</f>
        <v>2014</v>
      </c>
      <c r="K3691" t="str">
        <f>TEXT(SalesData[[#This Row],[Order Date]],"mmm")</f>
        <v>Jul</v>
      </c>
      <c r="L3691">
        <f>MONTH(SalesData[[#This Row],[Order Date]])</f>
        <v>7</v>
      </c>
      <c r="M3691">
        <f>SalesData[[#This Row],[Sales]]/SalesData[[#This Row],[Quantity]]</f>
        <v>12.21</v>
      </c>
      <c r="N3691" t="str">
        <f>IF(SalesData[[#This Row],[Profit]]&gt;0,"Profit","Loss")</f>
        <v>Profit</v>
      </c>
    </row>
    <row r="3692" spans="1:14" x14ac:dyDescent="0.3">
      <c r="A3692" t="s">
        <v>627</v>
      </c>
      <c r="B3692" s="3">
        <v>41831</v>
      </c>
      <c r="C3692" t="s">
        <v>9</v>
      </c>
      <c r="D3692" t="s">
        <v>21</v>
      </c>
      <c r="E3692" t="s">
        <v>630</v>
      </c>
      <c r="F3692" s="1">
        <v>22.58</v>
      </c>
      <c r="G3692">
        <v>2</v>
      </c>
      <c r="H3692" s="1">
        <v>5.8708</v>
      </c>
      <c r="I3692" s="4">
        <f>SalesData[[#This Row],[Profit]]/SalesData[[#This Row],[Sales]]</f>
        <v>0.26</v>
      </c>
      <c r="J3692">
        <f>YEAR(SalesData[[#This Row],[Order Date]])</f>
        <v>2014</v>
      </c>
      <c r="K3692" t="str">
        <f>TEXT(SalesData[[#This Row],[Order Date]],"mmm")</f>
        <v>Jul</v>
      </c>
      <c r="L3692">
        <f>MONTH(SalesData[[#This Row],[Order Date]])</f>
        <v>7</v>
      </c>
      <c r="M3692">
        <f>SalesData[[#This Row],[Sales]]/SalesData[[#This Row],[Quantity]]</f>
        <v>11.29</v>
      </c>
      <c r="N3692" t="str">
        <f>IF(SalesData[[#This Row],[Profit]]&gt;0,"Profit","Loss")</f>
        <v>Profit</v>
      </c>
    </row>
    <row r="3693" spans="1:14" x14ac:dyDescent="0.3">
      <c r="A3693" t="s">
        <v>627</v>
      </c>
      <c r="B3693" s="3">
        <v>41831</v>
      </c>
      <c r="C3693" t="s">
        <v>9</v>
      </c>
      <c r="D3693" t="s">
        <v>21</v>
      </c>
      <c r="E3693" t="s">
        <v>631</v>
      </c>
      <c r="F3693" s="1">
        <v>12.39</v>
      </c>
      <c r="G3693">
        <v>3</v>
      </c>
      <c r="H3693" s="1">
        <v>5.8232999999999997</v>
      </c>
      <c r="I3693" s="4">
        <f>SalesData[[#This Row],[Profit]]/SalesData[[#This Row],[Sales]]</f>
        <v>0.47</v>
      </c>
      <c r="J3693">
        <f>YEAR(SalesData[[#This Row],[Order Date]])</f>
        <v>2014</v>
      </c>
      <c r="K3693" t="str">
        <f>TEXT(SalesData[[#This Row],[Order Date]],"mmm")</f>
        <v>Jul</v>
      </c>
      <c r="L3693">
        <f>MONTH(SalesData[[#This Row],[Order Date]])</f>
        <v>7</v>
      </c>
      <c r="M3693">
        <f>SalesData[[#This Row],[Sales]]/SalesData[[#This Row],[Quantity]]</f>
        <v>4.13</v>
      </c>
      <c r="N3693" t="str">
        <f>IF(SalesData[[#This Row],[Profit]]&gt;0,"Profit","Loss")</f>
        <v>Profit</v>
      </c>
    </row>
    <row r="3694" spans="1:14" x14ac:dyDescent="0.3">
      <c r="A3694" t="s">
        <v>632</v>
      </c>
      <c r="B3694" s="3">
        <v>41831</v>
      </c>
      <c r="C3694" t="s">
        <v>17</v>
      </c>
      <c r="D3694" t="s">
        <v>21</v>
      </c>
      <c r="E3694" t="s">
        <v>633</v>
      </c>
      <c r="F3694" s="1">
        <v>5.92</v>
      </c>
      <c r="G3694">
        <v>4</v>
      </c>
      <c r="H3694" s="1">
        <v>2.8416000000000001</v>
      </c>
      <c r="I3694" s="4">
        <f>SalesData[[#This Row],[Profit]]/SalesData[[#This Row],[Sales]]</f>
        <v>0.48000000000000004</v>
      </c>
      <c r="J3694">
        <f>YEAR(SalesData[[#This Row],[Order Date]])</f>
        <v>2014</v>
      </c>
      <c r="K3694" t="str">
        <f>TEXT(SalesData[[#This Row],[Order Date]],"mmm")</f>
        <v>Jul</v>
      </c>
      <c r="L3694">
        <f>MONTH(SalesData[[#This Row],[Order Date]])</f>
        <v>7</v>
      </c>
      <c r="M3694">
        <f>SalesData[[#This Row],[Sales]]/SalesData[[#This Row],[Quantity]]</f>
        <v>1.48</v>
      </c>
      <c r="N3694" t="str">
        <f>IF(SalesData[[#This Row],[Profit]]&gt;0,"Profit","Loss")</f>
        <v>Profit</v>
      </c>
    </row>
    <row r="3695" spans="1:14" x14ac:dyDescent="0.3">
      <c r="A3695" t="s">
        <v>632</v>
      </c>
      <c r="B3695" s="3">
        <v>41831</v>
      </c>
      <c r="C3695" t="s">
        <v>17</v>
      </c>
      <c r="D3695" t="s">
        <v>21</v>
      </c>
      <c r="E3695" t="s">
        <v>634</v>
      </c>
      <c r="F3695" s="1">
        <v>30.18</v>
      </c>
      <c r="G3695">
        <v>3</v>
      </c>
      <c r="H3695" s="1">
        <v>13.8828</v>
      </c>
      <c r="I3695" s="4">
        <f>SalesData[[#This Row],[Profit]]/SalesData[[#This Row],[Sales]]</f>
        <v>0.45999999999999996</v>
      </c>
      <c r="J3695">
        <f>YEAR(SalesData[[#This Row],[Order Date]])</f>
        <v>2014</v>
      </c>
      <c r="K3695" t="str">
        <f>TEXT(SalesData[[#This Row],[Order Date]],"mmm")</f>
        <v>Jul</v>
      </c>
      <c r="L3695">
        <f>MONTH(SalesData[[#This Row],[Order Date]])</f>
        <v>7</v>
      </c>
      <c r="M3695">
        <f>SalesData[[#This Row],[Sales]]/SalesData[[#This Row],[Quantity]]</f>
        <v>10.06</v>
      </c>
      <c r="N3695" t="str">
        <f>IF(SalesData[[#This Row],[Profit]]&gt;0,"Profit","Loss")</f>
        <v>Profit</v>
      </c>
    </row>
    <row r="3696" spans="1:14" x14ac:dyDescent="0.3">
      <c r="A3696" t="s">
        <v>635</v>
      </c>
      <c r="B3696" s="3">
        <v>41831</v>
      </c>
      <c r="C3696" t="s">
        <v>13</v>
      </c>
      <c r="D3696" t="s">
        <v>21</v>
      </c>
      <c r="E3696" t="s">
        <v>419</v>
      </c>
      <c r="F3696" s="1">
        <v>25.92</v>
      </c>
      <c r="G3696">
        <v>5</v>
      </c>
      <c r="H3696" s="1">
        <v>9.0719999999999992</v>
      </c>
      <c r="I3696" s="4">
        <f>SalesData[[#This Row],[Profit]]/SalesData[[#This Row],[Sales]]</f>
        <v>0.34999999999999992</v>
      </c>
      <c r="J3696">
        <f>YEAR(SalesData[[#This Row],[Order Date]])</f>
        <v>2014</v>
      </c>
      <c r="K3696" t="str">
        <f>TEXT(SalesData[[#This Row],[Order Date]],"mmm")</f>
        <v>Jul</v>
      </c>
      <c r="L3696">
        <f>MONTH(SalesData[[#This Row],[Order Date]])</f>
        <v>7</v>
      </c>
      <c r="M3696">
        <f>SalesData[[#This Row],[Sales]]/SalesData[[#This Row],[Quantity]]</f>
        <v>5.1840000000000002</v>
      </c>
      <c r="N3696" t="str">
        <f>IF(SalesData[[#This Row],[Profit]]&gt;0,"Profit","Loss")</f>
        <v>Profit</v>
      </c>
    </row>
    <row r="3697" spans="1:14" x14ac:dyDescent="0.3">
      <c r="A3697" t="s">
        <v>635</v>
      </c>
      <c r="B3697" s="3">
        <v>41831</v>
      </c>
      <c r="C3697" t="s">
        <v>13</v>
      </c>
      <c r="D3697" t="s">
        <v>21</v>
      </c>
      <c r="E3697" t="s">
        <v>636</v>
      </c>
      <c r="F3697" s="1">
        <v>120.768</v>
      </c>
      <c r="G3697">
        <v>4</v>
      </c>
      <c r="H3697" s="1">
        <v>9.0576000000000008</v>
      </c>
      <c r="I3697" s="4">
        <f>SalesData[[#This Row],[Profit]]/SalesData[[#This Row],[Sales]]</f>
        <v>7.5000000000000011E-2</v>
      </c>
      <c r="J3697">
        <f>YEAR(SalesData[[#This Row],[Order Date]])</f>
        <v>2014</v>
      </c>
      <c r="K3697" t="str">
        <f>TEXT(SalesData[[#This Row],[Order Date]],"mmm")</f>
        <v>Jul</v>
      </c>
      <c r="L3697">
        <f>MONTH(SalesData[[#This Row],[Order Date]])</f>
        <v>7</v>
      </c>
      <c r="M3697">
        <f>SalesData[[#This Row],[Sales]]/SalesData[[#This Row],[Quantity]]</f>
        <v>30.192</v>
      </c>
      <c r="N3697" t="str">
        <f>IF(SalesData[[#This Row],[Profit]]&gt;0,"Profit","Loss")</f>
        <v>Profit</v>
      </c>
    </row>
    <row r="3698" spans="1:14" x14ac:dyDescent="0.3">
      <c r="A3698" t="s">
        <v>637</v>
      </c>
      <c r="B3698" s="3">
        <v>41832</v>
      </c>
      <c r="C3698" t="s">
        <v>46</v>
      </c>
      <c r="D3698" t="s">
        <v>21</v>
      </c>
      <c r="E3698" t="s">
        <v>556</v>
      </c>
      <c r="F3698" s="1">
        <v>105.52</v>
      </c>
      <c r="G3698">
        <v>4</v>
      </c>
      <c r="H3698" s="1">
        <v>48.539200000000001</v>
      </c>
      <c r="I3698" s="4">
        <f>SalesData[[#This Row],[Profit]]/SalesData[[#This Row],[Sales]]</f>
        <v>0.46</v>
      </c>
      <c r="J3698">
        <f>YEAR(SalesData[[#This Row],[Order Date]])</f>
        <v>2014</v>
      </c>
      <c r="K3698" t="str">
        <f>TEXT(SalesData[[#This Row],[Order Date]],"mmm")</f>
        <v>Jul</v>
      </c>
      <c r="L3698">
        <f>MONTH(SalesData[[#This Row],[Order Date]])</f>
        <v>7</v>
      </c>
      <c r="M3698">
        <f>SalesData[[#This Row],[Sales]]/SalesData[[#This Row],[Quantity]]</f>
        <v>26.38</v>
      </c>
      <c r="N3698" t="str">
        <f>IF(SalesData[[#This Row],[Profit]]&gt;0,"Profit","Loss")</f>
        <v>Profit</v>
      </c>
    </row>
    <row r="3699" spans="1:14" x14ac:dyDescent="0.3">
      <c r="A3699" t="s">
        <v>638</v>
      </c>
      <c r="B3699" s="3">
        <v>41832</v>
      </c>
      <c r="C3699" t="s">
        <v>13</v>
      </c>
      <c r="D3699" t="s">
        <v>21</v>
      </c>
      <c r="E3699" t="s">
        <v>639</v>
      </c>
      <c r="F3699" s="1">
        <v>8.64</v>
      </c>
      <c r="G3699">
        <v>3</v>
      </c>
      <c r="H3699" s="1">
        <v>2.4192</v>
      </c>
      <c r="I3699" s="4">
        <f>SalesData[[#This Row],[Profit]]/SalesData[[#This Row],[Sales]]</f>
        <v>0.27999999999999997</v>
      </c>
      <c r="J3699">
        <f>YEAR(SalesData[[#This Row],[Order Date]])</f>
        <v>2014</v>
      </c>
      <c r="K3699" t="str">
        <f>TEXT(SalesData[[#This Row],[Order Date]],"mmm")</f>
        <v>Jul</v>
      </c>
      <c r="L3699">
        <f>MONTH(SalesData[[#This Row],[Order Date]])</f>
        <v>7</v>
      </c>
      <c r="M3699">
        <f>SalesData[[#This Row],[Sales]]/SalesData[[#This Row],[Quantity]]</f>
        <v>2.8800000000000003</v>
      </c>
      <c r="N3699" t="str">
        <f>IF(SalesData[[#This Row],[Profit]]&gt;0,"Profit","Loss")</f>
        <v>Profit</v>
      </c>
    </row>
    <row r="3700" spans="1:14" x14ac:dyDescent="0.3">
      <c r="A3700" t="s">
        <v>640</v>
      </c>
      <c r="B3700" s="3">
        <v>41832</v>
      </c>
      <c r="C3700" t="s">
        <v>13</v>
      </c>
      <c r="D3700" t="s">
        <v>21</v>
      </c>
      <c r="E3700" t="s">
        <v>267</v>
      </c>
      <c r="F3700" s="1">
        <v>269.36</v>
      </c>
      <c r="G3700">
        <v>7</v>
      </c>
      <c r="H3700" s="1">
        <v>70.033600000000007</v>
      </c>
      <c r="I3700" s="4">
        <f>SalesData[[#This Row],[Profit]]/SalesData[[#This Row],[Sales]]</f>
        <v>0.26</v>
      </c>
      <c r="J3700">
        <f>YEAR(SalesData[[#This Row],[Order Date]])</f>
        <v>2014</v>
      </c>
      <c r="K3700" t="str">
        <f>TEXT(SalesData[[#This Row],[Order Date]],"mmm")</f>
        <v>Jul</v>
      </c>
      <c r="L3700">
        <f>MONTH(SalesData[[#This Row],[Order Date]])</f>
        <v>7</v>
      </c>
      <c r="M3700">
        <f>SalesData[[#This Row],[Sales]]/SalesData[[#This Row],[Quantity]]</f>
        <v>38.480000000000004</v>
      </c>
      <c r="N3700" t="str">
        <f>IF(SalesData[[#This Row],[Profit]]&gt;0,"Profit","Loss")</f>
        <v>Profit</v>
      </c>
    </row>
    <row r="3701" spans="1:14" x14ac:dyDescent="0.3">
      <c r="A3701" t="s">
        <v>641</v>
      </c>
      <c r="B3701" s="3">
        <v>41832</v>
      </c>
      <c r="C3701" t="s">
        <v>13</v>
      </c>
      <c r="D3701" t="s">
        <v>21</v>
      </c>
      <c r="E3701" t="s">
        <v>642</v>
      </c>
      <c r="F3701" s="1">
        <v>164.88</v>
      </c>
      <c r="G3701">
        <v>3</v>
      </c>
      <c r="H3701" s="1">
        <v>80.791200000000003</v>
      </c>
      <c r="I3701" s="4">
        <f>SalesData[[#This Row],[Profit]]/SalesData[[#This Row],[Sales]]</f>
        <v>0.49000000000000005</v>
      </c>
      <c r="J3701">
        <f>YEAR(SalesData[[#This Row],[Order Date]])</f>
        <v>2014</v>
      </c>
      <c r="K3701" t="str">
        <f>TEXT(SalesData[[#This Row],[Order Date]],"mmm")</f>
        <v>Jul</v>
      </c>
      <c r="L3701">
        <f>MONTH(SalesData[[#This Row],[Order Date]])</f>
        <v>7</v>
      </c>
      <c r="M3701">
        <f>SalesData[[#This Row],[Sales]]/SalesData[[#This Row],[Quantity]]</f>
        <v>54.96</v>
      </c>
      <c r="N3701" t="str">
        <f>IF(SalesData[[#This Row],[Profit]]&gt;0,"Profit","Loss")</f>
        <v>Profit</v>
      </c>
    </row>
    <row r="3702" spans="1:14" x14ac:dyDescent="0.3">
      <c r="A3702" t="s">
        <v>643</v>
      </c>
      <c r="B3702" s="3">
        <v>41853</v>
      </c>
      <c r="C3702" t="s">
        <v>13</v>
      </c>
      <c r="D3702" t="s">
        <v>14</v>
      </c>
      <c r="E3702" t="s">
        <v>644</v>
      </c>
      <c r="F3702" s="1">
        <v>14.56</v>
      </c>
      <c r="G3702">
        <v>2</v>
      </c>
      <c r="H3702" s="1">
        <v>5.5327999999999999</v>
      </c>
      <c r="I3702" s="4">
        <f>SalesData[[#This Row],[Profit]]/SalesData[[#This Row],[Sales]]</f>
        <v>0.38</v>
      </c>
      <c r="J3702">
        <f>YEAR(SalesData[[#This Row],[Order Date]])</f>
        <v>2014</v>
      </c>
      <c r="K3702" t="str">
        <f>TEXT(SalesData[[#This Row],[Order Date]],"mmm")</f>
        <v>Aug</v>
      </c>
      <c r="L3702">
        <f>MONTH(SalesData[[#This Row],[Order Date]])</f>
        <v>8</v>
      </c>
      <c r="M3702">
        <f>SalesData[[#This Row],[Sales]]/SalesData[[#This Row],[Quantity]]</f>
        <v>7.28</v>
      </c>
      <c r="N3702" t="str">
        <f>IF(SalesData[[#This Row],[Profit]]&gt;0,"Profit","Loss")</f>
        <v>Profit</v>
      </c>
    </row>
    <row r="3703" spans="1:14" x14ac:dyDescent="0.3">
      <c r="A3703" t="s">
        <v>645</v>
      </c>
      <c r="B3703" s="3">
        <v>41855</v>
      </c>
      <c r="C3703" t="s">
        <v>13</v>
      </c>
      <c r="D3703" t="s">
        <v>21</v>
      </c>
      <c r="E3703" t="s">
        <v>633</v>
      </c>
      <c r="F3703" s="1">
        <v>2.3679999999999999</v>
      </c>
      <c r="G3703">
        <v>2</v>
      </c>
      <c r="H3703" s="1">
        <v>0.82879999999999998</v>
      </c>
      <c r="I3703" s="4">
        <f>SalesData[[#This Row],[Profit]]/SalesData[[#This Row],[Sales]]</f>
        <v>0.35000000000000003</v>
      </c>
      <c r="J3703">
        <f>YEAR(SalesData[[#This Row],[Order Date]])</f>
        <v>2014</v>
      </c>
      <c r="K3703" t="str">
        <f>TEXT(SalesData[[#This Row],[Order Date]],"mmm")</f>
        <v>Aug</v>
      </c>
      <c r="L3703">
        <f>MONTH(SalesData[[#This Row],[Order Date]])</f>
        <v>8</v>
      </c>
      <c r="M3703">
        <f>SalesData[[#This Row],[Sales]]/SalesData[[#This Row],[Quantity]]</f>
        <v>1.1839999999999999</v>
      </c>
      <c r="N3703" t="str">
        <f>IF(SalesData[[#This Row],[Profit]]&gt;0,"Profit","Loss")</f>
        <v>Profit</v>
      </c>
    </row>
    <row r="3704" spans="1:14" x14ac:dyDescent="0.3">
      <c r="A3704" t="s">
        <v>645</v>
      </c>
      <c r="B3704" s="3">
        <v>41855</v>
      </c>
      <c r="C3704" t="s">
        <v>13</v>
      </c>
      <c r="D3704" t="s">
        <v>21</v>
      </c>
      <c r="E3704" t="s">
        <v>646</v>
      </c>
      <c r="F3704" s="1">
        <v>19.007999999999999</v>
      </c>
      <c r="G3704">
        <v>3</v>
      </c>
      <c r="H3704" s="1">
        <v>6.8903999999999996</v>
      </c>
      <c r="I3704" s="4">
        <f>SalesData[[#This Row],[Profit]]/SalesData[[#This Row],[Sales]]</f>
        <v>0.36249999999999999</v>
      </c>
      <c r="J3704">
        <f>YEAR(SalesData[[#This Row],[Order Date]])</f>
        <v>2014</v>
      </c>
      <c r="K3704" t="str">
        <f>TEXT(SalesData[[#This Row],[Order Date]],"mmm")</f>
        <v>Aug</v>
      </c>
      <c r="L3704">
        <f>MONTH(SalesData[[#This Row],[Order Date]])</f>
        <v>8</v>
      </c>
      <c r="M3704">
        <f>SalesData[[#This Row],[Sales]]/SalesData[[#This Row],[Quantity]]</f>
        <v>6.3359999999999994</v>
      </c>
      <c r="N3704" t="str">
        <f>IF(SalesData[[#This Row],[Profit]]&gt;0,"Profit","Loss")</f>
        <v>Profit</v>
      </c>
    </row>
    <row r="3705" spans="1:14" x14ac:dyDescent="0.3">
      <c r="A3705" t="s">
        <v>647</v>
      </c>
      <c r="B3705" s="3">
        <v>41855</v>
      </c>
      <c r="C3705" t="s">
        <v>46</v>
      </c>
      <c r="D3705" t="s">
        <v>14</v>
      </c>
      <c r="E3705" t="s">
        <v>648</v>
      </c>
      <c r="F3705" s="1">
        <v>1215.92</v>
      </c>
      <c r="G3705">
        <v>8</v>
      </c>
      <c r="H3705" s="1">
        <v>316.13920000000002</v>
      </c>
      <c r="I3705" s="4">
        <f>SalesData[[#This Row],[Profit]]/SalesData[[#This Row],[Sales]]</f>
        <v>0.26</v>
      </c>
      <c r="J3705">
        <f>YEAR(SalesData[[#This Row],[Order Date]])</f>
        <v>2014</v>
      </c>
      <c r="K3705" t="str">
        <f>TEXT(SalesData[[#This Row],[Order Date]],"mmm")</f>
        <v>Aug</v>
      </c>
      <c r="L3705">
        <f>MONTH(SalesData[[#This Row],[Order Date]])</f>
        <v>8</v>
      </c>
      <c r="M3705">
        <f>SalesData[[#This Row],[Sales]]/SalesData[[#This Row],[Quantity]]</f>
        <v>151.99</v>
      </c>
      <c r="N3705" t="str">
        <f>IF(SalesData[[#This Row],[Profit]]&gt;0,"Profit","Loss")</f>
        <v>Profit</v>
      </c>
    </row>
    <row r="3706" spans="1:14" x14ac:dyDescent="0.3">
      <c r="A3706" t="s">
        <v>649</v>
      </c>
      <c r="B3706" s="3">
        <v>41855</v>
      </c>
      <c r="C3706" t="s">
        <v>13</v>
      </c>
      <c r="D3706" t="s">
        <v>21</v>
      </c>
      <c r="E3706" t="s">
        <v>492</v>
      </c>
      <c r="F3706" s="1">
        <v>49.792000000000002</v>
      </c>
      <c r="G3706">
        <v>8</v>
      </c>
      <c r="H3706" s="1">
        <v>-11.8256</v>
      </c>
      <c r="I3706" s="4">
        <f>SalesData[[#This Row],[Profit]]/SalesData[[#This Row],[Sales]]</f>
        <v>-0.23749999999999999</v>
      </c>
      <c r="J3706">
        <f>YEAR(SalesData[[#This Row],[Order Date]])</f>
        <v>2014</v>
      </c>
      <c r="K3706" t="str">
        <f>TEXT(SalesData[[#This Row],[Order Date]],"mmm")</f>
        <v>Aug</v>
      </c>
      <c r="L3706">
        <f>MONTH(SalesData[[#This Row],[Order Date]])</f>
        <v>8</v>
      </c>
      <c r="M3706">
        <f>SalesData[[#This Row],[Sales]]/SalesData[[#This Row],[Quantity]]</f>
        <v>6.2240000000000002</v>
      </c>
      <c r="N3706" t="str">
        <f>IF(SalesData[[#This Row],[Profit]]&gt;0,"Profit","Loss")</f>
        <v>Loss</v>
      </c>
    </row>
    <row r="3707" spans="1:14" x14ac:dyDescent="0.3">
      <c r="A3707" t="s">
        <v>650</v>
      </c>
      <c r="B3707" s="3">
        <v>41855</v>
      </c>
      <c r="C3707" t="s">
        <v>13</v>
      </c>
      <c r="D3707" t="s">
        <v>14</v>
      </c>
      <c r="E3707" t="s">
        <v>651</v>
      </c>
      <c r="F3707" s="1">
        <v>99.591999999999999</v>
      </c>
      <c r="G3707">
        <v>1</v>
      </c>
      <c r="H3707" s="1">
        <v>2.4897999999999998</v>
      </c>
      <c r="I3707" s="4">
        <f>SalesData[[#This Row],[Profit]]/SalesData[[#This Row],[Sales]]</f>
        <v>2.4999999999999998E-2</v>
      </c>
      <c r="J3707">
        <f>YEAR(SalesData[[#This Row],[Order Date]])</f>
        <v>2014</v>
      </c>
      <c r="K3707" t="str">
        <f>TEXT(SalesData[[#This Row],[Order Date]],"mmm")</f>
        <v>Aug</v>
      </c>
      <c r="L3707">
        <f>MONTH(SalesData[[#This Row],[Order Date]])</f>
        <v>8</v>
      </c>
      <c r="M3707">
        <f>SalesData[[#This Row],[Sales]]/SalesData[[#This Row],[Quantity]]</f>
        <v>99.591999999999999</v>
      </c>
      <c r="N3707" t="str">
        <f>IF(SalesData[[#This Row],[Profit]]&gt;0,"Profit","Loss")</f>
        <v>Profit</v>
      </c>
    </row>
    <row r="3708" spans="1:14" x14ac:dyDescent="0.3">
      <c r="A3708" t="s">
        <v>650</v>
      </c>
      <c r="B3708" s="3">
        <v>41855</v>
      </c>
      <c r="C3708" t="s">
        <v>13</v>
      </c>
      <c r="D3708" t="s">
        <v>10</v>
      </c>
      <c r="E3708" t="s">
        <v>652</v>
      </c>
      <c r="F3708" s="1">
        <v>399.96</v>
      </c>
      <c r="G3708">
        <v>4</v>
      </c>
      <c r="H3708" s="1">
        <v>139.98599999999999</v>
      </c>
      <c r="I3708" s="4">
        <f>SalesData[[#This Row],[Profit]]/SalesData[[#This Row],[Sales]]</f>
        <v>0.35</v>
      </c>
      <c r="J3708">
        <f>YEAR(SalesData[[#This Row],[Order Date]])</f>
        <v>2014</v>
      </c>
      <c r="K3708" t="str">
        <f>TEXT(SalesData[[#This Row],[Order Date]],"mmm")</f>
        <v>Aug</v>
      </c>
      <c r="L3708">
        <f>MONTH(SalesData[[#This Row],[Order Date]])</f>
        <v>8</v>
      </c>
      <c r="M3708">
        <f>SalesData[[#This Row],[Sales]]/SalesData[[#This Row],[Quantity]]</f>
        <v>99.99</v>
      </c>
      <c r="N3708" t="str">
        <f>IF(SalesData[[#This Row],[Profit]]&gt;0,"Profit","Loss")</f>
        <v>Profit</v>
      </c>
    </row>
    <row r="3709" spans="1:14" x14ac:dyDescent="0.3">
      <c r="A3709" t="s">
        <v>653</v>
      </c>
      <c r="B3709" s="3">
        <v>41855</v>
      </c>
      <c r="C3709" t="s">
        <v>17</v>
      </c>
      <c r="D3709" t="s">
        <v>14</v>
      </c>
      <c r="E3709" t="s">
        <v>654</v>
      </c>
      <c r="F3709" s="1">
        <v>172.11</v>
      </c>
      <c r="G3709">
        <v>1</v>
      </c>
      <c r="H3709" s="1">
        <v>-94.660499999999999</v>
      </c>
      <c r="I3709" s="4">
        <f>SalesData[[#This Row],[Profit]]/SalesData[[#This Row],[Sales]]</f>
        <v>-0.54999999999999993</v>
      </c>
      <c r="J3709">
        <f>YEAR(SalesData[[#This Row],[Order Date]])</f>
        <v>2014</v>
      </c>
      <c r="K3709" t="str">
        <f>TEXT(SalesData[[#This Row],[Order Date]],"mmm")</f>
        <v>Aug</v>
      </c>
      <c r="L3709">
        <f>MONTH(SalesData[[#This Row],[Order Date]])</f>
        <v>8</v>
      </c>
      <c r="M3709">
        <f>SalesData[[#This Row],[Sales]]/SalesData[[#This Row],[Quantity]]</f>
        <v>172.11</v>
      </c>
      <c r="N3709" t="str">
        <f>IF(SalesData[[#This Row],[Profit]]&gt;0,"Profit","Loss")</f>
        <v>Loss</v>
      </c>
    </row>
    <row r="3710" spans="1:14" x14ac:dyDescent="0.3">
      <c r="A3710" t="s">
        <v>655</v>
      </c>
      <c r="B3710" s="3">
        <v>41856</v>
      </c>
      <c r="C3710" t="s">
        <v>17</v>
      </c>
      <c r="D3710" t="s">
        <v>10</v>
      </c>
      <c r="E3710" t="s">
        <v>656</v>
      </c>
      <c r="F3710" s="1">
        <v>1799.97</v>
      </c>
      <c r="G3710">
        <v>5</v>
      </c>
      <c r="H3710" s="1">
        <v>239.99600000000001</v>
      </c>
      <c r="I3710" s="4">
        <f>SalesData[[#This Row],[Profit]]/SalesData[[#This Row],[Sales]]</f>
        <v>0.13333333333333333</v>
      </c>
      <c r="J3710">
        <f>YEAR(SalesData[[#This Row],[Order Date]])</f>
        <v>2014</v>
      </c>
      <c r="K3710" t="str">
        <f>TEXT(SalesData[[#This Row],[Order Date]],"mmm")</f>
        <v>Aug</v>
      </c>
      <c r="L3710">
        <f>MONTH(SalesData[[#This Row],[Order Date]])</f>
        <v>8</v>
      </c>
      <c r="M3710">
        <f>SalesData[[#This Row],[Sales]]/SalesData[[#This Row],[Quantity]]</f>
        <v>359.99400000000003</v>
      </c>
      <c r="N3710" t="str">
        <f>IF(SalesData[[#This Row],[Profit]]&gt;0,"Profit","Loss")</f>
        <v>Profit</v>
      </c>
    </row>
    <row r="3711" spans="1:14" x14ac:dyDescent="0.3">
      <c r="A3711" t="s">
        <v>657</v>
      </c>
      <c r="B3711" s="3">
        <v>41857</v>
      </c>
      <c r="C3711" t="s">
        <v>13</v>
      </c>
      <c r="D3711" t="s">
        <v>14</v>
      </c>
      <c r="E3711" t="s">
        <v>624</v>
      </c>
      <c r="F3711" s="1">
        <v>585.55200000000002</v>
      </c>
      <c r="G3711">
        <v>3</v>
      </c>
      <c r="H3711" s="1">
        <v>73.194000000000003</v>
      </c>
      <c r="I3711" s="4">
        <f>SalesData[[#This Row],[Profit]]/SalesData[[#This Row],[Sales]]</f>
        <v>0.125</v>
      </c>
      <c r="J3711">
        <f>YEAR(SalesData[[#This Row],[Order Date]])</f>
        <v>2014</v>
      </c>
      <c r="K3711" t="str">
        <f>TEXT(SalesData[[#This Row],[Order Date]],"mmm")</f>
        <v>Aug</v>
      </c>
      <c r="L3711">
        <f>MONTH(SalesData[[#This Row],[Order Date]])</f>
        <v>8</v>
      </c>
      <c r="M3711">
        <f>SalesData[[#This Row],[Sales]]/SalesData[[#This Row],[Quantity]]</f>
        <v>195.184</v>
      </c>
      <c r="N3711" t="str">
        <f>IF(SalesData[[#This Row],[Profit]]&gt;0,"Profit","Loss")</f>
        <v>Profit</v>
      </c>
    </row>
    <row r="3712" spans="1:14" x14ac:dyDescent="0.3">
      <c r="A3712" t="s">
        <v>658</v>
      </c>
      <c r="B3712" s="3">
        <v>41857</v>
      </c>
      <c r="C3712" t="s">
        <v>46</v>
      </c>
      <c r="D3712" t="s">
        <v>14</v>
      </c>
      <c r="E3712" t="s">
        <v>659</v>
      </c>
      <c r="F3712" s="1">
        <v>170.352</v>
      </c>
      <c r="G3712">
        <v>3</v>
      </c>
      <c r="H3712" s="1">
        <v>10.647</v>
      </c>
      <c r="I3712" s="4">
        <f>SalesData[[#This Row],[Profit]]/SalesData[[#This Row],[Sales]]</f>
        <v>6.25E-2</v>
      </c>
      <c r="J3712">
        <f>YEAR(SalesData[[#This Row],[Order Date]])</f>
        <v>2014</v>
      </c>
      <c r="K3712" t="str">
        <f>TEXT(SalesData[[#This Row],[Order Date]],"mmm")</f>
        <v>Aug</v>
      </c>
      <c r="L3712">
        <f>MONTH(SalesData[[#This Row],[Order Date]])</f>
        <v>8</v>
      </c>
      <c r="M3712">
        <f>SalesData[[#This Row],[Sales]]/SalesData[[#This Row],[Quantity]]</f>
        <v>56.783999999999999</v>
      </c>
      <c r="N3712" t="str">
        <f>IF(SalesData[[#This Row],[Profit]]&gt;0,"Profit","Loss")</f>
        <v>Profit</v>
      </c>
    </row>
    <row r="3713" spans="1:14" x14ac:dyDescent="0.3">
      <c r="A3713" t="s">
        <v>660</v>
      </c>
      <c r="B3713" s="3">
        <v>41857</v>
      </c>
      <c r="C3713" t="s">
        <v>17</v>
      </c>
      <c r="D3713" t="s">
        <v>21</v>
      </c>
      <c r="E3713" t="s">
        <v>661</v>
      </c>
      <c r="F3713" s="1">
        <v>68.48</v>
      </c>
      <c r="G3713">
        <v>2</v>
      </c>
      <c r="H3713" s="1">
        <v>25.68</v>
      </c>
      <c r="I3713" s="4">
        <f>SalesData[[#This Row],[Profit]]/SalesData[[#This Row],[Sales]]</f>
        <v>0.375</v>
      </c>
      <c r="J3713">
        <f>YEAR(SalesData[[#This Row],[Order Date]])</f>
        <v>2014</v>
      </c>
      <c r="K3713" t="str">
        <f>TEXT(SalesData[[#This Row],[Order Date]],"mmm")</f>
        <v>Aug</v>
      </c>
      <c r="L3713">
        <f>MONTH(SalesData[[#This Row],[Order Date]])</f>
        <v>8</v>
      </c>
      <c r="M3713">
        <f>SalesData[[#This Row],[Sales]]/SalesData[[#This Row],[Quantity]]</f>
        <v>34.24</v>
      </c>
      <c r="N3713" t="str">
        <f>IF(SalesData[[#This Row],[Profit]]&gt;0,"Profit","Loss")</f>
        <v>Profit</v>
      </c>
    </row>
    <row r="3714" spans="1:14" x14ac:dyDescent="0.3">
      <c r="A3714" t="s">
        <v>660</v>
      </c>
      <c r="B3714" s="3">
        <v>41857</v>
      </c>
      <c r="C3714" t="s">
        <v>17</v>
      </c>
      <c r="D3714" t="s">
        <v>21</v>
      </c>
      <c r="E3714" t="s">
        <v>662</v>
      </c>
      <c r="F3714" s="1">
        <v>1676.88</v>
      </c>
      <c r="G3714">
        <v>6</v>
      </c>
      <c r="H3714" s="1">
        <v>83.843999999999994</v>
      </c>
      <c r="I3714" s="4">
        <f>SalesData[[#This Row],[Profit]]/SalesData[[#This Row],[Sales]]</f>
        <v>4.9999999999999996E-2</v>
      </c>
      <c r="J3714">
        <f>YEAR(SalesData[[#This Row],[Order Date]])</f>
        <v>2014</v>
      </c>
      <c r="K3714" t="str">
        <f>TEXT(SalesData[[#This Row],[Order Date]],"mmm")</f>
        <v>Aug</v>
      </c>
      <c r="L3714">
        <f>MONTH(SalesData[[#This Row],[Order Date]])</f>
        <v>8</v>
      </c>
      <c r="M3714">
        <f>SalesData[[#This Row],[Sales]]/SalesData[[#This Row],[Quantity]]</f>
        <v>279.48</v>
      </c>
      <c r="N3714" t="str">
        <f>IF(SalesData[[#This Row],[Profit]]&gt;0,"Profit","Loss")</f>
        <v>Profit</v>
      </c>
    </row>
    <row r="3715" spans="1:14" x14ac:dyDescent="0.3">
      <c r="A3715" t="s">
        <v>663</v>
      </c>
      <c r="B3715" s="3">
        <v>41858</v>
      </c>
      <c r="C3715" t="s">
        <v>17</v>
      </c>
      <c r="D3715" t="s">
        <v>14</v>
      </c>
      <c r="E3715" t="s">
        <v>659</v>
      </c>
      <c r="F3715" s="1">
        <v>63.881999999999998</v>
      </c>
      <c r="G3715">
        <v>1</v>
      </c>
      <c r="H3715" s="1">
        <v>10.647</v>
      </c>
      <c r="I3715" s="4">
        <f>SalesData[[#This Row],[Profit]]/SalesData[[#This Row],[Sales]]</f>
        <v>0.16666666666666669</v>
      </c>
      <c r="J3715">
        <f>YEAR(SalesData[[#This Row],[Order Date]])</f>
        <v>2014</v>
      </c>
      <c r="K3715" t="str">
        <f>TEXT(SalesData[[#This Row],[Order Date]],"mmm")</f>
        <v>Aug</v>
      </c>
      <c r="L3715">
        <f>MONTH(SalesData[[#This Row],[Order Date]])</f>
        <v>8</v>
      </c>
      <c r="M3715">
        <f>SalesData[[#This Row],[Sales]]/SalesData[[#This Row],[Quantity]]</f>
        <v>63.881999999999998</v>
      </c>
      <c r="N3715" t="str">
        <f>IF(SalesData[[#This Row],[Profit]]&gt;0,"Profit","Loss")</f>
        <v>Profit</v>
      </c>
    </row>
    <row r="3716" spans="1:14" x14ac:dyDescent="0.3">
      <c r="A3716" t="s">
        <v>664</v>
      </c>
      <c r="B3716" s="3">
        <v>41858</v>
      </c>
      <c r="C3716" t="s">
        <v>13</v>
      </c>
      <c r="D3716" t="s">
        <v>14</v>
      </c>
      <c r="E3716" t="s">
        <v>665</v>
      </c>
      <c r="F3716" s="1">
        <v>502.488</v>
      </c>
      <c r="G3716">
        <v>3</v>
      </c>
      <c r="H3716" s="1">
        <v>-87.935400000000001</v>
      </c>
      <c r="I3716" s="4">
        <f>SalesData[[#This Row],[Profit]]/SalesData[[#This Row],[Sales]]</f>
        <v>-0.17500000000000002</v>
      </c>
      <c r="J3716">
        <f>YEAR(SalesData[[#This Row],[Order Date]])</f>
        <v>2014</v>
      </c>
      <c r="K3716" t="str">
        <f>TEXT(SalesData[[#This Row],[Order Date]],"mmm")</f>
        <v>Aug</v>
      </c>
      <c r="L3716">
        <f>MONTH(SalesData[[#This Row],[Order Date]])</f>
        <v>8</v>
      </c>
      <c r="M3716">
        <f>SalesData[[#This Row],[Sales]]/SalesData[[#This Row],[Quantity]]</f>
        <v>167.49600000000001</v>
      </c>
      <c r="N3716" t="str">
        <f>IF(SalesData[[#This Row],[Profit]]&gt;0,"Profit","Loss")</f>
        <v>Loss</v>
      </c>
    </row>
    <row r="3717" spans="1:14" x14ac:dyDescent="0.3">
      <c r="A3717" t="s">
        <v>664</v>
      </c>
      <c r="B3717" s="3">
        <v>41858</v>
      </c>
      <c r="C3717" t="s">
        <v>13</v>
      </c>
      <c r="D3717" t="s">
        <v>21</v>
      </c>
      <c r="E3717" t="s">
        <v>666</v>
      </c>
      <c r="F3717" s="1">
        <v>196.70400000000001</v>
      </c>
      <c r="G3717">
        <v>6</v>
      </c>
      <c r="H3717" s="1">
        <v>68.846400000000003</v>
      </c>
      <c r="I3717" s="4">
        <f>SalesData[[#This Row],[Profit]]/SalesData[[#This Row],[Sales]]</f>
        <v>0.35</v>
      </c>
      <c r="J3717">
        <f>YEAR(SalesData[[#This Row],[Order Date]])</f>
        <v>2014</v>
      </c>
      <c r="K3717" t="str">
        <f>TEXT(SalesData[[#This Row],[Order Date]],"mmm")</f>
        <v>Aug</v>
      </c>
      <c r="L3717">
        <f>MONTH(SalesData[[#This Row],[Order Date]])</f>
        <v>8</v>
      </c>
      <c r="M3717">
        <f>SalesData[[#This Row],[Sales]]/SalesData[[#This Row],[Quantity]]</f>
        <v>32.783999999999999</v>
      </c>
      <c r="N3717" t="str">
        <f>IF(SalesData[[#This Row],[Profit]]&gt;0,"Profit","Loss")</f>
        <v>Profit</v>
      </c>
    </row>
    <row r="3718" spans="1:14" x14ac:dyDescent="0.3">
      <c r="A3718" t="s">
        <v>667</v>
      </c>
      <c r="B3718" s="3">
        <v>41859</v>
      </c>
      <c r="C3718" t="s">
        <v>13</v>
      </c>
      <c r="D3718" t="s">
        <v>21</v>
      </c>
      <c r="E3718" t="s">
        <v>100</v>
      </c>
      <c r="F3718" s="1">
        <v>76.12</v>
      </c>
      <c r="G3718">
        <v>2</v>
      </c>
      <c r="H3718" s="1">
        <v>22.0748</v>
      </c>
      <c r="I3718" s="4">
        <f>SalesData[[#This Row],[Profit]]/SalesData[[#This Row],[Sales]]</f>
        <v>0.28999999999999998</v>
      </c>
      <c r="J3718">
        <f>YEAR(SalesData[[#This Row],[Order Date]])</f>
        <v>2014</v>
      </c>
      <c r="K3718" t="str">
        <f>TEXT(SalesData[[#This Row],[Order Date]],"mmm")</f>
        <v>Aug</v>
      </c>
      <c r="L3718">
        <f>MONTH(SalesData[[#This Row],[Order Date]])</f>
        <v>8</v>
      </c>
      <c r="M3718">
        <f>SalesData[[#This Row],[Sales]]/SalesData[[#This Row],[Quantity]]</f>
        <v>38.06</v>
      </c>
      <c r="N3718" t="str">
        <f>IF(SalesData[[#This Row],[Profit]]&gt;0,"Profit","Loss")</f>
        <v>Profit</v>
      </c>
    </row>
    <row r="3719" spans="1:14" x14ac:dyDescent="0.3">
      <c r="A3719" t="s">
        <v>667</v>
      </c>
      <c r="B3719" s="3">
        <v>41859</v>
      </c>
      <c r="C3719" t="s">
        <v>13</v>
      </c>
      <c r="D3719" t="s">
        <v>10</v>
      </c>
      <c r="E3719" t="s">
        <v>668</v>
      </c>
      <c r="F3719" s="1">
        <v>1199.9760000000001</v>
      </c>
      <c r="G3719">
        <v>3</v>
      </c>
      <c r="H3719" s="1">
        <v>434.99130000000002</v>
      </c>
      <c r="I3719" s="4">
        <f>SalesData[[#This Row],[Profit]]/SalesData[[#This Row],[Sales]]</f>
        <v>0.36249999999999999</v>
      </c>
      <c r="J3719">
        <f>YEAR(SalesData[[#This Row],[Order Date]])</f>
        <v>2014</v>
      </c>
      <c r="K3719" t="str">
        <f>TEXT(SalesData[[#This Row],[Order Date]],"mmm")</f>
        <v>Aug</v>
      </c>
      <c r="L3719">
        <f>MONTH(SalesData[[#This Row],[Order Date]])</f>
        <v>8</v>
      </c>
      <c r="M3719">
        <f>SalesData[[#This Row],[Sales]]/SalesData[[#This Row],[Quantity]]</f>
        <v>399.99200000000002</v>
      </c>
      <c r="N3719" t="str">
        <f>IF(SalesData[[#This Row],[Profit]]&gt;0,"Profit","Loss")</f>
        <v>Profit</v>
      </c>
    </row>
    <row r="3720" spans="1:14" x14ac:dyDescent="0.3">
      <c r="A3720" t="s">
        <v>667</v>
      </c>
      <c r="B3720" s="3">
        <v>41859</v>
      </c>
      <c r="C3720" t="s">
        <v>13</v>
      </c>
      <c r="D3720" t="s">
        <v>10</v>
      </c>
      <c r="E3720" t="s">
        <v>669</v>
      </c>
      <c r="F3720" s="1">
        <v>445.96</v>
      </c>
      <c r="G3720">
        <v>5</v>
      </c>
      <c r="H3720" s="1">
        <v>55.744999999999997</v>
      </c>
      <c r="I3720" s="4">
        <f>SalesData[[#This Row],[Profit]]/SalesData[[#This Row],[Sales]]</f>
        <v>0.125</v>
      </c>
      <c r="J3720">
        <f>YEAR(SalesData[[#This Row],[Order Date]])</f>
        <v>2014</v>
      </c>
      <c r="K3720" t="str">
        <f>TEXT(SalesData[[#This Row],[Order Date]],"mmm")</f>
        <v>Aug</v>
      </c>
      <c r="L3720">
        <f>MONTH(SalesData[[#This Row],[Order Date]])</f>
        <v>8</v>
      </c>
      <c r="M3720">
        <f>SalesData[[#This Row],[Sales]]/SalesData[[#This Row],[Quantity]]</f>
        <v>89.191999999999993</v>
      </c>
      <c r="N3720" t="str">
        <f>IF(SalesData[[#This Row],[Profit]]&gt;0,"Profit","Loss")</f>
        <v>Profit</v>
      </c>
    </row>
    <row r="3721" spans="1:14" x14ac:dyDescent="0.3">
      <c r="A3721" t="s">
        <v>667</v>
      </c>
      <c r="B3721" s="3">
        <v>41859</v>
      </c>
      <c r="C3721" t="s">
        <v>13</v>
      </c>
      <c r="D3721" t="s">
        <v>14</v>
      </c>
      <c r="E3721" t="s">
        <v>670</v>
      </c>
      <c r="F3721" s="1">
        <v>327.76</v>
      </c>
      <c r="G3721">
        <v>8</v>
      </c>
      <c r="H3721" s="1">
        <v>91.772800000000004</v>
      </c>
      <c r="I3721" s="4">
        <f>SalesData[[#This Row],[Profit]]/SalesData[[#This Row],[Sales]]</f>
        <v>0.28000000000000003</v>
      </c>
      <c r="J3721">
        <f>YEAR(SalesData[[#This Row],[Order Date]])</f>
        <v>2014</v>
      </c>
      <c r="K3721" t="str">
        <f>TEXT(SalesData[[#This Row],[Order Date]],"mmm")</f>
        <v>Aug</v>
      </c>
      <c r="L3721">
        <f>MONTH(SalesData[[#This Row],[Order Date]])</f>
        <v>8</v>
      </c>
      <c r="M3721">
        <f>SalesData[[#This Row],[Sales]]/SalesData[[#This Row],[Quantity]]</f>
        <v>40.97</v>
      </c>
      <c r="N3721" t="str">
        <f>IF(SalesData[[#This Row],[Profit]]&gt;0,"Profit","Loss")</f>
        <v>Profit</v>
      </c>
    </row>
    <row r="3722" spans="1:14" x14ac:dyDescent="0.3">
      <c r="A3722" t="s">
        <v>671</v>
      </c>
      <c r="B3722" s="3">
        <v>41859</v>
      </c>
      <c r="C3722" t="s">
        <v>13</v>
      </c>
      <c r="D3722" t="s">
        <v>14</v>
      </c>
      <c r="E3722" t="s">
        <v>672</v>
      </c>
      <c r="F3722" s="1">
        <v>121.376</v>
      </c>
      <c r="G3722">
        <v>4</v>
      </c>
      <c r="H3722" s="1">
        <v>-3.0344000000000002</v>
      </c>
      <c r="I3722" s="4">
        <f>SalesData[[#This Row],[Profit]]/SalesData[[#This Row],[Sales]]</f>
        <v>-2.5000000000000001E-2</v>
      </c>
      <c r="J3722">
        <f>YEAR(SalesData[[#This Row],[Order Date]])</f>
        <v>2014</v>
      </c>
      <c r="K3722" t="str">
        <f>TEXT(SalesData[[#This Row],[Order Date]],"mmm")</f>
        <v>Aug</v>
      </c>
      <c r="L3722">
        <f>MONTH(SalesData[[#This Row],[Order Date]])</f>
        <v>8</v>
      </c>
      <c r="M3722">
        <f>SalesData[[#This Row],[Sales]]/SalesData[[#This Row],[Quantity]]</f>
        <v>30.344000000000001</v>
      </c>
      <c r="N3722" t="str">
        <f>IF(SalesData[[#This Row],[Profit]]&gt;0,"Profit","Loss")</f>
        <v>Loss</v>
      </c>
    </row>
    <row r="3723" spans="1:14" x14ac:dyDescent="0.3">
      <c r="A3723" t="s">
        <v>671</v>
      </c>
      <c r="B3723" s="3">
        <v>41859</v>
      </c>
      <c r="C3723" t="s">
        <v>13</v>
      </c>
      <c r="D3723" t="s">
        <v>10</v>
      </c>
      <c r="E3723" t="s">
        <v>673</v>
      </c>
      <c r="F3723" s="1">
        <v>95.975999999999999</v>
      </c>
      <c r="G3723">
        <v>3</v>
      </c>
      <c r="H3723" s="1">
        <v>-10.7973</v>
      </c>
      <c r="I3723" s="4">
        <f>SalesData[[#This Row],[Profit]]/SalesData[[#This Row],[Sales]]</f>
        <v>-0.1125</v>
      </c>
      <c r="J3723">
        <f>YEAR(SalesData[[#This Row],[Order Date]])</f>
        <v>2014</v>
      </c>
      <c r="K3723" t="str">
        <f>TEXT(SalesData[[#This Row],[Order Date]],"mmm")</f>
        <v>Aug</v>
      </c>
      <c r="L3723">
        <f>MONTH(SalesData[[#This Row],[Order Date]])</f>
        <v>8</v>
      </c>
      <c r="M3723">
        <f>SalesData[[#This Row],[Sales]]/SalesData[[#This Row],[Quantity]]</f>
        <v>31.992000000000001</v>
      </c>
      <c r="N3723" t="str">
        <f>IF(SalesData[[#This Row],[Profit]]&gt;0,"Profit","Loss")</f>
        <v>Loss</v>
      </c>
    </row>
    <row r="3724" spans="1:14" x14ac:dyDescent="0.3">
      <c r="A3724" t="s">
        <v>674</v>
      </c>
      <c r="B3724" s="3">
        <v>41859</v>
      </c>
      <c r="C3724" t="s">
        <v>13</v>
      </c>
      <c r="D3724" t="s">
        <v>21</v>
      </c>
      <c r="E3724" t="s">
        <v>267</v>
      </c>
      <c r="F3724" s="1">
        <v>423.28</v>
      </c>
      <c r="G3724">
        <v>11</v>
      </c>
      <c r="H3724" s="1">
        <v>110.0528</v>
      </c>
      <c r="I3724" s="4">
        <f>SalesData[[#This Row],[Profit]]/SalesData[[#This Row],[Sales]]</f>
        <v>0.26</v>
      </c>
      <c r="J3724">
        <f>YEAR(SalesData[[#This Row],[Order Date]])</f>
        <v>2014</v>
      </c>
      <c r="K3724" t="str">
        <f>TEXT(SalesData[[#This Row],[Order Date]],"mmm")</f>
        <v>Aug</v>
      </c>
      <c r="L3724">
        <f>MONTH(SalesData[[#This Row],[Order Date]])</f>
        <v>8</v>
      </c>
      <c r="M3724">
        <f>SalesData[[#This Row],[Sales]]/SalesData[[#This Row],[Quantity]]</f>
        <v>38.479999999999997</v>
      </c>
      <c r="N3724" t="str">
        <f>IF(SalesData[[#This Row],[Profit]]&gt;0,"Profit","Loss")</f>
        <v>Profit</v>
      </c>
    </row>
    <row r="3725" spans="1:14" x14ac:dyDescent="0.3">
      <c r="A3725" t="s">
        <v>675</v>
      </c>
      <c r="B3725" s="3">
        <v>41859</v>
      </c>
      <c r="C3725" t="s">
        <v>9</v>
      </c>
      <c r="D3725" t="s">
        <v>10</v>
      </c>
      <c r="E3725" t="s">
        <v>113</v>
      </c>
      <c r="F3725" s="1">
        <v>549.99</v>
      </c>
      <c r="G3725">
        <v>1</v>
      </c>
      <c r="H3725" s="1">
        <v>274.995</v>
      </c>
      <c r="I3725" s="4">
        <f>SalesData[[#This Row],[Profit]]/SalesData[[#This Row],[Sales]]</f>
        <v>0.5</v>
      </c>
      <c r="J3725">
        <f>YEAR(SalesData[[#This Row],[Order Date]])</f>
        <v>2014</v>
      </c>
      <c r="K3725" t="str">
        <f>TEXT(SalesData[[#This Row],[Order Date]],"mmm")</f>
        <v>Aug</v>
      </c>
      <c r="L3725">
        <f>MONTH(SalesData[[#This Row],[Order Date]])</f>
        <v>8</v>
      </c>
      <c r="M3725">
        <f>SalesData[[#This Row],[Sales]]/SalesData[[#This Row],[Quantity]]</f>
        <v>549.99</v>
      </c>
      <c r="N3725" t="str">
        <f>IF(SalesData[[#This Row],[Profit]]&gt;0,"Profit","Loss")</f>
        <v>Profit</v>
      </c>
    </row>
    <row r="3726" spans="1:14" x14ac:dyDescent="0.3">
      <c r="A3726" t="s">
        <v>675</v>
      </c>
      <c r="B3726" s="3">
        <v>41859</v>
      </c>
      <c r="C3726" t="s">
        <v>9</v>
      </c>
      <c r="D3726" t="s">
        <v>21</v>
      </c>
      <c r="E3726" t="s">
        <v>676</v>
      </c>
      <c r="F3726" s="1">
        <v>167.535</v>
      </c>
      <c r="G3726">
        <v>3</v>
      </c>
      <c r="H3726" s="1">
        <v>37.229999999999997</v>
      </c>
      <c r="I3726" s="4">
        <f>SalesData[[#This Row],[Profit]]/SalesData[[#This Row],[Sales]]</f>
        <v>0.22222222222222221</v>
      </c>
      <c r="J3726">
        <f>YEAR(SalesData[[#This Row],[Order Date]])</f>
        <v>2014</v>
      </c>
      <c r="K3726" t="str">
        <f>TEXT(SalesData[[#This Row],[Order Date]],"mmm")</f>
        <v>Aug</v>
      </c>
      <c r="L3726">
        <f>MONTH(SalesData[[#This Row],[Order Date]])</f>
        <v>8</v>
      </c>
      <c r="M3726">
        <f>SalesData[[#This Row],[Sales]]/SalesData[[#This Row],[Quantity]]</f>
        <v>55.844999999999999</v>
      </c>
      <c r="N3726" t="str">
        <f>IF(SalesData[[#This Row],[Profit]]&gt;0,"Profit","Loss")</f>
        <v>Profit</v>
      </c>
    </row>
    <row r="3727" spans="1:14" x14ac:dyDescent="0.3">
      <c r="A3727" t="s">
        <v>675</v>
      </c>
      <c r="B3727" s="3">
        <v>41859</v>
      </c>
      <c r="C3727" t="s">
        <v>9</v>
      </c>
      <c r="D3727" t="s">
        <v>21</v>
      </c>
      <c r="E3727" t="s">
        <v>677</v>
      </c>
      <c r="F3727" s="1">
        <v>38.340000000000003</v>
      </c>
      <c r="G3727">
        <v>3</v>
      </c>
      <c r="H3727" s="1">
        <v>17.253</v>
      </c>
      <c r="I3727" s="4">
        <f>SalesData[[#This Row],[Profit]]/SalesData[[#This Row],[Sales]]</f>
        <v>0.44999999999999996</v>
      </c>
      <c r="J3727">
        <f>YEAR(SalesData[[#This Row],[Order Date]])</f>
        <v>2014</v>
      </c>
      <c r="K3727" t="str">
        <f>TEXT(SalesData[[#This Row],[Order Date]],"mmm")</f>
        <v>Aug</v>
      </c>
      <c r="L3727">
        <f>MONTH(SalesData[[#This Row],[Order Date]])</f>
        <v>8</v>
      </c>
      <c r="M3727">
        <f>SalesData[[#This Row],[Sales]]/SalesData[[#This Row],[Quantity]]</f>
        <v>12.780000000000001</v>
      </c>
      <c r="N3727" t="str">
        <f>IF(SalesData[[#This Row],[Profit]]&gt;0,"Profit","Loss")</f>
        <v>Profit</v>
      </c>
    </row>
    <row r="3728" spans="1:14" x14ac:dyDescent="0.3">
      <c r="A3728" t="s">
        <v>675</v>
      </c>
      <c r="B3728" s="3">
        <v>41859</v>
      </c>
      <c r="C3728" t="s">
        <v>9</v>
      </c>
      <c r="D3728" t="s">
        <v>14</v>
      </c>
      <c r="E3728" t="s">
        <v>550</v>
      </c>
      <c r="F3728" s="1">
        <v>53.88</v>
      </c>
      <c r="G3728">
        <v>6</v>
      </c>
      <c r="H3728" s="1">
        <v>22.6296</v>
      </c>
      <c r="I3728" s="4">
        <f>SalesData[[#This Row],[Profit]]/SalesData[[#This Row],[Sales]]</f>
        <v>0.42</v>
      </c>
      <c r="J3728">
        <f>YEAR(SalesData[[#This Row],[Order Date]])</f>
        <v>2014</v>
      </c>
      <c r="K3728" t="str">
        <f>TEXT(SalesData[[#This Row],[Order Date]],"mmm")</f>
        <v>Aug</v>
      </c>
      <c r="L3728">
        <f>MONTH(SalesData[[#This Row],[Order Date]])</f>
        <v>8</v>
      </c>
      <c r="M3728">
        <f>SalesData[[#This Row],[Sales]]/SalesData[[#This Row],[Quantity]]</f>
        <v>8.98</v>
      </c>
      <c r="N3728" t="str">
        <f>IF(SalesData[[#This Row],[Profit]]&gt;0,"Profit","Loss")</f>
        <v>Profit</v>
      </c>
    </row>
    <row r="3729" spans="1:14" x14ac:dyDescent="0.3">
      <c r="A3729" t="s">
        <v>675</v>
      </c>
      <c r="B3729" s="3">
        <v>41859</v>
      </c>
      <c r="C3729" t="s">
        <v>9</v>
      </c>
      <c r="D3729" t="s">
        <v>10</v>
      </c>
      <c r="E3729" t="s">
        <v>134</v>
      </c>
      <c r="F3729" s="1">
        <v>299.98</v>
      </c>
      <c r="G3729">
        <v>2</v>
      </c>
      <c r="H3729" s="1">
        <v>83.994399999999999</v>
      </c>
      <c r="I3729" s="4">
        <f>SalesData[[#This Row],[Profit]]/SalesData[[#This Row],[Sales]]</f>
        <v>0.27999999999999997</v>
      </c>
      <c r="J3729">
        <f>YEAR(SalesData[[#This Row],[Order Date]])</f>
        <v>2014</v>
      </c>
      <c r="K3729" t="str">
        <f>TEXT(SalesData[[#This Row],[Order Date]],"mmm")</f>
        <v>Aug</v>
      </c>
      <c r="L3729">
        <f>MONTH(SalesData[[#This Row],[Order Date]])</f>
        <v>8</v>
      </c>
      <c r="M3729">
        <f>SalesData[[#This Row],[Sales]]/SalesData[[#This Row],[Quantity]]</f>
        <v>149.99</v>
      </c>
      <c r="N3729" t="str">
        <f>IF(SalesData[[#This Row],[Profit]]&gt;0,"Profit","Loss")</f>
        <v>Profit</v>
      </c>
    </row>
    <row r="3730" spans="1:14" x14ac:dyDescent="0.3">
      <c r="A3730" t="s">
        <v>678</v>
      </c>
      <c r="B3730" s="3">
        <v>41859</v>
      </c>
      <c r="C3730" t="s">
        <v>46</v>
      </c>
      <c r="D3730" t="s">
        <v>14</v>
      </c>
      <c r="E3730" t="s">
        <v>679</v>
      </c>
      <c r="F3730" s="1">
        <v>155.45599999999999</v>
      </c>
      <c r="G3730">
        <v>4</v>
      </c>
      <c r="H3730" s="1">
        <v>-7.7728000000000002</v>
      </c>
      <c r="I3730" s="4">
        <f>SalesData[[#This Row],[Profit]]/SalesData[[#This Row],[Sales]]</f>
        <v>-0.05</v>
      </c>
      <c r="J3730">
        <f>YEAR(SalesData[[#This Row],[Order Date]])</f>
        <v>2014</v>
      </c>
      <c r="K3730" t="str">
        <f>TEXT(SalesData[[#This Row],[Order Date]],"mmm")</f>
        <v>Aug</v>
      </c>
      <c r="L3730">
        <f>MONTH(SalesData[[#This Row],[Order Date]])</f>
        <v>8</v>
      </c>
      <c r="M3730">
        <f>SalesData[[#This Row],[Sales]]/SalesData[[#This Row],[Quantity]]</f>
        <v>38.863999999999997</v>
      </c>
      <c r="N3730" t="str">
        <f>IF(SalesData[[#This Row],[Profit]]&gt;0,"Profit","Loss")</f>
        <v>Loss</v>
      </c>
    </row>
    <row r="3731" spans="1:14" x14ac:dyDescent="0.3">
      <c r="A3731" t="s">
        <v>680</v>
      </c>
      <c r="B3731" s="3">
        <v>41860</v>
      </c>
      <c r="C3731" t="s">
        <v>9</v>
      </c>
      <c r="D3731" t="s">
        <v>21</v>
      </c>
      <c r="E3731" t="s">
        <v>681</v>
      </c>
      <c r="F3731" s="1">
        <v>9.9359999999999999</v>
      </c>
      <c r="G3731">
        <v>3</v>
      </c>
      <c r="H3731" s="1">
        <v>2.7324000000000002</v>
      </c>
      <c r="I3731" s="4">
        <f>SalesData[[#This Row],[Profit]]/SalesData[[#This Row],[Sales]]</f>
        <v>0.27500000000000002</v>
      </c>
      <c r="J3731">
        <f>YEAR(SalesData[[#This Row],[Order Date]])</f>
        <v>2014</v>
      </c>
      <c r="K3731" t="str">
        <f>TEXT(SalesData[[#This Row],[Order Date]],"mmm")</f>
        <v>Aug</v>
      </c>
      <c r="L3731">
        <f>MONTH(SalesData[[#This Row],[Order Date]])</f>
        <v>8</v>
      </c>
      <c r="M3731">
        <f>SalesData[[#This Row],[Sales]]/SalesData[[#This Row],[Quantity]]</f>
        <v>3.3119999999999998</v>
      </c>
      <c r="N3731" t="str">
        <f>IF(SalesData[[#This Row],[Profit]]&gt;0,"Profit","Loss")</f>
        <v>Profit</v>
      </c>
    </row>
    <row r="3732" spans="1:14" x14ac:dyDescent="0.3">
      <c r="A3732" t="s">
        <v>680</v>
      </c>
      <c r="B3732" s="3">
        <v>41860</v>
      </c>
      <c r="C3732" t="s">
        <v>9</v>
      </c>
      <c r="D3732" t="s">
        <v>10</v>
      </c>
      <c r="E3732" t="s">
        <v>682</v>
      </c>
      <c r="F3732" s="1">
        <v>8159.9520000000002</v>
      </c>
      <c r="G3732">
        <v>8</v>
      </c>
      <c r="H3732" s="1">
        <v>-1359.992</v>
      </c>
      <c r="I3732" s="4">
        <f>SalesData[[#This Row],[Profit]]/SalesData[[#This Row],[Sales]]</f>
        <v>-0.16666666666666666</v>
      </c>
      <c r="J3732">
        <f>YEAR(SalesData[[#This Row],[Order Date]])</f>
        <v>2014</v>
      </c>
      <c r="K3732" t="str">
        <f>TEXT(SalesData[[#This Row],[Order Date]],"mmm")</f>
        <v>Aug</v>
      </c>
      <c r="L3732">
        <f>MONTH(SalesData[[#This Row],[Order Date]])</f>
        <v>8</v>
      </c>
      <c r="M3732">
        <f>SalesData[[#This Row],[Sales]]/SalesData[[#This Row],[Quantity]]</f>
        <v>1019.994</v>
      </c>
      <c r="N3732" t="str">
        <f>IF(SalesData[[#This Row],[Profit]]&gt;0,"Profit","Loss")</f>
        <v>Loss</v>
      </c>
    </row>
    <row r="3733" spans="1:14" x14ac:dyDescent="0.3">
      <c r="A3733" t="s">
        <v>680</v>
      </c>
      <c r="B3733" s="3">
        <v>41860</v>
      </c>
      <c r="C3733" t="s">
        <v>9</v>
      </c>
      <c r="D3733" t="s">
        <v>21</v>
      </c>
      <c r="E3733" t="s">
        <v>404</v>
      </c>
      <c r="F3733" s="1">
        <v>275.928</v>
      </c>
      <c r="G3733">
        <v>3</v>
      </c>
      <c r="H3733" s="1">
        <v>-58.634700000000002</v>
      </c>
      <c r="I3733" s="4">
        <f>SalesData[[#This Row],[Profit]]/SalesData[[#This Row],[Sales]]</f>
        <v>-0.21250000000000002</v>
      </c>
      <c r="J3733">
        <f>YEAR(SalesData[[#This Row],[Order Date]])</f>
        <v>2014</v>
      </c>
      <c r="K3733" t="str">
        <f>TEXT(SalesData[[#This Row],[Order Date]],"mmm")</f>
        <v>Aug</v>
      </c>
      <c r="L3733">
        <f>MONTH(SalesData[[#This Row],[Order Date]])</f>
        <v>8</v>
      </c>
      <c r="M3733">
        <f>SalesData[[#This Row],[Sales]]/SalesData[[#This Row],[Quantity]]</f>
        <v>91.975999999999999</v>
      </c>
      <c r="N3733" t="str">
        <f>IF(SalesData[[#This Row],[Profit]]&gt;0,"Profit","Loss")</f>
        <v>Loss</v>
      </c>
    </row>
    <row r="3734" spans="1:14" x14ac:dyDescent="0.3">
      <c r="A3734" t="s">
        <v>680</v>
      </c>
      <c r="B3734" s="3">
        <v>41860</v>
      </c>
      <c r="C3734" t="s">
        <v>9</v>
      </c>
      <c r="D3734" t="s">
        <v>14</v>
      </c>
      <c r="E3734" t="s">
        <v>683</v>
      </c>
      <c r="F3734" s="1">
        <v>1740.06</v>
      </c>
      <c r="G3734">
        <v>9</v>
      </c>
      <c r="H3734" s="1">
        <v>-24.858000000000001</v>
      </c>
      <c r="I3734" s="4">
        <f>SalesData[[#This Row],[Profit]]/SalesData[[#This Row],[Sales]]</f>
        <v>-1.4285714285714287E-2</v>
      </c>
      <c r="J3734">
        <f>YEAR(SalesData[[#This Row],[Order Date]])</f>
        <v>2014</v>
      </c>
      <c r="K3734" t="str">
        <f>TEXT(SalesData[[#This Row],[Order Date]],"mmm")</f>
        <v>Aug</v>
      </c>
      <c r="L3734">
        <f>MONTH(SalesData[[#This Row],[Order Date]])</f>
        <v>8</v>
      </c>
      <c r="M3734">
        <f>SalesData[[#This Row],[Sales]]/SalesData[[#This Row],[Quantity]]</f>
        <v>193.34</v>
      </c>
      <c r="N3734" t="str">
        <f>IF(SalesData[[#This Row],[Profit]]&gt;0,"Profit","Loss")</f>
        <v>Loss</v>
      </c>
    </row>
    <row r="3735" spans="1:14" x14ac:dyDescent="0.3">
      <c r="A3735" t="s">
        <v>680</v>
      </c>
      <c r="B3735" s="3">
        <v>41860</v>
      </c>
      <c r="C3735" t="s">
        <v>9</v>
      </c>
      <c r="D3735" t="s">
        <v>21</v>
      </c>
      <c r="E3735" t="s">
        <v>515</v>
      </c>
      <c r="F3735" s="1">
        <v>32.064</v>
      </c>
      <c r="G3735">
        <v>6</v>
      </c>
      <c r="H3735" s="1">
        <v>6.8136000000000001</v>
      </c>
      <c r="I3735" s="4">
        <f>SalesData[[#This Row],[Profit]]/SalesData[[#This Row],[Sales]]</f>
        <v>0.21249999999999999</v>
      </c>
      <c r="J3735">
        <f>YEAR(SalesData[[#This Row],[Order Date]])</f>
        <v>2014</v>
      </c>
      <c r="K3735" t="str">
        <f>TEXT(SalesData[[#This Row],[Order Date]],"mmm")</f>
        <v>Aug</v>
      </c>
      <c r="L3735">
        <f>MONTH(SalesData[[#This Row],[Order Date]])</f>
        <v>8</v>
      </c>
      <c r="M3735">
        <f>SalesData[[#This Row],[Sales]]/SalesData[[#This Row],[Quantity]]</f>
        <v>5.3440000000000003</v>
      </c>
      <c r="N3735" t="str">
        <f>IF(SalesData[[#This Row],[Profit]]&gt;0,"Profit","Loss")</f>
        <v>Profit</v>
      </c>
    </row>
    <row r="3736" spans="1:14" x14ac:dyDescent="0.3">
      <c r="A3736" t="s">
        <v>680</v>
      </c>
      <c r="B3736" s="3">
        <v>41860</v>
      </c>
      <c r="C3736" t="s">
        <v>9</v>
      </c>
      <c r="D3736" t="s">
        <v>21</v>
      </c>
      <c r="E3736" t="s">
        <v>96</v>
      </c>
      <c r="F3736" s="1">
        <v>177.98</v>
      </c>
      <c r="G3736">
        <v>5</v>
      </c>
      <c r="H3736" s="1">
        <v>-453.84899999999999</v>
      </c>
      <c r="I3736" s="4">
        <f>SalesData[[#This Row],[Profit]]/SalesData[[#This Row],[Sales]]</f>
        <v>-2.5500000000000003</v>
      </c>
      <c r="J3736">
        <f>YEAR(SalesData[[#This Row],[Order Date]])</f>
        <v>2014</v>
      </c>
      <c r="K3736" t="str">
        <f>TEXT(SalesData[[#This Row],[Order Date]],"mmm")</f>
        <v>Aug</v>
      </c>
      <c r="L3736">
        <f>MONTH(SalesData[[#This Row],[Order Date]])</f>
        <v>8</v>
      </c>
      <c r="M3736">
        <f>SalesData[[#This Row],[Sales]]/SalesData[[#This Row],[Quantity]]</f>
        <v>35.595999999999997</v>
      </c>
      <c r="N3736" t="str">
        <f>IF(SalesData[[#This Row],[Profit]]&gt;0,"Profit","Loss")</f>
        <v>Loss</v>
      </c>
    </row>
    <row r="3737" spans="1:14" x14ac:dyDescent="0.3">
      <c r="A3737" t="s">
        <v>680</v>
      </c>
      <c r="B3737" s="3">
        <v>41860</v>
      </c>
      <c r="C3737" t="s">
        <v>9</v>
      </c>
      <c r="D3737" t="s">
        <v>10</v>
      </c>
      <c r="E3737" t="s">
        <v>684</v>
      </c>
      <c r="F3737" s="1">
        <v>143.976</v>
      </c>
      <c r="G3737">
        <v>3</v>
      </c>
      <c r="H3737" s="1">
        <v>8.9984999999999999</v>
      </c>
      <c r="I3737" s="4">
        <f>SalesData[[#This Row],[Profit]]/SalesData[[#This Row],[Sales]]</f>
        <v>6.25E-2</v>
      </c>
      <c r="J3737">
        <f>YEAR(SalesData[[#This Row],[Order Date]])</f>
        <v>2014</v>
      </c>
      <c r="K3737" t="str">
        <f>TEXT(SalesData[[#This Row],[Order Date]],"mmm")</f>
        <v>Aug</v>
      </c>
      <c r="L3737">
        <f>MONTH(SalesData[[#This Row],[Order Date]])</f>
        <v>8</v>
      </c>
      <c r="M3737">
        <f>SalesData[[#This Row],[Sales]]/SalesData[[#This Row],[Quantity]]</f>
        <v>47.991999999999997</v>
      </c>
      <c r="N3737" t="str">
        <f>IF(SalesData[[#This Row],[Profit]]&gt;0,"Profit","Loss")</f>
        <v>Profit</v>
      </c>
    </row>
    <row r="3738" spans="1:14" x14ac:dyDescent="0.3">
      <c r="A3738" t="s">
        <v>685</v>
      </c>
      <c r="B3738" s="3">
        <v>41860</v>
      </c>
      <c r="C3738" t="s">
        <v>13</v>
      </c>
      <c r="D3738" t="s">
        <v>10</v>
      </c>
      <c r="E3738" t="s">
        <v>686</v>
      </c>
      <c r="F3738" s="1">
        <v>49.98</v>
      </c>
      <c r="G3738">
        <v>2</v>
      </c>
      <c r="H3738" s="1">
        <v>8.4966000000000008</v>
      </c>
      <c r="I3738" s="4">
        <f>SalesData[[#This Row],[Profit]]/SalesData[[#This Row],[Sales]]</f>
        <v>0.17000000000000004</v>
      </c>
      <c r="J3738">
        <f>YEAR(SalesData[[#This Row],[Order Date]])</f>
        <v>2014</v>
      </c>
      <c r="K3738" t="str">
        <f>TEXT(SalesData[[#This Row],[Order Date]],"mmm")</f>
        <v>Aug</v>
      </c>
      <c r="L3738">
        <f>MONTH(SalesData[[#This Row],[Order Date]])</f>
        <v>8</v>
      </c>
      <c r="M3738">
        <f>SalesData[[#This Row],[Sales]]/SalesData[[#This Row],[Quantity]]</f>
        <v>24.99</v>
      </c>
      <c r="N3738" t="str">
        <f>IF(SalesData[[#This Row],[Profit]]&gt;0,"Profit","Loss")</f>
        <v>Profit</v>
      </c>
    </row>
    <row r="3739" spans="1:14" x14ac:dyDescent="0.3">
      <c r="A3739" t="s">
        <v>687</v>
      </c>
      <c r="B3739" s="3">
        <v>41860</v>
      </c>
      <c r="C3739" t="s">
        <v>9</v>
      </c>
      <c r="D3739" t="s">
        <v>21</v>
      </c>
      <c r="E3739" t="s">
        <v>688</v>
      </c>
      <c r="F3739" s="1">
        <v>51.183999999999997</v>
      </c>
      <c r="G3739">
        <v>4</v>
      </c>
      <c r="H3739" s="1">
        <v>-79.3352</v>
      </c>
      <c r="I3739" s="4">
        <f>SalesData[[#This Row],[Profit]]/SalesData[[#This Row],[Sales]]</f>
        <v>-1.55</v>
      </c>
      <c r="J3739">
        <f>YEAR(SalesData[[#This Row],[Order Date]])</f>
        <v>2014</v>
      </c>
      <c r="K3739" t="str">
        <f>TEXT(SalesData[[#This Row],[Order Date]],"mmm")</f>
        <v>Aug</v>
      </c>
      <c r="L3739">
        <f>MONTH(SalesData[[#This Row],[Order Date]])</f>
        <v>8</v>
      </c>
      <c r="M3739">
        <f>SalesData[[#This Row],[Sales]]/SalesData[[#This Row],[Quantity]]</f>
        <v>12.795999999999999</v>
      </c>
      <c r="N3739" t="str">
        <f>IF(SalesData[[#This Row],[Profit]]&gt;0,"Profit","Loss")</f>
        <v>Loss</v>
      </c>
    </row>
    <row r="3740" spans="1:14" x14ac:dyDescent="0.3">
      <c r="A3740" t="s">
        <v>689</v>
      </c>
      <c r="B3740" s="3">
        <v>41860</v>
      </c>
      <c r="C3740" t="s">
        <v>46</v>
      </c>
      <c r="D3740" t="s">
        <v>10</v>
      </c>
      <c r="E3740" t="s">
        <v>690</v>
      </c>
      <c r="F3740" s="1">
        <v>32.97</v>
      </c>
      <c r="G3740">
        <v>3</v>
      </c>
      <c r="H3740" s="1">
        <v>12.8583</v>
      </c>
      <c r="I3740" s="4">
        <f>SalesData[[#This Row],[Profit]]/SalesData[[#This Row],[Sales]]</f>
        <v>0.39</v>
      </c>
      <c r="J3740">
        <f>YEAR(SalesData[[#This Row],[Order Date]])</f>
        <v>2014</v>
      </c>
      <c r="K3740" t="str">
        <f>TEXT(SalesData[[#This Row],[Order Date]],"mmm")</f>
        <v>Aug</v>
      </c>
      <c r="L3740">
        <f>MONTH(SalesData[[#This Row],[Order Date]])</f>
        <v>8</v>
      </c>
      <c r="M3740">
        <f>SalesData[[#This Row],[Sales]]/SalesData[[#This Row],[Quantity]]</f>
        <v>10.99</v>
      </c>
      <c r="N3740" t="str">
        <f>IF(SalesData[[#This Row],[Profit]]&gt;0,"Profit","Loss")</f>
        <v>Profit</v>
      </c>
    </row>
    <row r="3741" spans="1:14" x14ac:dyDescent="0.3">
      <c r="A3741" t="s">
        <v>689</v>
      </c>
      <c r="B3741" s="3">
        <v>41860</v>
      </c>
      <c r="C3741" t="s">
        <v>46</v>
      </c>
      <c r="D3741" t="s">
        <v>10</v>
      </c>
      <c r="E3741" t="s">
        <v>194</v>
      </c>
      <c r="F3741" s="1">
        <v>83.88</v>
      </c>
      <c r="G3741">
        <v>4</v>
      </c>
      <c r="H3741" s="1">
        <v>30.1968</v>
      </c>
      <c r="I3741" s="4">
        <f>SalesData[[#This Row],[Profit]]/SalesData[[#This Row],[Sales]]</f>
        <v>0.36000000000000004</v>
      </c>
      <c r="J3741">
        <f>YEAR(SalesData[[#This Row],[Order Date]])</f>
        <v>2014</v>
      </c>
      <c r="K3741" t="str">
        <f>TEXT(SalesData[[#This Row],[Order Date]],"mmm")</f>
        <v>Aug</v>
      </c>
      <c r="L3741">
        <f>MONTH(SalesData[[#This Row],[Order Date]])</f>
        <v>8</v>
      </c>
      <c r="M3741">
        <f>SalesData[[#This Row],[Sales]]/SalesData[[#This Row],[Quantity]]</f>
        <v>20.97</v>
      </c>
      <c r="N3741" t="str">
        <f>IF(SalesData[[#This Row],[Profit]]&gt;0,"Profit","Loss")</f>
        <v>Profit</v>
      </c>
    </row>
    <row r="3742" spans="1:14" x14ac:dyDescent="0.3">
      <c r="A3742" t="s">
        <v>691</v>
      </c>
      <c r="B3742" s="3">
        <v>41860</v>
      </c>
      <c r="C3742" t="s">
        <v>13</v>
      </c>
      <c r="D3742" t="s">
        <v>21</v>
      </c>
      <c r="E3742" t="s">
        <v>692</v>
      </c>
      <c r="F3742" s="1">
        <v>56.65</v>
      </c>
      <c r="G3742">
        <v>5</v>
      </c>
      <c r="H3742" s="1">
        <v>24.359500000000001</v>
      </c>
      <c r="I3742" s="4">
        <f>SalesData[[#This Row],[Profit]]/SalesData[[#This Row],[Sales]]</f>
        <v>0.43000000000000005</v>
      </c>
      <c r="J3742">
        <f>YEAR(SalesData[[#This Row],[Order Date]])</f>
        <v>2014</v>
      </c>
      <c r="K3742" t="str">
        <f>TEXT(SalesData[[#This Row],[Order Date]],"mmm")</f>
        <v>Aug</v>
      </c>
      <c r="L3742">
        <f>MONTH(SalesData[[#This Row],[Order Date]])</f>
        <v>8</v>
      </c>
      <c r="M3742">
        <f>SalesData[[#This Row],[Sales]]/SalesData[[#This Row],[Quantity]]</f>
        <v>11.33</v>
      </c>
      <c r="N3742" t="str">
        <f>IF(SalesData[[#This Row],[Profit]]&gt;0,"Profit","Loss")</f>
        <v>Profit</v>
      </c>
    </row>
    <row r="3743" spans="1:14" x14ac:dyDescent="0.3">
      <c r="A3743" t="s">
        <v>691</v>
      </c>
      <c r="B3743" s="3">
        <v>41860</v>
      </c>
      <c r="C3743" t="s">
        <v>13</v>
      </c>
      <c r="D3743" t="s">
        <v>21</v>
      </c>
      <c r="E3743" t="s">
        <v>693</v>
      </c>
      <c r="F3743" s="1">
        <v>14.97</v>
      </c>
      <c r="G3743">
        <v>1</v>
      </c>
      <c r="H3743" s="1">
        <v>4.1916000000000002</v>
      </c>
      <c r="I3743" s="4">
        <f>SalesData[[#This Row],[Profit]]/SalesData[[#This Row],[Sales]]</f>
        <v>0.28000000000000003</v>
      </c>
      <c r="J3743">
        <f>YEAR(SalesData[[#This Row],[Order Date]])</f>
        <v>2014</v>
      </c>
      <c r="K3743" t="str">
        <f>TEXT(SalesData[[#This Row],[Order Date]],"mmm")</f>
        <v>Aug</v>
      </c>
      <c r="L3743">
        <f>MONTH(SalesData[[#This Row],[Order Date]])</f>
        <v>8</v>
      </c>
      <c r="M3743">
        <f>SalesData[[#This Row],[Sales]]/SalesData[[#This Row],[Quantity]]</f>
        <v>14.97</v>
      </c>
      <c r="N3743" t="str">
        <f>IF(SalesData[[#This Row],[Profit]]&gt;0,"Profit","Loss")</f>
        <v>Profit</v>
      </c>
    </row>
    <row r="3744" spans="1:14" x14ac:dyDescent="0.3">
      <c r="A3744" t="s">
        <v>691</v>
      </c>
      <c r="B3744" s="3">
        <v>41860</v>
      </c>
      <c r="C3744" t="s">
        <v>13</v>
      </c>
      <c r="D3744" t="s">
        <v>21</v>
      </c>
      <c r="E3744" t="s">
        <v>694</v>
      </c>
      <c r="F3744" s="1">
        <v>4.0199999999999996</v>
      </c>
      <c r="G3744">
        <v>2</v>
      </c>
      <c r="H3744" s="1">
        <v>1.9698</v>
      </c>
      <c r="I3744" s="4">
        <f>SalesData[[#This Row],[Profit]]/SalesData[[#This Row],[Sales]]</f>
        <v>0.49000000000000005</v>
      </c>
      <c r="J3744">
        <f>YEAR(SalesData[[#This Row],[Order Date]])</f>
        <v>2014</v>
      </c>
      <c r="K3744" t="str">
        <f>TEXT(SalesData[[#This Row],[Order Date]],"mmm")</f>
        <v>Aug</v>
      </c>
      <c r="L3744">
        <f>MONTH(SalesData[[#This Row],[Order Date]])</f>
        <v>8</v>
      </c>
      <c r="M3744">
        <f>SalesData[[#This Row],[Sales]]/SalesData[[#This Row],[Quantity]]</f>
        <v>2.0099999999999998</v>
      </c>
      <c r="N3744" t="str">
        <f>IF(SalesData[[#This Row],[Profit]]&gt;0,"Profit","Loss")</f>
        <v>Profit</v>
      </c>
    </row>
    <row r="3745" spans="1:14" x14ac:dyDescent="0.3">
      <c r="A3745" t="s">
        <v>695</v>
      </c>
      <c r="B3745" s="3">
        <v>41860</v>
      </c>
      <c r="C3745" t="s">
        <v>46</v>
      </c>
      <c r="D3745" t="s">
        <v>21</v>
      </c>
      <c r="E3745" t="s">
        <v>480</v>
      </c>
      <c r="F3745" s="1">
        <v>45</v>
      </c>
      <c r="G3745">
        <v>9</v>
      </c>
      <c r="H3745" s="1">
        <v>21.6</v>
      </c>
      <c r="I3745" s="4">
        <f>SalesData[[#This Row],[Profit]]/SalesData[[#This Row],[Sales]]</f>
        <v>0.48000000000000004</v>
      </c>
      <c r="J3745">
        <f>YEAR(SalesData[[#This Row],[Order Date]])</f>
        <v>2014</v>
      </c>
      <c r="K3745" t="str">
        <f>TEXT(SalesData[[#This Row],[Order Date]],"mmm")</f>
        <v>Aug</v>
      </c>
      <c r="L3745">
        <f>MONTH(SalesData[[#This Row],[Order Date]])</f>
        <v>8</v>
      </c>
      <c r="M3745">
        <f>SalesData[[#This Row],[Sales]]/SalesData[[#This Row],[Quantity]]</f>
        <v>5</v>
      </c>
      <c r="N3745" t="str">
        <f>IF(SalesData[[#This Row],[Profit]]&gt;0,"Profit","Loss")</f>
        <v>Profit</v>
      </c>
    </row>
    <row r="3746" spans="1:14" x14ac:dyDescent="0.3">
      <c r="A3746" t="s">
        <v>695</v>
      </c>
      <c r="B3746" s="3">
        <v>41860</v>
      </c>
      <c r="C3746" t="s">
        <v>46</v>
      </c>
      <c r="D3746" t="s">
        <v>10</v>
      </c>
      <c r="E3746" t="s">
        <v>696</v>
      </c>
      <c r="F3746" s="1">
        <v>209.97</v>
      </c>
      <c r="G3746">
        <v>3</v>
      </c>
      <c r="H3746" s="1">
        <v>90.287099999999995</v>
      </c>
      <c r="I3746" s="4">
        <f>SalesData[[#This Row],[Profit]]/SalesData[[#This Row],[Sales]]</f>
        <v>0.43</v>
      </c>
      <c r="J3746">
        <f>YEAR(SalesData[[#This Row],[Order Date]])</f>
        <v>2014</v>
      </c>
      <c r="K3746" t="str">
        <f>TEXT(SalesData[[#This Row],[Order Date]],"mmm")</f>
        <v>Aug</v>
      </c>
      <c r="L3746">
        <f>MONTH(SalesData[[#This Row],[Order Date]])</f>
        <v>8</v>
      </c>
      <c r="M3746">
        <f>SalesData[[#This Row],[Sales]]/SalesData[[#This Row],[Quantity]]</f>
        <v>69.989999999999995</v>
      </c>
      <c r="N3746" t="str">
        <f>IF(SalesData[[#This Row],[Profit]]&gt;0,"Profit","Loss")</f>
        <v>Profit</v>
      </c>
    </row>
    <row r="3747" spans="1:14" x14ac:dyDescent="0.3">
      <c r="A3747" t="s">
        <v>697</v>
      </c>
      <c r="B3747" s="3">
        <v>41860</v>
      </c>
      <c r="C3747" t="s">
        <v>17</v>
      </c>
      <c r="D3747" t="s">
        <v>21</v>
      </c>
      <c r="E3747" t="s">
        <v>698</v>
      </c>
      <c r="F3747" s="1">
        <v>16.78</v>
      </c>
      <c r="G3747">
        <v>2</v>
      </c>
      <c r="H3747" s="1">
        <v>4.1950000000000003</v>
      </c>
      <c r="I3747" s="4">
        <f>SalesData[[#This Row],[Profit]]/SalesData[[#This Row],[Sales]]</f>
        <v>0.25</v>
      </c>
      <c r="J3747">
        <f>YEAR(SalesData[[#This Row],[Order Date]])</f>
        <v>2014</v>
      </c>
      <c r="K3747" t="str">
        <f>TEXT(SalesData[[#This Row],[Order Date]],"mmm")</f>
        <v>Aug</v>
      </c>
      <c r="L3747">
        <f>MONTH(SalesData[[#This Row],[Order Date]])</f>
        <v>8</v>
      </c>
      <c r="M3747">
        <f>SalesData[[#This Row],[Sales]]/SalesData[[#This Row],[Quantity]]</f>
        <v>8.39</v>
      </c>
      <c r="N3747" t="str">
        <f>IF(SalesData[[#This Row],[Profit]]&gt;0,"Profit","Loss")</f>
        <v>Profit</v>
      </c>
    </row>
    <row r="3748" spans="1:14" x14ac:dyDescent="0.3">
      <c r="A3748" t="s">
        <v>699</v>
      </c>
      <c r="B3748" s="3">
        <v>41860</v>
      </c>
      <c r="C3748" t="s">
        <v>13</v>
      </c>
      <c r="D3748" t="s">
        <v>21</v>
      </c>
      <c r="E3748" t="s">
        <v>479</v>
      </c>
      <c r="F3748" s="1">
        <v>5.88</v>
      </c>
      <c r="G3748">
        <v>2</v>
      </c>
      <c r="H3748" s="1">
        <v>2.6459999999999999</v>
      </c>
      <c r="I3748" s="4">
        <f>SalesData[[#This Row],[Profit]]/SalesData[[#This Row],[Sales]]</f>
        <v>0.45</v>
      </c>
      <c r="J3748">
        <f>YEAR(SalesData[[#This Row],[Order Date]])</f>
        <v>2014</v>
      </c>
      <c r="K3748" t="str">
        <f>TEXT(SalesData[[#This Row],[Order Date]],"mmm")</f>
        <v>Aug</v>
      </c>
      <c r="L3748">
        <f>MONTH(SalesData[[#This Row],[Order Date]])</f>
        <v>8</v>
      </c>
      <c r="M3748">
        <f>SalesData[[#This Row],[Sales]]/SalesData[[#This Row],[Quantity]]</f>
        <v>2.94</v>
      </c>
      <c r="N3748" t="str">
        <f>IF(SalesData[[#This Row],[Profit]]&gt;0,"Profit","Loss")</f>
        <v>Profit</v>
      </c>
    </row>
    <row r="3749" spans="1:14" x14ac:dyDescent="0.3">
      <c r="A3749" t="s">
        <v>699</v>
      </c>
      <c r="B3749" s="3">
        <v>41860</v>
      </c>
      <c r="C3749" t="s">
        <v>13</v>
      </c>
      <c r="D3749" t="s">
        <v>14</v>
      </c>
      <c r="E3749" t="s">
        <v>700</v>
      </c>
      <c r="F3749" s="1">
        <v>975.92</v>
      </c>
      <c r="G3749">
        <v>5</v>
      </c>
      <c r="H3749" s="1">
        <v>121.99</v>
      </c>
      <c r="I3749" s="4">
        <f>SalesData[[#This Row],[Profit]]/SalesData[[#This Row],[Sales]]</f>
        <v>0.125</v>
      </c>
      <c r="J3749">
        <f>YEAR(SalesData[[#This Row],[Order Date]])</f>
        <v>2014</v>
      </c>
      <c r="K3749" t="str">
        <f>TEXT(SalesData[[#This Row],[Order Date]],"mmm")</f>
        <v>Aug</v>
      </c>
      <c r="L3749">
        <f>MONTH(SalesData[[#This Row],[Order Date]])</f>
        <v>8</v>
      </c>
      <c r="M3749">
        <f>SalesData[[#This Row],[Sales]]/SalesData[[#This Row],[Quantity]]</f>
        <v>195.184</v>
      </c>
      <c r="N3749" t="str">
        <f>IF(SalesData[[#This Row],[Profit]]&gt;0,"Profit","Loss")</f>
        <v>Profit</v>
      </c>
    </row>
    <row r="3750" spans="1:14" x14ac:dyDescent="0.3">
      <c r="A3750" t="s">
        <v>699</v>
      </c>
      <c r="B3750" s="3">
        <v>41860</v>
      </c>
      <c r="C3750" t="s">
        <v>13</v>
      </c>
      <c r="D3750" t="s">
        <v>21</v>
      </c>
      <c r="E3750" t="s">
        <v>701</v>
      </c>
      <c r="F3750" s="1">
        <v>303.83999999999997</v>
      </c>
      <c r="G3750">
        <v>8</v>
      </c>
      <c r="H3750" s="1">
        <v>91.152000000000001</v>
      </c>
      <c r="I3750" s="4">
        <f>SalesData[[#This Row],[Profit]]/SalesData[[#This Row],[Sales]]</f>
        <v>0.30000000000000004</v>
      </c>
      <c r="J3750">
        <f>YEAR(SalesData[[#This Row],[Order Date]])</f>
        <v>2014</v>
      </c>
      <c r="K3750" t="str">
        <f>TEXT(SalesData[[#This Row],[Order Date]],"mmm")</f>
        <v>Aug</v>
      </c>
      <c r="L3750">
        <f>MONTH(SalesData[[#This Row],[Order Date]])</f>
        <v>8</v>
      </c>
      <c r="M3750">
        <f>SalesData[[#This Row],[Sales]]/SalesData[[#This Row],[Quantity]]</f>
        <v>37.979999999999997</v>
      </c>
      <c r="N3750" t="str">
        <f>IF(SalesData[[#This Row],[Profit]]&gt;0,"Profit","Loss")</f>
        <v>Profit</v>
      </c>
    </row>
    <row r="3751" spans="1:14" x14ac:dyDescent="0.3">
      <c r="A3751" t="s">
        <v>699</v>
      </c>
      <c r="B3751" s="3">
        <v>41860</v>
      </c>
      <c r="C3751" t="s">
        <v>13</v>
      </c>
      <c r="D3751" t="s">
        <v>21</v>
      </c>
      <c r="E3751" t="s">
        <v>702</v>
      </c>
      <c r="F3751" s="1">
        <v>485.88</v>
      </c>
      <c r="G3751">
        <v>6</v>
      </c>
      <c r="H3751" s="1">
        <v>19.435199999999998</v>
      </c>
      <c r="I3751" s="4">
        <f>SalesData[[#This Row],[Profit]]/SalesData[[#This Row],[Sales]]</f>
        <v>3.9999999999999994E-2</v>
      </c>
      <c r="J3751">
        <f>YEAR(SalesData[[#This Row],[Order Date]])</f>
        <v>2014</v>
      </c>
      <c r="K3751" t="str">
        <f>TEXT(SalesData[[#This Row],[Order Date]],"mmm")</f>
        <v>Aug</v>
      </c>
      <c r="L3751">
        <f>MONTH(SalesData[[#This Row],[Order Date]])</f>
        <v>8</v>
      </c>
      <c r="M3751">
        <f>SalesData[[#This Row],[Sales]]/SalesData[[#This Row],[Quantity]]</f>
        <v>80.98</v>
      </c>
      <c r="N3751" t="str">
        <f>IF(SalesData[[#This Row],[Profit]]&gt;0,"Profit","Loss")</f>
        <v>Profit</v>
      </c>
    </row>
    <row r="3752" spans="1:14" x14ac:dyDescent="0.3">
      <c r="A3752" t="s">
        <v>703</v>
      </c>
      <c r="B3752" s="3">
        <v>41860</v>
      </c>
      <c r="C3752" t="s">
        <v>9</v>
      </c>
      <c r="D3752" t="s">
        <v>21</v>
      </c>
      <c r="E3752" t="s">
        <v>704</v>
      </c>
      <c r="F3752" s="1">
        <v>17.904</v>
      </c>
      <c r="G3752">
        <v>2</v>
      </c>
      <c r="H3752" s="1">
        <v>6.2664</v>
      </c>
      <c r="I3752" s="4">
        <f>SalesData[[#This Row],[Profit]]/SalesData[[#This Row],[Sales]]</f>
        <v>0.35</v>
      </c>
      <c r="J3752">
        <f>YEAR(SalesData[[#This Row],[Order Date]])</f>
        <v>2014</v>
      </c>
      <c r="K3752" t="str">
        <f>TEXT(SalesData[[#This Row],[Order Date]],"mmm")</f>
        <v>Aug</v>
      </c>
      <c r="L3752">
        <f>MONTH(SalesData[[#This Row],[Order Date]])</f>
        <v>8</v>
      </c>
      <c r="M3752">
        <f>SalesData[[#This Row],[Sales]]/SalesData[[#This Row],[Quantity]]</f>
        <v>8.952</v>
      </c>
      <c r="N3752" t="str">
        <f>IF(SalesData[[#This Row],[Profit]]&gt;0,"Profit","Loss")</f>
        <v>Profit</v>
      </c>
    </row>
    <row r="3753" spans="1:14" x14ac:dyDescent="0.3">
      <c r="A3753" t="s">
        <v>703</v>
      </c>
      <c r="B3753" s="3">
        <v>41860</v>
      </c>
      <c r="C3753" t="s">
        <v>9</v>
      </c>
      <c r="D3753" t="s">
        <v>14</v>
      </c>
      <c r="E3753" t="s">
        <v>683</v>
      </c>
      <c r="F3753" s="1">
        <v>966.7</v>
      </c>
      <c r="G3753">
        <v>5</v>
      </c>
      <c r="H3753" s="1">
        <v>-13.81</v>
      </c>
      <c r="I3753" s="4">
        <f>SalesData[[#This Row],[Profit]]/SalesData[[#This Row],[Sales]]</f>
        <v>-1.4285714285714285E-2</v>
      </c>
      <c r="J3753">
        <f>YEAR(SalesData[[#This Row],[Order Date]])</f>
        <v>2014</v>
      </c>
      <c r="K3753" t="str">
        <f>TEXT(SalesData[[#This Row],[Order Date]],"mmm")</f>
        <v>Aug</v>
      </c>
      <c r="L3753">
        <f>MONTH(SalesData[[#This Row],[Order Date]])</f>
        <v>8</v>
      </c>
      <c r="M3753">
        <f>SalesData[[#This Row],[Sales]]/SalesData[[#This Row],[Quantity]]</f>
        <v>193.34</v>
      </c>
      <c r="N3753" t="str">
        <f>IF(SalesData[[#This Row],[Profit]]&gt;0,"Profit","Loss")</f>
        <v>Loss</v>
      </c>
    </row>
    <row r="3754" spans="1:14" x14ac:dyDescent="0.3">
      <c r="A3754" t="s">
        <v>703</v>
      </c>
      <c r="B3754" s="3">
        <v>41860</v>
      </c>
      <c r="C3754" t="s">
        <v>9</v>
      </c>
      <c r="D3754" t="s">
        <v>21</v>
      </c>
      <c r="E3754" t="s">
        <v>705</v>
      </c>
      <c r="F3754" s="1">
        <v>182.11199999999999</v>
      </c>
      <c r="G3754">
        <v>6</v>
      </c>
      <c r="H3754" s="1">
        <v>61.462800000000001</v>
      </c>
      <c r="I3754" s="4">
        <f>SalesData[[#This Row],[Profit]]/SalesData[[#This Row],[Sales]]</f>
        <v>0.33750000000000002</v>
      </c>
      <c r="J3754">
        <f>YEAR(SalesData[[#This Row],[Order Date]])</f>
        <v>2014</v>
      </c>
      <c r="K3754" t="str">
        <f>TEXT(SalesData[[#This Row],[Order Date]],"mmm")</f>
        <v>Aug</v>
      </c>
      <c r="L3754">
        <f>MONTH(SalesData[[#This Row],[Order Date]])</f>
        <v>8</v>
      </c>
      <c r="M3754">
        <f>SalesData[[#This Row],[Sales]]/SalesData[[#This Row],[Quantity]]</f>
        <v>30.352</v>
      </c>
      <c r="N3754" t="str">
        <f>IF(SalesData[[#This Row],[Profit]]&gt;0,"Profit","Loss")</f>
        <v>Profit</v>
      </c>
    </row>
    <row r="3755" spans="1:14" x14ac:dyDescent="0.3">
      <c r="A3755" t="s">
        <v>706</v>
      </c>
      <c r="B3755" s="3">
        <v>41860</v>
      </c>
      <c r="C3755" t="s">
        <v>17</v>
      </c>
      <c r="D3755" t="s">
        <v>14</v>
      </c>
      <c r="E3755" t="s">
        <v>707</v>
      </c>
      <c r="F3755" s="1">
        <v>172.76400000000001</v>
      </c>
      <c r="G3755">
        <v>2</v>
      </c>
      <c r="H3755" s="1">
        <v>13.437200000000001</v>
      </c>
      <c r="I3755" s="4">
        <f>SalesData[[#This Row],[Profit]]/SalesData[[#This Row],[Sales]]</f>
        <v>7.7777777777777779E-2</v>
      </c>
      <c r="J3755">
        <f>YEAR(SalesData[[#This Row],[Order Date]])</f>
        <v>2014</v>
      </c>
      <c r="K3755" t="str">
        <f>TEXT(SalesData[[#This Row],[Order Date]],"mmm")</f>
        <v>Aug</v>
      </c>
      <c r="L3755">
        <f>MONTH(SalesData[[#This Row],[Order Date]])</f>
        <v>8</v>
      </c>
      <c r="M3755">
        <f>SalesData[[#This Row],[Sales]]/SalesData[[#This Row],[Quantity]]</f>
        <v>86.382000000000005</v>
      </c>
      <c r="N3755" t="str">
        <f>IF(SalesData[[#This Row],[Profit]]&gt;0,"Profit","Loss")</f>
        <v>Profit</v>
      </c>
    </row>
    <row r="3756" spans="1:14" x14ac:dyDescent="0.3">
      <c r="A3756" t="s">
        <v>706</v>
      </c>
      <c r="B3756" s="3">
        <v>41860</v>
      </c>
      <c r="C3756" t="s">
        <v>17</v>
      </c>
      <c r="D3756" t="s">
        <v>21</v>
      </c>
      <c r="E3756" t="s">
        <v>708</v>
      </c>
      <c r="F3756" s="1">
        <v>3.52</v>
      </c>
      <c r="G3756">
        <v>2</v>
      </c>
      <c r="H3756" s="1">
        <v>1.6896</v>
      </c>
      <c r="I3756" s="4">
        <f>SalesData[[#This Row],[Profit]]/SalesData[[#This Row],[Sales]]</f>
        <v>0.48</v>
      </c>
      <c r="J3756">
        <f>YEAR(SalesData[[#This Row],[Order Date]])</f>
        <v>2014</v>
      </c>
      <c r="K3756" t="str">
        <f>TEXT(SalesData[[#This Row],[Order Date]],"mmm")</f>
        <v>Aug</v>
      </c>
      <c r="L3756">
        <f>MONTH(SalesData[[#This Row],[Order Date]])</f>
        <v>8</v>
      </c>
      <c r="M3756">
        <f>SalesData[[#This Row],[Sales]]/SalesData[[#This Row],[Quantity]]</f>
        <v>1.76</v>
      </c>
      <c r="N3756" t="str">
        <f>IF(SalesData[[#This Row],[Profit]]&gt;0,"Profit","Loss")</f>
        <v>Profit</v>
      </c>
    </row>
    <row r="3757" spans="1:14" x14ac:dyDescent="0.3">
      <c r="A3757" t="s">
        <v>709</v>
      </c>
      <c r="B3757" s="3">
        <v>41860</v>
      </c>
      <c r="C3757" t="s">
        <v>13</v>
      </c>
      <c r="D3757" t="s">
        <v>21</v>
      </c>
      <c r="E3757" t="s">
        <v>710</v>
      </c>
      <c r="F3757" s="1">
        <v>8.6080000000000005</v>
      </c>
      <c r="G3757">
        <v>2</v>
      </c>
      <c r="H3757" s="1">
        <v>3.0127999999999999</v>
      </c>
      <c r="I3757" s="4">
        <f>SalesData[[#This Row],[Profit]]/SalesData[[#This Row],[Sales]]</f>
        <v>0.35</v>
      </c>
      <c r="J3757">
        <f>YEAR(SalesData[[#This Row],[Order Date]])</f>
        <v>2014</v>
      </c>
      <c r="K3757" t="str">
        <f>TEXT(SalesData[[#This Row],[Order Date]],"mmm")</f>
        <v>Aug</v>
      </c>
      <c r="L3757">
        <f>MONTH(SalesData[[#This Row],[Order Date]])</f>
        <v>8</v>
      </c>
      <c r="M3757">
        <f>SalesData[[#This Row],[Sales]]/SalesData[[#This Row],[Quantity]]</f>
        <v>4.3040000000000003</v>
      </c>
      <c r="N3757" t="str">
        <f>IF(SalesData[[#This Row],[Profit]]&gt;0,"Profit","Loss")</f>
        <v>Profit</v>
      </c>
    </row>
    <row r="3758" spans="1:14" x14ac:dyDescent="0.3">
      <c r="A3758" t="s">
        <v>711</v>
      </c>
      <c r="B3758" s="3">
        <v>41861</v>
      </c>
      <c r="C3758" t="s">
        <v>46</v>
      </c>
      <c r="D3758" t="s">
        <v>10</v>
      </c>
      <c r="E3758" t="s">
        <v>712</v>
      </c>
      <c r="F3758" s="1">
        <v>23.472000000000001</v>
      </c>
      <c r="G3758">
        <v>3</v>
      </c>
      <c r="H3758" s="1">
        <v>4.9878</v>
      </c>
      <c r="I3758" s="4">
        <f>SalesData[[#This Row],[Profit]]/SalesData[[#This Row],[Sales]]</f>
        <v>0.21249999999999999</v>
      </c>
      <c r="J3758">
        <f>YEAR(SalesData[[#This Row],[Order Date]])</f>
        <v>2014</v>
      </c>
      <c r="K3758" t="str">
        <f>TEXT(SalesData[[#This Row],[Order Date]],"mmm")</f>
        <v>Aug</v>
      </c>
      <c r="L3758">
        <f>MONTH(SalesData[[#This Row],[Order Date]])</f>
        <v>8</v>
      </c>
      <c r="M3758">
        <f>SalesData[[#This Row],[Sales]]/SalesData[[#This Row],[Quantity]]</f>
        <v>7.8240000000000007</v>
      </c>
      <c r="N3758" t="str">
        <f>IF(SalesData[[#This Row],[Profit]]&gt;0,"Profit","Loss")</f>
        <v>Profit</v>
      </c>
    </row>
    <row r="3759" spans="1:14" x14ac:dyDescent="0.3">
      <c r="A3759" t="s">
        <v>713</v>
      </c>
      <c r="B3759" s="3">
        <v>41861</v>
      </c>
      <c r="C3759" t="s">
        <v>17</v>
      </c>
      <c r="D3759" t="s">
        <v>21</v>
      </c>
      <c r="E3759" t="s">
        <v>714</v>
      </c>
      <c r="F3759" s="1">
        <v>123.92</v>
      </c>
      <c r="G3759">
        <v>4</v>
      </c>
      <c r="H3759" s="1">
        <v>55.764000000000003</v>
      </c>
      <c r="I3759" s="4">
        <f>SalesData[[#This Row],[Profit]]/SalesData[[#This Row],[Sales]]</f>
        <v>0.45</v>
      </c>
      <c r="J3759">
        <f>YEAR(SalesData[[#This Row],[Order Date]])</f>
        <v>2014</v>
      </c>
      <c r="K3759" t="str">
        <f>TEXT(SalesData[[#This Row],[Order Date]],"mmm")</f>
        <v>Aug</v>
      </c>
      <c r="L3759">
        <f>MONTH(SalesData[[#This Row],[Order Date]])</f>
        <v>8</v>
      </c>
      <c r="M3759">
        <f>SalesData[[#This Row],[Sales]]/SalesData[[#This Row],[Quantity]]</f>
        <v>30.98</v>
      </c>
      <c r="N3759" t="str">
        <f>IF(SalesData[[#This Row],[Profit]]&gt;0,"Profit","Loss")</f>
        <v>Profit</v>
      </c>
    </row>
    <row r="3760" spans="1:14" x14ac:dyDescent="0.3">
      <c r="A3760" t="s">
        <v>715</v>
      </c>
      <c r="B3760" s="3">
        <v>41862</v>
      </c>
      <c r="C3760" t="s">
        <v>13</v>
      </c>
      <c r="D3760" t="s">
        <v>10</v>
      </c>
      <c r="E3760" t="s">
        <v>716</v>
      </c>
      <c r="F3760" s="1">
        <v>333.57600000000002</v>
      </c>
      <c r="G3760">
        <v>3</v>
      </c>
      <c r="H3760" s="1">
        <v>25.0182</v>
      </c>
      <c r="I3760" s="4">
        <f>SalesData[[#This Row],[Profit]]/SalesData[[#This Row],[Sales]]</f>
        <v>7.4999999999999997E-2</v>
      </c>
      <c r="J3760">
        <f>YEAR(SalesData[[#This Row],[Order Date]])</f>
        <v>2014</v>
      </c>
      <c r="K3760" t="str">
        <f>TEXT(SalesData[[#This Row],[Order Date]],"mmm")</f>
        <v>Aug</v>
      </c>
      <c r="L3760">
        <f>MONTH(SalesData[[#This Row],[Order Date]])</f>
        <v>8</v>
      </c>
      <c r="M3760">
        <f>SalesData[[#This Row],[Sales]]/SalesData[[#This Row],[Quantity]]</f>
        <v>111.19200000000001</v>
      </c>
      <c r="N3760" t="str">
        <f>IF(SalesData[[#This Row],[Profit]]&gt;0,"Profit","Loss")</f>
        <v>Profit</v>
      </c>
    </row>
    <row r="3761" spans="1:14" x14ac:dyDescent="0.3">
      <c r="A3761" t="s">
        <v>717</v>
      </c>
      <c r="B3761" s="3">
        <v>41863</v>
      </c>
      <c r="C3761" t="s">
        <v>9</v>
      </c>
      <c r="D3761" t="s">
        <v>21</v>
      </c>
      <c r="E3761" t="s">
        <v>718</v>
      </c>
      <c r="F3761" s="1">
        <v>60.415999999999997</v>
      </c>
      <c r="G3761">
        <v>2</v>
      </c>
      <c r="H3761" s="1">
        <v>6.0415999999999999</v>
      </c>
      <c r="I3761" s="4">
        <f>SalesData[[#This Row],[Profit]]/SalesData[[#This Row],[Sales]]</f>
        <v>0.1</v>
      </c>
      <c r="J3761">
        <f>YEAR(SalesData[[#This Row],[Order Date]])</f>
        <v>2014</v>
      </c>
      <c r="K3761" t="str">
        <f>TEXT(SalesData[[#This Row],[Order Date]],"mmm")</f>
        <v>Aug</v>
      </c>
      <c r="L3761">
        <f>MONTH(SalesData[[#This Row],[Order Date]])</f>
        <v>8</v>
      </c>
      <c r="M3761">
        <f>SalesData[[#This Row],[Sales]]/SalesData[[#This Row],[Quantity]]</f>
        <v>30.207999999999998</v>
      </c>
      <c r="N3761" t="str">
        <f>IF(SalesData[[#This Row],[Profit]]&gt;0,"Profit","Loss")</f>
        <v>Profit</v>
      </c>
    </row>
    <row r="3762" spans="1:14" x14ac:dyDescent="0.3">
      <c r="A3762" t="s">
        <v>719</v>
      </c>
      <c r="B3762" s="3">
        <v>41863</v>
      </c>
      <c r="C3762" t="s">
        <v>13</v>
      </c>
      <c r="D3762" t="s">
        <v>21</v>
      </c>
      <c r="E3762" t="s">
        <v>181</v>
      </c>
      <c r="F3762" s="1">
        <v>27.888000000000002</v>
      </c>
      <c r="G3762">
        <v>7</v>
      </c>
      <c r="H3762" s="1">
        <v>9.0635999999999992</v>
      </c>
      <c r="I3762" s="4">
        <f>SalesData[[#This Row],[Profit]]/SalesData[[#This Row],[Sales]]</f>
        <v>0.32499999999999996</v>
      </c>
      <c r="J3762">
        <f>YEAR(SalesData[[#This Row],[Order Date]])</f>
        <v>2014</v>
      </c>
      <c r="K3762" t="str">
        <f>TEXT(SalesData[[#This Row],[Order Date]],"mmm")</f>
        <v>Aug</v>
      </c>
      <c r="L3762">
        <f>MONTH(SalesData[[#This Row],[Order Date]])</f>
        <v>8</v>
      </c>
      <c r="M3762">
        <f>SalesData[[#This Row],[Sales]]/SalesData[[#This Row],[Quantity]]</f>
        <v>3.9840000000000004</v>
      </c>
      <c r="N3762" t="str">
        <f>IF(SalesData[[#This Row],[Profit]]&gt;0,"Profit","Loss")</f>
        <v>Profit</v>
      </c>
    </row>
    <row r="3763" spans="1:14" x14ac:dyDescent="0.3">
      <c r="A3763" t="s">
        <v>719</v>
      </c>
      <c r="B3763" s="3">
        <v>41863</v>
      </c>
      <c r="C3763" t="s">
        <v>13</v>
      </c>
      <c r="D3763" t="s">
        <v>21</v>
      </c>
      <c r="E3763" t="s">
        <v>720</v>
      </c>
      <c r="F3763" s="1">
        <v>6.4560000000000004</v>
      </c>
      <c r="G3763">
        <v>4</v>
      </c>
      <c r="H3763" s="1">
        <v>-4.5191999999999997</v>
      </c>
      <c r="I3763" s="4">
        <f>SalesData[[#This Row],[Profit]]/SalesData[[#This Row],[Sales]]</f>
        <v>-0.7</v>
      </c>
      <c r="J3763">
        <f>YEAR(SalesData[[#This Row],[Order Date]])</f>
        <v>2014</v>
      </c>
      <c r="K3763" t="str">
        <f>TEXT(SalesData[[#This Row],[Order Date]],"mmm")</f>
        <v>Aug</v>
      </c>
      <c r="L3763">
        <f>MONTH(SalesData[[#This Row],[Order Date]])</f>
        <v>8</v>
      </c>
      <c r="M3763">
        <f>SalesData[[#This Row],[Sales]]/SalesData[[#This Row],[Quantity]]</f>
        <v>1.6140000000000001</v>
      </c>
      <c r="N3763" t="str">
        <f>IF(SalesData[[#This Row],[Profit]]&gt;0,"Profit","Loss")</f>
        <v>Loss</v>
      </c>
    </row>
    <row r="3764" spans="1:14" x14ac:dyDescent="0.3">
      <c r="A3764" t="s">
        <v>719</v>
      </c>
      <c r="B3764" s="3">
        <v>41863</v>
      </c>
      <c r="C3764" t="s">
        <v>13</v>
      </c>
      <c r="D3764" t="s">
        <v>10</v>
      </c>
      <c r="E3764" t="s">
        <v>721</v>
      </c>
      <c r="F3764" s="1">
        <v>52.68</v>
      </c>
      <c r="G3764">
        <v>3</v>
      </c>
      <c r="H3764" s="1">
        <v>19.754999999999999</v>
      </c>
      <c r="I3764" s="4">
        <f>SalesData[[#This Row],[Profit]]/SalesData[[#This Row],[Sales]]</f>
        <v>0.375</v>
      </c>
      <c r="J3764">
        <f>YEAR(SalesData[[#This Row],[Order Date]])</f>
        <v>2014</v>
      </c>
      <c r="K3764" t="str">
        <f>TEXT(SalesData[[#This Row],[Order Date]],"mmm")</f>
        <v>Aug</v>
      </c>
      <c r="L3764">
        <f>MONTH(SalesData[[#This Row],[Order Date]])</f>
        <v>8</v>
      </c>
      <c r="M3764">
        <f>SalesData[[#This Row],[Sales]]/SalesData[[#This Row],[Quantity]]</f>
        <v>17.559999999999999</v>
      </c>
      <c r="N3764" t="str">
        <f>IF(SalesData[[#This Row],[Profit]]&gt;0,"Profit","Loss")</f>
        <v>Profit</v>
      </c>
    </row>
    <row r="3765" spans="1:14" x14ac:dyDescent="0.3">
      <c r="A3765" t="s">
        <v>719</v>
      </c>
      <c r="B3765" s="3">
        <v>41863</v>
      </c>
      <c r="C3765" t="s">
        <v>13</v>
      </c>
      <c r="D3765" t="s">
        <v>21</v>
      </c>
      <c r="E3765" t="s">
        <v>722</v>
      </c>
      <c r="F3765" s="1">
        <v>13.88</v>
      </c>
      <c r="G3765">
        <v>5</v>
      </c>
      <c r="H3765" s="1">
        <v>-2.6025</v>
      </c>
      <c r="I3765" s="4">
        <f>SalesData[[#This Row],[Profit]]/SalesData[[#This Row],[Sales]]</f>
        <v>-0.1875</v>
      </c>
      <c r="J3765">
        <f>YEAR(SalesData[[#This Row],[Order Date]])</f>
        <v>2014</v>
      </c>
      <c r="K3765" t="str">
        <f>TEXT(SalesData[[#This Row],[Order Date]],"mmm")</f>
        <v>Aug</v>
      </c>
      <c r="L3765">
        <f>MONTH(SalesData[[#This Row],[Order Date]])</f>
        <v>8</v>
      </c>
      <c r="M3765">
        <f>SalesData[[#This Row],[Sales]]/SalesData[[#This Row],[Quantity]]</f>
        <v>2.7760000000000002</v>
      </c>
      <c r="N3765" t="str">
        <f>IF(SalesData[[#This Row],[Profit]]&gt;0,"Profit","Loss")</f>
        <v>Loss</v>
      </c>
    </row>
    <row r="3766" spans="1:14" x14ac:dyDescent="0.3">
      <c r="A3766" t="s">
        <v>719</v>
      </c>
      <c r="B3766" s="3">
        <v>41863</v>
      </c>
      <c r="C3766" t="s">
        <v>13</v>
      </c>
      <c r="D3766" t="s">
        <v>10</v>
      </c>
      <c r="E3766" t="s">
        <v>723</v>
      </c>
      <c r="F3766" s="1">
        <v>103.92</v>
      </c>
      <c r="G3766">
        <v>10</v>
      </c>
      <c r="H3766" s="1">
        <v>-18.186</v>
      </c>
      <c r="I3766" s="4">
        <f>SalesData[[#This Row],[Profit]]/SalesData[[#This Row],[Sales]]</f>
        <v>-0.17499999999999999</v>
      </c>
      <c r="J3766">
        <f>YEAR(SalesData[[#This Row],[Order Date]])</f>
        <v>2014</v>
      </c>
      <c r="K3766" t="str">
        <f>TEXT(SalesData[[#This Row],[Order Date]],"mmm")</f>
        <v>Aug</v>
      </c>
      <c r="L3766">
        <f>MONTH(SalesData[[#This Row],[Order Date]])</f>
        <v>8</v>
      </c>
      <c r="M3766">
        <f>SalesData[[#This Row],[Sales]]/SalesData[[#This Row],[Quantity]]</f>
        <v>10.391999999999999</v>
      </c>
      <c r="N3766" t="str">
        <f>IF(SalesData[[#This Row],[Profit]]&gt;0,"Profit","Loss")</f>
        <v>Loss</v>
      </c>
    </row>
    <row r="3767" spans="1:14" x14ac:dyDescent="0.3">
      <c r="A3767" t="s">
        <v>719</v>
      </c>
      <c r="B3767" s="3">
        <v>41863</v>
      </c>
      <c r="C3767" t="s">
        <v>13</v>
      </c>
      <c r="D3767" t="s">
        <v>21</v>
      </c>
      <c r="E3767" t="s">
        <v>724</v>
      </c>
      <c r="F3767" s="1">
        <v>11.52</v>
      </c>
      <c r="G3767">
        <v>5</v>
      </c>
      <c r="H3767" s="1">
        <v>3.7440000000000002</v>
      </c>
      <c r="I3767" s="4">
        <f>SalesData[[#This Row],[Profit]]/SalesData[[#This Row],[Sales]]</f>
        <v>0.32500000000000001</v>
      </c>
      <c r="J3767">
        <f>YEAR(SalesData[[#This Row],[Order Date]])</f>
        <v>2014</v>
      </c>
      <c r="K3767" t="str">
        <f>TEXT(SalesData[[#This Row],[Order Date]],"mmm")</f>
        <v>Aug</v>
      </c>
      <c r="L3767">
        <f>MONTH(SalesData[[#This Row],[Order Date]])</f>
        <v>8</v>
      </c>
      <c r="M3767">
        <f>SalesData[[#This Row],[Sales]]/SalesData[[#This Row],[Quantity]]</f>
        <v>2.3039999999999998</v>
      </c>
      <c r="N3767" t="str">
        <f>IF(SalesData[[#This Row],[Profit]]&gt;0,"Profit","Loss")</f>
        <v>Profit</v>
      </c>
    </row>
    <row r="3768" spans="1:14" x14ac:dyDescent="0.3">
      <c r="A3768" t="s">
        <v>719</v>
      </c>
      <c r="B3768" s="3">
        <v>41863</v>
      </c>
      <c r="C3768" t="s">
        <v>13</v>
      </c>
      <c r="D3768" t="s">
        <v>21</v>
      </c>
      <c r="E3768" t="s">
        <v>725</v>
      </c>
      <c r="F3768" s="1">
        <v>10.368</v>
      </c>
      <c r="G3768">
        <v>2</v>
      </c>
      <c r="H3768" s="1">
        <v>3.6288</v>
      </c>
      <c r="I3768" s="4">
        <f>SalesData[[#This Row],[Profit]]/SalesData[[#This Row],[Sales]]</f>
        <v>0.35</v>
      </c>
      <c r="J3768">
        <f>YEAR(SalesData[[#This Row],[Order Date]])</f>
        <v>2014</v>
      </c>
      <c r="K3768" t="str">
        <f>TEXT(SalesData[[#This Row],[Order Date]],"mmm")</f>
        <v>Aug</v>
      </c>
      <c r="L3768">
        <f>MONTH(SalesData[[#This Row],[Order Date]])</f>
        <v>8</v>
      </c>
      <c r="M3768">
        <f>SalesData[[#This Row],[Sales]]/SalesData[[#This Row],[Quantity]]</f>
        <v>5.1840000000000002</v>
      </c>
      <c r="N3768" t="str">
        <f>IF(SalesData[[#This Row],[Profit]]&gt;0,"Profit","Loss")</f>
        <v>Profit</v>
      </c>
    </row>
    <row r="3769" spans="1:14" x14ac:dyDescent="0.3">
      <c r="A3769" t="s">
        <v>719</v>
      </c>
      <c r="B3769" s="3">
        <v>41863</v>
      </c>
      <c r="C3769" t="s">
        <v>13</v>
      </c>
      <c r="D3769" t="s">
        <v>21</v>
      </c>
      <c r="E3769" t="s">
        <v>399</v>
      </c>
      <c r="F3769" s="1">
        <v>39.072000000000003</v>
      </c>
      <c r="G3769">
        <v>3</v>
      </c>
      <c r="H3769" s="1">
        <v>2.9304000000000001</v>
      </c>
      <c r="I3769" s="4">
        <f>SalesData[[#This Row],[Profit]]/SalesData[[#This Row],[Sales]]</f>
        <v>7.4999999999999997E-2</v>
      </c>
      <c r="J3769">
        <f>YEAR(SalesData[[#This Row],[Order Date]])</f>
        <v>2014</v>
      </c>
      <c r="K3769" t="str">
        <f>TEXT(SalesData[[#This Row],[Order Date]],"mmm")</f>
        <v>Aug</v>
      </c>
      <c r="L3769">
        <f>MONTH(SalesData[[#This Row],[Order Date]])</f>
        <v>8</v>
      </c>
      <c r="M3769">
        <f>SalesData[[#This Row],[Sales]]/SalesData[[#This Row],[Quantity]]</f>
        <v>13.024000000000001</v>
      </c>
      <c r="N3769" t="str">
        <f>IF(SalesData[[#This Row],[Profit]]&gt;0,"Profit","Loss")</f>
        <v>Profit</v>
      </c>
    </row>
    <row r="3770" spans="1:14" x14ac:dyDescent="0.3">
      <c r="A3770" t="s">
        <v>726</v>
      </c>
      <c r="B3770" s="3">
        <v>41863</v>
      </c>
      <c r="C3770" t="s">
        <v>13</v>
      </c>
      <c r="D3770" t="s">
        <v>21</v>
      </c>
      <c r="E3770" t="s">
        <v>727</v>
      </c>
      <c r="F3770" s="1">
        <v>45.68</v>
      </c>
      <c r="G3770">
        <v>2</v>
      </c>
      <c r="H3770" s="1">
        <v>21.012799999999999</v>
      </c>
      <c r="I3770" s="4">
        <f>SalesData[[#This Row],[Profit]]/SalesData[[#This Row],[Sales]]</f>
        <v>0.45999999999999996</v>
      </c>
      <c r="J3770">
        <f>YEAR(SalesData[[#This Row],[Order Date]])</f>
        <v>2014</v>
      </c>
      <c r="K3770" t="str">
        <f>TEXT(SalesData[[#This Row],[Order Date]],"mmm")</f>
        <v>Aug</v>
      </c>
      <c r="L3770">
        <f>MONTH(SalesData[[#This Row],[Order Date]])</f>
        <v>8</v>
      </c>
      <c r="M3770">
        <f>SalesData[[#This Row],[Sales]]/SalesData[[#This Row],[Quantity]]</f>
        <v>22.84</v>
      </c>
      <c r="N3770" t="str">
        <f>IF(SalesData[[#This Row],[Profit]]&gt;0,"Profit","Loss")</f>
        <v>Profit</v>
      </c>
    </row>
    <row r="3771" spans="1:14" x14ac:dyDescent="0.3">
      <c r="A3771" t="s">
        <v>726</v>
      </c>
      <c r="B3771" s="3">
        <v>41863</v>
      </c>
      <c r="C3771" t="s">
        <v>13</v>
      </c>
      <c r="D3771" t="s">
        <v>14</v>
      </c>
      <c r="E3771" t="s">
        <v>363</v>
      </c>
      <c r="F3771" s="1">
        <v>603.91999999999996</v>
      </c>
      <c r="G3771">
        <v>5</v>
      </c>
      <c r="H3771" s="1">
        <v>45.293999999999997</v>
      </c>
      <c r="I3771" s="4">
        <f>SalesData[[#This Row],[Profit]]/SalesData[[#This Row],[Sales]]</f>
        <v>7.4999999999999997E-2</v>
      </c>
      <c r="J3771">
        <f>YEAR(SalesData[[#This Row],[Order Date]])</f>
        <v>2014</v>
      </c>
      <c r="K3771" t="str">
        <f>TEXT(SalesData[[#This Row],[Order Date]],"mmm")</f>
        <v>Aug</v>
      </c>
      <c r="L3771">
        <f>MONTH(SalesData[[#This Row],[Order Date]])</f>
        <v>8</v>
      </c>
      <c r="M3771">
        <f>SalesData[[#This Row],[Sales]]/SalesData[[#This Row],[Quantity]]</f>
        <v>120.78399999999999</v>
      </c>
      <c r="N3771" t="str">
        <f>IF(SalesData[[#This Row],[Profit]]&gt;0,"Profit","Loss")</f>
        <v>Profit</v>
      </c>
    </row>
    <row r="3772" spans="1:14" x14ac:dyDescent="0.3">
      <c r="A3772" t="s">
        <v>728</v>
      </c>
      <c r="B3772" s="3">
        <v>41863</v>
      </c>
      <c r="C3772" t="s">
        <v>13</v>
      </c>
      <c r="D3772" t="s">
        <v>14</v>
      </c>
      <c r="E3772" t="s">
        <v>729</v>
      </c>
      <c r="F3772" s="1">
        <v>39.880000000000003</v>
      </c>
      <c r="G3772">
        <v>2</v>
      </c>
      <c r="H3772" s="1">
        <v>11.166399999999999</v>
      </c>
      <c r="I3772" s="4">
        <f>SalesData[[#This Row],[Profit]]/SalesData[[#This Row],[Sales]]</f>
        <v>0.27999999999999997</v>
      </c>
      <c r="J3772">
        <f>YEAR(SalesData[[#This Row],[Order Date]])</f>
        <v>2014</v>
      </c>
      <c r="K3772" t="str">
        <f>TEXT(SalesData[[#This Row],[Order Date]],"mmm")</f>
        <v>Aug</v>
      </c>
      <c r="L3772">
        <f>MONTH(SalesData[[#This Row],[Order Date]])</f>
        <v>8</v>
      </c>
      <c r="M3772">
        <f>SalesData[[#This Row],[Sales]]/SalesData[[#This Row],[Quantity]]</f>
        <v>19.940000000000001</v>
      </c>
      <c r="N3772" t="str">
        <f>IF(SalesData[[#This Row],[Profit]]&gt;0,"Profit","Loss")</f>
        <v>Profit</v>
      </c>
    </row>
    <row r="3773" spans="1:14" x14ac:dyDescent="0.3">
      <c r="A3773" t="s">
        <v>728</v>
      </c>
      <c r="B3773" s="3">
        <v>41863</v>
      </c>
      <c r="C3773" t="s">
        <v>13</v>
      </c>
      <c r="D3773" t="s">
        <v>14</v>
      </c>
      <c r="E3773" t="s">
        <v>275</v>
      </c>
      <c r="F3773" s="1">
        <v>79.44</v>
      </c>
      <c r="G3773">
        <v>3</v>
      </c>
      <c r="H3773" s="1">
        <v>28.598400000000002</v>
      </c>
      <c r="I3773" s="4">
        <f>SalesData[[#This Row],[Profit]]/SalesData[[#This Row],[Sales]]</f>
        <v>0.36000000000000004</v>
      </c>
      <c r="J3773">
        <f>YEAR(SalesData[[#This Row],[Order Date]])</f>
        <v>2014</v>
      </c>
      <c r="K3773" t="str">
        <f>TEXT(SalesData[[#This Row],[Order Date]],"mmm")</f>
        <v>Aug</v>
      </c>
      <c r="L3773">
        <f>MONTH(SalesData[[#This Row],[Order Date]])</f>
        <v>8</v>
      </c>
      <c r="M3773">
        <f>SalesData[[#This Row],[Sales]]/SalesData[[#This Row],[Quantity]]</f>
        <v>26.48</v>
      </c>
      <c r="N3773" t="str">
        <f>IF(SalesData[[#This Row],[Profit]]&gt;0,"Profit","Loss")</f>
        <v>Profit</v>
      </c>
    </row>
    <row r="3774" spans="1:14" x14ac:dyDescent="0.3">
      <c r="A3774" t="s">
        <v>730</v>
      </c>
      <c r="B3774" s="3">
        <v>41883</v>
      </c>
      <c r="C3774" t="s">
        <v>9</v>
      </c>
      <c r="D3774" t="s">
        <v>21</v>
      </c>
      <c r="E3774" t="s">
        <v>731</v>
      </c>
      <c r="F3774" s="1">
        <v>9.3439999999999994</v>
      </c>
      <c r="G3774">
        <v>2</v>
      </c>
      <c r="H3774" s="1">
        <v>1.1679999999999999</v>
      </c>
      <c r="I3774" s="4">
        <f>SalesData[[#This Row],[Profit]]/SalesData[[#This Row],[Sales]]</f>
        <v>0.125</v>
      </c>
      <c r="J3774">
        <f>YEAR(SalesData[[#This Row],[Order Date]])</f>
        <v>2014</v>
      </c>
      <c r="K3774" t="str">
        <f>TEXT(SalesData[[#This Row],[Order Date]],"mmm")</f>
        <v>Sep</v>
      </c>
      <c r="L3774">
        <f>MONTH(SalesData[[#This Row],[Order Date]])</f>
        <v>9</v>
      </c>
      <c r="M3774">
        <f>SalesData[[#This Row],[Sales]]/SalesData[[#This Row],[Quantity]]</f>
        <v>4.6719999999999997</v>
      </c>
      <c r="N3774" t="str">
        <f>IF(SalesData[[#This Row],[Profit]]&gt;0,"Profit","Loss")</f>
        <v>Profit</v>
      </c>
    </row>
    <row r="3775" spans="1:14" x14ac:dyDescent="0.3">
      <c r="A3775" t="s">
        <v>730</v>
      </c>
      <c r="B3775" s="3">
        <v>41883</v>
      </c>
      <c r="C3775" t="s">
        <v>9</v>
      </c>
      <c r="D3775" t="s">
        <v>10</v>
      </c>
      <c r="E3775" t="s">
        <v>732</v>
      </c>
      <c r="F3775" s="1">
        <v>31.2</v>
      </c>
      <c r="G3775">
        <v>3</v>
      </c>
      <c r="H3775" s="1">
        <v>9.75</v>
      </c>
      <c r="I3775" s="4">
        <f>SalesData[[#This Row],[Profit]]/SalesData[[#This Row],[Sales]]</f>
        <v>0.3125</v>
      </c>
      <c r="J3775">
        <f>YEAR(SalesData[[#This Row],[Order Date]])</f>
        <v>2014</v>
      </c>
      <c r="K3775" t="str">
        <f>TEXT(SalesData[[#This Row],[Order Date]],"mmm")</f>
        <v>Sep</v>
      </c>
      <c r="L3775">
        <f>MONTH(SalesData[[#This Row],[Order Date]])</f>
        <v>9</v>
      </c>
      <c r="M3775">
        <f>SalesData[[#This Row],[Sales]]/SalesData[[#This Row],[Quantity]]</f>
        <v>10.4</v>
      </c>
      <c r="N3775" t="str">
        <f>IF(SalesData[[#This Row],[Profit]]&gt;0,"Profit","Loss")</f>
        <v>Profit</v>
      </c>
    </row>
    <row r="3776" spans="1:14" x14ac:dyDescent="0.3">
      <c r="A3776" t="s">
        <v>733</v>
      </c>
      <c r="B3776" s="3">
        <v>41887</v>
      </c>
      <c r="C3776" t="s">
        <v>13</v>
      </c>
      <c r="D3776" t="s">
        <v>10</v>
      </c>
      <c r="E3776" t="s">
        <v>504</v>
      </c>
      <c r="F3776" s="1">
        <v>67.8</v>
      </c>
      <c r="G3776">
        <v>4</v>
      </c>
      <c r="H3776" s="1">
        <v>4.0679999999999996</v>
      </c>
      <c r="I3776" s="4">
        <f>SalesData[[#This Row],[Profit]]/SalesData[[#This Row],[Sales]]</f>
        <v>0.06</v>
      </c>
      <c r="J3776">
        <f>YEAR(SalesData[[#This Row],[Order Date]])</f>
        <v>2014</v>
      </c>
      <c r="K3776" t="str">
        <f>TEXT(SalesData[[#This Row],[Order Date]],"mmm")</f>
        <v>Sep</v>
      </c>
      <c r="L3776">
        <f>MONTH(SalesData[[#This Row],[Order Date]])</f>
        <v>9</v>
      </c>
      <c r="M3776">
        <f>SalesData[[#This Row],[Sales]]/SalesData[[#This Row],[Quantity]]</f>
        <v>16.95</v>
      </c>
      <c r="N3776" t="str">
        <f>IF(SalesData[[#This Row],[Profit]]&gt;0,"Profit","Loss")</f>
        <v>Profit</v>
      </c>
    </row>
    <row r="3777" spans="1:14" x14ac:dyDescent="0.3">
      <c r="A3777" t="s">
        <v>733</v>
      </c>
      <c r="B3777" s="3">
        <v>41887</v>
      </c>
      <c r="C3777" t="s">
        <v>13</v>
      </c>
      <c r="D3777" t="s">
        <v>10</v>
      </c>
      <c r="E3777" t="s">
        <v>734</v>
      </c>
      <c r="F3777" s="1">
        <v>167.97</v>
      </c>
      <c r="G3777">
        <v>3</v>
      </c>
      <c r="H3777" s="1">
        <v>40.312800000000003</v>
      </c>
      <c r="I3777" s="4">
        <f>SalesData[[#This Row],[Profit]]/SalesData[[#This Row],[Sales]]</f>
        <v>0.24000000000000002</v>
      </c>
      <c r="J3777">
        <f>YEAR(SalesData[[#This Row],[Order Date]])</f>
        <v>2014</v>
      </c>
      <c r="K3777" t="str">
        <f>TEXT(SalesData[[#This Row],[Order Date]],"mmm")</f>
        <v>Sep</v>
      </c>
      <c r="L3777">
        <f>MONTH(SalesData[[#This Row],[Order Date]])</f>
        <v>9</v>
      </c>
      <c r="M3777">
        <f>SalesData[[#This Row],[Sales]]/SalesData[[#This Row],[Quantity]]</f>
        <v>55.99</v>
      </c>
      <c r="N3777" t="str">
        <f>IF(SalesData[[#This Row],[Profit]]&gt;0,"Profit","Loss")</f>
        <v>Profit</v>
      </c>
    </row>
    <row r="3778" spans="1:14" x14ac:dyDescent="0.3">
      <c r="A3778" t="s">
        <v>735</v>
      </c>
      <c r="B3778" s="3">
        <v>41887</v>
      </c>
      <c r="C3778" t="s">
        <v>46</v>
      </c>
      <c r="D3778" t="s">
        <v>21</v>
      </c>
      <c r="E3778" t="s">
        <v>736</v>
      </c>
      <c r="F3778" s="1">
        <v>83.25</v>
      </c>
      <c r="G3778">
        <v>3</v>
      </c>
      <c r="H3778" s="1">
        <v>14.984999999999999</v>
      </c>
      <c r="I3778" s="4">
        <f>SalesData[[#This Row],[Profit]]/SalesData[[#This Row],[Sales]]</f>
        <v>0.18</v>
      </c>
      <c r="J3778">
        <f>YEAR(SalesData[[#This Row],[Order Date]])</f>
        <v>2014</v>
      </c>
      <c r="K3778" t="str">
        <f>TEXT(SalesData[[#This Row],[Order Date]],"mmm")</f>
        <v>Sep</v>
      </c>
      <c r="L3778">
        <f>MONTH(SalesData[[#This Row],[Order Date]])</f>
        <v>9</v>
      </c>
      <c r="M3778">
        <f>SalesData[[#This Row],[Sales]]/SalesData[[#This Row],[Quantity]]</f>
        <v>27.75</v>
      </c>
      <c r="N3778" t="str">
        <f>IF(SalesData[[#This Row],[Profit]]&gt;0,"Profit","Loss")</f>
        <v>Profit</v>
      </c>
    </row>
    <row r="3779" spans="1:14" x14ac:dyDescent="0.3">
      <c r="A3779" t="s">
        <v>735</v>
      </c>
      <c r="B3779" s="3">
        <v>41887</v>
      </c>
      <c r="C3779" t="s">
        <v>46</v>
      </c>
      <c r="D3779" t="s">
        <v>21</v>
      </c>
      <c r="E3779" t="s">
        <v>314</v>
      </c>
      <c r="F3779" s="1">
        <v>9.4499999999999993</v>
      </c>
      <c r="G3779">
        <v>3</v>
      </c>
      <c r="H3779" s="1">
        <v>4.5359999999999996</v>
      </c>
      <c r="I3779" s="4">
        <f>SalesData[[#This Row],[Profit]]/SalesData[[#This Row],[Sales]]</f>
        <v>0.48</v>
      </c>
      <c r="J3779">
        <f>YEAR(SalesData[[#This Row],[Order Date]])</f>
        <v>2014</v>
      </c>
      <c r="K3779" t="str">
        <f>TEXT(SalesData[[#This Row],[Order Date]],"mmm")</f>
        <v>Sep</v>
      </c>
      <c r="L3779">
        <f>MONTH(SalesData[[#This Row],[Order Date]])</f>
        <v>9</v>
      </c>
      <c r="M3779">
        <f>SalesData[[#This Row],[Sales]]/SalesData[[#This Row],[Quantity]]</f>
        <v>3.15</v>
      </c>
      <c r="N3779" t="str">
        <f>IF(SalesData[[#This Row],[Profit]]&gt;0,"Profit","Loss")</f>
        <v>Profit</v>
      </c>
    </row>
    <row r="3780" spans="1:14" x14ac:dyDescent="0.3">
      <c r="A3780" t="s">
        <v>735</v>
      </c>
      <c r="B3780" s="3">
        <v>41887</v>
      </c>
      <c r="C3780" t="s">
        <v>46</v>
      </c>
      <c r="D3780" t="s">
        <v>21</v>
      </c>
      <c r="E3780" t="s">
        <v>737</v>
      </c>
      <c r="F3780" s="1">
        <v>20.65</v>
      </c>
      <c r="G3780">
        <v>5</v>
      </c>
      <c r="H3780" s="1">
        <v>9.4990000000000006</v>
      </c>
      <c r="I3780" s="4">
        <f>SalesData[[#This Row],[Profit]]/SalesData[[#This Row],[Sales]]</f>
        <v>0.46000000000000008</v>
      </c>
      <c r="J3780">
        <f>YEAR(SalesData[[#This Row],[Order Date]])</f>
        <v>2014</v>
      </c>
      <c r="K3780" t="str">
        <f>TEXT(SalesData[[#This Row],[Order Date]],"mmm")</f>
        <v>Sep</v>
      </c>
      <c r="L3780">
        <f>MONTH(SalesData[[#This Row],[Order Date]])</f>
        <v>9</v>
      </c>
      <c r="M3780">
        <f>SalesData[[#This Row],[Sales]]/SalesData[[#This Row],[Quantity]]</f>
        <v>4.13</v>
      </c>
      <c r="N3780" t="str">
        <f>IF(SalesData[[#This Row],[Profit]]&gt;0,"Profit","Loss")</f>
        <v>Profit</v>
      </c>
    </row>
    <row r="3781" spans="1:14" x14ac:dyDescent="0.3">
      <c r="A3781" t="s">
        <v>735</v>
      </c>
      <c r="B3781" s="3">
        <v>41887</v>
      </c>
      <c r="C3781" t="s">
        <v>46</v>
      </c>
      <c r="D3781" t="s">
        <v>21</v>
      </c>
      <c r="E3781" t="s">
        <v>738</v>
      </c>
      <c r="F3781" s="1">
        <v>45.36</v>
      </c>
      <c r="G3781">
        <v>7</v>
      </c>
      <c r="H3781" s="1">
        <v>21.7728</v>
      </c>
      <c r="I3781" s="4">
        <f>SalesData[[#This Row],[Profit]]/SalesData[[#This Row],[Sales]]</f>
        <v>0.48</v>
      </c>
      <c r="J3781">
        <f>YEAR(SalesData[[#This Row],[Order Date]])</f>
        <v>2014</v>
      </c>
      <c r="K3781" t="str">
        <f>TEXT(SalesData[[#This Row],[Order Date]],"mmm")</f>
        <v>Sep</v>
      </c>
      <c r="L3781">
        <f>MONTH(SalesData[[#This Row],[Order Date]])</f>
        <v>9</v>
      </c>
      <c r="M3781">
        <f>SalesData[[#This Row],[Sales]]/SalesData[[#This Row],[Quantity]]</f>
        <v>6.4799999999999995</v>
      </c>
      <c r="N3781" t="str">
        <f>IF(SalesData[[#This Row],[Profit]]&gt;0,"Profit","Loss")</f>
        <v>Profit</v>
      </c>
    </row>
    <row r="3782" spans="1:14" x14ac:dyDescent="0.3">
      <c r="A3782" t="s">
        <v>739</v>
      </c>
      <c r="B3782" s="3">
        <v>41888</v>
      </c>
      <c r="C3782" t="s">
        <v>13</v>
      </c>
      <c r="D3782" t="s">
        <v>14</v>
      </c>
      <c r="E3782" t="s">
        <v>535</v>
      </c>
      <c r="F3782" s="1">
        <v>48.86</v>
      </c>
      <c r="G3782">
        <v>7</v>
      </c>
      <c r="H3782" s="1">
        <v>14.1694</v>
      </c>
      <c r="I3782" s="4">
        <f>SalesData[[#This Row],[Profit]]/SalesData[[#This Row],[Sales]]</f>
        <v>0.28999999999999998</v>
      </c>
      <c r="J3782">
        <f>YEAR(SalesData[[#This Row],[Order Date]])</f>
        <v>2014</v>
      </c>
      <c r="K3782" t="str">
        <f>TEXT(SalesData[[#This Row],[Order Date]],"mmm")</f>
        <v>Sep</v>
      </c>
      <c r="L3782">
        <f>MONTH(SalesData[[#This Row],[Order Date]])</f>
        <v>9</v>
      </c>
      <c r="M3782">
        <f>SalesData[[#This Row],[Sales]]/SalesData[[#This Row],[Quantity]]</f>
        <v>6.9799999999999995</v>
      </c>
      <c r="N3782" t="str">
        <f>IF(SalesData[[#This Row],[Profit]]&gt;0,"Profit","Loss")</f>
        <v>Profit</v>
      </c>
    </row>
    <row r="3783" spans="1:14" x14ac:dyDescent="0.3">
      <c r="A3783" t="s">
        <v>739</v>
      </c>
      <c r="B3783" s="3">
        <v>41888</v>
      </c>
      <c r="C3783" t="s">
        <v>13</v>
      </c>
      <c r="D3783" t="s">
        <v>21</v>
      </c>
      <c r="E3783" t="s">
        <v>426</v>
      </c>
      <c r="F3783" s="1">
        <v>7.28</v>
      </c>
      <c r="G3783">
        <v>4</v>
      </c>
      <c r="H3783" s="1">
        <v>1.9656</v>
      </c>
      <c r="I3783" s="4">
        <f>SalesData[[#This Row],[Profit]]/SalesData[[#This Row],[Sales]]</f>
        <v>0.27</v>
      </c>
      <c r="J3783">
        <f>YEAR(SalesData[[#This Row],[Order Date]])</f>
        <v>2014</v>
      </c>
      <c r="K3783" t="str">
        <f>TEXT(SalesData[[#This Row],[Order Date]],"mmm")</f>
        <v>Sep</v>
      </c>
      <c r="L3783">
        <f>MONTH(SalesData[[#This Row],[Order Date]])</f>
        <v>9</v>
      </c>
      <c r="M3783">
        <f>SalesData[[#This Row],[Sales]]/SalesData[[#This Row],[Quantity]]</f>
        <v>1.82</v>
      </c>
      <c r="N3783" t="str">
        <f>IF(SalesData[[#This Row],[Profit]]&gt;0,"Profit","Loss")</f>
        <v>Profit</v>
      </c>
    </row>
    <row r="3784" spans="1:14" x14ac:dyDescent="0.3">
      <c r="A3784" t="s">
        <v>739</v>
      </c>
      <c r="B3784" s="3">
        <v>41888</v>
      </c>
      <c r="C3784" t="s">
        <v>13</v>
      </c>
      <c r="D3784" t="s">
        <v>10</v>
      </c>
      <c r="E3784" t="s">
        <v>740</v>
      </c>
      <c r="F3784" s="1">
        <v>907.15200000000004</v>
      </c>
      <c r="G3784">
        <v>6</v>
      </c>
      <c r="H3784" s="1">
        <v>90.715199999999996</v>
      </c>
      <c r="I3784" s="4">
        <f>SalesData[[#This Row],[Profit]]/SalesData[[#This Row],[Sales]]</f>
        <v>9.9999999999999992E-2</v>
      </c>
      <c r="J3784">
        <f>YEAR(SalesData[[#This Row],[Order Date]])</f>
        <v>2014</v>
      </c>
      <c r="K3784" t="str">
        <f>TEXT(SalesData[[#This Row],[Order Date]],"mmm")</f>
        <v>Sep</v>
      </c>
      <c r="L3784">
        <f>MONTH(SalesData[[#This Row],[Order Date]])</f>
        <v>9</v>
      </c>
      <c r="M3784">
        <f>SalesData[[#This Row],[Sales]]/SalesData[[#This Row],[Quantity]]</f>
        <v>151.19200000000001</v>
      </c>
      <c r="N3784" t="str">
        <f>IF(SalesData[[#This Row],[Profit]]&gt;0,"Profit","Loss")</f>
        <v>Profit</v>
      </c>
    </row>
    <row r="3785" spans="1:14" x14ac:dyDescent="0.3">
      <c r="A3785" t="s">
        <v>739</v>
      </c>
      <c r="B3785" s="3">
        <v>41888</v>
      </c>
      <c r="C3785" t="s">
        <v>13</v>
      </c>
      <c r="D3785" t="s">
        <v>21</v>
      </c>
      <c r="E3785" t="s">
        <v>741</v>
      </c>
      <c r="F3785" s="1">
        <v>18.504000000000001</v>
      </c>
      <c r="G3785">
        <v>3</v>
      </c>
      <c r="H3785" s="1">
        <v>5.7824999999999998</v>
      </c>
      <c r="I3785" s="4">
        <f>SalesData[[#This Row],[Profit]]/SalesData[[#This Row],[Sales]]</f>
        <v>0.31249999999999994</v>
      </c>
      <c r="J3785">
        <f>YEAR(SalesData[[#This Row],[Order Date]])</f>
        <v>2014</v>
      </c>
      <c r="K3785" t="str">
        <f>TEXT(SalesData[[#This Row],[Order Date]],"mmm")</f>
        <v>Sep</v>
      </c>
      <c r="L3785">
        <f>MONTH(SalesData[[#This Row],[Order Date]])</f>
        <v>9</v>
      </c>
      <c r="M3785">
        <f>SalesData[[#This Row],[Sales]]/SalesData[[#This Row],[Quantity]]</f>
        <v>6.1680000000000001</v>
      </c>
      <c r="N3785" t="str">
        <f>IF(SalesData[[#This Row],[Profit]]&gt;0,"Profit","Loss")</f>
        <v>Profit</v>
      </c>
    </row>
    <row r="3786" spans="1:14" x14ac:dyDescent="0.3">
      <c r="A3786" t="s">
        <v>739</v>
      </c>
      <c r="B3786" s="3">
        <v>41888</v>
      </c>
      <c r="C3786" t="s">
        <v>13</v>
      </c>
      <c r="D3786" t="s">
        <v>21</v>
      </c>
      <c r="E3786" t="s">
        <v>451</v>
      </c>
      <c r="F3786" s="1">
        <v>114.9</v>
      </c>
      <c r="G3786">
        <v>5</v>
      </c>
      <c r="H3786" s="1">
        <v>34.47</v>
      </c>
      <c r="I3786" s="4">
        <f>SalesData[[#This Row],[Profit]]/SalesData[[#This Row],[Sales]]</f>
        <v>0.3</v>
      </c>
      <c r="J3786">
        <f>YEAR(SalesData[[#This Row],[Order Date]])</f>
        <v>2014</v>
      </c>
      <c r="K3786" t="str">
        <f>TEXT(SalesData[[#This Row],[Order Date]],"mmm")</f>
        <v>Sep</v>
      </c>
      <c r="L3786">
        <f>MONTH(SalesData[[#This Row],[Order Date]])</f>
        <v>9</v>
      </c>
      <c r="M3786">
        <f>SalesData[[#This Row],[Sales]]/SalesData[[#This Row],[Quantity]]</f>
        <v>22.98</v>
      </c>
      <c r="N3786" t="str">
        <f>IF(SalesData[[#This Row],[Profit]]&gt;0,"Profit","Loss")</f>
        <v>Profit</v>
      </c>
    </row>
    <row r="3787" spans="1:14" x14ac:dyDescent="0.3">
      <c r="A3787" t="s">
        <v>739</v>
      </c>
      <c r="B3787" s="3">
        <v>41888</v>
      </c>
      <c r="C3787" t="s">
        <v>13</v>
      </c>
      <c r="D3787" t="s">
        <v>14</v>
      </c>
      <c r="E3787" t="s">
        <v>742</v>
      </c>
      <c r="F3787" s="1">
        <v>1706.184</v>
      </c>
      <c r="G3787">
        <v>9</v>
      </c>
      <c r="H3787" s="1">
        <v>85.309200000000004</v>
      </c>
      <c r="I3787" s="4">
        <f>SalesData[[#This Row],[Profit]]/SalesData[[#This Row],[Sales]]</f>
        <v>0.05</v>
      </c>
      <c r="J3787">
        <f>YEAR(SalesData[[#This Row],[Order Date]])</f>
        <v>2014</v>
      </c>
      <c r="K3787" t="str">
        <f>TEXT(SalesData[[#This Row],[Order Date]],"mmm")</f>
        <v>Sep</v>
      </c>
      <c r="L3787">
        <f>MONTH(SalesData[[#This Row],[Order Date]])</f>
        <v>9</v>
      </c>
      <c r="M3787">
        <f>SalesData[[#This Row],[Sales]]/SalesData[[#This Row],[Quantity]]</f>
        <v>189.57599999999999</v>
      </c>
      <c r="N3787" t="str">
        <f>IF(SalesData[[#This Row],[Profit]]&gt;0,"Profit","Loss")</f>
        <v>Profit</v>
      </c>
    </row>
    <row r="3788" spans="1:14" x14ac:dyDescent="0.3">
      <c r="A3788" t="s">
        <v>739</v>
      </c>
      <c r="B3788" s="3">
        <v>41888</v>
      </c>
      <c r="C3788" t="s">
        <v>13</v>
      </c>
      <c r="D3788" t="s">
        <v>10</v>
      </c>
      <c r="E3788" t="s">
        <v>743</v>
      </c>
      <c r="F3788" s="1">
        <v>911.42399999999998</v>
      </c>
      <c r="G3788">
        <v>4</v>
      </c>
      <c r="H3788" s="1">
        <v>68.356800000000007</v>
      </c>
      <c r="I3788" s="4">
        <f>SalesData[[#This Row],[Profit]]/SalesData[[#This Row],[Sales]]</f>
        <v>7.5000000000000011E-2</v>
      </c>
      <c r="J3788">
        <f>YEAR(SalesData[[#This Row],[Order Date]])</f>
        <v>2014</v>
      </c>
      <c r="K3788" t="str">
        <f>TEXT(SalesData[[#This Row],[Order Date]],"mmm")</f>
        <v>Sep</v>
      </c>
      <c r="L3788">
        <f>MONTH(SalesData[[#This Row],[Order Date]])</f>
        <v>9</v>
      </c>
      <c r="M3788">
        <f>SalesData[[#This Row],[Sales]]/SalesData[[#This Row],[Quantity]]</f>
        <v>227.85599999999999</v>
      </c>
      <c r="N3788" t="str">
        <f>IF(SalesData[[#This Row],[Profit]]&gt;0,"Profit","Loss")</f>
        <v>Profit</v>
      </c>
    </row>
    <row r="3789" spans="1:14" x14ac:dyDescent="0.3">
      <c r="A3789" t="s">
        <v>744</v>
      </c>
      <c r="B3789" s="3">
        <v>41888</v>
      </c>
      <c r="C3789" t="s">
        <v>9</v>
      </c>
      <c r="D3789" t="s">
        <v>10</v>
      </c>
      <c r="E3789" t="s">
        <v>745</v>
      </c>
      <c r="F3789" s="1">
        <v>7.992</v>
      </c>
      <c r="G3789">
        <v>1</v>
      </c>
      <c r="H3789" s="1">
        <v>0.59940000000000004</v>
      </c>
      <c r="I3789" s="4">
        <f>SalesData[[#This Row],[Profit]]/SalesData[[#This Row],[Sales]]</f>
        <v>7.5000000000000011E-2</v>
      </c>
      <c r="J3789">
        <f>YEAR(SalesData[[#This Row],[Order Date]])</f>
        <v>2014</v>
      </c>
      <c r="K3789" t="str">
        <f>TEXT(SalesData[[#This Row],[Order Date]],"mmm")</f>
        <v>Sep</v>
      </c>
      <c r="L3789">
        <f>MONTH(SalesData[[#This Row],[Order Date]])</f>
        <v>9</v>
      </c>
      <c r="M3789">
        <f>SalesData[[#This Row],[Sales]]/SalesData[[#This Row],[Quantity]]</f>
        <v>7.992</v>
      </c>
      <c r="N3789" t="str">
        <f>IF(SalesData[[#This Row],[Profit]]&gt;0,"Profit","Loss")</f>
        <v>Profit</v>
      </c>
    </row>
    <row r="3790" spans="1:14" x14ac:dyDescent="0.3">
      <c r="A3790" t="s">
        <v>744</v>
      </c>
      <c r="B3790" s="3">
        <v>41888</v>
      </c>
      <c r="C3790" t="s">
        <v>9</v>
      </c>
      <c r="D3790" t="s">
        <v>10</v>
      </c>
      <c r="E3790" t="s">
        <v>746</v>
      </c>
      <c r="F3790" s="1">
        <v>63.984000000000002</v>
      </c>
      <c r="G3790">
        <v>2</v>
      </c>
      <c r="H3790" s="1">
        <v>10.397399999999999</v>
      </c>
      <c r="I3790" s="4">
        <f>SalesData[[#This Row],[Profit]]/SalesData[[#This Row],[Sales]]</f>
        <v>0.16249999999999998</v>
      </c>
      <c r="J3790">
        <f>YEAR(SalesData[[#This Row],[Order Date]])</f>
        <v>2014</v>
      </c>
      <c r="K3790" t="str">
        <f>TEXT(SalesData[[#This Row],[Order Date]],"mmm")</f>
        <v>Sep</v>
      </c>
      <c r="L3790">
        <f>MONTH(SalesData[[#This Row],[Order Date]])</f>
        <v>9</v>
      </c>
      <c r="M3790">
        <f>SalesData[[#This Row],[Sales]]/SalesData[[#This Row],[Quantity]]</f>
        <v>31.992000000000001</v>
      </c>
      <c r="N3790" t="str">
        <f>IF(SalesData[[#This Row],[Profit]]&gt;0,"Profit","Loss")</f>
        <v>Profit</v>
      </c>
    </row>
    <row r="3791" spans="1:14" x14ac:dyDescent="0.3">
      <c r="A3791" t="s">
        <v>744</v>
      </c>
      <c r="B3791" s="3">
        <v>41888</v>
      </c>
      <c r="C3791" t="s">
        <v>9</v>
      </c>
      <c r="D3791" t="s">
        <v>21</v>
      </c>
      <c r="E3791" t="s">
        <v>747</v>
      </c>
      <c r="F3791" s="1">
        <v>70.367999999999995</v>
      </c>
      <c r="G3791">
        <v>2</v>
      </c>
      <c r="H3791" s="1">
        <v>6.1571999999999996</v>
      </c>
      <c r="I3791" s="4">
        <f>SalesData[[#This Row],[Profit]]/SalesData[[#This Row],[Sales]]</f>
        <v>8.7499999999999994E-2</v>
      </c>
      <c r="J3791">
        <f>YEAR(SalesData[[#This Row],[Order Date]])</f>
        <v>2014</v>
      </c>
      <c r="K3791" t="str">
        <f>TEXT(SalesData[[#This Row],[Order Date]],"mmm")</f>
        <v>Sep</v>
      </c>
      <c r="L3791">
        <f>MONTH(SalesData[[#This Row],[Order Date]])</f>
        <v>9</v>
      </c>
      <c r="M3791">
        <f>SalesData[[#This Row],[Sales]]/SalesData[[#This Row],[Quantity]]</f>
        <v>35.183999999999997</v>
      </c>
      <c r="N3791" t="str">
        <f>IF(SalesData[[#This Row],[Profit]]&gt;0,"Profit","Loss")</f>
        <v>Profit</v>
      </c>
    </row>
    <row r="3792" spans="1:14" x14ac:dyDescent="0.3">
      <c r="A3792" t="s">
        <v>748</v>
      </c>
      <c r="B3792" s="3">
        <v>41888</v>
      </c>
      <c r="C3792" t="s">
        <v>13</v>
      </c>
      <c r="D3792" t="s">
        <v>21</v>
      </c>
      <c r="E3792" t="s">
        <v>749</v>
      </c>
      <c r="F3792" s="1">
        <v>7.36</v>
      </c>
      <c r="G3792">
        <v>2</v>
      </c>
      <c r="H3792" s="1">
        <v>0.1472</v>
      </c>
      <c r="I3792" s="4">
        <f>SalesData[[#This Row],[Profit]]/SalesData[[#This Row],[Sales]]</f>
        <v>0.02</v>
      </c>
      <c r="J3792">
        <f>YEAR(SalesData[[#This Row],[Order Date]])</f>
        <v>2014</v>
      </c>
      <c r="K3792" t="str">
        <f>TEXT(SalesData[[#This Row],[Order Date]],"mmm")</f>
        <v>Sep</v>
      </c>
      <c r="L3792">
        <f>MONTH(SalesData[[#This Row],[Order Date]])</f>
        <v>9</v>
      </c>
      <c r="M3792">
        <f>SalesData[[#This Row],[Sales]]/SalesData[[#This Row],[Quantity]]</f>
        <v>3.68</v>
      </c>
      <c r="N3792" t="str">
        <f>IF(SalesData[[#This Row],[Profit]]&gt;0,"Profit","Loss")</f>
        <v>Profit</v>
      </c>
    </row>
    <row r="3793" spans="1:14" x14ac:dyDescent="0.3">
      <c r="A3793" t="s">
        <v>748</v>
      </c>
      <c r="B3793" s="3">
        <v>41888</v>
      </c>
      <c r="C3793" t="s">
        <v>13</v>
      </c>
      <c r="D3793" t="s">
        <v>21</v>
      </c>
      <c r="E3793" t="s">
        <v>750</v>
      </c>
      <c r="F3793" s="1">
        <v>23.1</v>
      </c>
      <c r="G3793">
        <v>2</v>
      </c>
      <c r="H3793" s="1">
        <v>10.625999999999999</v>
      </c>
      <c r="I3793" s="4">
        <f>SalesData[[#This Row],[Profit]]/SalesData[[#This Row],[Sales]]</f>
        <v>0.45999999999999996</v>
      </c>
      <c r="J3793">
        <f>YEAR(SalesData[[#This Row],[Order Date]])</f>
        <v>2014</v>
      </c>
      <c r="K3793" t="str">
        <f>TEXT(SalesData[[#This Row],[Order Date]],"mmm")</f>
        <v>Sep</v>
      </c>
      <c r="L3793">
        <f>MONTH(SalesData[[#This Row],[Order Date]])</f>
        <v>9</v>
      </c>
      <c r="M3793">
        <f>SalesData[[#This Row],[Sales]]/SalesData[[#This Row],[Quantity]]</f>
        <v>11.55</v>
      </c>
      <c r="N3793" t="str">
        <f>IF(SalesData[[#This Row],[Profit]]&gt;0,"Profit","Loss")</f>
        <v>Profit</v>
      </c>
    </row>
    <row r="3794" spans="1:14" x14ac:dyDescent="0.3">
      <c r="A3794" t="s">
        <v>751</v>
      </c>
      <c r="B3794" s="3">
        <v>41888</v>
      </c>
      <c r="C3794" t="s">
        <v>46</v>
      </c>
      <c r="D3794" t="s">
        <v>14</v>
      </c>
      <c r="E3794" t="s">
        <v>752</v>
      </c>
      <c r="F3794" s="1">
        <v>1441.3</v>
      </c>
      <c r="G3794">
        <v>7</v>
      </c>
      <c r="H3794" s="1">
        <v>245.02099999999999</v>
      </c>
      <c r="I3794" s="4">
        <f>SalesData[[#This Row],[Profit]]/SalesData[[#This Row],[Sales]]</f>
        <v>0.16999999999999998</v>
      </c>
      <c r="J3794">
        <f>YEAR(SalesData[[#This Row],[Order Date]])</f>
        <v>2014</v>
      </c>
      <c r="K3794" t="str">
        <f>TEXT(SalesData[[#This Row],[Order Date]],"mmm")</f>
        <v>Sep</v>
      </c>
      <c r="L3794">
        <f>MONTH(SalesData[[#This Row],[Order Date]])</f>
        <v>9</v>
      </c>
      <c r="M3794">
        <f>SalesData[[#This Row],[Sales]]/SalesData[[#This Row],[Quantity]]</f>
        <v>205.9</v>
      </c>
      <c r="N3794" t="str">
        <f>IF(SalesData[[#This Row],[Profit]]&gt;0,"Profit","Loss")</f>
        <v>Profit</v>
      </c>
    </row>
    <row r="3795" spans="1:14" x14ac:dyDescent="0.3">
      <c r="A3795" t="s">
        <v>753</v>
      </c>
      <c r="B3795" s="3">
        <v>41888</v>
      </c>
      <c r="C3795" t="s">
        <v>13</v>
      </c>
      <c r="D3795" t="s">
        <v>21</v>
      </c>
      <c r="E3795" t="s">
        <v>268</v>
      </c>
      <c r="F3795" s="1">
        <v>18.059999999999999</v>
      </c>
      <c r="G3795">
        <v>7</v>
      </c>
      <c r="H3795" s="1">
        <v>4.6955999999999998</v>
      </c>
      <c r="I3795" s="4">
        <f>SalesData[[#This Row],[Profit]]/SalesData[[#This Row],[Sales]]</f>
        <v>0.26</v>
      </c>
      <c r="J3795">
        <f>YEAR(SalesData[[#This Row],[Order Date]])</f>
        <v>2014</v>
      </c>
      <c r="K3795" t="str">
        <f>TEXT(SalesData[[#This Row],[Order Date]],"mmm")</f>
        <v>Sep</v>
      </c>
      <c r="L3795">
        <f>MONTH(SalesData[[#This Row],[Order Date]])</f>
        <v>9</v>
      </c>
      <c r="M3795">
        <f>SalesData[[#This Row],[Sales]]/SalesData[[#This Row],[Quantity]]</f>
        <v>2.5799999999999996</v>
      </c>
      <c r="N3795" t="str">
        <f>IF(SalesData[[#This Row],[Profit]]&gt;0,"Profit","Loss")</f>
        <v>Profit</v>
      </c>
    </row>
    <row r="3796" spans="1:14" x14ac:dyDescent="0.3">
      <c r="A3796" t="s">
        <v>753</v>
      </c>
      <c r="B3796" s="3">
        <v>41888</v>
      </c>
      <c r="C3796" t="s">
        <v>13</v>
      </c>
      <c r="D3796" t="s">
        <v>21</v>
      </c>
      <c r="E3796" t="s">
        <v>556</v>
      </c>
      <c r="F3796" s="1">
        <v>79.14</v>
      </c>
      <c r="G3796">
        <v>3</v>
      </c>
      <c r="H3796" s="1">
        <v>36.404400000000003</v>
      </c>
      <c r="I3796" s="4">
        <f>SalesData[[#This Row],[Profit]]/SalesData[[#This Row],[Sales]]</f>
        <v>0.46</v>
      </c>
      <c r="J3796">
        <f>YEAR(SalesData[[#This Row],[Order Date]])</f>
        <v>2014</v>
      </c>
      <c r="K3796" t="str">
        <f>TEXT(SalesData[[#This Row],[Order Date]],"mmm")</f>
        <v>Sep</v>
      </c>
      <c r="L3796">
        <f>MONTH(SalesData[[#This Row],[Order Date]])</f>
        <v>9</v>
      </c>
      <c r="M3796">
        <f>SalesData[[#This Row],[Sales]]/SalesData[[#This Row],[Quantity]]</f>
        <v>26.38</v>
      </c>
      <c r="N3796" t="str">
        <f>IF(SalesData[[#This Row],[Profit]]&gt;0,"Profit","Loss")</f>
        <v>Profit</v>
      </c>
    </row>
    <row r="3797" spans="1:14" x14ac:dyDescent="0.3">
      <c r="A3797" t="s">
        <v>753</v>
      </c>
      <c r="B3797" s="3">
        <v>41888</v>
      </c>
      <c r="C3797" t="s">
        <v>13</v>
      </c>
      <c r="D3797" t="s">
        <v>14</v>
      </c>
      <c r="E3797" t="s">
        <v>754</v>
      </c>
      <c r="F3797" s="1">
        <v>37.4</v>
      </c>
      <c r="G3797">
        <v>2</v>
      </c>
      <c r="H3797" s="1">
        <v>14.212</v>
      </c>
      <c r="I3797" s="4">
        <f>SalesData[[#This Row],[Profit]]/SalesData[[#This Row],[Sales]]</f>
        <v>0.38</v>
      </c>
      <c r="J3797">
        <f>YEAR(SalesData[[#This Row],[Order Date]])</f>
        <v>2014</v>
      </c>
      <c r="K3797" t="str">
        <f>TEXT(SalesData[[#This Row],[Order Date]],"mmm")</f>
        <v>Sep</v>
      </c>
      <c r="L3797">
        <f>MONTH(SalesData[[#This Row],[Order Date]])</f>
        <v>9</v>
      </c>
      <c r="M3797">
        <f>SalesData[[#This Row],[Sales]]/SalesData[[#This Row],[Quantity]]</f>
        <v>18.7</v>
      </c>
      <c r="N3797" t="str">
        <f>IF(SalesData[[#This Row],[Profit]]&gt;0,"Profit","Loss")</f>
        <v>Profit</v>
      </c>
    </row>
    <row r="3798" spans="1:14" x14ac:dyDescent="0.3">
      <c r="A3798" t="s">
        <v>755</v>
      </c>
      <c r="B3798" s="3">
        <v>41889</v>
      </c>
      <c r="C3798" t="s">
        <v>9</v>
      </c>
      <c r="D3798" t="s">
        <v>21</v>
      </c>
      <c r="E3798" t="s">
        <v>756</v>
      </c>
      <c r="F3798" s="1">
        <v>10.368</v>
      </c>
      <c r="G3798">
        <v>2</v>
      </c>
      <c r="H3798" s="1">
        <v>3.6288</v>
      </c>
      <c r="I3798" s="4">
        <f>SalesData[[#This Row],[Profit]]/SalesData[[#This Row],[Sales]]</f>
        <v>0.35</v>
      </c>
      <c r="J3798">
        <f>YEAR(SalesData[[#This Row],[Order Date]])</f>
        <v>2014</v>
      </c>
      <c r="K3798" t="str">
        <f>TEXT(SalesData[[#This Row],[Order Date]],"mmm")</f>
        <v>Sep</v>
      </c>
      <c r="L3798">
        <f>MONTH(SalesData[[#This Row],[Order Date]])</f>
        <v>9</v>
      </c>
      <c r="M3798">
        <f>SalesData[[#This Row],[Sales]]/SalesData[[#This Row],[Quantity]]</f>
        <v>5.1840000000000002</v>
      </c>
      <c r="N3798" t="str">
        <f>IF(SalesData[[#This Row],[Profit]]&gt;0,"Profit","Loss")</f>
        <v>Profit</v>
      </c>
    </row>
    <row r="3799" spans="1:14" x14ac:dyDescent="0.3">
      <c r="A3799" t="s">
        <v>755</v>
      </c>
      <c r="B3799" s="3">
        <v>41889</v>
      </c>
      <c r="C3799" t="s">
        <v>9</v>
      </c>
      <c r="D3799" t="s">
        <v>21</v>
      </c>
      <c r="E3799" t="s">
        <v>757</v>
      </c>
      <c r="F3799" s="1">
        <v>14.352</v>
      </c>
      <c r="G3799">
        <v>3</v>
      </c>
      <c r="H3799" s="1">
        <v>4.4850000000000003</v>
      </c>
      <c r="I3799" s="4">
        <f>SalesData[[#This Row],[Profit]]/SalesData[[#This Row],[Sales]]</f>
        <v>0.3125</v>
      </c>
      <c r="J3799">
        <f>YEAR(SalesData[[#This Row],[Order Date]])</f>
        <v>2014</v>
      </c>
      <c r="K3799" t="str">
        <f>TEXT(SalesData[[#This Row],[Order Date]],"mmm")</f>
        <v>Sep</v>
      </c>
      <c r="L3799">
        <f>MONTH(SalesData[[#This Row],[Order Date]])</f>
        <v>9</v>
      </c>
      <c r="M3799">
        <f>SalesData[[#This Row],[Sales]]/SalesData[[#This Row],[Quantity]]</f>
        <v>4.7839999999999998</v>
      </c>
      <c r="N3799" t="str">
        <f>IF(SalesData[[#This Row],[Profit]]&gt;0,"Profit","Loss")</f>
        <v>Profit</v>
      </c>
    </row>
    <row r="3800" spans="1:14" x14ac:dyDescent="0.3">
      <c r="A3800" t="s">
        <v>758</v>
      </c>
      <c r="B3800" s="3">
        <v>41889</v>
      </c>
      <c r="C3800" t="s">
        <v>13</v>
      </c>
      <c r="D3800" t="s">
        <v>21</v>
      </c>
      <c r="E3800" t="s">
        <v>759</v>
      </c>
      <c r="F3800" s="1">
        <v>2.88</v>
      </c>
      <c r="G3800">
        <v>1</v>
      </c>
      <c r="H3800" s="1">
        <v>1.4112</v>
      </c>
      <c r="I3800" s="4">
        <f>SalesData[[#This Row],[Profit]]/SalesData[[#This Row],[Sales]]</f>
        <v>0.49000000000000005</v>
      </c>
      <c r="J3800">
        <f>YEAR(SalesData[[#This Row],[Order Date]])</f>
        <v>2014</v>
      </c>
      <c r="K3800" t="str">
        <f>TEXT(SalesData[[#This Row],[Order Date]],"mmm")</f>
        <v>Sep</v>
      </c>
      <c r="L3800">
        <f>MONTH(SalesData[[#This Row],[Order Date]])</f>
        <v>9</v>
      </c>
      <c r="M3800">
        <f>SalesData[[#This Row],[Sales]]/SalesData[[#This Row],[Quantity]]</f>
        <v>2.88</v>
      </c>
      <c r="N3800" t="str">
        <f>IF(SalesData[[#This Row],[Profit]]&gt;0,"Profit","Loss")</f>
        <v>Profit</v>
      </c>
    </row>
    <row r="3801" spans="1:14" x14ac:dyDescent="0.3">
      <c r="A3801" t="s">
        <v>758</v>
      </c>
      <c r="B3801" s="3">
        <v>41889</v>
      </c>
      <c r="C3801" t="s">
        <v>13</v>
      </c>
      <c r="D3801" t="s">
        <v>21</v>
      </c>
      <c r="E3801" t="s">
        <v>760</v>
      </c>
      <c r="F3801" s="1">
        <v>41.904000000000003</v>
      </c>
      <c r="G3801">
        <v>6</v>
      </c>
      <c r="H3801" s="1">
        <v>14.1426</v>
      </c>
      <c r="I3801" s="4">
        <f>SalesData[[#This Row],[Profit]]/SalesData[[#This Row],[Sales]]</f>
        <v>0.33749999999999997</v>
      </c>
      <c r="J3801">
        <f>YEAR(SalesData[[#This Row],[Order Date]])</f>
        <v>2014</v>
      </c>
      <c r="K3801" t="str">
        <f>TEXT(SalesData[[#This Row],[Order Date]],"mmm")</f>
        <v>Sep</v>
      </c>
      <c r="L3801">
        <f>MONTH(SalesData[[#This Row],[Order Date]])</f>
        <v>9</v>
      </c>
      <c r="M3801">
        <f>SalesData[[#This Row],[Sales]]/SalesData[[#This Row],[Quantity]]</f>
        <v>6.9840000000000009</v>
      </c>
      <c r="N3801" t="str">
        <f>IF(SalesData[[#This Row],[Profit]]&gt;0,"Profit","Loss")</f>
        <v>Profit</v>
      </c>
    </row>
    <row r="3802" spans="1:14" x14ac:dyDescent="0.3">
      <c r="A3802" t="s">
        <v>758</v>
      </c>
      <c r="B3802" s="3">
        <v>41889</v>
      </c>
      <c r="C3802" t="s">
        <v>13</v>
      </c>
      <c r="D3802" t="s">
        <v>21</v>
      </c>
      <c r="E3802" t="s">
        <v>761</v>
      </c>
      <c r="F3802" s="1">
        <v>23.92</v>
      </c>
      <c r="G3802">
        <v>4</v>
      </c>
      <c r="H3802" s="1">
        <v>4.0663999999999998</v>
      </c>
      <c r="I3802" s="4">
        <f>SalesData[[#This Row],[Profit]]/SalesData[[#This Row],[Sales]]</f>
        <v>0.16999999999999998</v>
      </c>
      <c r="J3802">
        <f>YEAR(SalesData[[#This Row],[Order Date]])</f>
        <v>2014</v>
      </c>
      <c r="K3802" t="str">
        <f>TEXT(SalesData[[#This Row],[Order Date]],"mmm")</f>
        <v>Sep</v>
      </c>
      <c r="L3802">
        <f>MONTH(SalesData[[#This Row],[Order Date]])</f>
        <v>9</v>
      </c>
      <c r="M3802">
        <f>SalesData[[#This Row],[Sales]]/SalesData[[#This Row],[Quantity]]</f>
        <v>5.98</v>
      </c>
      <c r="N3802" t="str">
        <f>IF(SalesData[[#This Row],[Profit]]&gt;0,"Profit","Loss")</f>
        <v>Profit</v>
      </c>
    </row>
    <row r="3803" spans="1:14" x14ac:dyDescent="0.3">
      <c r="A3803" t="s">
        <v>762</v>
      </c>
      <c r="B3803" s="3">
        <v>41889</v>
      </c>
      <c r="C3803" t="s">
        <v>13</v>
      </c>
      <c r="D3803" t="s">
        <v>21</v>
      </c>
      <c r="E3803" t="s">
        <v>277</v>
      </c>
      <c r="F3803" s="1">
        <v>14.304</v>
      </c>
      <c r="G3803">
        <v>6</v>
      </c>
      <c r="H3803" s="1">
        <v>4.6487999999999996</v>
      </c>
      <c r="I3803" s="4">
        <f>SalesData[[#This Row],[Profit]]/SalesData[[#This Row],[Sales]]</f>
        <v>0.32499999999999996</v>
      </c>
      <c r="J3803">
        <f>YEAR(SalesData[[#This Row],[Order Date]])</f>
        <v>2014</v>
      </c>
      <c r="K3803" t="str">
        <f>TEXT(SalesData[[#This Row],[Order Date]],"mmm")</f>
        <v>Sep</v>
      </c>
      <c r="L3803">
        <f>MONTH(SalesData[[#This Row],[Order Date]])</f>
        <v>9</v>
      </c>
      <c r="M3803">
        <f>SalesData[[#This Row],[Sales]]/SalesData[[#This Row],[Quantity]]</f>
        <v>2.3839999999999999</v>
      </c>
      <c r="N3803" t="str">
        <f>IF(SalesData[[#This Row],[Profit]]&gt;0,"Profit","Loss")</f>
        <v>Profit</v>
      </c>
    </row>
    <row r="3804" spans="1:14" x14ac:dyDescent="0.3">
      <c r="A3804" t="s">
        <v>762</v>
      </c>
      <c r="B3804" s="3">
        <v>41889</v>
      </c>
      <c r="C3804" t="s">
        <v>13</v>
      </c>
      <c r="D3804" t="s">
        <v>14</v>
      </c>
      <c r="E3804" t="s">
        <v>763</v>
      </c>
      <c r="F3804" s="1">
        <v>119.833</v>
      </c>
      <c r="G3804">
        <v>1</v>
      </c>
      <c r="H3804" s="1">
        <v>7.0490000000000004</v>
      </c>
      <c r="I3804" s="4">
        <f>SalesData[[#This Row],[Profit]]/SalesData[[#This Row],[Sales]]</f>
        <v>5.8823529411764712E-2</v>
      </c>
      <c r="J3804">
        <f>YEAR(SalesData[[#This Row],[Order Date]])</f>
        <v>2014</v>
      </c>
      <c r="K3804" t="str">
        <f>TEXT(SalesData[[#This Row],[Order Date]],"mmm")</f>
        <v>Sep</v>
      </c>
      <c r="L3804">
        <f>MONTH(SalesData[[#This Row],[Order Date]])</f>
        <v>9</v>
      </c>
      <c r="M3804">
        <f>SalesData[[#This Row],[Sales]]/SalesData[[#This Row],[Quantity]]</f>
        <v>119.833</v>
      </c>
      <c r="N3804" t="str">
        <f>IF(SalesData[[#This Row],[Profit]]&gt;0,"Profit","Loss")</f>
        <v>Profit</v>
      </c>
    </row>
    <row r="3805" spans="1:14" x14ac:dyDescent="0.3">
      <c r="A3805" t="s">
        <v>762</v>
      </c>
      <c r="B3805" s="3">
        <v>41889</v>
      </c>
      <c r="C3805" t="s">
        <v>13</v>
      </c>
      <c r="D3805" t="s">
        <v>21</v>
      </c>
      <c r="E3805" t="s">
        <v>764</v>
      </c>
      <c r="F3805" s="1">
        <v>5.56</v>
      </c>
      <c r="G3805">
        <v>2</v>
      </c>
      <c r="H3805" s="1">
        <v>2.2240000000000002</v>
      </c>
      <c r="I3805" s="4">
        <f>SalesData[[#This Row],[Profit]]/SalesData[[#This Row],[Sales]]</f>
        <v>0.40000000000000008</v>
      </c>
      <c r="J3805">
        <f>YEAR(SalesData[[#This Row],[Order Date]])</f>
        <v>2014</v>
      </c>
      <c r="K3805" t="str">
        <f>TEXT(SalesData[[#This Row],[Order Date]],"mmm")</f>
        <v>Sep</v>
      </c>
      <c r="L3805">
        <f>MONTH(SalesData[[#This Row],[Order Date]])</f>
        <v>9</v>
      </c>
      <c r="M3805">
        <f>SalesData[[#This Row],[Sales]]/SalesData[[#This Row],[Quantity]]</f>
        <v>2.78</v>
      </c>
      <c r="N3805" t="str">
        <f>IF(SalesData[[#This Row],[Profit]]&gt;0,"Profit","Loss")</f>
        <v>Profit</v>
      </c>
    </row>
    <row r="3806" spans="1:14" x14ac:dyDescent="0.3">
      <c r="A3806" t="s">
        <v>762</v>
      </c>
      <c r="B3806" s="3">
        <v>41889</v>
      </c>
      <c r="C3806" t="s">
        <v>13</v>
      </c>
      <c r="D3806" t="s">
        <v>21</v>
      </c>
      <c r="E3806" t="s">
        <v>765</v>
      </c>
      <c r="F3806" s="1">
        <v>32.4</v>
      </c>
      <c r="G3806">
        <v>5</v>
      </c>
      <c r="H3806" s="1">
        <v>15.552</v>
      </c>
      <c r="I3806" s="4">
        <f>SalesData[[#This Row],[Profit]]/SalesData[[#This Row],[Sales]]</f>
        <v>0.48</v>
      </c>
      <c r="J3806">
        <f>YEAR(SalesData[[#This Row],[Order Date]])</f>
        <v>2014</v>
      </c>
      <c r="K3806" t="str">
        <f>TEXT(SalesData[[#This Row],[Order Date]],"mmm")</f>
        <v>Sep</v>
      </c>
      <c r="L3806">
        <f>MONTH(SalesData[[#This Row],[Order Date]])</f>
        <v>9</v>
      </c>
      <c r="M3806">
        <f>SalesData[[#This Row],[Sales]]/SalesData[[#This Row],[Quantity]]</f>
        <v>6.4799999999999995</v>
      </c>
      <c r="N3806" t="str">
        <f>IF(SalesData[[#This Row],[Profit]]&gt;0,"Profit","Loss")</f>
        <v>Profit</v>
      </c>
    </row>
    <row r="3807" spans="1:14" x14ac:dyDescent="0.3">
      <c r="A3807" t="s">
        <v>766</v>
      </c>
      <c r="B3807" s="3">
        <v>41890</v>
      </c>
      <c r="C3807" t="s">
        <v>46</v>
      </c>
      <c r="D3807" t="s">
        <v>10</v>
      </c>
      <c r="E3807" t="s">
        <v>669</v>
      </c>
      <c r="F3807" s="1">
        <v>178.38399999999999</v>
      </c>
      <c r="G3807">
        <v>2</v>
      </c>
      <c r="H3807" s="1">
        <v>22.297999999999998</v>
      </c>
      <c r="I3807" s="4">
        <f>SalesData[[#This Row],[Profit]]/SalesData[[#This Row],[Sales]]</f>
        <v>0.125</v>
      </c>
      <c r="J3807">
        <f>YEAR(SalesData[[#This Row],[Order Date]])</f>
        <v>2014</v>
      </c>
      <c r="K3807" t="str">
        <f>TEXT(SalesData[[#This Row],[Order Date]],"mmm")</f>
        <v>Sep</v>
      </c>
      <c r="L3807">
        <f>MONTH(SalesData[[#This Row],[Order Date]])</f>
        <v>9</v>
      </c>
      <c r="M3807">
        <f>SalesData[[#This Row],[Sales]]/SalesData[[#This Row],[Quantity]]</f>
        <v>89.191999999999993</v>
      </c>
      <c r="N3807" t="str">
        <f>IF(SalesData[[#This Row],[Profit]]&gt;0,"Profit","Loss")</f>
        <v>Profit</v>
      </c>
    </row>
    <row r="3808" spans="1:14" x14ac:dyDescent="0.3">
      <c r="A3808" t="s">
        <v>766</v>
      </c>
      <c r="B3808" s="3">
        <v>41890</v>
      </c>
      <c r="C3808" t="s">
        <v>46</v>
      </c>
      <c r="D3808" t="s">
        <v>21</v>
      </c>
      <c r="E3808" t="s">
        <v>767</v>
      </c>
      <c r="F3808" s="1">
        <v>15.552</v>
      </c>
      <c r="G3808">
        <v>3</v>
      </c>
      <c r="H3808" s="1">
        <v>5.4432</v>
      </c>
      <c r="I3808" s="4">
        <f>SalesData[[#This Row],[Profit]]/SalesData[[#This Row],[Sales]]</f>
        <v>0.35000000000000003</v>
      </c>
      <c r="J3808">
        <f>YEAR(SalesData[[#This Row],[Order Date]])</f>
        <v>2014</v>
      </c>
      <c r="K3808" t="str">
        <f>TEXT(SalesData[[#This Row],[Order Date]],"mmm")</f>
        <v>Sep</v>
      </c>
      <c r="L3808">
        <f>MONTH(SalesData[[#This Row],[Order Date]])</f>
        <v>9</v>
      </c>
      <c r="M3808">
        <f>SalesData[[#This Row],[Sales]]/SalesData[[#This Row],[Quantity]]</f>
        <v>5.1840000000000002</v>
      </c>
      <c r="N3808" t="str">
        <f>IF(SalesData[[#This Row],[Profit]]&gt;0,"Profit","Loss")</f>
        <v>Profit</v>
      </c>
    </row>
    <row r="3809" spans="1:14" x14ac:dyDescent="0.3">
      <c r="A3809" t="s">
        <v>768</v>
      </c>
      <c r="B3809" s="3">
        <v>41890</v>
      </c>
      <c r="C3809" t="s">
        <v>13</v>
      </c>
      <c r="D3809" t="s">
        <v>21</v>
      </c>
      <c r="E3809" t="s">
        <v>769</v>
      </c>
      <c r="F3809" s="1">
        <v>20.88</v>
      </c>
      <c r="G3809">
        <v>8</v>
      </c>
      <c r="H3809" s="1">
        <v>9.6047999999999991</v>
      </c>
      <c r="I3809" s="4">
        <f>SalesData[[#This Row],[Profit]]/SalesData[[#This Row],[Sales]]</f>
        <v>0.45999999999999996</v>
      </c>
      <c r="J3809">
        <f>YEAR(SalesData[[#This Row],[Order Date]])</f>
        <v>2014</v>
      </c>
      <c r="K3809" t="str">
        <f>TEXT(SalesData[[#This Row],[Order Date]],"mmm")</f>
        <v>Sep</v>
      </c>
      <c r="L3809">
        <f>MONTH(SalesData[[#This Row],[Order Date]])</f>
        <v>9</v>
      </c>
      <c r="M3809">
        <f>SalesData[[#This Row],[Sales]]/SalesData[[#This Row],[Quantity]]</f>
        <v>2.61</v>
      </c>
      <c r="N3809" t="str">
        <f>IF(SalesData[[#This Row],[Profit]]&gt;0,"Profit","Loss")</f>
        <v>Profit</v>
      </c>
    </row>
    <row r="3810" spans="1:14" x14ac:dyDescent="0.3">
      <c r="A3810" t="s">
        <v>770</v>
      </c>
      <c r="B3810" s="3">
        <v>41890</v>
      </c>
      <c r="C3810" t="s">
        <v>13</v>
      </c>
      <c r="D3810" t="s">
        <v>10</v>
      </c>
      <c r="E3810" t="s">
        <v>771</v>
      </c>
      <c r="F3810" s="1">
        <v>1091.1679999999999</v>
      </c>
      <c r="G3810">
        <v>4</v>
      </c>
      <c r="H3810" s="1">
        <v>68.197999999999993</v>
      </c>
      <c r="I3810" s="4">
        <f>SalesData[[#This Row],[Profit]]/SalesData[[#This Row],[Sales]]</f>
        <v>6.25E-2</v>
      </c>
      <c r="J3810">
        <f>YEAR(SalesData[[#This Row],[Order Date]])</f>
        <v>2014</v>
      </c>
      <c r="K3810" t="str">
        <f>TEXT(SalesData[[#This Row],[Order Date]],"mmm")</f>
        <v>Sep</v>
      </c>
      <c r="L3810">
        <f>MONTH(SalesData[[#This Row],[Order Date]])</f>
        <v>9</v>
      </c>
      <c r="M3810">
        <f>SalesData[[#This Row],[Sales]]/SalesData[[#This Row],[Quantity]]</f>
        <v>272.79199999999997</v>
      </c>
      <c r="N3810" t="str">
        <f>IF(SalesData[[#This Row],[Profit]]&gt;0,"Profit","Loss")</f>
        <v>Profit</v>
      </c>
    </row>
    <row r="3811" spans="1:14" x14ac:dyDescent="0.3">
      <c r="A3811" t="s">
        <v>770</v>
      </c>
      <c r="B3811" s="3">
        <v>41890</v>
      </c>
      <c r="C3811" t="s">
        <v>13</v>
      </c>
      <c r="D3811" t="s">
        <v>10</v>
      </c>
      <c r="E3811" t="s">
        <v>772</v>
      </c>
      <c r="F3811" s="1">
        <v>219.16800000000001</v>
      </c>
      <c r="G3811">
        <v>2</v>
      </c>
      <c r="H3811" s="1">
        <v>-43.833599999999997</v>
      </c>
      <c r="I3811" s="4">
        <f>SalesData[[#This Row],[Profit]]/SalesData[[#This Row],[Sales]]</f>
        <v>-0.19999999999999998</v>
      </c>
      <c r="J3811">
        <f>YEAR(SalesData[[#This Row],[Order Date]])</f>
        <v>2014</v>
      </c>
      <c r="K3811" t="str">
        <f>TEXT(SalesData[[#This Row],[Order Date]],"mmm")</f>
        <v>Sep</v>
      </c>
      <c r="L3811">
        <f>MONTH(SalesData[[#This Row],[Order Date]])</f>
        <v>9</v>
      </c>
      <c r="M3811">
        <f>SalesData[[#This Row],[Sales]]/SalesData[[#This Row],[Quantity]]</f>
        <v>109.584</v>
      </c>
      <c r="N3811" t="str">
        <f>IF(SalesData[[#This Row],[Profit]]&gt;0,"Profit","Loss")</f>
        <v>Loss</v>
      </c>
    </row>
    <row r="3812" spans="1:14" x14ac:dyDescent="0.3">
      <c r="A3812" t="s">
        <v>773</v>
      </c>
      <c r="B3812" s="3">
        <v>41890</v>
      </c>
      <c r="C3812" t="s">
        <v>13</v>
      </c>
      <c r="D3812" t="s">
        <v>21</v>
      </c>
      <c r="E3812" t="s">
        <v>774</v>
      </c>
      <c r="F3812" s="1">
        <v>2060.7440000000001</v>
      </c>
      <c r="G3812">
        <v>7</v>
      </c>
      <c r="H3812" s="1">
        <v>643.98249999999996</v>
      </c>
      <c r="I3812" s="4">
        <f>SalesData[[#This Row],[Profit]]/SalesData[[#This Row],[Sales]]</f>
        <v>0.31249999999999994</v>
      </c>
      <c r="J3812">
        <f>YEAR(SalesData[[#This Row],[Order Date]])</f>
        <v>2014</v>
      </c>
      <c r="K3812" t="str">
        <f>TEXT(SalesData[[#This Row],[Order Date]],"mmm")</f>
        <v>Sep</v>
      </c>
      <c r="L3812">
        <f>MONTH(SalesData[[#This Row],[Order Date]])</f>
        <v>9</v>
      </c>
      <c r="M3812">
        <f>SalesData[[#This Row],[Sales]]/SalesData[[#This Row],[Quantity]]</f>
        <v>294.392</v>
      </c>
      <c r="N3812" t="str">
        <f>IF(SalesData[[#This Row],[Profit]]&gt;0,"Profit","Loss")</f>
        <v>Profit</v>
      </c>
    </row>
    <row r="3813" spans="1:14" x14ac:dyDescent="0.3">
      <c r="A3813" t="s">
        <v>775</v>
      </c>
      <c r="B3813" s="3">
        <v>41890</v>
      </c>
      <c r="C3813" t="s">
        <v>13</v>
      </c>
      <c r="D3813" t="s">
        <v>21</v>
      </c>
      <c r="E3813" t="s">
        <v>776</v>
      </c>
      <c r="F3813" s="1">
        <v>5.98</v>
      </c>
      <c r="G3813">
        <v>1</v>
      </c>
      <c r="H3813" s="1">
        <v>2.6909999999999998</v>
      </c>
      <c r="I3813" s="4">
        <f>SalesData[[#This Row],[Profit]]/SalesData[[#This Row],[Sales]]</f>
        <v>0.44999999999999996</v>
      </c>
      <c r="J3813">
        <f>YEAR(SalesData[[#This Row],[Order Date]])</f>
        <v>2014</v>
      </c>
      <c r="K3813" t="str">
        <f>TEXT(SalesData[[#This Row],[Order Date]],"mmm")</f>
        <v>Sep</v>
      </c>
      <c r="L3813">
        <f>MONTH(SalesData[[#This Row],[Order Date]])</f>
        <v>9</v>
      </c>
      <c r="M3813">
        <f>SalesData[[#This Row],[Sales]]/SalesData[[#This Row],[Quantity]]</f>
        <v>5.98</v>
      </c>
      <c r="N3813" t="str">
        <f>IF(SalesData[[#This Row],[Profit]]&gt;0,"Profit","Loss")</f>
        <v>Profit</v>
      </c>
    </row>
    <row r="3814" spans="1:14" x14ac:dyDescent="0.3">
      <c r="A3814" t="s">
        <v>777</v>
      </c>
      <c r="B3814" s="3">
        <v>41890</v>
      </c>
      <c r="C3814" t="s">
        <v>13</v>
      </c>
      <c r="D3814" t="s">
        <v>21</v>
      </c>
      <c r="E3814" t="s">
        <v>778</v>
      </c>
      <c r="F3814" s="1">
        <v>4.4640000000000004</v>
      </c>
      <c r="G3814">
        <v>3</v>
      </c>
      <c r="H3814" s="1">
        <v>-0.9486</v>
      </c>
      <c r="I3814" s="4">
        <f>SalesData[[#This Row],[Profit]]/SalesData[[#This Row],[Sales]]</f>
        <v>-0.21249999999999997</v>
      </c>
      <c r="J3814">
        <f>YEAR(SalesData[[#This Row],[Order Date]])</f>
        <v>2014</v>
      </c>
      <c r="K3814" t="str">
        <f>TEXT(SalesData[[#This Row],[Order Date]],"mmm")</f>
        <v>Sep</v>
      </c>
      <c r="L3814">
        <f>MONTH(SalesData[[#This Row],[Order Date]])</f>
        <v>9</v>
      </c>
      <c r="M3814">
        <f>SalesData[[#This Row],[Sales]]/SalesData[[#This Row],[Quantity]]</f>
        <v>1.4880000000000002</v>
      </c>
      <c r="N3814" t="str">
        <f>IF(SalesData[[#This Row],[Profit]]&gt;0,"Profit","Loss")</f>
        <v>Loss</v>
      </c>
    </row>
    <row r="3815" spans="1:14" x14ac:dyDescent="0.3">
      <c r="A3815" t="s">
        <v>777</v>
      </c>
      <c r="B3815" s="3">
        <v>41890</v>
      </c>
      <c r="C3815" t="s">
        <v>13</v>
      </c>
      <c r="D3815" t="s">
        <v>21</v>
      </c>
      <c r="E3815" t="s">
        <v>779</v>
      </c>
      <c r="F3815" s="1">
        <v>9.3450000000000006</v>
      </c>
      <c r="G3815">
        <v>5</v>
      </c>
      <c r="H3815" s="1">
        <v>-6.5415000000000001</v>
      </c>
      <c r="I3815" s="4">
        <f>SalesData[[#This Row],[Profit]]/SalesData[[#This Row],[Sales]]</f>
        <v>-0.7</v>
      </c>
      <c r="J3815">
        <f>YEAR(SalesData[[#This Row],[Order Date]])</f>
        <v>2014</v>
      </c>
      <c r="K3815" t="str">
        <f>TEXT(SalesData[[#This Row],[Order Date]],"mmm")</f>
        <v>Sep</v>
      </c>
      <c r="L3815">
        <f>MONTH(SalesData[[#This Row],[Order Date]])</f>
        <v>9</v>
      </c>
      <c r="M3815">
        <f>SalesData[[#This Row],[Sales]]/SalesData[[#This Row],[Quantity]]</f>
        <v>1.8690000000000002</v>
      </c>
      <c r="N3815" t="str">
        <f>IF(SalesData[[#This Row],[Profit]]&gt;0,"Profit","Loss")</f>
        <v>Loss</v>
      </c>
    </row>
    <row r="3816" spans="1:14" x14ac:dyDescent="0.3">
      <c r="A3816" t="s">
        <v>780</v>
      </c>
      <c r="B3816" s="3">
        <v>41891</v>
      </c>
      <c r="C3816" t="s">
        <v>9</v>
      </c>
      <c r="D3816" t="s">
        <v>21</v>
      </c>
      <c r="E3816" t="s">
        <v>781</v>
      </c>
      <c r="F3816" s="1">
        <v>103.6</v>
      </c>
      <c r="G3816">
        <v>7</v>
      </c>
      <c r="H3816" s="1">
        <v>51.8</v>
      </c>
      <c r="I3816" s="4">
        <f>SalesData[[#This Row],[Profit]]/SalesData[[#This Row],[Sales]]</f>
        <v>0.5</v>
      </c>
      <c r="J3816">
        <f>YEAR(SalesData[[#This Row],[Order Date]])</f>
        <v>2014</v>
      </c>
      <c r="K3816" t="str">
        <f>TEXT(SalesData[[#This Row],[Order Date]],"mmm")</f>
        <v>Sep</v>
      </c>
      <c r="L3816">
        <f>MONTH(SalesData[[#This Row],[Order Date]])</f>
        <v>9</v>
      </c>
      <c r="M3816">
        <f>SalesData[[#This Row],[Sales]]/SalesData[[#This Row],[Quantity]]</f>
        <v>14.799999999999999</v>
      </c>
      <c r="N3816" t="str">
        <f>IF(SalesData[[#This Row],[Profit]]&gt;0,"Profit","Loss")</f>
        <v>Profit</v>
      </c>
    </row>
    <row r="3817" spans="1:14" x14ac:dyDescent="0.3">
      <c r="A3817" t="s">
        <v>782</v>
      </c>
      <c r="B3817" s="3">
        <v>41891</v>
      </c>
      <c r="C3817" t="s">
        <v>17</v>
      </c>
      <c r="D3817" t="s">
        <v>21</v>
      </c>
      <c r="E3817" t="s">
        <v>432</v>
      </c>
      <c r="F3817" s="1">
        <v>166.44</v>
      </c>
      <c r="G3817">
        <v>3</v>
      </c>
      <c r="H3817" s="1">
        <v>79.891199999999998</v>
      </c>
      <c r="I3817" s="4">
        <f>SalesData[[#This Row],[Profit]]/SalesData[[#This Row],[Sales]]</f>
        <v>0.48</v>
      </c>
      <c r="J3817">
        <f>YEAR(SalesData[[#This Row],[Order Date]])</f>
        <v>2014</v>
      </c>
      <c r="K3817" t="str">
        <f>TEXT(SalesData[[#This Row],[Order Date]],"mmm")</f>
        <v>Sep</v>
      </c>
      <c r="L3817">
        <f>MONTH(SalesData[[#This Row],[Order Date]])</f>
        <v>9</v>
      </c>
      <c r="M3817">
        <f>SalesData[[#This Row],[Sales]]/SalesData[[#This Row],[Quantity]]</f>
        <v>55.48</v>
      </c>
      <c r="N3817" t="str">
        <f>IF(SalesData[[#This Row],[Profit]]&gt;0,"Profit","Loss")</f>
        <v>Profit</v>
      </c>
    </row>
    <row r="3818" spans="1:14" x14ac:dyDescent="0.3">
      <c r="A3818" t="s">
        <v>782</v>
      </c>
      <c r="B3818" s="3">
        <v>41891</v>
      </c>
      <c r="C3818" t="s">
        <v>17</v>
      </c>
      <c r="D3818" t="s">
        <v>14</v>
      </c>
      <c r="E3818" t="s">
        <v>783</v>
      </c>
      <c r="F3818" s="1">
        <v>785.88</v>
      </c>
      <c r="G3818">
        <v>6</v>
      </c>
      <c r="H3818" s="1">
        <v>212.1876</v>
      </c>
      <c r="I3818" s="4">
        <f>SalesData[[#This Row],[Profit]]/SalesData[[#This Row],[Sales]]</f>
        <v>0.27</v>
      </c>
      <c r="J3818">
        <f>YEAR(SalesData[[#This Row],[Order Date]])</f>
        <v>2014</v>
      </c>
      <c r="K3818" t="str">
        <f>TEXT(SalesData[[#This Row],[Order Date]],"mmm")</f>
        <v>Sep</v>
      </c>
      <c r="L3818">
        <f>MONTH(SalesData[[#This Row],[Order Date]])</f>
        <v>9</v>
      </c>
      <c r="M3818">
        <f>SalesData[[#This Row],[Sales]]/SalesData[[#This Row],[Quantity]]</f>
        <v>130.97999999999999</v>
      </c>
      <c r="N3818" t="str">
        <f>IF(SalesData[[#This Row],[Profit]]&gt;0,"Profit","Loss")</f>
        <v>Profit</v>
      </c>
    </row>
    <row r="3819" spans="1:14" x14ac:dyDescent="0.3">
      <c r="A3819" t="s">
        <v>782</v>
      </c>
      <c r="B3819" s="3">
        <v>41891</v>
      </c>
      <c r="C3819" t="s">
        <v>17</v>
      </c>
      <c r="D3819" t="s">
        <v>21</v>
      </c>
      <c r="E3819" t="s">
        <v>784</v>
      </c>
      <c r="F3819" s="1">
        <v>26.2</v>
      </c>
      <c r="G3819">
        <v>2</v>
      </c>
      <c r="H3819" s="1">
        <v>12.837999999999999</v>
      </c>
      <c r="I3819" s="4">
        <f>SalesData[[#This Row],[Profit]]/SalesData[[#This Row],[Sales]]</f>
        <v>0.49</v>
      </c>
      <c r="J3819">
        <f>YEAR(SalesData[[#This Row],[Order Date]])</f>
        <v>2014</v>
      </c>
      <c r="K3819" t="str">
        <f>TEXT(SalesData[[#This Row],[Order Date]],"mmm")</f>
        <v>Sep</v>
      </c>
      <c r="L3819">
        <f>MONTH(SalesData[[#This Row],[Order Date]])</f>
        <v>9</v>
      </c>
      <c r="M3819">
        <f>SalesData[[#This Row],[Sales]]/SalesData[[#This Row],[Quantity]]</f>
        <v>13.1</v>
      </c>
      <c r="N3819" t="str">
        <f>IF(SalesData[[#This Row],[Profit]]&gt;0,"Profit","Loss")</f>
        <v>Profit</v>
      </c>
    </row>
    <row r="3820" spans="1:14" x14ac:dyDescent="0.3">
      <c r="A3820" t="s">
        <v>782</v>
      </c>
      <c r="B3820" s="3">
        <v>41891</v>
      </c>
      <c r="C3820" t="s">
        <v>17</v>
      </c>
      <c r="D3820" t="s">
        <v>21</v>
      </c>
      <c r="E3820" t="s">
        <v>785</v>
      </c>
      <c r="F3820" s="1">
        <v>1325.85</v>
      </c>
      <c r="G3820">
        <v>5</v>
      </c>
      <c r="H3820" s="1">
        <v>238.65299999999999</v>
      </c>
      <c r="I3820" s="4">
        <f>SalesData[[#This Row],[Profit]]/SalesData[[#This Row],[Sales]]</f>
        <v>0.18</v>
      </c>
      <c r="J3820">
        <f>YEAR(SalesData[[#This Row],[Order Date]])</f>
        <v>2014</v>
      </c>
      <c r="K3820" t="str">
        <f>TEXT(SalesData[[#This Row],[Order Date]],"mmm")</f>
        <v>Sep</v>
      </c>
      <c r="L3820">
        <f>MONTH(SalesData[[#This Row],[Order Date]])</f>
        <v>9</v>
      </c>
      <c r="M3820">
        <f>SalesData[[#This Row],[Sales]]/SalesData[[#This Row],[Quantity]]</f>
        <v>265.16999999999996</v>
      </c>
      <c r="N3820" t="str">
        <f>IF(SalesData[[#This Row],[Profit]]&gt;0,"Profit","Loss")</f>
        <v>Profit</v>
      </c>
    </row>
    <row r="3821" spans="1:14" x14ac:dyDescent="0.3">
      <c r="A3821" t="s">
        <v>786</v>
      </c>
      <c r="B3821" s="3">
        <v>41891</v>
      </c>
      <c r="C3821" t="s">
        <v>17</v>
      </c>
      <c r="D3821" t="s">
        <v>21</v>
      </c>
      <c r="E3821" t="s">
        <v>787</v>
      </c>
      <c r="F3821" s="1">
        <v>15.552</v>
      </c>
      <c r="G3821">
        <v>3</v>
      </c>
      <c r="H3821" s="1">
        <v>5.4432</v>
      </c>
      <c r="I3821" s="4">
        <f>SalesData[[#This Row],[Profit]]/SalesData[[#This Row],[Sales]]</f>
        <v>0.35000000000000003</v>
      </c>
      <c r="J3821">
        <f>YEAR(SalesData[[#This Row],[Order Date]])</f>
        <v>2014</v>
      </c>
      <c r="K3821" t="str">
        <f>TEXT(SalesData[[#This Row],[Order Date]],"mmm")</f>
        <v>Sep</v>
      </c>
      <c r="L3821">
        <f>MONTH(SalesData[[#This Row],[Order Date]])</f>
        <v>9</v>
      </c>
      <c r="M3821">
        <f>SalesData[[#This Row],[Sales]]/SalesData[[#This Row],[Quantity]]</f>
        <v>5.1840000000000002</v>
      </c>
      <c r="N3821" t="str">
        <f>IF(SalesData[[#This Row],[Profit]]&gt;0,"Profit","Loss")</f>
        <v>Profit</v>
      </c>
    </row>
    <row r="3822" spans="1:14" x14ac:dyDescent="0.3">
      <c r="A3822" t="s">
        <v>786</v>
      </c>
      <c r="B3822" s="3">
        <v>41891</v>
      </c>
      <c r="C3822" t="s">
        <v>17</v>
      </c>
      <c r="D3822" t="s">
        <v>10</v>
      </c>
      <c r="E3822" t="s">
        <v>788</v>
      </c>
      <c r="F3822" s="1">
        <v>64.703999999999994</v>
      </c>
      <c r="G3822">
        <v>6</v>
      </c>
      <c r="H3822" s="1">
        <v>-4.8528000000000002</v>
      </c>
      <c r="I3822" s="4">
        <f>SalesData[[#This Row],[Profit]]/SalesData[[#This Row],[Sales]]</f>
        <v>-7.5000000000000011E-2</v>
      </c>
      <c r="J3822">
        <f>YEAR(SalesData[[#This Row],[Order Date]])</f>
        <v>2014</v>
      </c>
      <c r="K3822" t="str">
        <f>TEXT(SalesData[[#This Row],[Order Date]],"mmm")</f>
        <v>Sep</v>
      </c>
      <c r="L3822">
        <f>MONTH(SalesData[[#This Row],[Order Date]])</f>
        <v>9</v>
      </c>
      <c r="M3822">
        <f>SalesData[[#This Row],[Sales]]/SalesData[[#This Row],[Quantity]]</f>
        <v>10.783999999999999</v>
      </c>
      <c r="N3822" t="str">
        <f>IF(SalesData[[#This Row],[Profit]]&gt;0,"Profit","Loss")</f>
        <v>Loss</v>
      </c>
    </row>
    <row r="3823" spans="1:14" x14ac:dyDescent="0.3">
      <c r="A3823" t="s">
        <v>786</v>
      </c>
      <c r="B3823" s="3">
        <v>41891</v>
      </c>
      <c r="C3823" t="s">
        <v>17</v>
      </c>
      <c r="D3823" t="s">
        <v>14</v>
      </c>
      <c r="E3823" t="s">
        <v>789</v>
      </c>
      <c r="F3823" s="1">
        <v>17.472000000000001</v>
      </c>
      <c r="G3823">
        <v>3</v>
      </c>
      <c r="H3823" s="1">
        <v>5.0232000000000001</v>
      </c>
      <c r="I3823" s="4">
        <f>SalesData[[#This Row],[Profit]]/SalesData[[#This Row],[Sales]]</f>
        <v>0.28749999999999998</v>
      </c>
      <c r="J3823">
        <f>YEAR(SalesData[[#This Row],[Order Date]])</f>
        <v>2014</v>
      </c>
      <c r="K3823" t="str">
        <f>TEXT(SalesData[[#This Row],[Order Date]],"mmm")</f>
        <v>Sep</v>
      </c>
      <c r="L3823">
        <f>MONTH(SalesData[[#This Row],[Order Date]])</f>
        <v>9</v>
      </c>
      <c r="M3823">
        <f>SalesData[[#This Row],[Sales]]/SalesData[[#This Row],[Quantity]]</f>
        <v>5.8240000000000007</v>
      </c>
      <c r="N3823" t="str">
        <f>IF(SalesData[[#This Row],[Profit]]&gt;0,"Profit","Loss")</f>
        <v>Profit</v>
      </c>
    </row>
    <row r="3824" spans="1:14" x14ac:dyDescent="0.3">
      <c r="A3824" t="s">
        <v>786</v>
      </c>
      <c r="B3824" s="3">
        <v>41891</v>
      </c>
      <c r="C3824" t="s">
        <v>17</v>
      </c>
      <c r="D3824" t="s">
        <v>10</v>
      </c>
      <c r="E3824" t="s">
        <v>790</v>
      </c>
      <c r="F3824" s="1">
        <v>135.51599999999999</v>
      </c>
      <c r="G3824">
        <v>1</v>
      </c>
      <c r="H3824" s="1">
        <v>-31.6204</v>
      </c>
      <c r="I3824" s="4">
        <f>SalesData[[#This Row],[Profit]]/SalesData[[#This Row],[Sales]]</f>
        <v>-0.23333333333333334</v>
      </c>
      <c r="J3824">
        <f>YEAR(SalesData[[#This Row],[Order Date]])</f>
        <v>2014</v>
      </c>
      <c r="K3824" t="str">
        <f>TEXT(SalesData[[#This Row],[Order Date]],"mmm")</f>
        <v>Sep</v>
      </c>
      <c r="L3824">
        <f>MONTH(SalesData[[#This Row],[Order Date]])</f>
        <v>9</v>
      </c>
      <c r="M3824">
        <f>SalesData[[#This Row],[Sales]]/SalesData[[#This Row],[Quantity]]</f>
        <v>135.51599999999999</v>
      </c>
      <c r="N3824" t="str">
        <f>IF(SalesData[[#This Row],[Profit]]&gt;0,"Profit","Loss")</f>
        <v>Loss</v>
      </c>
    </row>
    <row r="3825" spans="1:14" x14ac:dyDescent="0.3">
      <c r="A3825" t="s">
        <v>791</v>
      </c>
      <c r="B3825" s="3">
        <v>41891</v>
      </c>
      <c r="C3825" t="s">
        <v>46</v>
      </c>
      <c r="D3825" t="s">
        <v>10</v>
      </c>
      <c r="E3825" t="s">
        <v>792</v>
      </c>
      <c r="F3825" s="1">
        <v>1299.99</v>
      </c>
      <c r="G3825">
        <v>2</v>
      </c>
      <c r="H3825" s="1">
        <v>-571.99559999999997</v>
      </c>
      <c r="I3825" s="4">
        <f>SalesData[[#This Row],[Profit]]/SalesData[[#This Row],[Sales]]</f>
        <v>-0.43999999999999995</v>
      </c>
      <c r="J3825">
        <f>YEAR(SalesData[[#This Row],[Order Date]])</f>
        <v>2014</v>
      </c>
      <c r="K3825" t="str">
        <f>TEXT(SalesData[[#This Row],[Order Date]],"mmm")</f>
        <v>Sep</v>
      </c>
      <c r="L3825">
        <f>MONTH(SalesData[[#This Row],[Order Date]])</f>
        <v>9</v>
      </c>
      <c r="M3825">
        <f>SalesData[[#This Row],[Sales]]/SalesData[[#This Row],[Quantity]]</f>
        <v>649.995</v>
      </c>
      <c r="N3825" t="str">
        <f>IF(SalesData[[#This Row],[Profit]]&gt;0,"Profit","Loss")</f>
        <v>Loss</v>
      </c>
    </row>
    <row r="3826" spans="1:14" x14ac:dyDescent="0.3">
      <c r="A3826" t="s">
        <v>793</v>
      </c>
      <c r="B3826" s="3">
        <v>41891</v>
      </c>
      <c r="C3826" t="s">
        <v>17</v>
      </c>
      <c r="D3826" t="s">
        <v>14</v>
      </c>
      <c r="E3826" t="s">
        <v>794</v>
      </c>
      <c r="F3826" s="1">
        <v>60.671999999999997</v>
      </c>
      <c r="G3826">
        <v>6</v>
      </c>
      <c r="H3826" s="1">
        <v>12.892799999999999</v>
      </c>
      <c r="I3826" s="4">
        <f>SalesData[[#This Row],[Profit]]/SalesData[[#This Row],[Sales]]</f>
        <v>0.21249999999999999</v>
      </c>
      <c r="J3826">
        <f>YEAR(SalesData[[#This Row],[Order Date]])</f>
        <v>2014</v>
      </c>
      <c r="K3826" t="str">
        <f>TEXT(SalesData[[#This Row],[Order Date]],"mmm")</f>
        <v>Sep</v>
      </c>
      <c r="L3826">
        <f>MONTH(SalesData[[#This Row],[Order Date]])</f>
        <v>9</v>
      </c>
      <c r="M3826">
        <f>SalesData[[#This Row],[Sales]]/SalesData[[#This Row],[Quantity]]</f>
        <v>10.112</v>
      </c>
      <c r="N3826" t="str">
        <f>IF(SalesData[[#This Row],[Profit]]&gt;0,"Profit","Loss")</f>
        <v>Profit</v>
      </c>
    </row>
    <row r="3827" spans="1:14" x14ac:dyDescent="0.3">
      <c r="A3827" t="s">
        <v>793</v>
      </c>
      <c r="B3827" s="3">
        <v>41891</v>
      </c>
      <c r="C3827" t="s">
        <v>17</v>
      </c>
      <c r="D3827" t="s">
        <v>21</v>
      </c>
      <c r="E3827" t="s">
        <v>84</v>
      </c>
      <c r="F3827" s="1">
        <v>30.815999999999999</v>
      </c>
      <c r="G3827">
        <v>9</v>
      </c>
      <c r="H3827" s="1">
        <v>2.6964000000000001</v>
      </c>
      <c r="I3827" s="4">
        <f>SalesData[[#This Row],[Profit]]/SalesData[[#This Row],[Sales]]</f>
        <v>8.7500000000000008E-2</v>
      </c>
      <c r="J3827">
        <f>YEAR(SalesData[[#This Row],[Order Date]])</f>
        <v>2014</v>
      </c>
      <c r="K3827" t="str">
        <f>TEXT(SalesData[[#This Row],[Order Date]],"mmm")</f>
        <v>Sep</v>
      </c>
      <c r="L3827">
        <f>MONTH(SalesData[[#This Row],[Order Date]])</f>
        <v>9</v>
      </c>
      <c r="M3827">
        <f>SalesData[[#This Row],[Sales]]/SalesData[[#This Row],[Quantity]]</f>
        <v>3.4239999999999999</v>
      </c>
      <c r="N3827" t="str">
        <f>IF(SalesData[[#This Row],[Profit]]&gt;0,"Profit","Loss")</f>
        <v>Profit</v>
      </c>
    </row>
    <row r="3828" spans="1:14" x14ac:dyDescent="0.3">
      <c r="A3828" t="s">
        <v>795</v>
      </c>
      <c r="B3828" s="3">
        <v>41891</v>
      </c>
      <c r="C3828" t="s">
        <v>9</v>
      </c>
      <c r="D3828" t="s">
        <v>21</v>
      </c>
      <c r="E3828" t="s">
        <v>796</v>
      </c>
      <c r="F3828" s="1">
        <v>10.896000000000001</v>
      </c>
      <c r="G3828">
        <v>3</v>
      </c>
      <c r="H3828" s="1">
        <v>3.4049999999999998</v>
      </c>
      <c r="I3828" s="4">
        <f>SalesData[[#This Row],[Profit]]/SalesData[[#This Row],[Sales]]</f>
        <v>0.31249999999999994</v>
      </c>
      <c r="J3828">
        <f>YEAR(SalesData[[#This Row],[Order Date]])</f>
        <v>2014</v>
      </c>
      <c r="K3828" t="str">
        <f>TEXT(SalesData[[#This Row],[Order Date]],"mmm")</f>
        <v>Sep</v>
      </c>
      <c r="L3828">
        <f>MONTH(SalesData[[#This Row],[Order Date]])</f>
        <v>9</v>
      </c>
      <c r="M3828">
        <f>SalesData[[#This Row],[Sales]]/SalesData[[#This Row],[Quantity]]</f>
        <v>3.6320000000000001</v>
      </c>
      <c r="N3828" t="str">
        <f>IF(SalesData[[#This Row],[Profit]]&gt;0,"Profit","Loss")</f>
        <v>Profit</v>
      </c>
    </row>
    <row r="3829" spans="1:14" x14ac:dyDescent="0.3">
      <c r="A3829" t="s">
        <v>797</v>
      </c>
      <c r="B3829" s="3">
        <v>41892</v>
      </c>
      <c r="C3829" t="s">
        <v>46</v>
      </c>
      <c r="D3829" t="s">
        <v>21</v>
      </c>
      <c r="E3829" t="s">
        <v>391</v>
      </c>
      <c r="F3829" s="1">
        <v>88.768000000000001</v>
      </c>
      <c r="G3829">
        <v>2</v>
      </c>
      <c r="H3829" s="1">
        <v>31.0688</v>
      </c>
      <c r="I3829" s="4">
        <f>SalesData[[#This Row],[Profit]]/SalesData[[#This Row],[Sales]]</f>
        <v>0.35</v>
      </c>
      <c r="J3829">
        <f>YEAR(SalesData[[#This Row],[Order Date]])</f>
        <v>2014</v>
      </c>
      <c r="K3829" t="str">
        <f>TEXT(SalesData[[#This Row],[Order Date]],"mmm")</f>
        <v>Sep</v>
      </c>
      <c r="L3829">
        <f>MONTH(SalesData[[#This Row],[Order Date]])</f>
        <v>9</v>
      </c>
      <c r="M3829">
        <f>SalesData[[#This Row],[Sales]]/SalesData[[#This Row],[Quantity]]</f>
        <v>44.384</v>
      </c>
      <c r="N3829" t="str">
        <f>IF(SalesData[[#This Row],[Profit]]&gt;0,"Profit","Loss")</f>
        <v>Profit</v>
      </c>
    </row>
    <row r="3830" spans="1:14" x14ac:dyDescent="0.3">
      <c r="A3830" t="s">
        <v>798</v>
      </c>
      <c r="B3830" s="3">
        <v>41892</v>
      </c>
      <c r="C3830" t="s">
        <v>13</v>
      </c>
      <c r="D3830" t="s">
        <v>21</v>
      </c>
      <c r="E3830" t="s">
        <v>44</v>
      </c>
      <c r="F3830" s="1">
        <v>144.6</v>
      </c>
      <c r="G3830">
        <v>3</v>
      </c>
      <c r="H3830" s="1">
        <v>41.933999999999997</v>
      </c>
      <c r="I3830" s="4">
        <f>SalesData[[#This Row],[Profit]]/SalesData[[#This Row],[Sales]]</f>
        <v>0.28999999999999998</v>
      </c>
      <c r="J3830">
        <f>YEAR(SalesData[[#This Row],[Order Date]])</f>
        <v>2014</v>
      </c>
      <c r="K3830" t="str">
        <f>TEXT(SalesData[[#This Row],[Order Date]],"mmm")</f>
        <v>Sep</v>
      </c>
      <c r="L3830">
        <f>MONTH(SalesData[[#This Row],[Order Date]])</f>
        <v>9</v>
      </c>
      <c r="M3830">
        <f>SalesData[[#This Row],[Sales]]/SalesData[[#This Row],[Quantity]]</f>
        <v>48.199999999999996</v>
      </c>
      <c r="N3830" t="str">
        <f>IF(SalesData[[#This Row],[Profit]]&gt;0,"Profit","Loss")</f>
        <v>Profit</v>
      </c>
    </row>
    <row r="3831" spans="1:14" x14ac:dyDescent="0.3">
      <c r="A3831" t="s">
        <v>798</v>
      </c>
      <c r="B3831" s="3">
        <v>41892</v>
      </c>
      <c r="C3831" t="s">
        <v>13</v>
      </c>
      <c r="D3831" t="s">
        <v>10</v>
      </c>
      <c r="E3831" t="s">
        <v>799</v>
      </c>
      <c r="F3831" s="1">
        <v>15.992000000000001</v>
      </c>
      <c r="G3831">
        <v>1</v>
      </c>
      <c r="H3831" s="1">
        <v>-2.9984999999999999</v>
      </c>
      <c r="I3831" s="4">
        <f>SalesData[[#This Row],[Profit]]/SalesData[[#This Row],[Sales]]</f>
        <v>-0.18749999999999997</v>
      </c>
      <c r="J3831">
        <f>YEAR(SalesData[[#This Row],[Order Date]])</f>
        <v>2014</v>
      </c>
      <c r="K3831" t="str">
        <f>TEXT(SalesData[[#This Row],[Order Date]],"mmm")</f>
        <v>Sep</v>
      </c>
      <c r="L3831">
        <f>MONTH(SalesData[[#This Row],[Order Date]])</f>
        <v>9</v>
      </c>
      <c r="M3831">
        <f>SalesData[[#This Row],[Sales]]/SalesData[[#This Row],[Quantity]]</f>
        <v>15.992000000000001</v>
      </c>
      <c r="N3831" t="str">
        <f>IF(SalesData[[#This Row],[Profit]]&gt;0,"Profit","Loss")</f>
        <v>Loss</v>
      </c>
    </row>
    <row r="3832" spans="1:14" x14ac:dyDescent="0.3">
      <c r="A3832" t="s">
        <v>800</v>
      </c>
      <c r="B3832" s="3">
        <v>41893</v>
      </c>
      <c r="C3832" t="s">
        <v>13</v>
      </c>
      <c r="D3832" t="s">
        <v>21</v>
      </c>
      <c r="E3832" t="s">
        <v>302</v>
      </c>
      <c r="F3832" s="1">
        <v>340.92</v>
      </c>
      <c r="G3832">
        <v>3</v>
      </c>
      <c r="H3832" s="1">
        <v>3.4091999999999998</v>
      </c>
      <c r="I3832" s="4">
        <f>SalesData[[#This Row],[Profit]]/SalesData[[#This Row],[Sales]]</f>
        <v>9.9999999999999985E-3</v>
      </c>
      <c r="J3832">
        <f>YEAR(SalesData[[#This Row],[Order Date]])</f>
        <v>2014</v>
      </c>
      <c r="K3832" t="str">
        <f>TEXT(SalesData[[#This Row],[Order Date]],"mmm")</f>
        <v>Sep</v>
      </c>
      <c r="L3832">
        <f>MONTH(SalesData[[#This Row],[Order Date]])</f>
        <v>9</v>
      </c>
      <c r="M3832">
        <f>SalesData[[#This Row],[Sales]]/SalesData[[#This Row],[Quantity]]</f>
        <v>113.64</v>
      </c>
      <c r="N3832" t="str">
        <f>IF(SalesData[[#This Row],[Profit]]&gt;0,"Profit","Loss")</f>
        <v>Profit</v>
      </c>
    </row>
    <row r="3833" spans="1:14" x14ac:dyDescent="0.3">
      <c r="A3833" t="s">
        <v>800</v>
      </c>
      <c r="B3833" s="3">
        <v>41893</v>
      </c>
      <c r="C3833" t="s">
        <v>13</v>
      </c>
      <c r="D3833" t="s">
        <v>14</v>
      </c>
      <c r="E3833" t="s">
        <v>801</v>
      </c>
      <c r="F3833" s="1">
        <v>222.666</v>
      </c>
      <c r="G3833">
        <v>2</v>
      </c>
      <c r="H3833" s="1">
        <v>10.478400000000001</v>
      </c>
      <c r="I3833" s="4">
        <f>SalesData[[#This Row],[Profit]]/SalesData[[#This Row],[Sales]]</f>
        <v>4.7058823529411771E-2</v>
      </c>
      <c r="J3833">
        <f>YEAR(SalesData[[#This Row],[Order Date]])</f>
        <v>2014</v>
      </c>
      <c r="K3833" t="str">
        <f>TEXT(SalesData[[#This Row],[Order Date]],"mmm")</f>
        <v>Sep</v>
      </c>
      <c r="L3833">
        <f>MONTH(SalesData[[#This Row],[Order Date]])</f>
        <v>9</v>
      </c>
      <c r="M3833">
        <f>SalesData[[#This Row],[Sales]]/SalesData[[#This Row],[Quantity]]</f>
        <v>111.333</v>
      </c>
      <c r="N3833" t="str">
        <f>IF(SalesData[[#This Row],[Profit]]&gt;0,"Profit","Loss")</f>
        <v>Profit</v>
      </c>
    </row>
    <row r="3834" spans="1:14" x14ac:dyDescent="0.3">
      <c r="A3834" t="s">
        <v>800</v>
      </c>
      <c r="B3834" s="3">
        <v>41893</v>
      </c>
      <c r="C3834" t="s">
        <v>13</v>
      </c>
      <c r="D3834" t="s">
        <v>10</v>
      </c>
      <c r="E3834" t="s">
        <v>802</v>
      </c>
      <c r="F3834" s="1">
        <v>703.96799999999996</v>
      </c>
      <c r="G3834">
        <v>4</v>
      </c>
      <c r="H3834" s="1">
        <v>87.995999999999995</v>
      </c>
      <c r="I3834" s="4">
        <f>SalesData[[#This Row],[Profit]]/SalesData[[#This Row],[Sales]]</f>
        <v>0.125</v>
      </c>
      <c r="J3834">
        <f>YEAR(SalesData[[#This Row],[Order Date]])</f>
        <v>2014</v>
      </c>
      <c r="K3834" t="str">
        <f>TEXT(SalesData[[#This Row],[Order Date]],"mmm")</f>
        <v>Sep</v>
      </c>
      <c r="L3834">
        <f>MONTH(SalesData[[#This Row],[Order Date]])</f>
        <v>9</v>
      </c>
      <c r="M3834">
        <f>SalesData[[#This Row],[Sales]]/SalesData[[#This Row],[Quantity]]</f>
        <v>175.99199999999999</v>
      </c>
      <c r="N3834" t="str">
        <f>IF(SalesData[[#This Row],[Profit]]&gt;0,"Profit","Loss")</f>
        <v>Profit</v>
      </c>
    </row>
    <row r="3835" spans="1:14" x14ac:dyDescent="0.3">
      <c r="A3835" t="s">
        <v>800</v>
      </c>
      <c r="B3835" s="3">
        <v>41893</v>
      </c>
      <c r="C3835" t="s">
        <v>13</v>
      </c>
      <c r="D3835" t="s">
        <v>21</v>
      </c>
      <c r="E3835" t="s">
        <v>803</v>
      </c>
      <c r="F3835" s="1">
        <v>92.52</v>
      </c>
      <c r="G3835">
        <v>6</v>
      </c>
      <c r="H3835" s="1">
        <v>24.980399999999999</v>
      </c>
      <c r="I3835" s="4">
        <f>SalesData[[#This Row],[Profit]]/SalesData[[#This Row],[Sales]]</f>
        <v>0.27</v>
      </c>
      <c r="J3835">
        <f>YEAR(SalesData[[#This Row],[Order Date]])</f>
        <v>2014</v>
      </c>
      <c r="K3835" t="str">
        <f>TEXT(SalesData[[#This Row],[Order Date]],"mmm")</f>
        <v>Sep</v>
      </c>
      <c r="L3835">
        <f>MONTH(SalesData[[#This Row],[Order Date]])</f>
        <v>9</v>
      </c>
      <c r="M3835">
        <f>SalesData[[#This Row],[Sales]]/SalesData[[#This Row],[Quantity]]</f>
        <v>15.42</v>
      </c>
      <c r="N3835" t="str">
        <f>IF(SalesData[[#This Row],[Profit]]&gt;0,"Profit","Loss")</f>
        <v>Profit</v>
      </c>
    </row>
    <row r="3836" spans="1:14" x14ac:dyDescent="0.3">
      <c r="A3836" t="s">
        <v>800</v>
      </c>
      <c r="B3836" s="3">
        <v>41893</v>
      </c>
      <c r="C3836" t="s">
        <v>13</v>
      </c>
      <c r="D3836" t="s">
        <v>21</v>
      </c>
      <c r="E3836" t="s">
        <v>804</v>
      </c>
      <c r="F3836" s="1">
        <v>62.65</v>
      </c>
      <c r="G3836">
        <v>7</v>
      </c>
      <c r="H3836" s="1">
        <v>28.818999999999999</v>
      </c>
      <c r="I3836" s="4">
        <f>SalesData[[#This Row],[Profit]]/SalesData[[#This Row],[Sales]]</f>
        <v>0.46</v>
      </c>
      <c r="J3836">
        <f>YEAR(SalesData[[#This Row],[Order Date]])</f>
        <v>2014</v>
      </c>
      <c r="K3836" t="str">
        <f>TEXT(SalesData[[#This Row],[Order Date]],"mmm")</f>
        <v>Sep</v>
      </c>
      <c r="L3836">
        <f>MONTH(SalesData[[#This Row],[Order Date]])</f>
        <v>9</v>
      </c>
      <c r="M3836">
        <f>SalesData[[#This Row],[Sales]]/SalesData[[#This Row],[Quantity]]</f>
        <v>8.9499999999999993</v>
      </c>
      <c r="N3836" t="str">
        <f>IF(SalesData[[#This Row],[Profit]]&gt;0,"Profit","Loss")</f>
        <v>Profit</v>
      </c>
    </row>
    <row r="3837" spans="1:14" x14ac:dyDescent="0.3">
      <c r="A3837" t="s">
        <v>800</v>
      </c>
      <c r="B3837" s="3">
        <v>41893</v>
      </c>
      <c r="C3837" t="s">
        <v>13</v>
      </c>
      <c r="D3837" t="s">
        <v>21</v>
      </c>
      <c r="E3837" t="s">
        <v>805</v>
      </c>
      <c r="F3837" s="1">
        <v>94.85</v>
      </c>
      <c r="G3837">
        <v>5</v>
      </c>
      <c r="H3837" s="1">
        <v>45.527999999999999</v>
      </c>
      <c r="I3837" s="4">
        <f>SalesData[[#This Row],[Profit]]/SalesData[[#This Row],[Sales]]</f>
        <v>0.48000000000000004</v>
      </c>
      <c r="J3837">
        <f>YEAR(SalesData[[#This Row],[Order Date]])</f>
        <v>2014</v>
      </c>
      <c r="K3837" t="str">
        <f>TEXT(SalesData[[#This Row],[Order Date]],"mmm")</f>
        <v>Sep</v>
      </c>
      <c r="L3837">
        <f>MONTH(SalesData[[#This Row],[Order Date]])</f>
        <v>9</v>
      </c>
      <c r="M3837">
        <f>SalesData[[#This Row],[Sales]]/SalesData[[#This Row],[Quantity]]</f>
        <v>18.97</v>
      </c>
      <c r="N3837" t="str">
        <f>IF(SalesData[[#This Row],[Profit]]&gt;0,"Profit","Loss")</f>
        <v>Profit</v>
      </c>
    </row>
    <row r="3838" spans="1:14" x14ac:dyDescent="0.3">
      <c r="A3838" t="s">
        <v>806</v>
      </c>
      <c r="B3838" s="3">
        <v>41893</v>
      </c>
      <c r="C3838" t="s">
        <v>17</v>
      </c>
      <c r="D3838" t="s">
        <v>14</v>
      </c>
      <c r="E3838" t="s">
        <v>807</v>
      </c>
      <c r="F3838" s="1">
        <v>56.52</v>
      </c>
      <c r="G3838">
        <v>9</v>
      </c>
      <c r="H3838" s="1">
        <v>21.477599999999999</v>
      </c>
      <c r="I3838" s="4">
        <f>SalesData[[#This Row],[Profit]]/SalesData[[#This Row],[Sales]]</f>
        <v>0.37999999999999995</v>
      </c>
      <c r="J3838">
        <f>YEAR(SalesData[[#This Row],[Order Date]])</f>
        <v>2014</v>
      </c>
      <c r="K3838" t="str">
        <f>TEXT(SalesData[[#This Row],[Order Date]],"mmm")</f>
        <v>Sep</v>
      </c>
      <c r="L3838">
        <f>MONTH(SalesData[[#This Row],[Order Date]])</f>
        <v>9</v>
      </c>
      <c r="M3838">
        <f>SalesData[[#This Row],[Sales]]/SalesData[[#This Row],[Quantity]]</f>
        <v>6.28</v>
      </c>
      <c r="N3838" t="str">
        <f>IF(SalesData[[#This Row],[Profit]]&gt;0,"Profit","Loss")</f>
        <v>Profit</v>
      </c>
    </row>
    <row r="3839" spans="1:14" x14ac:dyDescent="0.3">
      <c r="A3839" t="s">
        <v>808</v>
      </c>
      <c r="B3839" s="3">
        <v>41894</v>
      </c>
      <c r="C3839" t="s">
        <v>13</v>
      </c>
      <c r="D3839" t="s">
        <v>21</v>
      </c>
      <c r="E3839" t="s">
        <v>809</v>
      </c>
      <c r="F3839" s="1">
        <v>34.68</v>
      </c>
      <c r="G3839">
        <v>6</v>
      </c>
      <c r="H3839" s="1">
        <v>16.993200000000002</v>
      </c>
      <c r="I3839" s="4">
        <f>SalesData[[#This Row],[Profit]]/SalesData[[#This Row],[Sales]]</f>
        <v>0.49000000000000005</v>
      </c>
      <c r="J3839">
        <f>YEAR(SalesData[[#This Row],[Order Date]])</f>
        <v>2014</v>
      </c>
      <c r="K3839" t="str">
        <f>TEXT(SalesData[[#This Row],[Order Date]],"mmm")</f>
        <v>Sep</v>
      </c>
      <c r="L3839">
        <f>MONTH(SalesData[[#This Row],[Order Date]])</f>
        <v>9</v>
      </c>
      <c r="M3839">
        <f>SalesData[[#This Row],[Sales]]/SalesData[[#This Row],[Quantity]]</f>
        <v>5.78</v>
      </c>
      <c r="N3839" t="str">
        <f>IF(SalesData[[#This Row],[Profit]]&gt;0,"Profit","Loss")</f>
        <v>Profit</v>
      </c>
    </row>
    <row r="3840" spans="1:14" x14ac:dyDescent="0.3">
      <c r="A3840" t="s">
        <v>810</v>
      </c>
      <c r="B3840" s="3">
        <v>41894</v>
      </c>
      <c r="C3840" t="s">
        <v>13</v>
      </c>
      <c r="D3840" t="s">
        <v>21</v>
      </c>
      <c r="E3840" t="s">
        <v>811</v>
      </c>
      <c r="F3840" s="1">
        <v>100.70399999999999</v>
      </c>
      <c r="G3840">
        <v>6</v>
      </c>
      <c r="H3840" s="1">
        <v>-1.2587999999999999</v>
      </c>
      <c r="I3840" s="4">
        <f>SalesData[[#This Row],[Profit]]/SalesData[[#This Row],[Sales]]</f>
        <v>-1.2500000000000001E-2</v>
      </c>
      <c r="J3840">
        <f>YEAR(SalesData[[#This Row],[Order Date]])</f>
        <v>2014</v>
      </c>
      <c r="K3840" t="str">
        <f>TEXT(SalesData[[#This Row],[Order Date]],"mmm")</f>
        <v>Sep</v>
      </c>
      <c r="L3840">
        <f>MONTH(SalesData[[#This Row],[Order Date]])</f>
        <v>9</v>
      </c>
      <c r="M3840">
        <f>SalesData[[#This Row],[Sales]]/SalesData[[#This Row],[Quantity]]</f>
        <v>16.783999999999999</v>
      </c>
      <c r="N3840" t="str">
        <f>IF(SalesData[[#This Row],[Profit]]&gt;0,"Profit","Loss")</f>
        <v>Loss</v>
      </c>
    </row>
    <row r="3841" spans="1:14" x14ac:dyDescent="0.3">
      <c r="A3841" t="s">
        <v>812</v>
      </c>
      <c r="B3841" s="3">
        <v>41894</v>
      </c>
      <c r="C3841" t="s">
        <v>9</v>
      </c>
      <c r="D3841" t="s">
        <v>21</v>
      </c>
      <c r="E3841" t="s">
        <v>813</v>
      </c>
      <c r="F3841" s="1">
        <v>10.688000000000001</v>
      </c>
      <c r="G3841">
        <v>2</v>
      </c>
      <c r="H3841" s="1">
        <v>3.7408000000000001</v>
      </c>
      <c r="I3841" s="4">
        <f>SalesData[[#This Row],[Profit]]/SalesData[[#This Row],[Sales]]</f>
        <v>0.35</v>
      </c>
      <c r="J3841">
        <f>YEAR(SalesData[[#This Row],[Order Date]])</f>
        <v>2014</v>
      </c>
      <c r="K3841" t="str">
        <f>TEXT(SalesData[[#This Row],[Order Date]],"mmm")</f>
        <v>Sep</v>
      </c>
      <c r="L3841">
        <f>MONTH(SalesData[[#This Row],[Order Date]])</f>
        <v>9</v>
      </c>
      <c r="M3841">
        <f>SalesData[[#This Row],[Sales]]/SalesData[[#This Row],[Quantity]]</f>
        <v>5.3440000000000003</v>
      </c>
      <c r="N3841" t="str">
        <f>IF(SalesData[[#This Row],[Profit]]&gt;0,"Profit","Loss")</f>
        <v>Profit</v>
      </c>
    </row>
    <row r="3842" spans="1:14" x14ac:dyDescent="0.3">
      <c r="A3842" t="s">
        <v>812</v>
      </c>
      <c r="B3842" s="3">
        <v>41894</v>
      </c>
      <c r="C3842" t="s">
        <v>9</v>
      </c>
      <c r="D3842" t="s">
        <v>21</v>
      </c>
      <c r="E3842" t="s">
        <v>814</v>
      </c>
      <c r="F3842" s="1">
        <v>237.096</v>
      </c>
      <c r="G3842">
        <v>3</v>
      </c>
      <c r="H3842" s="1">
        <v>20.745899999999999</v>
      </c>
      <c r="I3842" s="4">
        <f>SalesData[[#This Row],[Profit]]/SalesData[[#This Row],[Sales]]</f>
        <v>8.7499999999999994E-2</v>
      </c>
      <c r="J3842">
        <f>YEAR(SalesData[[#This Row],[Order Date]])</f>
        <v>2014</v>
      </c>
      <c r="K3842" t="str">
        <f>TEXT(SalesData[[#This Row],[Order Date]],"mmm")</f>
        <v>Sep</v>
      </c>
      <c r="L3842">
        <f>MONTH(SalesData[[#This Row],[Order Date]])</f>
        <v>9</v>
      </c>
      <c r="M3842">
        <f>SalesData[[#This Row],[Sales]]/SalesData[[#This Row],[Quantity]]</f>
        <v>79.031999999999996</v>
      </c>
      <c r="N3842" t="str">
        <f>IF(SalesData[[#This Row],[Profit]]&gt;0,"Profit","Loss")</f>
        <v>Profit</v>
      </c>
    </row>
    <row r="3843" spans="1:14" x14ac:dyDescent="0.3">
      <c r="A3843" t="s">
        <v>815</v>
      </c>
      <c r="B3843" s="3">
        <v>41894</v>
      </c>
      <c r="C3843" t="s">
        <v>9</v>
      </c>
      <c r="D3843" t="s">
        <v>21</v>
      </c>
      <c r="E3843" t="s">
        <v>816</v>
      </c>
      <c r="F3843" s="1">
        <v>8.4480000000000004</v>
      </c>
      <c r="G3843">
        <v>2</v>
      </c>
      <c r="H3843" s="1">
        <v>2.9567999999999999</v>
      </c>
      <c r="I3843" s="4">
        <f>SalesData[[#This Row],[Profit]]/SalesData[[#This Row],[Sales]]</f>
        <v>0.35</v>
      </c>
      <c r="J3843">
        <f>YEAR(SalesData[[#This Row],[Order Date]])</f>
        <v>2014</v>
      </c>
      <c r="K3843" t="str">
        <f>TEXT(SalesData[[#This Row],[Order Date]],"mmm")</f>
        <v>Sep</v>
      </c>
      <c r="L3843">
        <f>MONTH(SalesData[[#This Row],[Order Date]])</f>
        <v>9</v>
      </c>
      <c r="M3843">
        <f>SalesData[[#This Row],[Sales]]/SalesData[[#This Row],[Quantity]]</f>
        <v>4.2240000000000002</v>
      </c>
      <c r="N3843" t="str">
        <f>IF(SalesData[[#This Row],[Profit]]&gt;0,"Profit","Loss")</f>
        <v>Profit</v>
      </c>
    </row>
    <row r="3844" spans="1:14" x14ac:dyDescent="0.3">
      <c r="A3844" t="s">
        <v>815</v>
      </c>
      <c r="B3844" s="3">
        <v>41894</v>
      </c>
      <c r="C3844" t="s">
        <v>9</v>
      </c>
      <c r="D3844" t="s">
        <v>21</v>
      </c>
      <c r="E3844" t="s">
        <v>817</v>
      </c>
      <c r="F3844" s="1">
        <v>20.388000000000002</v>
      </c>
      <c r="G3844">
        <v>2</v>
      </c>
      <c r="H3844" s="1">
        <v>-53.008800000000001</v>
      </c>
      <c r="I3844" s="4">
        <f>SalesData[[#This Row],[Profit]]/SalesData[[#This Row],[Sales]]</f>
        <v>-2.5999999999999996</v>
      </c>
      <c r="J3844">
        <f>YEAR(SalesData[[#This Row],[Order Date]])</f>
        <v>2014</v>
      </c>
      <c r="K3844" t="str">
        <f>TEXT(SalesData[[#This Row],[Order Date]],"mmm")</f>
        <v>Sep</v>
      </c>
      <c r="L3844">
        <f>MONTH(SalesData[[#This Row],[Order Date]])</f>
        <v>9</v>
      </c>
      <c r="M3844">
        <f>SalesData[[#This Row],[Sales]]/SalesData[[#This Row],[Quantity]]</f>
        <v>10.194000000000001</v>
      </c>
      <c r="N3844" t="str">
        <f>IF(SalesData[[#This Row],[Profit]]&gt;0,"Profit","Loss")</f>
        <v>Loss</v>
      </c>
    </row>
    <row r="3845" spans="1:14" x14ac:dyDescent="0.3">
      <c r="A3845" t="s">
        <v>818</v>
      </c>
      <c r="B3845" s="3">
        <v>41894</v>
      </c>
      <c r="C3845" t="s">
        <v>17</v>
      </c>
      <c r="D3845" t="s">
        <v>21</v>
      </c>
      <c r="E3845" t="s">
        <v>677</v>
      </c>
      <c r="F3845" s="1">
        <v>30.672000000000001</v>
      </c>
      <c r="G3845">
        <v>3</v>
      </c>
      <c r="H3845" s="1">
        <v>9.5850000000000009</v>
      </c>
      <c r="I3845" s="4">
        <f>SalesData[[#This Row],[Profit]]/SalesData[[#This Row],[Sales]]</f>
        <v>0.3125</v>
      </c>
      <c r="J3845">
        <f>YEAR(SalesData[[#This Row],[Order Date]])</f>
        <v>2014</v>
      </c>
      <c r="K3845" t="str">
        <f>TEXT(SalesData[[#This Row],[Order Date]],"mmm")</f>
        <v>Sep</v>
      </c>
      <c r="L3845">
        <f>MONTH(SalesData[[#This Row],[Order Date]])</f>
        <v>9</v>
      </c>
      <c r="M3845">
        <f>SalesData[[#This Row],[Sales]]/SalesData[[#This Row],[Quantity]]</f>
        <v>10.224</v>
      </c>
      <c r="N3845" t="str">
        <f>IF(SalesData[[#This Row],[Profit]]&gt;0,"Profit","Loss")</f>
        <v>Profit</v>
      </c>
    </row>
    <row r="3846" spans="1:14" x14ac:dyDescent="0.3">
      <c r="A3846" t="s">
        <v>818</v>
      </c>
      <c r="B3846" s="3">
        <v>41894</v>
      </c>
      <c r="C3846" t="s">
        <v>17</v>
      </c>
      <c r="D3846" t="s">
        <v>10</v>
      </c>
      <c r="E3846" t="s">
        <v>819</v>
      </c>
      <c r="F3846" s="1">
        <v>1079.9760000000001</v>
      </c>
      <c r="G3846">
        <v>4</v>
      </c>
      <c r="H3846" s="1">
        <v>125.99720000000001</v>
      </c>
      <c r="I3846" s="4">
        <f>SalesData[[#This Row],[Profit]]/SalesData[[#This Row],[Sales]]</f>
        <v>0.11666666666666665</v>
      </c>
      <c r="J3846">
        <f>YEAR(SalesData[[#This Row],[Order Date]])</f>
        <v>2014</v>
      </c>
      <c r="K3846" t="str">
        <f>TEXT(SalesData[[#This Row],[Order Date]],"mmm")</f>
        <v>Sep</v>
      </c>
      <c r="L3846">
        <f>MONTH(SalesData[[#This Row],[Order Date]])</f>
        <v>9</v>
      </c>
      <c r="M3846">
        <f>SalesData[[#This Row],[Sales]]/SalesData[[#This Row],[Quantity]]</f>
        <v>269.99400000000003</v>
      </c>
      <c r="N3846" t="str">
        <f>IF(SalesData[[#This Row],[Profit]]&gt;0,"Profit","Loss")</f>
        <v>Profit</v>
      </c>
    </row>
    <row r="3847" spans="1:14" x14ac:dyDescent="0.3">
      <c r="A3847" t="s">
        <v>820</v>
      </c>
      <c r="B3847" s="3">
        <v>41913</v>
      </c>
      <c r="C3847" t="s">
        <v>46</v>
      </c>
      <c r="D3847" t="s">
        <v>21</v>
      </c>
      <c r="E3847" t="s">
        <v>821</v>
      </c>
      <c r="F3847" s="1">
        <v>2.89</v>
      </c>
      <c r="G3847">
        <v>1</v>
      </c>
      <c r="H3847" s="1">
        <v>1.3583000000000001</v>
      </c>
      <c r="I3847" s="4">
        <f>SalesData[[#This Row],[Profit]]/SalesData[[#This Row],[Sales]]</f>
        <v>0.47000000000000003</v>
      </c>
      <c r="J3847">
        <f>YEAR(SalesData[[#This Row],[Order Date]])</f>
        <v>2014</v>
      </c>
      <c r="K3847" t="str">
        <f>TEXT(SalesData[[#This Row],[Order Date]],"mmm")</f>
        <v>Oct</v>
      </c>
      <c r="L3847">
        <f>MONTH(SalesData[[#This Row],[Order Date]])</f>
        <v>10</v>
      </c>
      <c r="M3847">
        <f>SalesData[[#This Row],[Sales]]/SalesData[[#This Row],[Quantity]]</f>
        <v>2.89</v>
      </c>
      <c r="N3847" t="str">
        <f>IF(SalesData[[#This Row],[Profit]]&gt;0,"Profit","Loss")</f>
        <v>Profit</v>
      </c>
    </row>
    <row r="3848" spans="1:14" x14ac:dyDescent="0.3">
      <c r="A3848" t="s">
        <v>820</v>
      </c>
      <c r="B3848" s="3">
        <v>41913</v>
      </c>
      <c r="C3848" t="s">
        <v>46</v>
      </c>
      <c r="D3848" t="s">
        <v>14</v>
      </c>
      <c r="E3848" t="s">
        <v>822</v>
      </c>
      <c r="F3848" s="1">
        <v>51.94</v>
      </c>
      <c r="G3848">
        <v>1</v>
      </c>
      <c r="H3848" s="1">
        <v>21.295400000000001</v>
      </c>
      <c r="I3848" s="4">
        <f>SalesData[[#This Row],[Profit]]/SalesData[[#This Row],[Sales]]</f>
        <v>0.41000000000000003</v>
      </c>
      <c r="J3848">
        <f>YEAR(SalesData[[#This Row],[Order Date]])</f>
        <v>2014</v>
      </c>
      <c r="K3848" t="str">
        <f>TEXT(SalesData[[#This Row],[Order Date]],"mmm")</f>
        <v>Oct</v>
      </c>
      <c r="L3848">
        <f>MONTH(SalesData[[#This Row],[Order Date]])</f>
        <v>10</v>
      </c>
      <c r="M3848">
        <f>SalesData[[#This Row],[Sales]]/SalesData[[#This Row],[Quantity]]</f>
        <v>51.94</v>
      </c>
      <c r="N3848" t="str">
        <f>IF(SalesData[[#This Row],[Profit]]&gt;0,"Profit","Loss")</f>
        <v>Profit</v>
      </c>
    </row>
    <row r="3849" spans="1:14" x14ac:dyDescent="0.3">
      <c r="A3849" t="s">
        <v>823</v>
      </c>
      <c r="B3849" s="3">
        <v>41915</v>
      </c>
      <c r="C3849" t="s">
        <v>9</v>
      </c>
      <c r="D3849" t="s">
        <v>21</v>
      </c>
      <c r="E3849" t="s">
        <v>704</v>
      </c>
      <c r="F3849" s="1">
        <v>22.38</v>
      </c>
      <c r="G3849">
        <v>2</v>
      </c>
      <c r="H3849" s="1">
        <v>10.7424</v>
      </c>
      <c r="I3849" s="4">
        <f>SalesData[[#This Row],[Profit]]/SalesData[[#This Row],[Sales]]</f>
        <v>0.48000000000000004</v>
      </c>
      <c r="J3849">
        <f>YEAR(SalesData[[#This Row],[Order Date]])</f>
        <v>2014</v>
      </c>
      <c r="K3849" t="str">
        <f>TEXT(SalesData[[#This Row],[Order Date]],"mmm")</f>
        <v>Oct</v>
      </c>
      <c r="L3849">
        <f>MONTH(SalesData[[#This Row],[Order Date]])</f>
        <v>10</v>
      </c>
      <c r="M3849">
        <f>SalesData[[#This Row],[Sales]]/SalesData[[#This Row],[Quantity]]</f>
        <v>11.19</v>
      </c>
      <c r="N3849" t="str">
        <f>IF(SalesData[[#This Row],[Profit]]&gt;0,"Profit","Loss")</f>
        <v>Profit</v>
      </c>
    </row>
    <row r="3850" spans="1:14" x14ac:dyDescent="0.3">
      <c r="A3850" t="s">
        <v>824</v>
      </c>
      <c r="B3850" s="3">
        <v>41915</v>
      </c>
      <c r="C3850" t="s">
        <v>13</v>
      </c>
      <c r="D3850" t="s">
        <v>21</v>
      </c>
      <c r="E3850" t="s">
        <v>785</v>
      </c>
      <c r="F3850" s="1">
        <v>636.40800000000002</v>
      </c>
      <c r="G3850">
        <v>3</v>
      </c>
      <c r="H3850" s="1">
        <v>-15.9102</v>
      </c>
      <c r="I3850" s="4">
        <f>SalesData[[#This Row],[Profit]]/SalesData[[#This Row],[Sales]]</f>
        <v>-2.4999999999999998E-2</v>
      </c>
      <c r="J3850">
        <f>YEAR(SalesData[[#This Row],[Order Date]])</f>
        <v>2014</v>
      </c>
      <c r="K3850" t="str">
        <f>TEXT(SalesData[[#This Row],[Order Date]],"mmm")</f>
        <v>Oct</v>
      </c>
      <c r="L3850">
        <f>MONTH(SalesData[[#This Row],[Order Date]])</f>
        <v>10</v>
      </c>
      <c r="M3850">
        <f>SalesData[[#This Row],[Sales]]/SalesData[[#This Row],[Quantity]]</f>
        <v>212.136</v>
      </c>
      <c r="N3850" t="str">
        <f>IF(SalesData[[#This Row],[Profit]]&gt;0,"Profit","Loss")</f>
        <v>Loss</v>
      </c>
    </row>
    <row r="3851" spans="1:14" x14ac:dyDescent="0.3">
      <c r="A3851" t="s">
        <v>824</v>
      </c>
      <c r="B3851" s="3">
        <v>41915</v>
      </c>
      <c r="C3851" t="s">
        <v>13</v>
      </c>
      <c r="D3851" t="s">
        <v>21</v>
      </c>
      <c r="E3851" t="s">
        <v>825</v>
      </c>
      <c r="F3851" s="1">
        <v>83.168000000000006</v>
      </c>
      <c r="G3851">
        <v>4</v>
      </c>
      <c r="H3851" s="1">
        <v>9.3564000000000007</v>
      </c>
      <c r="I3851" s="4">
        <f>SalesData[[#This Row],[Profit]]/SalesData[[#This Row],[Sales]]</f>
        <v>0.1125</v>
      </c>
      <c r="J3851">
        <f>YEAR(SalesData[[#This Row],[Order Date]])</f>
        <v>2014</v>
      </c>
      <c r="K3851" t="str">
        <f>TEXT(SalesData[[#This Row],[Order Date]],"mmm")</f>
        <v>Oct</v>
      </c>
      <c r="L3851">
        <f>MONTH(SalesData[[#This Row],[Order Date]])</f>
        <v>10</v>
      </c>
      <c r="M3851">
        <f>SalesData[[#This Row],[Sales]]/SalesData[[#This Row],[Quantity]]</f>
        <v>20.792000000000002</v>
      </c>
      <c r="N3851" t="str">
        <f>IF(SalesData[[#This Row],[Profit]]&gt;0,"Profit","Loss")</f>
        <v>Profit</v>
      </c>
    </row>
    <row r="3852" spans="1:14" x14ac:dyDescent="0.3">
      <c r="A3852" t="s">
        <v>826</v>
      </c>
      <c r="B3852" s="3">
        <v>41917</v>
      </c>
      <c r="C3852" t="s">
        <v>13</v>
      </c>
      <c r="D3852" t="s">
        <v>21</v>
      </c>
      <c r="E3852" t="s">
        <v>827</v>
      </c>
      <c r="F3852" s="1">
        <v>158.13</v>
      </c>
      <c r="G3852">
        <v>3</v>
      </c>
      <c r="H3852" s="1">
        <v>77.483699999999999</v>
      </c>
      <c r="I3852" s="4">
        <f>SalesData[[#This Row],[Profit]]/SalesData[[#This Row],[Sales]]</f>
        <v>0.49</v>
      </c>
      <c r="J3852">
        <f>YEAR(SalesData[[#This Row],[Order Date]])</f>
        <v>2014</v>
      </c>
      <c r="K3852" t="str">
        <f>TEXT(SalesData[[#This Row],[Order Date]],"mmm")</f>
        <v>Oct</v>
      </c>
      <c r="L3852">
        <f>MONTH(SalesData[[#This Row],[Order Date]])</f>
        <v>10</v>
      </c>
      <c r="M3852">
        <f>SalesData[[#This Row],[Sales]]/SalesData[[#This Row],[Quantity]]</f>
        <v>52.71</v>
      </c>
      <c r="N3852" t="str">
        <f>IF(SalesData[[#This Row],[Profit]]&gt;0,"Profit","Loss")</f>
        <v>Profit</v>
      </c>
    </row>
    <row r="3853" spans="1:14" x14ac:dyDescent="0.3">
      <c r="A3853" t="s">
        <v>826</v>
      </c>
      <c r="B3853" s="3">
        <v>41917</v>
      </c>
      <c r="C3853" t="s">
        <v>13</v>
      </c>
      <c r="D3853" t="s">
        <v>10</v>
      </c>
      <c r="E3853" t="s">
        <v>828</v>
      </c>
      <c r="F3853" s="1">
        <v>43.6</v>
      </c>
      <c r="G3853">
        <v>5</v>
      </c>
      <c r="H3853" s="1">
        <v>4.3600000000000003</v>
      </c>
      <c r="I3853" s="4">
        <f>SalesData[[#This Row],[Profit]]/SalesData[[#This Row],[Sales]]</f>
        <v>0.1</v>
      </c>
      <c r="J3853">
        <f>YEAR(SalesData[[#This Row],[Order Date]])</f>
        <v>2014</v>
      </c>
      <c r="K3853" t="str">
        <f>TEXT(SalesData[[#This Row],[Order Date]],"mmm")</f>
        <v>Oct</v>
      </c>
      <c r="L3853">
        <f>MONTH(SalesData[[#This Row],[Order Date]])</f>
        <v>10</v>
      </c>
      <c r="M3853">
        <f>SalesData[[#This Row],[Sales]]/SalesData[[#This Row],[Quantity]]</f>
        <v>8.7200000000000006</v>
      </c>
      <c r="N3853" t="str">
        <f>IF(SalesData[[#This Row],[Profit]]&gt;0,"Profit","Loss")</f>
        <v>Profit</v>
      </c>
    </row>
    <row r="3854" spans="1:14" x14ac:dyDescent="0.3">
      <c r="A3854" t="s">
        <v>829</v>
      </c>
      <c r="B3854" s="3">
        <v>41917</v>
      </c>
      <c r="C3854" t="s">
        <v>17</v>
      </c>
      <c r="D3854" t="s">
        <v>14</v>
      </c>
      <c r="E3854" t="s">
        <v>830</v>
      </c>
      <c r="F3854" s="1">
        <v>349.96499999999997</v>
      </c>
      <c r="G3854">
        <v>7</v>
      </c>
      <c r="H3854" s="1">
        <v>-216.97829999999999</v>
      </c>
      <c r="I3854" s="4">
        <f>SalesData[[#This Row],[Profit]]/SalesData[[#This Row],[Sales]]</f>
        <v>-0.62</v>
      </c>
      <c r="J3854">
        <f>YEAR(SalesData[[#This Row],[Order Date]])</f>
        <v>2014</v>
      </c>
      <c r="K3854" t="str">
        <f>TEXT(SalesData[[#This Row],[Order Date]],"mmm")</f>
        <v>Oct</v>
      </c>
      <c r="L3854">
        <f>MONTH(SalesData[[#This Row],[Order Date]])</f>
        <v>10</v>
      </c>
      <c r="M3854">
        <f>SalesData[[#This Row],[Sales]]/SalesData[[#This Row],[Quantity]]</f>
        <v>49.994999999999997</v>
      </c>
      <c r="N3854" t="str">
        <f>IF(SalesData[[#This Row],[Profit]]&gt;0,"Profit","Loss")</f>
        <v>Loss</v>
      </c>
    </row>
    <row r="3855" spans="1:14" x14ac:dyDescent="0.3">
      <c r="A3855" t="s">
        <v>829</v>
      </c>
      <c r="B3855" s="3">
        <v>41917</v>
      </c>
      <c r="C3855" t="s">
        <v>17</v>
      </c>
      <c r="D3855" t="s">
        <v>21</v>
      </c>
      <c r="E3855" t="s">
        <v>153</v>
      </c>
      <c r="F3855" s="1">
        <v>22.32</v>
      </c>
      <c r="G3855">
        <v>5</v>
      </c>
      <c r="H3855" s="1">
        <v>5.3010000000000002</v>
      </c>
      <c r="I3855" s="4">
        <f>SalesData[[#This Row],[Profit]]/SalesData[[#This Row],[Sales]]</f>
        <v>0.23750000000000002</v>
      </c>
      <c r="J3855">
        <f>YEAR(SalesData[[#This Row],[Order Date]])</f>
        <v>2014</v>
      </c>
      <c r="K3855" t="str">
        <f>TEXT(SalesData[[#This Row],[Order Date]],"mmm")</f>
        <v>Oct</v>
      </c>
      <c r="L3855">
        <f>MONTH(SalesData[[#This Row],[Order Date]])</f>
        <v>10</v>
      </c>
      <c r="M3855">
        <f>SalesData[[#This Row],[Sales]]/SalesData[[#This Row],[Quantity]]</f>
        <v>4.4640000000000004</v>
      </c>
      <c r="N3855" t="str">
        <f>IF(SalesData[[#This Row],[Profit]]&gt;0,"Profit","Loss")</f>
        <v>Profit</v>
      </c>
    </row>
    <row r="3856" spans="1:14" x14ac:dyDescent="0.3">
      <c r="A3856" t="s">
        <v>831</v>
      </c>
      <c r="B3856" s="3">
        <v>41917</v>
      </c>
      <c r="C3856" t="s">
        <v>13</v>
      </c>
      <c r="D3856" t="s">
        <v>21</v>
      </c>
      <c r="E3856" t="s">
        <v>353</v>
      </c>
      <c r="F3856" s="1">
        <v>39.96</v>
      </c>
      <c r="G3856">
        <v>2</v>
      </c>
      <c r="H3856" s="1">
        <v>19.180800000000001</v>
      </c>
      <c r="I3856" s="4">
        <f>SalesData[[#This Row],[Profit]]/SalesData[[#This Row],[Sales]]</f>
        <v>0.48000000000000004</v>
      </c>
      <c r="J3856">
        <f>YEAR(SalesData[[#This Row],[Order Date]])</f>
        <v>2014</v>
      </c>
      <c r="K3856" t="str">
        <f>TEXT(SalesData[[#This Row],[Order Date]],"mmm")</f>
        <v>Oct</v>
      </c>
      <c r="L3856">
        <f>MONTH(SalesData[[#This Row],[Order Date]])</f>
        <v>10</v>
      </c>
      <c r="M3856">
        <f>SalesData[[#This Row],[Sales]]/SalesData[[#This Row],[Quantity]]</f>
        <v>19.98</v>
      </c>
      <c r="N3856" t="str">
        <f>IF(SalesData[[#This Row],[Profit]]&gt;0,"Profit","Loss")</f>
        <v>Profit</v>
      </c>
    </row>
    <row r="3857" spans="1:14" x14ac:dyDescent="0.3">
      <c r="A3857" t="s">
        <v>831</v>
      </c>
      <c r="B3857" s="3">
        <v>41917</v>
      </c>
      <c r="C3857" t="s">
        <v>13</v>
      </c>
      <c r="D3857" t="s">
        <v>10</v>
      </c>
      <c r="E3857" t="s">
        <v>832</v>
      </c>
      <c r="F3857" s="1">
        <v>1432</v>
      </c>
      <c r="G3857">
        <v>5</v>
      </c>
      <c r="H3857" s="1">
        <v>125.3</v>
      </c>
      <c r="I3857" s="4">
        <f>SalesData[[#This Row],[Profit]]/SalesData[[#This Row],[Sales]]</f>
        <v>8.7499999999999994E-2</v>
      </c>
      <c r="J3857">
        <f>YEAR(SalesData[[#This Row],[Order Date]])</f>
        <v>2014</v>
      </c>
      <c r="K3857" t="str">
        <f>TEXT(SalesData[[#This Row],[Order Date]],"mmm")</f>
        <v>Oct</v>
      </c>
      <c r="L3857">
        <f>MONTH(SalesData[[#This Row],[Order Date]])</f>
        <v>10</v>
      </c>
      <c r="M3857">
        <f>SalesData[[#This Row],[Sales]]/SalesData[[#This Row],[Quantity]]</f>
        <v>286.39999999999998</v>
      </c>
      <c r="N3857" t="str">
        <f>IF(SalesData[[#This Row],[Profit]]&gt;0,"Profit","Loss")</f>
        <v>Profit</v>
      </c>
    </row>
    <row r="3858" spans="1:14" x14ac:dyDescent="0.3">
      <c r="A3858" t="s">
        <v>831</v>
      </c>
      <c r="B3858" s="3">
        <v>41917</v>
      </c>
      <c r="C3858" t="s">
        <v>13</v>
      </c>
      <c r="D3858" t="s">
        <v>21</v>
      </c>
      <c r="E3858" t="s">
        <v>833</v>
      </c>
      <c r="F3858" s="1">
        <v>41.04</v>
      </c>
      <c r="G3858">
        <v>6</v>
      </c>
      <c r="H3858" s="1">
        <v>11.0808</v>
      </c>
      <c r="I3858" s="4">
        <f>SalesData[[#This Row],[Profit]]/SalesData[[#This Row],[Sales]]</f>
        <v>0.27</v>
      </c>
      <c r="J3858">
        <f>YEAR(SalesData[[#This Row],[Order Date]])</f>
        <v>2014</v>
      </c>
      <c r="K3858" t="str">
        <f>TEXT(SalesData[[#This Row],[Order Date]],"mmm")</f>
        <v>Oct</v>
      </c>
      <c r="L3858">
        <f>MONTH(SalesData[[#This Row],[Order Date]])</f>
        <v>10</v>
      </c>
      <c r="M3858">
        <f>SalesData[[#This Row],[Sales]]/SalesData[[#This Row],[Quantity]]</f>
        <v>6.84</v>
      </c>
      <c r="N3858" t="str">
        <f>IF(SalesData[[#This Row],[Profit]]&gt;0,"Profit","Loss")</f>
        <v>Profit</v>
      </c>
    </row>
    <row r="3859" spans="1:14" x14ac:dyDescent="0.3">
      <c r="A3859" t="s">
        <v>831</v>
      </c>
      <c r="B3859" s="3">
        <v>41917</v>
      </c>
      <c r="C3859" t="s">
        <v>13</v>
      </c>
      <c r="D3859" t="s">
        <v>14</v>
      </c>
      <c r="E3859" t="s">
        <v>834</v>
      </c>
      <c r="F3859" s="1">
        <v>256.78399999999999</v>
      </c>
      <c r="G3859">
        <v>1</v>
      </c>
      <c r="H3859" s="1">
        <v>32.097999999999999</v>
      </c>
      <c r="I3859" s="4">
        <f>SalesData[[#This Row],[Profit]]/SalesData[[#This Row],[Sales]]</f>
        <v>0.125</v>
      </c>
      <c r="J3859">
        <f>YEAR(SalesData[[#This Row],[Order Date]])</f>
        <v>2014</v>
      </c>
      <c r="K3859" t="str">
        <f>TEXT(SalesData[[#This Row],[Order Date]],"mmm")</f>
        <v>Oct</v>
      </c>
      <c r="L3859">
        <f>MONTH(SalesData[[#This Row],[Order Date]])</f>
        <v>10</v>
      </c>
      <c r="M3859">
        <f>SalesData[[#This Row],[Sales]]/SalesData[[#This Row],[Quantity]]</f>
        <v>256.78399999999999</v>
      </c>
      <c r="N3859" t="str">
        <f>IF(SalesData[[#This Row],[Profit]]&gt;0,"Profit","Loss")</f>
        <v>Profit</v>
      </c>
    </row>
    <row r="3860" spans="1:14" x14ac:dyDescent="0.3">
      <c r="A3860" t="s">
        <v>835</v>
      </c>
      <c r="B3860" s="3">
        <v>41918</v>
      </c>
      <c r="C3860" t="s">
        <v>9</v>
      </c>
      <c r="D3860" t="s">
        <v>21</v>
      </c>
      <c r="E3860" t="s">
        <v>836</v>
      </c>
      <c r="F3860" s="1">
        <v>491.55</v>
      </c>
      <c r="G3860">
        <v>5</v>
      </c>
      <c r="H3860" s="1">
        <v>240.8595</v>
      </c>
      <c r="I3860" s="4">
        <f>SalesData[[#This Row],[Profit]]/SalesData[[#This Row],[Sales]]</f>
        <v>0.49</v>
      </c>
      <c r="J3860">
        <f>YEAR(SalesData[[#This Row],[Order Date]])</f>
        <v>2014</v>
      </c>
      <c r="K3860" t="str">
        <f>TEXT(SalesData[[#This Row],[Order Date]],"mmm")</f>
        <v>Oct</v>
      </c>
      <c r="L3860">
        <f>MONTH(SalesData[[#This Row],[Order Date]])</f>
        <v>10</v>
      </c>
      <c r="M3860">
        <f>SalesData[[#This Row],[Sales]]/SalesData[[#This Row],[Quantity]]</f>
        <v>98.31</v>
      </c>
      <c r="N3860" t="str">
        <f>IF(SalesData[[#This Row],[Profit]]&gt;0,"Profit","Loss")</f>
        <v>Profit</v>
      </c>
    </row>
    <row r="3861" spans="1:14" x14ac:dyDescent="0.3">
      <c r="A3861" t="s">
        <v>837</v>
      </c>
      <c r="B3861" s="3">
        <v>41921</v>
      </c>
      <c r="C3861" t="s">
        <v>46</v>
      </c>
      <c r="D3861" t="s">
        <v>21</v>
      </c>
      <c r="E3861" t="s">
        <v>838</v>
      </c>
      <c r="F3861" s="1">
        <v>9.64</v>
      </c>
      <c r="G3861">
        <v>2</v>
      </c>
      <c r="H3861" s="1">
        <v>4.7236000000000002</v>
      </c>
      <c r="I3861" s="4">
        <f>SalesData[[#This Row],[Profit]]/SalesData[[#This Row],[Sales]]</f>
        <v>0.49</v>
      </c>
      <c r="J3861">
        <f>YEAR(SalesData[[#This Row],[Order Date]])</f>
        <v>2014</v>
      </c>
      <c r="K3861" t="str">
        <f>TEXT(SalesData[[#This Row],[Order Date]],"mmm")</f>
        <v>Oct</v>
      </c>
      <c r="L3861">
        <f>MONTH(SalesData[[#This Row],[Order Date]])</f>
        <v>10</v>
      </c>
      <c r="M3861">
        <f>SalesData[[#This Row],[Sales]]/SalesData[[#This Row],[Quantity]]</f>
        <v>4.82</v>
      </c>
      <c r="N3861" t="str">
        <f>IF(SalesData[[#This Row],[Profit]]&gt;0,"Profit","Loss")</f>
        <v>Profit</v>
      </c>
    </row>
    <row r="3862" spans="1:14" x14ac:dyDescent="0.3">
      <c r="A3862" t="s">
        <v>839</v>
      </c>
      <c r="B3862" s="3">
        <v>41921</v>
      </c>
      <c r="C3862" t="s">
        <v>13</v>
      </c>
      <c r="D3862" t="s">
        <v>21</v>
      </c>
      <c r="E3862" t="s">
        <v>840</v>
      </c>
      <c r="F3862" s="1">
        <v>21.728000000000002</v>
      </c>
      <c r="G3862">
        <v>7</v>
      </c>
      <c r="H3862" s="1">
        <v>7.6048</v>
      </c>
      <c r="I3862" s="4">
        <f>SalesData[[#This Row],[Profit]]/SalesData[[#This Row],[Sales]]</f>
        <v>0.35</v>
      </c>
      <c r="J3862">
        <f>YEAR(SalesData[[#This Row],[Order Date]])</f>
        <v>2014</v>
      </c>
      <c r="K3862" t="str">
        <f>TEXT(SalesData[[#This Row],[Order Date]],"mmm")</f>
        <v>Oct</v>
      </c>
      <c r="L3862">
        <f>MONTH(SalesData[[#This Row],[Order Date]])</f>
        <v>10</v>
      </c>
      <c r="M3862">
        <f>SalesData[[#This Row],[Sales]]/SalesData[[#This Row],[Quantity]]</f>
        <v>3.1040000000000001</v>
      </c>
      <c r="N3862" t="str">
        <f>IF(SalesData[[#This Row],[Profit]]&gt;0,"Profit","Loss")</f>
        <v>Profit</v>
      </c>
    </row>
    <row r="3863" spans="1:14" x14ac:dyDescent="0.3">
      <c r="A3863" t="s">
        <v>839</v>
      </c>
      <c r="B3863" s="3">
        <v>41921</v>
      </c>
      <c r="C3863" t="s">
        <v>13</v>
      </c>
      <c r="D3863" t="s">
        <v>14</v>
      </c>
      <c r="E3863" t="s">
        <v>841</v>
      </c>
      <c r="F3863" s="1">
        <v>1487.04</v>
      </c>
      <c r="G3863">
        <v>5</v>
      </c>
      <c r="H3863" s="1">
        <v>148.70400000000001</v>
      </c>
      <c r="I3863" s="4">
        <f>SalesData[[#This Row],[Profit]]/SalesData[[#This Row],[Sales]]</f>
        <v>0.1</v>
      </c>
      <c r="J3863">
        <f>YEAR(SalesData[[#This Row],[Order Date]])</f>
        <v>2014</v>
      </c>
      <c r="K3863" t="str">
        <f>TEXT(SalesData[[#This Row],[Order Date]],"mmm")</f>
        <v>Oct</v>
      </c>
      <c r="L3863">
        <f>MONTH(SalesData[[#This Row],[Order Date]])</f>
        <v>10</v>
      </c>
      <c r="M3863">
        <f>SalesData[[#This Row],[Sales]]/SalesData[[#This Row],[Quantity]]</f>
        <v>297.40800000000002</v>
      </c>
      <c r="N3863" t="str">
        <f>IF(SalesData[[#This Row],[Profit]]&gt;0,"Profit","Loss")</f>
        <v>Profit</v>
      </c>
    </row>
    <row r="3864" spans="1:14" x14ac:dyDescent="0.3">
      <c r="A3864" t="s">
        <v>842</v>
      </c>
      <c r="B3864" s="3">
        <v>41921</v>
      </c>
      <c r="C3864" t="s">
        <v>17</v>
      </c>
      <c r="D3864" t="s">
        <v>21</v>
      </c>
      <c r="E3864" t="s">
        <v>843</v>
      </c>
      <c r="F3864" s="1">
        <v>81.92</v>
      </c>
      <c r="G3864">
        <v>4</v>
      </c>
      <c r="H3864" s="1">
        <v>22.118400000000001</v>
      </c>
      <c r="I3864" s="4">
        <f>SalesData[[#This Row],[Profit]]/SalesData[[#This Row],[Sales]]</f>
        <v>0.27</v>
      </c>
      <c r="J3864">
        <f>YEAR(SalesData[[#This Row],[Order Date]])</f>
        <v>2014</v>
      </c>
      <c r="K3864" t="str">
        <f>TEXT(SalesData[[#This Row],[Order Date]],"mmm")</f>
        <v>Oct</v>
      </c>
      <c r="L3864">
        <f>MONTH(SalesData[[#This Row],[Order Date]])</f>
        <v>10</v>
      </c>
      <c r="M3864">
        <f>SalesData[[#This Row],[Sales]]/SalesData[[#This Row],[Quantity]]</f>
        <v>20.48</v>
      </c>
      <c r="N3864" t="str">
        <f>IF(SalesData[[#This Row],[Profit]]&gt;0,"Profit","Loss")</f>
        <v>Profit</v>
      </c>
    </row>
    <row r="3865" spans="1:14" x14ac:dyDescent="0.3">
      <c r="A3865" t="s">
        <v>842</v>
      </c>
      <c r="B3865" s="3">
        <v>41921</v>
      </c>
      <c r="C3865" t="s">
        <v>17</v>
      </c>
      <c r="D3865" t="s">
        <v>14</v>
      </c>
      <c r="E3865" t="s">
        <v>844</v>
      </c>
      <c r="F3865" s="1">
        <v>254.9</v>
      </c>
      <c r="G3865">
        <v>5</v>
      </c>
      <c r="H3865" s="1">
        <v>76.47</v>
      </c>
      <c r="I3865" s="4">
        <f>SalesData[[#This Row],[Profit]]/SalesData[[#This Row],[Sales]]</f>
        <v>0.3</v>
      </c>
      <c r="J3865">
        <f>YEAR(SalesData[[#This Row],[Order Date]])</f>
        <v>2014</v>
      </c>
      <c r="K3865" t="str">
        <f>TEXT(SalesData[[#This Row],[Order Date]],"mmm")</f>
        <v>Oct</v>
      </c>
      <c r="L3865">
        <f>MONTH(SalesData[[#This Row],[Order Date]])</f>
        <v>10</v>
      </c>
      <c r="M3865">
        <f>SalesData[[#This Row],[Sales]]/SalesData[[#This Row],[Quantity]]</f>
        <v>50.980000000000004</v>
      </c>
      <c r="N3865" t="str">
        <f>IF(SalesData[[#This Row],[Profit]]&gt;0,"Profit","Loss")</f>
        <v>Profit</v>
      </c>
    </row>
    <row r="3866" spans="1:14" x14ac:dyDescent="0.3">
      <c r="A3866" t="s">
        <v>845</v>
      </c>
      <c r="B3866" s="3">
        <v>41922</v>
      </c>
      <c r="C3866" t="s">
        <v>13</v>
      </c>
      <c r="D3866" t="s">
        <v>14</v>
      </c>
      <c r="E3866" t="s">
        <v>265</v>
      </c>
      <c r="F3866" s="1">
        <v>122.352</v>
      </c>
      <c r="G3866">
        <v>3</v>
      </c>
      <c r="H3866" s="1">
        <v>13.7646</v>
      </c>
      <c r="I3866" s="4">
        <f>SalesData[[#This Row],[Profit]]/SalesData[[#This Row],[Sales]]</f>
        <v>0.11249999999999999</v>
      </c>
      <c r="J3866">
        <f>YEAR(SalesData[[#This Row],[Order Date]])</f>
        <v>2014</v>
      </c>
      <c r="K3866" t="str">
        <f>TEXT(SalesData[[#This Row],[Order Date]],"mmm")</f>
        <v>Oct</v>
      </c>
      <c r="L3866">
        <f>MONTH(SalesData[[#This Row],[Order Date]])</f>
        <v>10</v>
      </c>
      <c r="M3866">
        <f>SalesData[[#This Row],[Sales]]/SalesData[[#This Row],[Quantity]]</f>
        <v>40.783999999999999</v>
      </c>
      <c r="N3866" t="str">
        <f>IF(SalesData[[#This Row],[Profit]]&gt;0,"Profit","Loss")</f>
        <v>Profit</v>
      </c>
    </row>
    <row r="3867" spans="1:14" x14ac:dyDescent="0.3">
      <c r="A3867" t="s">
        <v>845</v>
      </c>
      <c r="B3867" s="3">
        <v>41922</v>
      </c>
      <c r="C3867" t="s">
        <v>13</v>
      </c>
      <c r="D3867" t="s">
        <v>21</v>
      </c>
      <c r="E3867" t="s">
        <v>846</v>
      </c>
      <c r="F3867" s="1">
        <v>15.28</v>
      </c>
      <c r="G3867">
        <v>2</v>
      </c>
      <c r="H3867" s="1">
        <v>7.4871999999999996</v>
      </c>
      <c r="I3867" s="4">
        <f>SalesData[[#This Row],[Profit]]/SalesData[[#This Row],[Sales]]</f>
        <v>0.49</v>
      </c>
      <c r="J3867">
        <f>YEAR(SalesData[[#This Row],[Order Date]])</f>
        <v>2014</v>
      </c>
      <c r="K3867" t="str">
        <f>TEXT(SalesData[[#This Row],[Order Date]],"mmm")</f>
        <v>Oct</v>
      </c>
      <c r="L3867">
        <f>MONTH(SalesData[[#This Row],[Order Date]])</f>
        <v>10</v>
      </c>
      <c r="M3867">
        <f>SalesData[[#This Row],[Sales]]/SalesData[[#This Row],[Quantity]]</f>
        <v>7.64</v>
      </c>
      <c r="N3867" t="str">
        <f>IF(SalesData[[#This Row],[Profit]]&gt;0,"Profit","Loss")</f>
        <v>Profit</v>
      </c>
    </row>
    <row r="3868" spans="1:14" x14ac:dyDescent="0.3">
      <c r="A3868" t="s">
        <v>847</v>
      </c>
      <c r="B3868" s="3">
        <v>41922</v>
      </c>
      <c r="C3868" t="s">
        <v>13</v>
      </c>
      <c r="D3868" t="s">
        <v>14</v>
      </c>
      <c r="E3868" t="s">
        <v>848</v>
      </c>
      <c r="F3868" s="1">
        <v>46.872</v>
      </c>
      <c r="G3868">
        <v>7</v>
      </c>
      <c r="H3868" s="1">
        <v>3.5154000000000001</v>
      </c>
      <c r="I3868" s="4">
        <f>SalesData[[#This Row],[Profit]]/SalesData[[#This Row],[Sales]]</f>
        <v>7.4999999999999997E-2</v>
      </c>
      <c r="J3868">
        <f>YEAR(SalesData[[#This Row],[Order Date]])</f>
        <v>2014</v>
      </c>
      <c r="K3868" t="str">
        <f>TEXT(SalesData[[#This Row],[Order Date]],"mmm")</f>
        <v>Oct</v>
      </c>
      <c r="L3868">
        <f>MONTH(SalesData[[#This Row],[Order Date]])</f>
        <v>10</v>
      </c>
      <c r="M3868">
        <f>SalesData[[#This Row],[Sales]]/SalesData[[#This Row],[Quantity]]</f>
        <v>6.6959999999999997</v>
      </c>
      <c r="N3868" t="str">
        <f>IF(SalesData[[#This Row],[Profit]]&gt;0,"Profit","Loss")</f>
        <v>Profit</v>
      </c>
    </row>
    <row r="3869" spans="1:14" x14ac:dyDescent="0.3">
      <c r="A3869" t="s">
        <v>849</v>
      </c>
      <c r="B3869" s="3">
        <v>41922</v>
      </c>
      <c r="C3869" t="s">
        <v>9</v>
      </c>
      <c r="D3869" t="s">
        <v>10</v>
      </c>
      <c r="E3869" t="s">
        <v>134</v>
      </c>
      <c r="F3869" s="1">
        <v>719.952</v>
      </c>
      <c r="G3869">
        <v>6</v>
      </c>
      <c r="H3869" s="1">
        <v>71.995199999999997</v>
      </c>
      <c r="I3869" s="4">
        <f>SalesData[[#This Row],[Profit]]/SalesData[[#This Row],[Sales]]</f>
        <v>9.9999999999999992E-2</v>
      </c>
      <c r="J3869">
        <f>YEAR(SalesData[[#This Row],[Order Date]])</f>
        <v>2014</v>
      </c>
      <c r="K3869" t="str">
        <f>TEXT(SalesData[[#This Row],[Order Date]],"mmm")</f>
        <v>Oct</v>
      </c>
      <c r="L3869">
        <f>MONTH(SalesData[[#This Row],[Order Date]])</f>
        <v>10</v>
      </c>
      <c r="M3869">
        <f>SalesData[[#This Row],[Sales]]/SalesData[[#This Row],[Quantity]]</f>
        <v>119.992</v>
      </c>
      <c r="N3869" t="str">
        <f>IF(SalesData[[#This Row],[Profit]]&gt;0,"Profit","Loss")</f>
        <v>Profit</v>
      </c>
    </row>
    <row r="3870" spans="1:14" x14ac:dyDescent="0.3">
      <c r="A3870" t="s">
        <v>849</v>
      </c>
      <c r="B3870" s="3">
        <v>41922</v>
      </c>
      <c r="C3870" t="s">
        <v>9</v>
      </c>
      <c r="D3870" t="s">
        <v>10</v>
      </c>
      <c r="E3870" t="s">
        <v>850</v>
      </c>
      <c r="F3870" s="1">
        <v>755.94399999999996</v>
      </c>
      <c r="G3870">
        <v>7</v>
      </c>
      <c r="H3870" s="1">
        <v>66.145099999999999</v>
      </c>
      <c r="I3870" s="4">
        <f>SalesData[[#This Row],[Profit]]/SalesData[[#This Row],[Sales]]</f>
        <v>8.7500000000000008E-2</v>
      </c>
      <c r="J3870">
        <f>YEAR(SalesData[[#This Row],[Order Date]])</f>
        <v>2014</v>
      </c>
      <c r="K3870" t="str">
        <f>TEXT(SalesData[[#This Row],[Order Date]],"mmm")</f>
        <v>Oct</v>
      </c>
      <c r="L3870">
        <f>MONTH(SalesData[[#This Row],[Order Date]])</f>
        <v>10</v>
      </c>
      <c r="M3870">
        <f>SalesData[[#This Row],[Sales]]/SalesData[[#This Row],[Quantity]]</f>
        <v>107.99199999999999</v>
      </c>
      <c r="N3870" t="str">
        <f>IF(SalesData[[#This Row],[Profit]]&gt;0,"Profit","Loss")</f>
        <v>Profit</v>
      </c>
    </row>
    <row r="3871" spans="1:14" x14ac:dyDescent="0.3">
      <c r="A3871" t="s">
        <v>849</v>
      </c>
      <c r="B3871" s="3">
        <v>41922</v>
      </c>
      <c r="C3871" t="s">
        <v>9</v>
      </c>
      <c r="D3871" t="s">
        <v>21</v>
      </c>
      <c r="E3871" t="s">
        <v>851</v>
      </c>
      <c r="F3871" s="1">
        <v>11.98</v>
      </c>
      <c r="G3871">
        <v>5</v>
      </c>
      <c r="H3871" s="1">
        <v>-19.167999999999999</v>
      </c>
      <c r="I3871" s="4">
        <f>SalesData[[#This Row],[Profit]]/SalesData[[#This Row],[Sales]]</f>
        <v>-1.5999999999999999</v>
      </c>
      <c r="J3871">
        <f>YEAR(SalesData[[#This Row],[Order Date]])</f>
        <v>2014</v>
      </c>
      <c r="K3871" t="str">
        <f>TEXT(SalesData[[#This Row],[Order Date]],"mmm")</f>
        <v>Oct</v>
      </c>
      <c r="L3871">
        <f>MONTH(SalesData[[#This Row],[Order Date]])</f>
        <v>10</v>
      </c>
      <c r="M3871">
        <f>SalesData[[#This Row],[Sales]]/SalesData[[#This Row],[Quantity]]</f>
        <v>2.3959999999999999</v>
      </c>
      <c r="N3871" t="str">
        <f>IF(SalesData[[#This Row],[Profit]]&gt;0,"Profit","Loss")</f>
        <v>Loss</v>
      </c>
    </row>
    <row r="3872" spans="1:14" x14ac:dyDescent="0.3">
      <c r="A3872" t="s">
        <v>849</v>
      </c>
      <c r="B3872" s="3">
        <v>41922</v>
      </c>
      <c r="C3872" t="s">
        <v>9</v>
      </c>
      <c r="D3872" t="s">
        <v>21</v>
      </c>
      <c r="E3872" t="s">
        <v>319</v>
      </c>
      <c r="F3872" s="1">
        <v>0.89800000000000002</v>
      </c>
      <c r="G3872">
        <v>1</v>
      </c>
      <c r="H3872" s="1">
        <v>-1.5714999999999999</v>
      </c>
      <c r="I3872" s="4">
        <f>SalesData[[#This Row],[Profit]]/SalesData[[#This Row],[Sales]]</f>
        <v>-1.7499999999999998</v>
      </c>
      <c r="J3872">
        <f>YEAR(SalesData[[#This Row],[Order Date]])</f>
        <v>2014</v>
      </c>
      <c r="K3872" t="str">
        <f>TEXT(SalesData[[#This Row],[Order Date]],"mmm")</f>
        <v>Oct</v>
      </c>
      <c r="L3872">
        <f>MONTH(SalesData[[#This Row],[Order Date]])</f>
        <v>10</v>
      </c>
      <c r="M3872">
        <f>SalesData[[#This Row],[Sales]]/SalesData[[#This Row],[Quantity]]</f>
        <v>0.89800000000000002</v>
      </c>
      <c r="N3872" t="str">
        <f>IF(SalesData[[#This Row],[Profit]]&gt;0,"Profit","Loss")</f>
        <v>Loss</v>
      </c>
    </row>
    <row r="3873" spans="1:14" x14ac:dyDescent="0.3">
      <c r="A3873" t="s">
        <v>852</v>
      </c>
      <c r="B3873" s="3">
        <v>41922</v>
      </c>
      <c r="C3873" t="s">
        <v>17</v>
      </c>
      <c r="D3873" t="s">
        <v>10</v>
      </c>
      <c r="E3873" t="s">
        <v>853</v>
      </c>
      <c r="F3873" s="1">
        <v>101.994</v>
      </c>
      <c r="G3873">
        <v>2</v>
      </c>
      <c r="H3873" s="1">
        <v>-71.395799999999994</v>
      </c>
      <c r="I3873" s="4">
        <f>SalesData[[#This Row],[Profit]]/SalesData[[#This Row],[Sales]]</f>
        <v>-0.7</v>
      </c>
      <c r="J3873">
        <f>YEAR(SalesData[[#This Row],[Order Date]])</f>
        <v>2014</v>
      </c>
      <c r="K3873" t="str">
        <f>TEXT(SalesData[[#This Row],[Order Date]],"mmm")</f>
        <v>Oct</v>
      </c>
      <c r="L3873">
        <f>MONTH(SalesData[[#This Row],[Order Date]])</f>
        <v>10</v>
      </c>
      <c r="M3873">
        <f>SalesData[[#This Row],[Sales]]/SalesData[[#This Row],[Quantity]]</f>
        <v>50.997</v>
      </c>
      <c r="N3873" t="str">
        <f>IF(SalesData[[#This Row],[Profit]]&gt;0,"Profit","Loss")</f>
        <v>Loss</v>
      </c>
    </row>
    <row r="3874" spans="1:14" x14ac:dyDescent="0.3">
      <c r="A3874" t="s">
        <v>852</v>
      </c>
      <c r="B3874" s="3">
        <v>41922</v>
      </c>
      <c r="C3874" t="s">
        <v>17</v>
      </c>
      <c r="D3874" t="s">
        <v>21</v>
      </c>
      <c r="E3874" t="s">
        <v>854</v>
      </c>
      <c r="F3874" s="1">
        <v>18.263999999999999</v>
      </c>
      <c r="G3874">
        <v>2</v>
      </c>
      <c r="H3874" s="1">
        <v>-13.393599999999999</v>
      </c>
      <c r="I3874" s="4">
        <f>SalesData[[#This Row],[Profit]]/SalesData[[#This Row],[Sales]]</f>
        <v>-0.73333333333333328</v>
      </c>
      <c r="J3874">
        <f>YEAR(SalesData[[#This Row],[Order Date]])</f>
        <v>2014</v>
      </c>
      <c r="K3874" t="str">
        <f>TEXT(SalesData[[#This Row],[Order Date]],"mmm")</f>
        <v>Oct</v>
      </c>
      <c r="L3874">
        <f>MONTH(SalesData[[#This Row],[Order Date]])</f>
        <v>10</v>
      </c>
      <c r="M3874">
        <f>SalesData[[#This Row],[Sales]]/SalesData[[#This Row],[Quantity]]</f>
        <v>9.1319999999999997</v>
      </c>
      <c r="N3874" t="str">
        <f>IF(SalesData[[#This Row],[Profit]]&gt;0,"Profit","Loss")</f>
        <v>Loss</v>
      </c>
    </row>
    <row r="3875" spans="1:14" x14ac:dyDescent="0.3">
      <c r="A3875" t="s">
        <v>855</v>
      </c>
      <c r="B3875" s="3">
        <v>41922</v>
      </c>
      <c r="C3875" t="s">
        <v>13</v>
      </c>
      <c r="D3875" t="s">
        <v>21</v>
      </c>
      <c r="E3875" t="s">
        <v>856</v>
      </c>
      <c r="F3875" s="1">
        <v>255.85</v>
      </c>
      <c r="G3875">
        <v>7</v>
      </c>
      <c r="H3875" s="1">
        <v>112.574</v>
      </c>
      <c r="I3875" s="4">
        <f>SalesData[[#This Row],[Profit]]/SalesData[[#This Row],[Sales]]</f>
        <v>0.44</v>
      </c>
      <c r="J3875">
        <f>YEAR(SalesData[[#This Row],[Order Date]])</f>
        <v>2014</v>
      </c>
      <c r="K3875" t="str">
        <f>TEXT(SalesData[[#This Row],[Order Date]],"mmm")</f>
        <v>Oct</v>
      </c>
      <c r="L3875">
        <f>MONTH(SalesData[[#This Row],[Order Date]])</f>
        <v>10</v>
      </c>
      <c r="M3875">
        <f>SalesData[[#This Row],[Sales]]/SalesData[[#This Row],[Quantity]]</f>
        <v>36.549999999999997</v>
      </c>
      <c r="N3875" t="str">
        <f>IF(SalesData[[#This Row],[Profit]]&gt;0,"Profit","Loss")</f>
        <v>Profit</v>
      </c>
    </row>
    <row r="3876" spans="1:14" x14ac:dyDescent="0.3">
      <c r="A3876" t="s">
        <v>857</v>
      </c>
      <c r="B3876" s="3">
        <v>41923</v>
      </c>
      <c r="C3876" t="s">
        <v>13</v>
      </c>
      <c r="D3876" t="s">
        <v>10</v>
      </c>
      <c r="E3876" t="s">
        <v>858</v>
      </c>
      <c r="F3876" s="1">
        <v>601.53599999999994</v>
      </c>
      <c r="G3876">
        <v>8</v>
      </c>
      <c r="H3876" s="1">
        <v>60.153599999999997</v>
      </c>
      <c r="I3876" s="4">
        <f>SalesData[[#This Row],[Profit]]/SalesData[[#This Row],[Sales]]</f>
        <v>0.1</v>
      </c>
      <c r="J3876">
        <f>YEAR(SalesData[[#This Row],[Order Date]])</f>
        <v>2014</v>
      </c>
      <c r="K3876" t="str">
        <f>TEXT(SalesData[[#This Row],[Order Date]],"mmm")</f>
        <v>Oct</v>
      </c>
      <c r="L3876">
        <f>MONTH(SalesData[[#This Row],[Order Date]])</f>
        <v>10</v>
      </c>
      <c r="M3876">
        <f>SalesData[[#This Row],[Sales]]/SalesData[[#This Row],[Quantity]]</f>
        <v>75.191999999999993</v>
      </c>
      <c r="N3876" t="str">
        <f>IF(SalesData[[#This Row],[Profit]]&gt;0,"Profit","Loss")</f>
        <v>Profit</v>
      </c>
    </row>
    <row r="3877" spans="1:14" x14ac:dyDescent="0.3">
      <c r="A3877" t="s">
        <v>857</v>
      </c>
      <c r="B3877" s="3">
        <v>41923</v>
      </c>
      <c r="C3877" t="s">
        <v>13</v>
      </c>
      <c r="D3877" t="s">
        <v>10</v>
      </c>
      <c r="E3877" t="s">
        <v>690</v>
      </c>
      <c r="F3877" s="1">
        <v>10.99</v>
      </c>
      <c r="G3877">
        <v>1</v>
      </c>
      <c r="H3877" s="1">
        <v>4.2861000000000002</v>
      </c>
      <c r="I3877" s="4">
        <f>SalesData[[#This Row],[Profit]]/SalesData[[#This Row],[Sales]]</f>
        <v>0.39</v>
      </c>
      <c r="J3877">
        <f>YEAR(SalesData[[#This Row],[Order Date]])</f>
        <v>2014</v>
      </c>
      <c r="K3877" t="str">
        <f>TEXT(SalesData[[#This Row],[Order Date]],"mmm")</f>
        <v>Oct</v>
      </c>
      <c r="L3877">
        <f>MONTH(SalesData[[#This Row],[Order Date]])</f>
        <v>10</v>
      </c>
      <c r="M3877">
        <f>SalesData[[#This Row],[Sales]]/SalesData[[#This Row],[Quantity]]</f>
        <v>10.99</v>
      </c>
      <c r="N3877" t="str">
        <f>IF(SalesData[[#This Row],[Profit]]&gt;0,"Profit","Loss")</f>
        <v>Profit</v>
      </c>
    </row>
    <row r="3878" spans="1:14" x14ac:dyDescent="0.3">
      <c r="A3878" t="s">
        <v>857</v>
      </c>
      <c r="B3878" s="3">
        <v>41923</v>
      </c>
      <c r="C3878" t="s">
        <v>13</v>
      </c>
      <c r="D3878" t="s">
        <v>14</v>
      </c>
      <c r="E3878" t="s">
        <v>729</v>
      </c>
      <c r="F3878" s="1">
        <v>39.880000000000003</v>
      </c>
      <c r="G3878">
        <v>2</v>
      </c>
      <c r="H3878" s="1">
        <v>11.166399999999999</v>
      </c>
      <c r="I3878" s="4">
        <f>SalesData[[#This Row],[Profit]]/SalesData[[#This Row],[Sales]]</f>
        <v>0.27999999999999997</v>
      </c>
      <c r="J3878">
        <f>YEAR(SalesData[[#This Row],[Order Date]])</f>
        <v>2014</v>
      </c>
      <c r="K3878" t="str">
        <f>TEXT(SalesData[[#This Row],[Order Date]],"mmm")</f>
        <v>Oct</v>
      </c>
      <c r="L3878">
        <f>MONTH(SalesData[[#This Row],[Order Date]])</f>
        <v>10</v>
      </c>
      <c r="M3878">
        <f>SalesData[[#This Row],[Sales]]/SalesData[[#This Row],[Quantity]]</f>
        <v>19.940000000000001</v>
      </c>
      <c r="N3878" t="str">
        <f>IF(SalesData[[#This Row],[Profit]]&gt;0,"Profit","Loss")</f>
        <v>Profit</v>
      </c>
    </row>
    <row r="3879" spans="1:14" x14ac:dyDescent="0.3">
      <c r="A3879" t="s">
        <v>857</v>
      </c>
      <c r="B3879" s="3">
        <v>41923</v>
      </c>
      <c r="C3879" t="s">
        <v>13</v>
      </c>
      <c r="D3879" t="s">
        <v>21</v>
      </c>
      <c r="E3879" t="s">
        <v>859</v>
      </c>
      <c r="F3879" s="1">
        <v>62.24</v>
      </c>
      <c r="G3879">
        <v>8</v>
      </c>
      <c r="H3879" s="1">
        <v>28.007999999999999</v>
      </c>
      <c r="I3879" s="4">
        <f>SalesData[[#This Row],[Profit]]/SalesData[[#This Row],[Sales]]</f>
        <v>0.44999999999999996</v>
      </c>
      <c r="J3879">
        <f>YEAR(SalesData[[#This Row],[Order Date]])</f>
        <v>2014</v>
      </c>
      <c r="K3879" t="str">
        <f>TEXT(SalesData[[#This Row],[Order Date]],"mmm")</f>
        <v>Oct</v>
      </c>
      <c r="L3879">
        <f>MONTH(SalesData[[#This Row],[Order Date]])</f>
        <v>10</v>
      </c>
      <c r="M3879">
        <f>SalesData[[#This Row],[Sales]]/SalesData[[#This Row],[Quantity]]</f>
        <v>7.78</v>
      </c>
      <c r="N3879" t="str">
        <f>IF(SalesData[[#This Row],[Profit]]&gt;0,"Profit","Loss")</f>
        <v>Profit</v>
      </c>
    </row>
    <row r="3880" spans="1:14" x14ac:dyDescent="0.3">
      <c r="A3880" t="s">
        <v>857</v>
      </c>
      <c r="B3880" s="3">
        <v>41923</v>
      </c>
      <c r="C3880" t="s">
        <v>13</v>
      </c>
      <c r="D3880" t="s">
        <v>14</v>
      </c>
      <c r="E3880" t="s">
        <v>860</v>
      </c>
      <c r="F3880" s="1">
        <v>53.2</v>
      </c>
      <c r="G3880">
        <v>5</v>
      </c>
      <c r="H3880" s="1">
        <v>14.896000000000001</v>
      </c>
      <c r="I3880" s="4">
        <f>SalesData[[#This Row],[Profit]]/SalesData[[#This Row],[Sales]]</f>
        <v>0.28000000000000003</v>
      </c>
      <c r="J3880">
        <f>YEAR(SalesData[[#This Row],[Order Date]])</f>
        <v>2014</v>
      </c>
      <c r="K3880" t="str">
        <f>TEXT(SalesData[[#This Row],[Order Date]],"mmm")</f>
        <v>Oct</v>
      </c>
      <c r="L3880">
        <f>MONTH(SalesData[[#This Row],[Order Date]])</f>
        <v>10</v>
      </c>
      <c r="M3880">
        <f>SalesData[[#This Row],[Sales]]/SalesData[[#This Row],[Quantity]]</f>
        <v>10.64</v>
      </c>
      <c r="N3880" t="str">
        <f>IF(SalesData[[#This Row],[Profit]]&gt;0,"Profit","Loss")</f>
        <v>Profit</v>
      </c>
    </row>
    <row r="3881" spans="1:14" x14ac:dyDescent="0.3">
      <c r="A3881" t="s">
        <v>857</v>
      </c>
      <c r="B3881" s="3">
        <v>41923</v>
      </c>
      <c r="C3881" t="s">
        <v>13</v>
      </c>
      <c r="D3881" t="s">
        <v>21</v>
      </c>
      <c r="E3881" t="s">
        <v>861</v>
      </c>
      <c r="F3881" s="1">
        <v>39.840000000000003</v>
      </c>
      <c r="G3881">
        <v>8</v>
      </c>
      <c r="H3881" s="1">
        <v>18.3264</v>
      </c>
      <c r="I3881" s="4">
        <f>SalesData[[#This Row],[Profit]]/SalesData[[#This Row],[Sales]]</f>
        <v>0.45999999999999996</v>
      </c>
      <c r="J3881">
        <f>YEAR(SalesData[[#This Row],[Order Date]])</f>
        <v>2014</v>
      </c>
      <c r="K3881" t="str">
        <f>TEXT(SalesData[[#This Row],[Order Date]],"mmm")</f>
        <v>Oct</v>
      </c>
      <c r="L3881">
        <f>MONTH(SalesData[[#This Row],[Order Date]])</f>
        <v>10</v>
      </c>
      <c r="M3881">
        <f>SalesData[[#This Row],[Sales]]/SalesData[[#This Row],[Quantity]]</f>
        <v>4.9800000000000004</v>
      </c>
      <c r="N3881" t="str">
        <f>IF(SalesData[[#This Row],[Profit]]&gt;0,"Profit","Loss")</f>
        <v>Profit</v>
      </c>
    </row>
    <row r="3882" spans="1:14" x14ac:dyDescent="0.3">
      <c r="A3882" t="s">
        <v>862</v>
      </c>
      <c r="B3882" s="3">
        <v>41923</v>
      </c>
      <c r="C3882" t="s">
        <v>9</v>
      </c>
      <c r="D3882" t="s">
        <v>21</v>
      </c>
      <c r="E3882" t="s">
        <v>863</v>
      </c>
      <c r="F3882" s="1">
        <v>3.9</v>
      </c>
      <c r="G3882">
        <v>2</v>
      </c>
      <c r="H3882" s="1">
        <v>1.5209999999999999</v>
      </c>
      <c r="I3882" s="4">
        <f>SalesData[[#This Row],[Profit]]/SalesData[[#This Row],[Sales]]</f>
        <v>0.38999999999999996</v>
      </c>
      <c r="J3882">
        <f>YEAR(SalesData[[#This Row],[Order Date]])</f>
        <v>2014</v>
      </c>
      <c r="K3882" t="str">
        <f>TEXT(SalesData[[#This Row],[Order Date]],"mmm")</f>
        <v>Oct</v>
      </c>
      <c r="L3882">
        <f>MONTH(SalesData[[#This Row],[Order Date]])</f>
        <v>10</v>
      </c>
      <c r="M3882">
        <f>SalesData[[#This Row],[Sales]]/SalesData[[#This Row],[Quantity]]</f>
        <v>1.95</v>
      </c>
      <c r="N3882" t="str">
        <f>IF(SalesData[[#This Row],[Profit]]&gt;0,"Profit","Loss")</f>
        <v>Profit</v>
      </c>
    </row>
    <row r="3883" spans="1:14" x14ac:dyDescent="0.3">
      <c r="A3883" t="s">
        <v>862</v>
      </c>
      <c r="B3883" s="3">
        <v>41923</v>
      </c>
      <c r="C3883" t="s">
        <v>9</v>
      </c>
      <c r="D3883" t="s">
        <v>21</v>
      </c>
      <c r="E3883" t="s">
        <v>864</v>
      </c>
      <c r="F3883" s="1">
        <v>12.84</v>
      </c>
      <c r="G3883">
        <v>3</v>
      </c>
      <c r="H3883" s="1">
        <v>5.7779999999999996</v>
      </c>
      <c r="I3883" s="4">
        <f>SalesData[[#This Row],[Profit]]/SalesData[[#This Row],[Sales]]</f>
        <v>0.44999999999999996</v>
      </c>
      <c r="J3883">
        <f>YEAR(SalesData[[#This Row],[Order Date]])</f>
        <v>2014</v>
      </c>
      <c r="K3883" t="str">
        <f>TEXT(SalesData[[#This Row],[Order Date]],"mmm")</f>
        <v>Oct</v>
      </c>
      <c r="L3883">
        <f>MONTH(SalesData[[#This Row],[Order Date]])</f>
        <v>10</v>
      </c>
      <c r="M3883">
        <f>SalesData[[#This Row],[Sales]]/SalesData[[#This Row],[Quantity]]</f>
        <v>4.28</v>
      </c>
      <c r="N3883" t="str">
        <f>IF(SalesData[[#This Row],[Profit]]&gt;0,"Profit","Loss")</f>
        <v>Profit</v>
      </c>
    </row>
    <row r="3884" spans="1:14" x14ac:dyDescent="0.3">
      <c r="A3884" t="s">
        <v>862</v>
      </c>
      <c r="B3884" s="3">
        <v>41923</v>
      </c>
      <c r="C3884" t="s">
        <v>9</v>
      </c>
      <c r="D3884" t="s">
        <v>21</v>
      </c>
      <c r="E3884" t="s">
        <v>865</v>
      </c>
      <c r="F3884" s="1">
        <v>15.84</v>
      </c>
      <c r="G3884">
        <v>3</v>
      </c>
      <c r="H3884" s="1">
        <v>7.1280000000000001</v>
      </c>
      <c r="I3884" s="4">
        <f>SalesData[[#This Row],[Profit]]/SalesData[[#This Row],[Sales]]</f>
        <v>0.45</v>
      </c>
      <c r="J3884">
        <f>YEAR(SalesData[[#This Row],[Order Date]])</f>
        <v>2014</v>
      </c>
      <c r="K3884" t="str">
        <f>TEXT(SalesData[[#This Row],[Order Date]],"mmm")</f>
        <v>Oct</v>
      </c>
      <c r="L3884">
        <f>MONTH(SalesData[[#This Row],[Order Date]])</f>
        <v>10</v>
      </c>
      <c r="M3884">
        <f>SalesData[[#This Row],[Sales]]/SalesData[[#This Row],[Quantity]]</f>
        <v>5.28</v>
      </c>
      <c r="N3884" t="str">
        <f>IF(SalesData[[#This Row],[Profit]]&gt;0,"Profit","Loss")</f>
        <v>Profit</v>
      </c>
    </row>
    <row r="3885" spans="1:14" x14ac:dyDescent="0.3">
      <c r="A3885" t="s">
        <v>862</v>
      </c>
      <c r="B3885" s="3">
        <v>41923</v>
      </c>
      <c r="C3885" t="s">
        <v>9</v>
      </c>
      <c r="D3885" t="s">
        <v>14</v>
      </c>
      <c r="E3885" t="s">
        <v>866</v>
      </c>
      <c r="F3885" s="1">
        <v>563.94000000000005</v>
      </c>
      <c r="G3885">
        <v>3</v>
      </c>
      <c r="H3885" s="1">
        <v>112.788</v>
      </c>
      <c r="I3885" s="4">
        <f>SalesData[[#This Row],[Profit]]/SalesData[[#This Row],[Sales]]</f>
        <v>0.19999999999999998</v>
      </c>
      <c r="J3885">
        <f>YEAR(SalesData[[#This Row],[Order Date]])</f>
        <v>2014</v>
      </c>
      <c r="K3885" t="str">
        <f>TEXT(SalesData[[#This Row],[Order Date]],"mmm")</f>
        <v>Oct</v>
      </c>
      <c r="L3885">
        <f>MONTH(SalesData[[#This Row],[Order Date]])</f>
        <v>10</v>
      </c>
      <c r="M3885">
        <f>SalesData[[#This Row],[Sales]]/SalesData[[#This Row],[Quantity]]</f>
        <v>187.98000000000002</v>
      </c>
      <c r="N3885" t="str">
        <f>IF(SalesData[[#This Row],[Profit]]&gt;0,"Profit","Loss")</f>
        <v>Profit</v>
      </c>
    </row>
    <row r="3886" spans="1:14" x14ac:dyDescent="0.3">
      <c r="A3886" t="s">
        <v>862</v>
      </c>
      <c r="B3886" s="3">
        <v>41923</v>
      </c>
      <c r="C3886" t="s">
        <v>9</v>
      </c>
      <c r="D3886" t="s">
        <v>21</v>
      </c>
      <c r="E3886" t="s">
        <v>811</v>
      </c>
      <c r="F3886" s="1">
        <v>62.94</v>
      </c>
      <c r="G3886">
        <v>3</v>
      </c>
      <c r="H3886" s="1">
        <v>11.958600000000001</v>
      </c>
      <c r="I3886" s="4">
        <f>SalesData[[#This Row],[Profit]]/SalesData[[#This Row],[Sales]]</f>
        <v>0.19</v>
      </c>
      <c r="J3886">
        <f>YEAR(SalesData[[#This Row],[Order Date]])</f>
        <v>2014</v>
      </c>
      <c r="K3886" t="str">
        <f>TEXT(SalesData[[#This Row],[Order Date]],"mmm")</f>
        <v>Oct</v>
      </c>
      <c r="L3886">
        <f>MONTH(SalesData[[#This Row],[Order Date]])</f>
        <v>10</v>
      </c>
      <c r="M3886">
        <f>SalesData[[#This Row],[Sales]]/SalesData[[#This Row],[Quantity]]</f>
        <v>20.98</v>
      </c>
      <c r="N3886" t="str">
        <f>IF(SalesData[[#This Row],[Profit]]&gt;0,"Profit","Loss")</f>
        <v>Profit</v>
      </c>
    </row>
    <row r="3887" spans="1:14" x14ac:dyDescent="0.3">
      <c r="A3887" t="s">
        <v>862</v>
      </c>
      <c r="B3887" s="3">
        <v>41923</v>
      </c>
      <c r="C3887" t="s">
        <v>9</v>
      </c>
      <c r="D3887" t="s">
        <v>21</v>
      </c>
      <c r="E3887" t="s">
        <v>150</v>
      </c>
      <c r="F3887" s="1">
        <v>535.41</v>
      </c>
      <c r="G3887">
        <v>3</v>
      </c>
      <c r="H3887" s="1">
        <v>160.62299999999999</v>
      </c>
      <c r="I3887" s="4">
        <f>SalesData[[#This Row],[Profit]]/SalesData[[#This Row],[Sales]]</f>
        <v>0.3</v>
      </c>
      <c r="J3887">
        <f>YEAR(SalesData[[#This Row],[Order Date]])</f>
        <v>2014</v>
      </c>
      <c r="K3887" t="str">
        <f>TEXT(SalesData[[#This Row],[Order Date]],"mmm")</f>
        <v>Oct</v>
      </c>
      <c r="L3887">
        <f>MONTH(SalesData[[#This Row],[Order Date]])</f>
        <v>10</v>
      </c>
      <c r="M3887">
        <f>SalesData[[#This Row],[Sales]]/SalesData[[#This Row],[Quantity]]</f>
        <v>178.47</v>
      </c>
      <c r="N3887" t="str">
        <f>IF(SalesData[[#This Row],[Profit]]&gt;0,"Profit","Loss")</f>
        <v>Profit</v>
      </c>
    </row>
    <row r="3888" spans="1:14" x14ac:dyDescent="0.3">
      <c r="A3888" t="s">
        <v>867</v>
      </c>
      <c r="B3888" s="3">
        <v>41924</v>
      </c>
      <c r="C3888" t="s">
        <v>17</v>
      </c>
      <c r="D3888" t="s">
        <v>21</v>
      </c>
      <c r="E3888" t="s">
        <v>868</v>
      </c>
      <c r="F3888" s="1">
        <v>11.36</v>
      </c>
      <c r="G3888">
        <v>2</v>
      </c>
      <c r="H3888" s="1">
        <v>5.2256</v>
      </c>
      <c r="I3888" s="4">
        <f>SalesData[[#This Row],[Profit]]/SalesData[[#This Row],[Sales]]</f>
        <v>0.46</v>
      </c>
      <c r="J3888">
        <f>YEAR(SalesData[[#This Row],[Order Date]])</f>
        <v>2014</v>
      </c>
      <c r="K3888" t="str">
        <f>TEXT(SalesData[[#This Row],[Order Date]],"mmm")</f>
        <v>Oct</v>
      </c>
      <c r="L3888">
        <f>MONTH(SalesData[[#This Row],[Order Date]])</f>
        <v>10</v>
      </c>
      <c r="M3888">
        <f>SalesData[[#This Row],[Sales]]/SalesData[[#This Row],[Quantity]]</f>
        <v>5.68</v>
      </c>
      <c r="N3888" t="str">
        <f>IF(SalesData[[#This Row],[Profit]]&gt;0,"Profit","Loss")</f>
        <v>Profit</v>
      </c>
    </row>
    <row r="3889" spans="1:14" x14ac:dyDescent="0.3">
      <c r="A3889" t="s">
        <v>867</v>
      </c>
      <c r="B3889" s="3">
        <v>41924</v>
      </c>
      <c r="C3889" t="s">
        <v>17</v>
      </c>
      <c r="D3889" t="s">
        <v>21</v>
      </c>
      <c r="E3889" t="s">
        <v>869</v>
      </c>
      <c r="F3889" s="1">
        <v>106.34399999999999</v>
      </c>
      <c r="G3889">
        <v>7</v>
      </c>
      <c r="H3889" s="1">
        <v>37.220399999999998</v>
      </c>
      <c r="I3889" s="4">
        <f>SalesData[[#This Row],[Profit]]/SalesData[[#This Row],[Sales]]</f>
        <v>0.35</v>
      </c>
      <c r="J3889">
        <f>YEAR(SalesData[[#This Row],[Order Date]])</f>
        <v>2014</v>
      </c>
      <c r="K3889" t="str">
        <f>TEXT(SalesData[[#This Row],[Order Date]],"mmm")</f>
        <v>Oct</v>
      </c>
      <c r="L3889">
        <f>MONTH(SalesData[[#This Row],[Order Date]])</f>
        <v>10</v>
      </c>
      <c r="M3889">
        <f>SalesData[[#This Row],[Sales]]/SalesData[[#This Row],[Quantity]]</f>
        <v>15.191999999999998</v>
      </c>
      <c r="N3889" t="str">
        <f>IF(SalesData[[#This Row],[Profit]]&gt;0,"Profit","Loss")</f>
        <v>Profit</v>
      </c>
    </row>
    <row r="3890" spans="1:14" x14ac:dyDescent="0.3">
      <c r="A3890" t="s">
        <v>870</v>
      </c>
      <c r="B3890" s="3">
        <v>41924</v>
      </c>
      <c r="C3890" t="s">
        <v>13</v>
      </c>
      <c r="D3890" t="s">
        <v>14</v>
      </c>
      <c r="E3890" t="s">
        <v>871</v>
      </c>
      <c r="F3890" s="1">
        <v>338.35199999999998</v>
      </c>
      <c r="G3890">
        <v>3</v>
      </c>
      <c r="H3890" s="1">
        <v>4.2294</v>
      </c>
      <c r="I3890" s="4">
        <f>SalesData[[#This Row],[Profit]]/SalesData[[#This Row],[Sales]]</f>
        <v>1.2500000000000001E-2</v>
      </c>
      <c r="J3890">
        <f>YEAR(SalesData[[#This Row],[Order Date]])</f>
        <v>2014</v>
      </c>
      <c r="K3890" t="str">
        <f>TEXT(SalesData[[#This Row],[Order Date]],"mmm")</f>
        <v>Oct</v>
      </c>
      <c r="L3890">
        <f>MONTH(SalesData[[#This Row],[Order Date]])</f>
        <v>10</v>
      </c>
      <c r="M3890">
        <f>SalesData[[#This Row],[Sales]]/SalesData[[#This Row],[Quantity]]</f>
        <v>112.78399999999999</v>
      </c>
      <c r="N3890" t="str">
        <f>IF(SalesData[[#This Row],[Profit]]&gt;0,"Profit","Loss")</f>
        <v>Profit</v>
      </c>
    </row>
    <row r="3891" spans="1:14" x14ac:dyDescent="0.3">
      <c r="A3891" t="s">
        <v>870</v>
      </c>
      <c r="B3891" s="3">
        <v>41924</v>
      </c>
      <c r="C3891" t="s">
        <v>13</v>
      </c>
      <c r="D3891" t="s">
        <v>21</v>
      </c>
      <c r="E3891" t="s">
        <v>872</v>
      </c>
      <c r="F3891" s="1">
        <v>25.92</v>
      </c>
      <c r="G3891">
        <v>4</v>
      </c>
      <c r="H3891" s="1">
        <v>12.441599999999999</v>
      </c>
      <c r="I3891" s="4">
        <f>SalesData[[#This Row],[Profit]]/SalesData[[#This Row],[Sales]]</f>
        <v>0.47999999999999993</v>
      </c>
      <c r="J3891">
        <f>YEAR(SalesData[[#This Row],[Order Date]])</f>
        <v>2014</v>
      </c>
      <c r="K3891" t="str">
        <f>TEXT(SalesData[[#This Row],[Order Date]],"mmm")</f>
        <v>Oct</v>
      </c>
      <c r="L3891">
        <f>MONTH(SalesData[[#This Row],[Order Date]])</f>
        <v>10</v>
      </c>
      <c r="M3891">
        <f>SalesData[[#This Row],[Sales]]/SalesData[[#This Row],[Quantity]]</f>
        <v>6.48</v>
      </c>
      <c r="N3891" t="str">
        <f>IF(SalesData[[#This Row],[Profit]]&gt;0,"Profit","Loss")</f>
        <v>Profit</v>
      </c>
    </row>
    <row r="3892" spans="1:14" x14ac:dyDescent="0.3">
      <c r="A3892" t="s">
        <v>870</v>
      </c>
      <c r="B3892" s="3">
        <v>41924</v>
      </c>
      <c r="C3892" t="s">
        <v>13</v>
      </c>
      <c r="D3892" t="s">
        <v>21</v>
      </c>
      <c r="E3892" t="s">
        <v>873</v>
      </c>
      <c r="F3892" s="1">
        <v>91.36</v>
      </c>
      <c r="G3892">
        <v>4</v>
      </c>
      <c r="H3892" s="1">
        <v>42.025599999999997</v>
      </c>
      <c r="I3892" s="4">
        <f>SalesData[[#This Row],[Profit]]/SalesData[[#This Row],[Sales]]</f>
        <v>0.45999999999999996</v>
      </c>
      <c r="J3892">
        <f>YEAR(SalesData[[#This Row],[Order Date]])</f>
        <v>2014</v>
      </c>
      <c r="K3892" t="str">
        <f>TEXT(SalesData[[#This Row],[Order Date]],"mmm")</f>
        <v>Oct</v>
      </c>
      <c r="L3892">
        <f>MONTH(SalesData[[#This Row],[Order Date]])</f>
        <v>10</v>
      </c>
      <c r="M3892">
        <f>SalesData[[#This Row],[Sales]]/SalesData[[#This Row],[Quantity]]</f>
        <v>22.84</v>
      </c>
      <c r="N3892" t="str">
        <f>IF(SalesData[[#This Row],[Profit]]&gt;0,"Profit","Loss")</f>
        <v>Profit</v>
      </c>
    </row>
    <row r="3893" spans="1:14" x14ac:dyDescent="0.3">
      <c r="A3893" t="s">
        <v>874</v>
      </c>
      <c r="B3893" s="3">
        <v>41944</v>
      </c>
      <c r="C3893" t="s">
        <v>17</v>
      </c>
      <c r="D3893" t="s">
        <v>14</v>
      </c>
      <c r="E3893" t="s">
        <v>875</v>
      </c>
      <c r="F3893" s="1">
        <v>9.94</v>
      </c>
      <c r="G3893">
        <v>2</v>
      </c>
      <c r="H3893" s="1">
        <v>3.0813999999999999</v>
      </c>
      <c r="I3893" s="4">
        <f>SalesData[[#This Row],[Profit]]/SalesData[[#This Row],[Sales]]</f>
        <v>0.31</v>
      </c>
      <c r="J3893">
        <f>YEAR(SalesData[[#This Row],[Order Date]])</f>
        <v>2014</v>
      </c>
      <c r="K3893" t="str">
        <f>TEXT(SalesData[[#This Row],[Order Date]],"mmm")</f>
        <v>Nov</v>
      </c>
      <c r="L3893">
        <f>MONTH(SalesData[[#This Row],[Order Date]])</f>
        <v>11</v>
      </c>
      <c r="M3893">
        <f>SalesData[[#This Row],[Sales]]/SalesData[[#This Row],[Quantity]]</f>
        <v>4.97</v>
      </c>
      <c r="N3893" t="str">
        <f>IF(SalesData[[#This Row],[Profit]]&gt;0,"Profit","Loss")</f>
        <v>Profit</v>
      </c>
    </row>
    <row r="3894" spans="1:14" x14ac:dyDescent="0.3">
      <c r="A3894" t="s">
        <v>876</v>
      </c>
      <c r="B3894" s="3">
        <v>41945</v>
      </c>
      <c r="C3894" t="s">
        <v>46</v>
      </c>
      <c r="D3894" t="s">
        <v>10</v>
      </c>
      <c r="E3894" t="s">
        <v>11</v>
      </c>
      <c r="F3894" s="1">
        <v>234.45</v>
      </c>
      <c r="G3894">
        <v>3</v>
      </c>
      <c r="H3894" s="1">
        <v>103.158</v>
      </c>
      <c r="I3894" s="4">
        <f>SalesData[[#This Row],[Profit]]/SalesData[[#This Row],[Sales]]</f>
        <v>0.44</v>
      </c>
      <c r="J3894">
        <f>YEAR(SalesData[[#This Row],[Order Date]])</f>
        <v>2014</v>
      </c>
      <c r="K3894" t="str">
        <f>TEXT(SalesData[[#This Row],[Order Date]],"mmm")</f>
        <v>Nov</v>
      </c>
      <c r="L3894">
        <f>MONTH(SalesData[[#This Row],[Order Date]])</f>
        <v>11</v>
      </c>
      <c r="M3894">
        <f>SalesData[[#This Row],[Sales]]/SalesData[[#This Row],[Quantity]]</f>
        <v>78.149999999999991</v>
      </c>
      <c r="N3894" t="str">
        <f>IF(SalesData[[#This Row],[Profit]]&gt;0,"Profit","Loss")</f>
        <v>Profit</v>
      </c>
    </row>
    <row r="3895" spans="1:14" x14ac:dyDescent="0.3">
      <c r="A3895" t="s">
        <v>876</v>
      </c>
      <c r="B3895" s="3">
        <v>41945</v>
      </c>
      <c r="C3895" t="s">
        <v>46</v>
      </c>
      <c r="D3895" t="s">
        <v>14</v>
      </c>
      <c r="E3895" t="s">
        <v>665</v>
      </c>
      <c r="F3895" s="1">
        <v>1256.22</v>
      </c>
      <c r="G3895">
        <v>6</v>
      </c>
      <c r="H3895" s="1">
        <v>75.373199999999997</v>
      </c>
      <c r="I3895" s="4">
        <f>SalesData[[#This Row],[Profit]]/SalesData[[#This Row],[Sales]]</f>
        <v>0.06</v>
      </c>
      <c r="J3895">
        <f>YEAR(SalesData[[#This Row],[Order Date]])</f>
        <v>2014</v>
      </c>
      <c r="K3895" t="str">
        <f>TEXT(SalesData[[#This Row],[Order Date]],"mmm")</f>
        <v>Nov</v>
      </c>
      <c r="L3895">
        <f>MONTH(SalesData[[#This Row],[Order Date]])</f>
        <v>11</v>
      </c>
      <c r="M3895">
        <f>SalesData[[#This Row],[Sales]]/SalesData[[#This Row],[Quantity]]</f>
        <v>209.37</v>
      </c>
      <c r="N3895" t="str">
        <f>IF(SalesData[[#This Row],[Profit]]&gt;0,"Profit","Loss")</f>
        <v>Profit</v>
      </c>
    </row>
    <row r="3896" spans="1:14" x14ac:dyDescent="0.3">
      <c r="A3896" t="s">
        <v>876</v>
      </c>
      <c r="B3896" s="3">
        <v>41945</v>
      </c>
      <c r="C3896" t="s">
        <v>46</v>
      </c>
      <c r="D3896" t="s">
        <v>21</v>
      </c>
      <c r="E3896" t="s">
        <v>760</v>
      </c>
      <c r="F3896" s="1">
        <v>17.46</v>
      </c>
      <c r="G3896">
        <v>2</v>
      </c>
      <c r="H3896" s="1">
        <v>8.2062000000000008</v>
      </c>
      <c r="I3896" s="4">
        <f>SalesData[[#This Row],[Profit]]/SalesData[[#This Row],[Sales]]</f>
        <v>0.47000000000000003</v>
      </c>
      <c r="J3896">
        <f>YEAR(SalesData[[#This Row],[Order Date]])</f>
        <v>2014</v>
      </c>
      <c r="K3896" t="str">
        <f>TEXT(SalesData[[#This Row],[Order Date]],"mmm")</f>
        <v>Nov</v>
      </c>
      <c r="L3896">
        <f>MONTH(SalesData[[#This Row],[Order Date]])</f>
        <v>11</v>
      </c>
      <c r="M3896">
        <f>SalesData[[#This Row],[Sales]]/SalesData[[#This Row],[Quantity]]</f>
        <v>8.73</v>
      </c>
      <c r="N3896" t="str">
        <f>IF(SalesData[[#This Row],[Profit]]&gt;0,"Profit","Loss")</f>
        <v>Profit</v>
      </c>
    </row>
    <row r="3897" spans="1:14" x14ac:dyDescent="0.3">
      <c r="A3897" t="s">
        <v>877</v>
      </c>
      <c r="B3897" s="3">
        <v>41945</v>
      </c>
      <c r="C3897" t="s">
        <v>9</v>
      </c>
      <c r="D3897" t="s">
        <v>14</v>
      </c>
      <c r="E3897" t="s">
        <v>411</v>
      </c>
      <c r="F3897" s="1">
        <v>60.89</v>
      </c>
      <c r="G3897">
        <v>1</v>
      </c>
      <c r="H3897" s="1">
        <v>15.2225</v>
      </c>
      <c r="I3897" s="4">
        <f>SalesData[[#This Row],[Profit]]/SalesData[[#This Row],[Sales]]</f>
        <v>0.25</v>
      </c>
      <c r="J3897">
        <f>YEAR(SalesData[[#This Row],[Order Date]])</f>
        <v>2014</v>
      </c>
      <c r="K3897" t="str">
        <f>TEXT(SalesData[[#This Row],[Order Date]],"mmm")</f>
        <v>Nov</v>
      </c>
      <c r="L3897">
        <f>MONTH(SalesData[[#This Row],[Order Date]])</f>
        <v>11</v>
      </c>
      <c r="M3897">
        <f>SalesData[[#This Row],[Sales]]/SalesData[[#This Row],[Quantity]]</f>
        <v>60.89</v>
      </c>
      <c r="N3897" t="str">
        <f>IF(SalesData[[#This Row],[Profit]]&gt;0,"Profit","Loss")</f>
        <v>Profit</v>
      </c>
    </row>
    <row r="3898" spans="1:14" x14ac:dyDescent="0.3">
      <c r="A3898" t="s">
        <v>877</v>
      </c>
      <c r="B3898" s="3">
        <v>41945</v>
      </c>
      <c r="C3898" t="s">
        <v>9</v>
      </c>
      <c r="D3898" t="s">
        <v>21</v>
      </c>
      <c r="E3898" t="s">
        <v>878</v>
      </c>
      <c r="F3898" s="1">
        <v>14.94</v>
      </c>
      <c r="G3898">
        <v>3</v>
      </c>
      <c r="H3898" s="1">
        <v>6.8723999999999998</v>
      </c>
      <c r="I3898" s="4">
        <f>SalesData[[#This Row],[Profit]]/SalesData[[#This Row],[Sales]]</f>
        <v>0.46</v>
      </c>
      <c r="J3898">
        <f>YEAR(SalesData[[#This Row],[Order Date]])</f>
        <v>2014</v>
      </c>
      <c r="K3898" t="str">
        <f>TEXT(SalesData[[#This Row],[Order Date]],"mmm")</f>
        <v>Nov</v>
      </c>
      <c r="L3898">
        <f>MONTH(SalesData[[#This Row],[Order Date]])</f>
        <v>11</v>
      </c>
      <c r="M3898">
        <f>SalesData[[#This Row],[Sales]]/SalesData[[#This Row],[Quantity]]</f>
        <v>4.9799999999999995</v>
      </c>
      <c r="N3898" t="str">
        <f>IF(SalesData[[#This Row],[Profit]]&gt;0,"Profit","Loss")</f>
        <v>Profit</v>
      </c>
    </row>
    <row r="3899" spans="1:14" x14ac:dyDescent="0.3">
      <c r="A3899" t="s">
        <v>877</v>
      </c>
      <c r="B3899" s="3">
        <v>41945</v>
      </c>
      <c r="C3899" t="s">
        <v>9</v>
      </c>
      <c r="D3899" t="s">
        <v>21</v>
      </c>
      <c r="E3899" t="s">
        <v>879</v>
      </c>
      <c r="F3899" s="1">
        <v>9.64</v>
      </c>
      <c r="G3899">
        <v>2</v>
      </c>
      <c r="H3899" s="1">
        <v>4.4344000000000001</v>
      </c>
      <c r="I3899" s="4">
        <f>SalesData[[#This Row],[Profit]]/SalesData[[#This Row],[Sales]]</f>
        <v>0.45999999999999996</v>
      </c>
      <c r="J3899">
        <f>YEAR(SalesData[[#This Row],[Order Date]])</f>
        <v>2014</v>
      </c>
      <c r="K3899" t="str">
        <f>TEXT(SalesData[[#This Row],[Order Date]],"mmm")</f>
        <v>Nov</v>
      </c>
      <c r="L3899">
        <f>MONTH(SalesData[[#This Row],[Order Date]])</f>
        <v>11</v>
      </c>
      <c r="M3899">
        <f>SalesData[[#This Row],[Sales]]/SalesData[[#This Row],[Quantity]]</f>
        <v>4.82</v>
      </c>
      <c r="N3899" t="str">
        <f>IF(SalesData[[#This Row],[Profit]]&gt;0,"Profit","Loss")</f>
        <v>Profit</v>
      </c>
    </row>
    <row r="3900" spans="1:14" x14ac:dyDescent="0.3">
      <c r="A3900" t="s">
        <v>877</v>
      </c>
      <c r="B3900" s="3">
        <v>41945</v>
      </c>
      <c r="C3900" t="s">
        <v>9</v>
      </c>
      <c r="D3900" t="s">
        <v>14</v>
      </c>
      <c r="E3900" t="s">
        <v>880</v>
      </c>
      <c r="F3900" s="1">
        <v>332.94</v>
      </c>
      <c r="G3900">
        <v>3</v>
      </c>
      <c r="H3900" s="1">
        <v>53.270400000000002</v>
      </c>
      <c r="I3900" s="4">
        <f>SalesData[[#This Row],[Profit]]/SalesData[[#This Row],[Sales]]</f>
        <v>0.16</v>
      </c>
      <c r="J3900">
        <f>YEAR(SalesData[[#This Row],[Order Date]])</f>
        <v>2014</v>
      </c>
      <c r="K3900" t="str">
        <f>TEXT(SalesData[[#This Row],[Order Date]],"mmm")</f>
        <v>Nov</v>
      </c>
      <c r="L3900">
        <f>MONTH(SalesData[[#This Row],[Order Date]])</f>
        <v>11</v>
      </c>
      <c r="M3900">
        <f>SalesData[[#This Row],[Sales]]/SalesData[[#This Row],[Quantity]]</f>
        <v>110.98</v>
      </c>
      <c r="N3900" t="str">
        <f>IF(SalesData[[#This Row],[Profit]]&gt;0,"Profit","Loss")</f>
        <v>Profit</v>
      </c>
    </row>
    <row r="3901" spans="1:14" x14ac:dyDescent="0.3">
      <c r="A3901" t="s">
        <v>877</v>
      </c>
      <c r="B3901" s="3">
        <v>41945</v>
      </c>
      <c r="C3901" t="s">
        <v>9</v>
      </c>
      <c r="D3901" t="s">
        <v>21</v>
      </c>
      <c r="E3901" t="s">
        <v>881</v>
      </c>
      <c r="F3901" s="1">
        <v>51.9</v>
      </c>
      <c r="G3901">
        <v>3</v>
      </c>
      <c r="H3901" s="1">
        <v>24.393000000000001</v>
      </c>
      <c r="I3901" s="4">
        <f>SalesData[[#This Row],[Profit]]/SalesData[[#This Row],[Sales]]</f>
        <v>0.47000000000000003</v>
      </c>
      <c r="J3901">
        <f>YEAR(SalesData[[#This Row],[Order Date]])</f>
        <v>2014</v>
      </c>
      <c r="K3901" t="str">
        <f>TEXT(SalesData[[#This Row],[Order Date]],"mmm")</f>
        <v>Nov</v>
      </c>
      <c r="L3901">
        <f>MONTH(SalesData[[#This Row],[Order Date]])</f>
        <v>11</v>
      </c>
      <c r="M3901">
        <f>SalesData[[#This Row],[Sales]]/SalesData[[#This Row],[Quantity]]</f>
        <v>17.3</v>
      </c>
      <c r="N3901" t="str">
        <f>IF(SalesData[[#This Row],[Profit]]&gt;0,"Profit","Loss")</f>
        <v>Profit</v>
      </c>
    </row>
    <row r="3902" spans="1:14" x14ac:dyDescent="0.3">
      <c r="A3902" t="s">
        <v>877</v>
      </c>
      <c r="B3902" s="3">
        <v>41945</v>
      </c>
      <c r="C3902" t="s">
        <v>9</v>
      </c>
      <c r="D3902" t="s">
        <v>21</v>
      </c>
      <c r="E3902" t="s">
        <v>882</v>
      </c>
      <c r="F3902" s="1">
        <v>64.959999999999994</v>
      </c>
      <c r="G3902">
        <v>2</v>
      </c>
      <c r="H3902" s="1">
        <v>2.5983999999999998</v>
      </c>
      <c r="I3902" s="4">
        <f>SalesData[[#This Row],[Profit]]/SalesData[[#This Row],[Sales]]</f>
        <v>0.04</v>
      </c>
      <c r="J3902">
        <f>YEAR(SalesData[[#This Row],[Order Date]])</f>
        <v>2014</v>
      </c>
      <c r="K3902" t="str">
        <f>TEXT(SalesData[[#This Row],[Order Date]],"mmm")</f>
        <v>Nov</v>
      </c>
      <c r="L3902">
        <f>MONTH(SalesData[[#This Row],[Order Date]])</f>
        <v>11</v>
      </c>
      <c r="M3902">
        <f>SalesData[[#This Row],[Sales]]/SalesData[[#This Row],[Quantity]]</f>
        <v>32.479999999999997</v>
      </c>
      <c r="N3902" t="str">
        <f>IF(SalesData[[#This Row],[Profit]]&gt;0,"Profit","Loss")</f>
        <v>Profit</v>
      </c>
    </row>
    <row r="3903" spans="1:14" x14ac:dyDescent="0.3">
      <c r="A3903" t="s">
        <v>883</v>
      </c>
      <c r="B3903" s="3">
        <v>41946</v>
      </c>
      <c r="C3903" t="s">
        <v>17</v>
      </c>
      <c r="D3903" t="s">
        <v>14</v>
      </c>
      <c r="E3903" t="s">
        <v>884</v>
      </c>
      <c r="F3903" s="1">
        <v>8.32</v>
      </c>
      <c r="G3903">
        <v>5</v>
      </c>
      <c r="H3903" s="1">
        <v>2.2879999999999998</v>
      </c>
      <c r="I3903" s="4">
        <f>SalesData[[#This Row],[Profit]]/SalesData[[#This Row],[Sales]]</f>
        <v>0.27499999999999997</v>
      </c>
      <c r="J3903">
        <f>YEAR(SalesData[[#This Row],[Order Date]])</f>
        <v>2014</v>
      </c>
      <c r="K3903" t="str">
        <f>TEXT(SalesData[[#This Row],[Order Date]],"mmm")</f>
        <v>Nov</v>
      </c>
      <c r="L3903">
        <f>MONTH(SalesData[[#This Row],[Order Date]])</f>
        <v>11</v>
      </c>
      <c r="M3903">
        <f>SalesData[[#This Row],[Sales]]/SalesData[[#This Row],[Quantity]]</f>
        <v>1.6640000000000001</v>
      </c>
      <c r="N3903" t="str">
        <f>IF(SalesData[[#This Row],[Profit]]&gt;0,"Profit","Loss")</f>
        <v>Profit</v>
      </c>
    </row>
    <row r="3904" spans="1:14" x14ac:dyDescent="0.3">
      <c r="A3904" t="s">
        <v>883</v>
      </c>
      <c r="B3904" s="3">
        <v>41946</v>
      </c>
      <c r="C3904" t="s">
        <v>17</v>
      </c>
      <c r="D3904" t="s">
        <v>21</v>
      </c>
      <c r="E3904" t="s">
        <v>885</v>
      </c>
      <c r="F3904" s="1">
        <v>10.464</v>
      </c>
      <c r="G3904">
        <v>6</v>
      </c>
      <c r="H3904" s="1">
        <v>1.7003999999999999</v>
      </c>
      <c r="I3904" s="4">
        <f>SalesData[[#This Row],[Profit]]/SalesData[[#This Row],[Sales]]</f>
        <v>0.16249999999999998</v>
      </c>
      <c r="J3904">
        <f>YEAR(SalesData[[#This Row],[Order Date]])</f>
        <v>2014</v>
      </c>
      <c r="K3904" t="str">
        <f>TEXT(SalesData[[#This Row],[Order Date]],"mmm")</f>
        <v>Nov</v>
      </c>
      <c r="L3904">
        <f>MONTH(SalesData[[#This Row],[Order Date]])</f>
        <v>11</v>
      </c>
      <c r="M3904">
        <f>SalesData[[#This Row],[Sales]]/SalesData[[#This Row],[Quantity]]</f>
        <v>1.744</v>
      </c>
      <c r="N3904" t="str">
        <f>IF(SalesData[[#This Row],[Profit]]&gt;0,"Profit","Loss")</f>
        <v>Profit</v>
      </c>
    </row>
    <row r="3905" spans="1:14" x14ac:dyDescent="0.3">
      <c r="A3905" t="s">
        <v>886</v>
      </c>
      <c r="B3905" s="3">
        <v>41946</v>
      </c>
      <c r="C3905" t="s">
        <v>17</v>
      </c>
      <c r="D3905" t="s">
        <v>21</v>
      </c>
      <c r="E3905" t="s">
        <v>859</v>
      </c>
      <c r="F3905" s="1">
        <v>108.92</v>
      </c>
      <c r="G3905">
        <v>14</v>
      </c>
      <c r="H3905" s="1">
        <v>49.014000000000003</v>
      </c>
      <c r="I3905" s="4">
        <f>SalesData[[#This Row],[Profit]]/SalesData[[#This Row],[Sales]]</f>
        <v>0.45</v>
      </c>
      <c r="J3905">
        <f>YEAR(SalesData[[#This Row],[Order Date]])</f>
        <v>2014</v>
      </c>
      <c r="K3905" t="str">
        <f>TEXT(SalesData[[#This Row],[Order Date]],"mmm")</f>
        <v>Nov</v>
      </c>
      <c r="L3905">
        <f>MONTH(SalesData[[#This Row],[Order Date]])</f>
        <v>11</v>
      </c>
      <c r="M3905">
        <f>SalesData[[#This Row],[Sales]]/SalesData[[#This Row],[Quantity]]</f>
        <v>7.78</v>
      </c>
      <c r="N3905" t="str">
        <f>IF(SalesData[[#This Row],[Profit]]&gt;0,"Profit","Loss")</f>
        <v>Profit</v>
      </c>
    </row>
    <row r="3906" spans="1:14" x14ac:dyDescent="0.3">
      <c r="A3906" t="s">
        <v>887</v>
      </c>
      <c r="B3906" s="3">
        <v>41946</v>
      </c>
      <c r="C3906" t="s">
        <v>46</v>
      </c>
      <c r="D3906" t="s">
        <v>21</v>
      </c>
      <c r="E3906" t="s">
        <v>888</v>
      </c>
      <c r="F3906" s="1">
        <v>146.76</v>
      </c>
      <c r="G3906">
        <v>3</v>
      </c>
      <c r="H3906" s="1">
        <v>38.157600000000002</v>
      </c>
      <c r="I3906" s="4">
        <f>SalesData[[#This Row],[Profit]]/SalesData[[#This Row],[Sales]]</f>
        <v>0.26</v>
      </c>
      <c r="J3906">
        <f>YEAR(SalesData[[#This Row],[Order Date]])</f>
        <v>2014</v>
      </c>
      <c r="K3906" t="str">
        <f>TEXT(SalesData[[#This Row],[Order Date]],"mmm")</f>
        <v>Nov</v>
      </c>
      <c r="L3906">
        <f>MONTH(SalesData[[#This Row],[Order Date]])</f>
        <v>11</v>
      </c>
      <c r="M3906">
        <f>SalesData[[#This Row],[Sales]]/SalesData[[#This Row],[Quantity]]</f>
        <v>48.919999999999995</v>
      </c>
      <c r="N3906" t="str">
        <f>IF(SalesData[[#This Row],[Profit]]&gt;0,"Profit","Loss")</f>
        <v>Profit</v>
      </c>
    </row>
    <row r="3907" spans="1:14" x14ac:dyDescent="0.3">
      <c r="A3907" t="s">
        <v>887</v>
      </c>
      <c r="B3907" s="3">
        <v>41946</v>
      </c>
      <c r="C3907" t="s">
        <v>46</v>
      </c>
      <c r="D3907" t="s">
        <v>10</v>
      </c>
      <c r="E3907" t="s">
        <v>561</v>
      </c>
      <c r="F3907" s="1">
        <v>32.96</v>
      </c>
      <c r="G3907">
        <v>2</v>
      </c>
      <c r="H3907" s="1">
        <v>14.172800000000001</v>
      </c>
      <c r="I3907" s="4">
        <f>SalesData[[#This Row],[Profit]]/SalesData[[#This Row],[Sales]]</f>
        <v>0.43</v>
      </c>
      <c r="J3907">
        <f>YEAR(SalesData[[#This Row],[Order Date]])</f>
        <v>2014</v>
      </c>
      <c r="K3907" t="str">
        <f>TEXT(SalesData[[#This Row],[Order Date]],"mmm")</f>
        <v>Nov</v>
      </c>
      <c r="L3907">
        <f>MONTH(SalesData[[#This Row],[Order Date]])</f>
        <v>11</v>
      </c>
      <c r="M3907">
        <f>SalesData[[#This Row],[Sales]]/SalesData[[#This Row],[Quantity]]</f>
        <v>16.48</v>
      </c>
      <c r="N3907" t="str">
        <f>IF(SalesData[[#This Row],[Profit]]&gt;0,"Profit","Loss")</f>
        <v>Profit</v>
      </c>
    </row>
    <row r="3908" spans="1:14" x14ac:dyDescent="0.3">
      <c r="A3908" t="s">
        <v>887</v>
      </c>
      <c r="B3908" s="3">
        <v>41946</v>
      </c>
      <c r="C3908" t="s">
        <v>46</v>
      </c>
      <c r="D3908" t="s">
        <v>10</v>
      </c>
      <c r="E3908" t="s">
        <v>281</v>
      </c>
      <c r="F3908" s="1">
        <v>587.97</v>
      </c>
      <c r="G3908">
        <v>3</v>
      </c>
      <c r="H3908" s="1">
        <v>164.63159999999999</v>
      </c>
      <c r="I3908" s="4">
        <f>SalesData[[#This Row],[Profit]]/SalesData[[#This Row],[Sales]]</f>
        <v>0.27999999999999997</v>
      </c>
      <c r="J3908">
        <f>YEAR(SalesData[[#This Row],[Order Date]])</f>
        <v>2014</v>
      </c>
      <c r="K3908" t="str">
        <f>TEXT(SalesData[[#This Row],[Order Date]],"mmm")</f>
        <v>Nov</v>
      </c>
      <c r="L3908">
        <f>MONTH(SalesData[[#This Row],[Order Date]])</f>
        <v>11</v>
      </c>
      <c r="M3908">
        <f>SalesData[[#This Row],[Sales]]/SalesData[[#This Row],[Quantity]]</f>
        <v>195.99</v>
      </c>
      <c r="N3908" t="str">
        <f>IF(SalesData[[#This Row],[Profit]]&gt;0,"Profit","Loss")</f>
        <v>Profit</v>
      </c>
    </row>
    <row r="3909" spans="1:14" x14ac:dyDescent="0.3">
      <c r="A3909" t="s">
        <v>887</v>
      </c>
      <c r="B3909" s="3">
        <v>41946</v>
      </c>
      <c r="C3909" t="s">
        <v>46</v>
      </c>
      <c r="D3909" t="s">
        <v>21</v>
      </c>
      <c r="E3909" t="s">
        <v>889</v>
      </c>
      <c r="F3909" s="1">
        <v>14.94</v>
      </c>
      <c r="G3909">
        <v>3</v>
      </c>
      <c r="H3909" s="1">
        <v>7.0217999999999998</v>
      </c>
      <c r="I3909" s="4">
        <f>SalesData[[#This Row],[Profit]]/SalesData[[#This Row],[Sales]]</f>
        <v>0.47000000000000003</v>
      </c>
      <c r="J3909">
        <f>YEAR(SalesData[[#This Row],[Order Date]])</f>
        <v>2014</v>
      </c>
      <c r="K3909" t="str">
        <f>TEXT(SalesData[[#This Row],[Order Date]],"mmm")</f>
        <v>Nov</v>
      </c>
      <c r="L3909">
        <f>MONTH(SalesData[[#This Row],[Order Date]])</f>
        <v>11</v>
      </c>
      <c r="M3909">
        <f>SalesData[[#This Row],[Sales]]/SalesData[[#This Row],[Quantity]]</f>
        <v>4.9799999999999995</v>
      </c>
      <c r="N3909" t="str">
        <f>IF(SalesData[[#This Row],[Profit]]&gt;0,"Profit","Loss")</f>
        <v>Profit</v>
      </c>
    </row>
    <row r="3910" spans="1:14" x14ac:dyDescent="0.3">
      <c r="A3910" t="s">
        <v>890</v>
      </c>
      <c r="B3910" s="3">
        <v>41946</v>
      </c>
      <c r="C3910" t="s">
        <v>13</v>
      </c>
      <c r="D3910" t="s">
        <v>21</v>
      </c>
      <c r="E3910" t="s">
        <v>891</v>
      </c>
      <c r="F3910" s="1">
        <v>7.98</v>
      </c>
      <c r="G3910">
        <v>3</v>
      </c>
      <c r="H3910" s="1">
        <v>2.0748000000000002</v>
      </c>
      <c r="I3910" s="4">
        <f>SalesData[[#This Row],[Profit]]/SalesData[[#This Row],[Sales]]</f>
        <v>0.26</v>
      </c>
      <c r="J3910">
        <f>YEAR(SalesData[[#This Row],[Order Date]])</f>
        <v>2014</v>
      </c>
      <c r="K3910" t="str">
        <f>TEXT(SalesData[[#This Row],[Order Date]],"mmm")</f>
        <v>Nov</v>
      </c>
      <c r="L3910">
        <f>MONTH(SalesData[[#This Row],[Order Date]])</f>
        <v>11</v>
      </c>
      <c r="M3910">
        <f>SalesData[[#This Row],[Sales]]/SalesData[[#This Row],[Quantity]]</f>
        <v>2.66</v>
      </c>
      <c r="N3910" t="str">
        <f>IF(SalesData[[#This Row],[Profit]]&gt;0,"Profit","Loss")</f>
        <v>Profit</v>
      </c>
    </row>
    <row r="3911" spans="1:14" x14ac:dyDescent="0.3">
      <c r="A3911" t="s">
        <v>892</v>
      </c>
      <c r="B3911" s="3">
        <v>41947</v>
      </c>
      <c r="C3911" t="s">
        <v>46</v>
      </c>
      <c r="D3911" t="s">
        <v>21</v>
      </c>
      <c r="E3911" t="s">
        <v>893</v>
      </c>
      <c r="F3911" s="1">
        <v>6.9119999999999999</v>
      </c>
      <c r="G3911">
        <v>3</v>
      </c>
      <c r="H3911" s="1">
        <v>2.3328000000000002</v>
      </c>
      <c r="I3911" s="4">
        <f>SalesData[[#This Row],[Profit]]/SalesData[[#This Row],[Sales]]</f>
        <v>0.33750000000000002</v>
      </c>
      <c r="J3911">
        <f>YEAR(SalesData[[#This Row],[Order Date]])</f>
        <v>2014</v>
      </c>
      <c r="K3911" t="str">
        <f>TEXT(SalesData[[#This Row],[Order Date]],"mmm")</f>
        <v>Nov</v>
      </c>
      <c r="L3911">
        <f>MONTH(SalesData[[#This Row],[Order Date]])</f>
        <v>11</v>
      </c>
      <c r="M3911">
        <f>SalesData[[#This Row],[Sales]]/SalesData[[#This Row],[Quantity]]</f>
        <v>2.3039999999999998</v>
      </c>
      <c r="N3911" t="str">
        <f>IF(SalesData[[#This Row],[Profit]]&gt;0,"Profit","Loss")</f>
        <v>Profit</v>
      </c>
    </row>
    <row r="3912" spans="1:14" x14ac:dyDescent="0.3">
      <c r="A3912" t="s">
        <v>892</v>
      </c>
      <c r="B3912" s="3">
        <v>41947</v>
      </c>
      <c r="C3912" t="s">
        <v>46</v>
      </c>
      <c r="D3912" t="s">
        <v>10</v>
      </c>
      <c r="E3912" t="s">
        <v>386</v>
      </c>
      <c r="F3912" s="1">
        <v>383.976</v>
      </c>
      <c r="G3912">
        <v>3</v>
      </c>
      <c r="H3912" s="1">
        <v>81.594899999999996</v>
      </c>
      <c r="I3912" s="4">
        <f>SalesData[[#This Row],[Profit]]/SalesData[[#This Row],[Sales]]</f>
        <v>0.21249999999999999</v>
      </c>
      <c r="J3912">
        <f>YEAR(SalesData[[#This Row],[Order Date]])</f>
        <v>2014</v>
      </c>
      <c r="K3912" t="str">
        <f>TEXT(SalesData[[#This Row],[Order Date]],"mmm")</f>
        <v>Nov</v>
      </c>
      <c r="L3912">
        <f>MONTH(SalesData[[#This Row],[Order Date]])</f>
        <v>11</v>
      </c>
      <c r="M3912">
        <f>SalesData[[#This Row],[Sales]]/SalesData[[#This Row],[Quantity]]</f>
        <v>127.992</v>
      </c>
      <c r="N3912" t="str">
        <f>IF(SalesData[[#This Row],[Profit]]&gt;0,"Profit","Loss")</f>
        <v>Profit</v>
      </c>
    </row>
    <row r="3913" spans="1:14" x14ac:dyDescent="0.3">
      <c r="A3913" t="s">
        <v>892</v>
      </c>
      <c r="B3913" s="3">
        <v>41947</v>
      </c>
      <c r="C3913" t="s">
        <v>46</v>
      </c>
      <c r="D3913" t="s">
        <v>21</v>
      </c>
      <c r="E3913" t="s">
        <v>894</v>
      </c>
      <c r="F3913" s="1">
        <v>10.368</v>
      </c>
      <c r="G3913">
        <v>2</v>
      </c>
      <c r="H3913" s="1">
        <v>3.6288</v>
      </c>
      <c r="I3913" s="4">
        <f>SalesData[[#This Row],[Profit]]/SalesData[[#This Row],[Sales]]</f>
        <v>0.35</v>
      </c>
      <c r="J3913">
        <f>YEAR(SalesData[[#This Row],[Order Date]])</f>
        <v>2014</v>
      </c>
      <c r="K3913" t="str">
        <f>TEXT(SalesData[[#This Row],[Order Date]],"mmm")</f>
        <v>Nov</v>
      </c>
      <c r="L3913">
        <f>MONTH(SalesData[[#This Row],[Order Date]])</f>
        <v>11</v>
      </c>
      <c r="M3913">
        <f>SalesData[[#This Row],[Sales]]/SalesData[[#This Row],[Quantity]]</f>
        <v>5.1840000000000002</v>
      </c>
      <c r="N3913" t="str">
        <f>IF(SalesData[[#This Row],[Profit]]&gt;0,"Profit","Loss")</f>
        <v>Profit</v>
      </c>
    </row>
    <row r="3914" spans="1:14" x14ac:dyDescent="0.3">
      <c r="A3914" t="s">
        <v>892</v>
      </c>
      <c r="B3914" s="3">
        <v>41947</v>
      </c>
      <c r="C3914" t="s">
        <v>46</v>
      </c>
      <c r="D3914" t="s">
        <v>10</v>
      </c>
      <c r="E3914" t="s">
        <v>895</v>
      </c>
      <c r="F3914" s="1">
        <v>335.94400000000002</v>
      </c>
      <c r="G3914">
        <v>7</v>
      </c>
      <c r="H3914" s="1">
        <v>41.993000000000002</v>
      </c>
      <c r="I3914" s="4">
        <f>SalesData[[#This Row],[Profit]]/SalesData[[#This Row],[Sales]]</f>
        <v>0.125</v>
      </c>
      <c r="J3914">
        <f>YEAR(SalesData[[#This Row],[Order Date]])</f>
        <v>2014</v>
      </c>
      <c r="K3914" t="str">
        <f>TEXT(SalesData[[#This Row],[Order Date]],"mmm")</f>
        <v>Nov</v>
      </c>
      <c r="L3914">
        <f>MONTH(SalesData[[#This Row],[Order Date]])</f>
        <v>11</v>
      </c>
      <c r="M3914">
        <f>SalesData[[#This Row],[Sales]]/SalesData[[#This Row],[Quantity]]</f>
        <v>47.992000000000004</v>
      </c>
      <c r="N3914" t="str">
        <f>IF(SalesData[[#This Row],[Profit]]&gt;0,"Profit","Loss")</f>
        <v>Profit</v>
      </c>
    </row>
    <row r="3915" spans="1:14" x14ac:dyDescent="0.3">
      <c r="A3915" t="s">
        <v>896</v>
      </c>
      <c r="B3915" s="3">
        <v>41947</v>
      </c>
      <c r="C3915" t="s">
        <v>13</v>
      </c>
      <c r="D3915" t="s">
        <v>21</v>
      </c>
      <c r="E3915" t="s">
        <v>851</v>
      </c>
      <c r="F3915" s="1">
        <v>9.5839999999999996</v>
      </c>
      <c r="G3915">
        <v>1</v>
      </c>
      <c r="H3915" s="1">
        <v>3.3544</v>
      </c>
      <c r="I3915" s="4">
        <f>SalesData[[#This Row],[Profit]]/SalesData[[#This Row],[Sales]]</f>
        <v>0.35000000000000003</v>
      </c>
      <c r="J3915">
        <f>YEAR(SalesData[[#This Row],[Order Date]])</f>
        <v>2014</v>
      </c>
      <c r="K3915" t="str">
        <f>TEXT(SalesData[[#This Row],[Order Date]],"mmm")</f>
        <v>Nov</v>
      </c>
      <c r="L3915">
        <f>MONTH(SalesData[[#This Row],[Order Date]])</f>
        <v>11</v>
      </c>
      <c r="M3915">
        <f>SalesData[[#This Row],[Sales]]/SalesData[[#This Row],[Quantity]]</f>
        <v>9.5839999999999996</v>
      </c>
      <c r="N3915" t="str">
        <f>IF(SalesData[[#This Row],[Profit]]&gt;0,"Profit","Loss")</f>
        <v>Profit</v>
      </c>
    </row>
    <row r="3916" spans="1:14" x14ac:dyDescent="0.3">
      <c r="A3916" t="s">
        <v>897</v>
      </c>
      <c r="B3916" s="3">
        <v>41947</v>
      </c>
      <c r="C3916" t="s">
        <v>9</v>
      </c>
      <c r="D3916" t="s">
        <v>10</v>
      </c>
      <c r="E3916" t="s">
        <v>898</v>
      </c>
      <c r="F3916" s="1">
        <v>758.35199999999998</v>
      </c>
      <c r="G3916">
        <v>6</v>
      </c>
      <c r="H3916" s="1">
        <v>265.42320000000001</v>
      </c>
      <c r="I3916" s="4">
        <f>SalesData[[#This Row],[Profit]]/SalesData[[#This Row],[Sales]]</f>
        <v>0.35000000000000003</v>
      </c>
      <c r="J3916">
        <f>YEAR(SalesData[[#This Row],[Order Date]])</f>
        <v>2014</v>
      </c>
      <c r="K3916" t="str">
        <f>TEXT(SalesData[[#This Row],[Order Date]],"mmm")</f>
        <v>Nov</v>
      </c>
      <c r="L3916">
        <f>MONTH(SalesData[[#This Row],[Order Date]])</f>
        <v>11</v>
      </c>
      <c r="M3916">
        <f>SalesData[[#This Row],[Sales]]/SalesData[[#This Row],[Quantity]]</f>
        <v>126.392</v>
      </c>
      <c r="N3916" t="str">
        <f>IF(SalesData[[#This Row],[Profit]]&gt;0,"Profit","Loss")</f>
        <v>Profit</v>
      </c>
    </row>
    <row r="3917" spans="1:14" x14ac:dyDescent="0.3">
      <c r="A3917" t="s">
        <v>899</v>
      </c>
      <c r="B3917" s="3">
        <v>41947</v>
      </c>
      <c r="C3917" t="s">
        <v>13</v>
      </c>
      <c r="D3917" t="s">
        <v>21</v>
      </c>
      <c r="E3917" t="s">
        <v>900</v>
      </c>
      <c r="F3917" s="1">
        <v>87.08</v>
      </c>
      <c r="G3917">
        <v>7</v>
      </c>
      <c r="H3917" s="1">
        <v>24.382400000000001</v>
      </c>
      <c r="I3917" s="4">
        <f>SalesData[[#This Row],[Profit]]/SalesData[[#This Row],[Sales]]</f>
        <v>0.28000000000000003</v>
      </c>
      <c r="J3917">
        <f>YEAR(SalesData[[#This Row],[Order Date]])</f>
        <v>2014</v>
      </c>
      <c r="K3917" t="str">
        <f>TEXT(SalesData[[#This Row],[Order Date]],"mmm")</f>
        <v>Nov</v>
      </c>
      <c r="L3917">
        <f>MONTH(SalesData[[#This Row],[Order Date]])</f>
        <v>11</v>
      </c>
      <c r="M3917">
        <f>SalesData[[#This Row],[Sales]]/SalesData[[#This Row],[Quantity]]</f>
        <v>12.44</v>
      </c>
      <c r="N3917" t="str">
        <f>IF(SalesData[[#This Row],[Profit]]&gt;0,"Profit","Loss")</f>
        <v>Profit</v>
      </c>
    </row>
    <row r="3918" spans="1:14" x14ac:dyDescent="0.3">
      <c r="A3918" t="s">
        <v>899</v>
      </c>
      <c r="B3918" s="3">
        <v>41947</v>
      </c>
      <c r="C3918" t="s">
        <v>13</v>
      </c>
      <c r="D3918" t="s">
        <v>10</v>
      </c>
      <c r="E3918" t="s">
        <v>901</v>
      </c>
      <c r="F3918" s="1">
        <v>105.584</v>
      </c>
      <c r="G3918">
        <v>2</v>
      </c>
      <c r="H3918" s="1">
        <v>9.2385999999999999</v>
      </c>
      <c r="I3918" s="4">
        <f>SalesData[[#This Row],[Profit]]/SalesData[[#This Row],[Sales]]</f>
        <v>8.7499999999999994E-2</v>
      </c>
      <c r="J3918">
        <f>YEAR(SalesData[[#This Row],[Order Date]])</f>
        <v>2014</v>
      </c>
      <c r="K3918" t="str">
        <f>TEXT(SalesData[[#This Row],[Order Date]],"mmm")</f>
        <v>Nov</v>
      </c>
      <c r="L3918">
        <f>MONTH(SalesData[[#This Row],[Order Date]])</f>
        <v>11</v>
      </c>
      <c r="M3918">
        <f>SalesData[[#This Row],[Sales]]/SalesData[[#This Row],[Quantity]]</f>
        <v>52.792000000000002</v>
      </c>
      <c r="N3918" t="str">
        <f>IF(SalesData[[#This Row],[Profit]]&gt;0,"Profit","Loss")</f>
        <v>Profit</v>
      </c>
    </row>
    <row r="3919" spans="1:14" x14ac:dyDescent="0.3">
      <c r="A3919" t="s">
        <v>899</v>
      </c>
      <c r="B3919" s="3">
        <v>41947</v>
      </c>
      <c r="C3919" t="s">
        <v>13</v>
      </c>
      <c r="D3919" t="s">
        <v>10</v>
      </c>
      <c r="E3919" t="s">
        <v>902</v>
      </c>
      <c r="F3919" s="1">
        <v>217.44</v>
      </c>
      <c r="G3919">
        <v>6</v>
      </c>
      <c r="H3919" s="1">
        <v>91.324799999999996</v>
      </c>
      <c r="I3919" s="4">
        <f>SalesData[[#This Row],[Profit]]/SalesData[[#This Row],[Sales]]</f>
        <v>0.42</v>
      </c>
      <c r="J3919">
        <f>YEAR(SalesData[[#This Row],[Order Date]])</f>
        <v>2014</v>
      </c>
      <c r="K3919" t="str">
        <f>TEXT(SalesData[[#This Row],[Order Date]],"mmm")</f>
        <v>Nov</v>
      </c>
      <c r="L3919">
        <f>MONTH(SalesData[[#This Row],[Order Date]])</f>
        <v>11</v>
      </c>
      <c r="M3919">
        <f>SalesData[[#This Row],[Sales]]/SalesData[[#This Row],[Quantity]]</f>
        <v>36.24</v>
      </c>
      <c r="N3919" t="str">
        <f>IF(SalesData[[#This Row],[Profit]]&gt;0,"Profit","Loss")</f>
        <v>Profit</v>
      </c>
    </row>
    <row r="3920" spans="1:14" x14ac:dyDescent="0.3">
      <c r="A3920" t="s">
        <v>903</v>
      </c>
      <c r="B3920" s="3">
        <v>41948</v>
      </c>
      <c r="C3920" t="s">
        <v>9</v>
      </c>
      <c r="D3920" t="s">
        <v>10</v>
      </c>
      <c r="E3920" t="s">
        <v>904</v>
      </c>
      <c r="F3920" s="1">
        <v>58.112000000000002</v>
      </c>
      <c r="G3920">
        <v>2</v>
      </c>
      <c r="H3920" s="1">
        <v>7.2640000000000002</v>
      </c>
      <c r="I3920" s="4">
        <f>SalesData[[#This Row],[Profit]]/SalesData[[#This Row],[Sales]]</f>
        <v>0.125</v>
      </c>
      <c r="J3920">
        <f>YEAR(SalesData[[#This Row],[Order Date]])</f>
        <v>2014</v>
      </c>
      <c r="K3920" t="str">
        <f>TEXT(SalesData[[#This Row],[Order Date]],"mmm")</f>
        <v>Nov</v>
      </c>
      <c r="L3920">
        <f>MONTH(SalesData[[#This Row],[Order Date]])</f>
        <v>11</v>
      </c>
      <c r="M3920">
        <f>SalesData[[#This Row],[Sales]]/SalesData[[#This Row],[Quantity]]</f>
        <v>29.056000000000001</v>
      </c>
      <c r="N3920" t="str">
        <f>IF(SalesData[[#This Row],[Profit]]&gt;0,"Profit","Loss")</f>
        <v>Profit</v>
      </c>
    </row>
    <row r="3921" spans="1:14" x14ac:dyDescent="0.3">
      <c r="A3921" t="s">
        <v>903</v>
      </c>
      <c r="B3921" s="3">
        <v>41948</v>
      </c>
      <c r="C3921" t="s">
        <v>9</v>
      </c>
      <c r="D3921" t="s">
        <v>10</v>
      </c>
      <c r="E3921" t="s">
        <v>905</v>
      </c>
      <c r="F3921" s="1">
        <v>100.792</v>
      </c>
      <c r="G3921">
        <v>1</v>
      </c>
      <c r="H3921" s="1">
        <v>6.2995000000000001</v>
      </c>
      <c r="I3921" s="4">
        <f>SalesData[[#This Row],[Profit]]/SalesData[[#This Row],[Sales]]</f>
        <v>6.25E-2</v>
      </c>
      <c r="J3921">
        <f>YEAR(SalesData[[#This Row],[Order Date]])</f>
        <v>2014</v>
      </c>
      <c r="K3921" t="str">
        <f>TEXT(SalesData[[#This Row],[Order Date]],"mmm")</f>
        <v>Nov</v>
      </c>
      <c r="L3921">
        <f>MONTH(SalesData[[#This Row],[Order Date]])</f>
        <v>11</v>
      </c>
      <c r="M3921">
        <f>SalesData[[#This Row],[Sales]]/SalesData[[#This Row],[Quantity]]</f>
        <v>100.792</v>
      </c>
      <c r="N3921" t="str">
        <f>IF(SalesData[[#This Row],[Profit]]&gt;0,"Profit","Loss")</f>
        <v>Profit</v>
      </c>
    </row>
    <row r="3922" spans="1:14" x14ac:dyDescent="0.3">
      <c r="A3922" t="s">
        <v>903</v>
      </c>
      <c r="B3922" s="3">
        <v>41948</v>
      </c>
      <c r="C3922" t="s">
        <v>9</v>
      </c>
      <c r="D3922" t="s">
        <v>14</v>
      </c>
      <c r="E3922" t="s">
        <v>906</v>
      </c>
      <c r="F3922" s="1">
        <v>66.111999999999995</v>
      </c>
      <c r="G3922">
        <v>4</v>
      </c>
      <c r="H3922" s="1">
        <v>-84.2928</v>
      </c>
      <c r="I3922" s="4">
        <f>SalesData[[#This Row],[Profit]]/SalesData[[#This Row],[Sales]]</f>
        <v>-1.2750000000000001</v>
      </c>
      <c r="J3922">
        <f>YEAR(SalesData[[#This Row],[Order Date]])</f>
        <v>2014</v>
      </c>
      <c r="K3922" t="str">
        <f>TEXT(SalesData[[#This Row],[Order Date]],"mmm")</f>
        <v>Nov</v>
      </c>
      <c r="L3922">
        <f>MONTH(SalesData[[#This Row],[Order Date]])</f>
        <v>11</v>
      </c>
      <c r="M3922">
        <f>SalesData[[#This Row],[Sales]]/SalesData[[#This Row],[Quantity]]</f>
        <v>16.527999999999999</v>
      </c>
      <c r="N3922" t="str">
        <f>IF(SalesData[[#This Row],[Profit]]&gt;0,"Profit","Loss")</f>
        <v>Loss</v>
      </c>
    </row>
    <row r="3923" spans="1:14" x14ac:dyDescent="0.3">
      <c r="A3923" t="s">
        <v>907</v>
      </c>
      <c r="B3923" s="3">
        <v>41948</v>
      </c>
      <c r="C3923" t="s">
        <v>9</v>
      </c>
      <c r="D3923" t="s">
        <v>10</v>
      </c>
      <c r="E3923" t="s">
        <v>908</v>
      </c>
      <c r="F3923" s="1">
        <v>46.863999999999997</v>
      </c>
      <c r="G3923">
        <v>2</v>
      </c>
      <c r="H3923" s="1">
        <v>7.6154000000000002</v>
      </c>
      <c r="I3923" s="4">
        <f>SalesData[[#This Row],[Profit]]/SalesData[[#This Row],[Sales]]</f>
        <v>0.16250000000000001</v>
      </c>
      <c r="J3923">
        <f>YEAR(SalesData[[#This Row],[Order Date]])</f>
        <v>2014</v>
      </c>
      <c r="K3923" t="str">
        <f>TEXT(SalesData[[#This Row],[Order Date]],"mmm")</f>
        <v>Nov</v>
      </c>
      <c r="L3923">
        <f>MONTH(SalesData[[#This Row],[Order Date]])</f>
        <v>11</v>
      </c>
      <c r="M3923">
        <f>SalesData[[#This Row],[Sales]]/SalesData[[#This Row],[Quantity]]</f>
        <v>23.431999999999999</v>
      </c>
      <c r="N3923" t="str">
        <f>IF(SalesData[[#This Row],[Profit]]&gt;0,"Profit","Loss")</f>
        <v>Profit</v>
      </c>
    </row>
    <row r="3924" spans="1:14" x14ac:dyDescent="0.3">
      <c r="A3924" t="s">
        <v>909</v>
      </c>
      <c r="B3924" s="3">
        <v>41948</v>
      </c>
      <c r="C3924" t="s">
        <v>17</v>
      </c>
      <c r="D3924" t="s">
        <v>21</v>
      </c>
      <c r="E3924" t="s">
        <v>207</v>
      </c>
      <c r="F3924" s="1">
        <v>35.909999999999997</v>
      </c>
      <c r="G3924">
        <v>3</v>
      </c>
      <c r="H3924" s="1">
        <v>9.6957000000000004</v>
      </c>
      <c r="I3924" s="4">
        <f>SalesData[[#This Row],[Profit]]/SalesData[[#This Row],[Sales]]</f>
        <v>0.27</v>
      </c>
      <c r="J3924">
        <f>YEAR(SalesData[[#This Row],[Order Date]])</f>
        <v>2014</v>
      </c>
      <c r="K3924" t="str">
        <f>TEXT(SalesData[[#This Row],[Order Date]],"mmm")</f>
        <v>Nov</v>
      </c>
      <c r="L3924">
        <f>MONTH(SalesData[[#This Row],[Order Date]])</f>
        <v>11</v>
      </c>
      <c r="M3924">
        <f>SalesData[[#This Row],[Sales]]/SalesData[[#This Row],[Quantity]]</f>
        <v>11.969999999999999</v>
      </c>
      <c r="N3924" t="str">
        <f>IF(SalesData[[#This Row],[Profit]]&gt;0,"Profit","Loss")</f>
        <v>Profit</v>
      </c>
    </row>
    <row r="3925" spans="1:14" x14ac:dyDescent="0.3">
      <c r="A3925" t="s">
        <v>910</v>
      </c>
      <c r="B3925" s="3">
        <v>41948</v>
      </c>
      <c r="C3925" t="s">
        <v>9</v>
      </c>
      <c r="D3925" t="s">
        <v>14</v>
      </c>
      <c r="E3925" t="s">
        <v>116</v>
      </c>
      <c r="F3925" s="1">
        <v>1212.96</v>
      </c>
      <c r="G3925">
        <v>8</v>
      </c>
      <c r="H3925" s="1">
        <v>-69.311999999999998</v>
      </c>
      <c r="I3925" s="4">
        <f>SalesData[[#This Row],[Profit]]/SalesData[[#This Row],[Sales]]</f>
        <v>-5.7142857142857141E-2</v>
      </c>
      <c r="J3925">
        <f>YEAR(SalesData[[#This Row],[Order Date]])</f>
        <v>2014</v>
      </c>
      <c r="K3925" t="str">
        <f>TEXT(SalesData[[#This Row],[Order Date]],"mmm")</f>
        <v>Nov</v>
      </c>
      <c r="L3925">
        <f>MONTH(SalesData[[#This Row],[Order Date]])</f>
        <v>11</v>
      </c>
      <c r="M3925">
        <f>SalesData[[#This Row],[Sales]]/SalesData[[#This Row],[Quantity]]</f>
        <v>151.62</v>
      </c>
      <c r="N3925" t="str">
        <f>IF(SalesData[[#This Row],[Profit]]&gt;0,"Profit","Loss")</f>
        <v>Loss</v>
      </c>
    </row>
    <row r="3926" spans="1:14" x14ac:dyDescent="0.3">
      <c r="A3926" t="s">
        <v>911</v>
      </c>
      <c r="B3926" s="3">
        <v>41948</v>
      </c>
      <c r="C3926" t="s">
        <v>9</v>
      </c>
      <c r="D3926" t="s">
        <v>21</v>
      </c>
      <c r="E3926" t="s">
        <v>22</v>
      </c>
      <c r="F3926" s="1">
        <v>17.472000000000001</v>
      </c>
      <c r="G3926">
        <v>3</v>
      </c>
      <c r="H3926" s="1">
        <v>5.6783999999999999</v>
      </c>
      <c r="I3926" s="4">
        <f>SalesData[[#This Row],[Profit]]/SalesData[[#This Row],[Sales]]</f>
        <v>0.32499999999999996</v>
      </c>
      <c r="J3926">
        <f>YEAR(SalesData[[#This Row],[Order Date]])</f>
        <v>2014</v>
      </c>
      <c r="K3926" t="str">
        <f>TEXT(SalesData[[#This Row],[Order Date]],"mmm")</f>
        <v>Nov</v>
      </c>
      <c r="L3926">
        <f>MONTH(SalesData[[#This Row],[Order Date]])</f>
        <v>11</v>
      </c>
      <c r="M3926">
        <f>SalesData[[#This Row],[Sales]]/SalesData[[#This Row],[Quantity]]</f>
        <v>5.8240000000000007</v>
      </c>
      <c r="N3926" t="str">
        <f>IF(SalesData[[#This Row],[Profit]]&gt;0,"Profit","Loss")</f>
        <v>Profit</v>
      </c>
    </row>
    <row r="3927" spans="1:14" x14ac:dyDescent="0.3">
      <c r="A3927" t="s">
        <v>911</v>
      </c>
      <c r="B3927" s="3">
        <v>41948</v>
      </c>
      <c r="C3927" t="s">
        <v>9</v>
      </c>
      <c r="D3927" t="s">
        <v>21</v>
      </c>
      <c r="E3927" t="s">
        <v>912</v>
      </c>
      <c r="F3927" s="1">
        <v>104.58</v>
      </c>
      <c r="G3927">
        <v>9</v>
      </c>
      <c r="H3927" s="1">
        <v>-172.55699999999999</v>
      </c>
      <c r="I3927" s="4">
        <f>SalesData[[#This Row],[Profit]]/SalesData[[#This Row],[Sales]]</f>
        <v>-1.65</v>
      </c>
      <c r="J3927">
        <f>YEAR(SalesData[[#This Row],[Order Date]])</f>
        <v>2014</v>
      </c>
      <c r="K3927" t="str">
        <f>TEXT(SalesData[[#This Row],[Order Date]],"mmm")</f>
        <v>Nov</v>
      </c>
      <c r="L3927">
        <f>MONTH(SalesData[[#This Row],[Order Date]])</f>
        <v>11</v>
      </c>
      <c r="M3927">
        <f>SalesData[[#This Row],[Sales]]/SalesData[[#This Row],[Quantity]]</f>
        <v>11.62</v>
      </c>
      <c r="N3927" t="str">
        <f>IF(SalesData[[#This Row],[Profit]]&gt;0,"Profit","Loss")</f>
        <v>Loss</v>
      </c>
    </row>
    <row r="3928" spans="1:14" x14ac:dyDescent="0.3">
      <c r="A3928" t="s">
        <v>913</v>
      </c>
      <c r="B3928" s="3">
        <v>41950</v>
      </c>
      <c r="C3928" t="s">
        <v>17</v>
      </c>
      <c r="D3928" t="s">
        <v>21</v>
      </c>
      <c r="E3928" t="s">
        <v>94</v>
      </c>
      <c r="F3928" s="1">
        <v>177.2</v>
      </c>
      <c r="G3928">
        <v>5</v>
      </c>
      <c r="H3928" s="1">
        <v>83.284000000000006</v>
      </c>
      <c r="I3928" s="4">
        <f>SalesData[[#This Row],[Profit]]/SalesData[[#This Row],[Sales]]</f>
        <v>0.47000000000000008</v>
      </c>
      <c r="J3928">
        <f>YEAR(SalesData[[#This Row],[Order Date]])</f>
        <v>2014</v>
      </c>
      <c r="K3928" t="str">
        <f>TEXT(SalesData[[#This Row],[Order Date]],"mmm")</f>
        <v>Nov</v>
      </c>
      <c r="L3928">
        <f>MONTH(SalesData[[#This Row],[Order Date]])</f>
        <v>11</v>
      </c>
      <c r="M3928">
        <f>SalesData[[#This Row],[Sales]]/SalesData[[#This Row],[Quantity]]</f>
        <v>35.44</v>
      </c>
      <c r="N3928" t="str">
        <f>IF(SalesData[[#This Row],[Profit]]&gt;0,"Profit","Loss")</f>
        <v>Profit</v>
      </c>
    </row>
    <row r="3929" spans="1:14" x14ac:dyDescent="0.3">
      <c r="A3929" t="s">
        <v>913</v>
      </c>
      <c r="B3929" s="3">
        <v>41950</v>
      </c>
      <c r="C3929" t="s">
        <v>17</v>
      </c>
      <c r="D3929" t="s">
        <v>10</v>
      </c>
      <c r="E3929" t="s">
        <v>914</v>
      </c>
      <c r="F3929" s="1">
        <v>197.97</v>
      </c>
      <c r="G3929">
        <v>3</v>
      </c>
      <c r="H3929" s="1">
        <v>57.411299999999997</v>
      </c>
      <c r="I3929" s="4">
        <f>SalesData[[#This Row],[Profit]]/SalesData[[#This Row],[Sales]]</f>
        <v>0.28999999999999998</v>
      </c>
      <c r="J3929">
        <f>YEAR(SalesData[[#This Row],[Order Date]])</f>
        <v>2014</v>
      </c>
      <c r="K3929" t="str">
        <f>TEXT(SalesData[[#This Row],[Order Date]],"mmm")</f>
        <v>Nov</v>
      </c>
      <c r="L3929">
        <f>MONTH(SalesData[[#This Row],[Order Date]])</f>
        <v>11</v>
      </c>
      <c r="M3929">
        <f>SalesData[[#This Row],[Sales]]/SalesData[[#This Row],[Quantity]]</f>
        <v>65.989999999999995</v>
      </c>
      <c r="N3929" t="str">
        <f>IF(SalesData[[#This Row],[Profit]]&gt;0,"Profit","Loss")</f>
        <v>Profit</v>
      </c>
    </row>
    <row r="3930" spans="1:14" x14ac:dyDescent="0.3">
      <c r="A3930" t="s">
        <v>913</v>
      </c>
      <c r="B3930" s="3">
        <v>41950</v>
      </c>
      <c r="C3930" t="s">
        <v>17</v>
      </c>
      <c r="D3930" t="s">
        <v>14</v>
      </c>
      <c r="E3930" t="s">
        <v>915</v>
      </c>
      <c r="F3930" s="1">
        <v>854.94</v>
      </c>
      <c r="G3930">
        <v>3</v>
      </c>
      <c r="H3930" s="1">
        <v>213.73500000000001</v>
      </c>
      <c r="I3930" s="4">
        <f>SalesData[[#This Row],[Profit]]/SalesData[[#This Row],[Sales]]</f>
        <v>0.25</v>
      </c>
      <c r="J3930">
        <f>YEAR(SalesData[[#This Row],[Order Date]])</f>
        <v>2014</v>
      </c>
      <c r="K3930" t="str">
        <f>TEXT(SalesData[[#This Row],[Order Date]],"mmm")</f>
        <v>Nov</v>
      </c>
      <c r="L3930">
        <f>MONTH(SalesData[[#This Row],[Order Date]])</f>
        <v>11</v>
      </c>
      <c r="M3930">
        <f>SalesData[[#This Row],[Sales]]/SalesData[[#This Row],[Quantity]]</f>
        <v>284.98</v>
      </c>
      <c r="N3930" t="str">
        <f>IF(SalesData[[#This Row],[Profit]]&gt;0,"Profit","Loss")</f>
        <v>Profit</v>
      </c>
    </row>
    <row r="3931" spans="1:14" x14ac:dyDescent="0.3">
      <c r="A3931" t="s">
        <v>913</v>
      </c>
      <c r="B3931" s="3">
        <v>41950</v>
      </c>
      <c r="C3931" t="s">
        <v>17</v>
      </c>
      <c r="D3931" t="s">
        <v>14</v>
      </c>
      <c r="E3931" t="s">
        <v>59</v>
      </c>
      <c r="F3931" s="1">
        <v>124.11</v>
      </c>
      <c r="G3931">
        <v>9</v>
      </c>
      <c r="H3931" s="1">
        <v>52.126199999999997</v>
      </c>
      <c r="I3931" s="4">
        <f>SalesData[[#This Row],[Profit]]/SalesData[[#This Row],[Sales]]</f>
        <v>0.42</v>
      </c>
      <c r="J3931">
        <f>YEAR(SalesData[[#This Row],[Order Date]])</f>
        <v>2014</v>
      </c>
      <c r="K3931" t="str">
        <f>TEXT(SalesData[[#This Row],[Order Date]],"mmm")</f>
        <v>Nov</v>
      </c>
      <c r="L3931">
        <f>MONTH(SalesData[[#This Row],[Order Date]])</f>
        <v>11</v>
      </c>
      <c r="M3931">
        <f>SalesData[[#This Row],[Sales]]/SalesData[[#This Row],[Quantity]]</f>
        <v>13.79</v>
      </c>
      <c r="N3931" t="str">
        <f>IF(SalesData[[#This Row],[Profit]]&gt;0,"Profit","Loss")</f>
        <v>Profit</v>
      </c>
    </row>
    <row r="3932" spans="1:14" x14ac:dyDescent="0.3">
      <c r="A3932" t="s">
        <v>913</v>
      </c>
      <c r="B3932" s="3">
        <v>41950</v>
      </c>
      <c r="C3932" t="s">
        <v>17</v>
      </c>
      <c r="D3932" t="s">
        <v>21</v>
      </c>
      <c r="E3932" t="s">
        <v>259</v>
      </c>
      <c r="F3932" s="1">
        <v>14.4</v>
      </c>
      <c r="G3932">
        <v>5</v>
      </c>
      <c r="H3932" s="1">
        <v>7.056</v>
      </c>
      <c r="I3932" s="4">
        <f>SalesData[[#This Row],[Profit]]/SalesData[[#This Row],[Sales]]</f>
        <v>0.49</v>
      </c>
      <c r="J3932">
        <f>YEAR(SalesData[[#This Row],[Order Date]])</f>
        <v>2014</v>
      </c>
      <c r="K3932" t="str">
        <f>TEXT(SalesData[[#This Row],[Order Date]],"mmm")</f>
        <v>Nov</v>
      </c>
      <c r="L3932">
        <f>MONTH(SalesData[[#This Row],[Order Date]])</f>
        <v>11</v>
      </c>
      <c r="M3932">
        <f>SalesData[[#This Row],[Sales]]/SalesData[[#This Row],[Quantity]]</f>
        <v>2.88</v>
      </c>
      <c r="N3932" t="str">
        <f>IF(SalesData[[#This Row],[Profit]]&gt;0,"Profit","Loss")</f>
        <v>Profit</v>
      </c>
    </row>
    <row r="3933" spans="1:14" x14ac:dyDescent="0.3">
      <c r="A3933" t="s">
        <v>916</v>
      </c>
      <c r="B3933" s="3">
        <v>41950</v>
      </c>
      <c r="C3933" t="s">
        <v>9</v>
      </c>
      <c r="D3933" t="s">
        <v>10</v>
      </c>
      <c r="E3933" t="s">
        <v>917</v>
      </c>
      <c r="F3933" s="1">
        <v>575.96799999999996</v>
      </c>
      <c r="G3933">
        <v>4</v>
      </c>
      <c r="H3933" s="1">
        <v>43.197600000000001</v>
      </c>
      <c r="I3933" s="4">
        <f>SalesData[[#This Row],[Profit]]/SalesData[[#This Row],[Sales]]</f>
        <v>7.5000000000000011E-2</v>
      </c>
      <c r="J3933">
        <f>YEAR(SalesData[[#This Row],[Order Date]])</f>
        <v>2014</v>
      </c>
      <c r="K3933" t="str">
        <f>TEXT(SalesData[[#This Row],[Order Date]],"mmm")</f>
        <v>Nov</v>
      </c>
      <c r="L3933">
        <f>MONTH(SalesData[[#This Row],[Order Date]])</f>
        <v>11</v>
      </c>
      <c r="M3933">
        <f>SalesData[[#This Row],[Sales]]/SalesData[[#This Row],[Quantity]]</f>
        <v>143.99199999999999</v>
      </c>
      <c r="N3933" t="str">
        <f>IF(SalesData[[#This Row],[Profit]]&gt;0,"Profit","Loss")</f>
        <v>Profit</v>
      </c>
    </row>
    <row r="3934" spans="1:14" x14ac:dyDescent="0.3">
      <c r="A3934" t="s">
        <v>916</v>
      </c>
      <c r="B3934" s="3">
        <v>41950</v>
      </c>
      <c r="C3934" t="s">
        <v>9</v>
      </c>
      <c r="D3934" t="s">
        <v>21</v>
      </c>
      <c r="E3934" t="s">
        <v>918</v>
      </c>
      <c r="F3934" s="1">
        <v>10.368</v>
      </c>
      <c r="G3934">
        <v>2</v>
      </c>
      <c r="H3934" s="1">
        <v>3.6288</v>
      </c>
      <c r="I3934" s="4">
        <f>SalesData[[#This Row],[Profit]]/SalesData[[#This Row],[Sales]]</f>
        <v>0.35</v>
      </c>
      <c r="J3934">
        <f>YEAR(SalesData[[#This Row],[Order Date]])</f>
        <v>2014</v>
      </c>
      <c r="K3934" t="str">
        <f>TEXT(SalesData[[#This Row],[Order Date]],"mmm")</f>
        <v>Nov</v>
      </c>
      <c r="L3934">
        <f>MONTH(SalesData[[#This Row],[Order Date]])</f>
        <v>11</v>
      </c>
      <c r="M3934">
        <f>SalesData[[#This Row],[Sales]]/SalesData[[#This Row],[Quantity]]</f>
        <v>5.1840000000000002</v>
      </c>
      <c r="N3934" t="str">
        <f>IF(SalesData[[#This Row],[Profit]]&gt;0,"Profit","Loss")</f>
        <v>Profit</v>
      </c>
    </row>
    <row r="3935" spans="1:14" x14ac:dyDescent="0.3">
      <c r="A3935" t="s">
        <v>919</v>
      </c>
      <c r="B3935" s="3">
        <v>41950</v>
      </c>
      <c r="C3935" t="s">
        <v>17</v>
      </c>
      <c r="D3935" t="s">
        <v>21</v>
      </c>
      <c r="E3935" t="s">
        <v>920</v>
      </c>
      <c r="F3935" s="1">
        <v>49.12</v>
      </c>
      <c r="G3935">
        <v>4</v>
      </c>
      <c r="H3935" s="1">
        <v>23.086400000000001</v>
      </c>
      <c r="I3935" s="4">
        <f>SalesData[[#This Row],[Profit]]/SalesData[[#This Row],[Sales]]</f>
        <v>0.47000000000000003</v>
      </c>
      <c r="J3935">
        <f>YEAR(SalesData[[#This Row],[Order Date]])</f>
        <v>2014</v>
      </c>
      <c r="K3935" t="str">
        <f>TEXT(SalesData[[#This Row],[Order Date]],"mmm")</f>
        <v>Nov</v>
      </c>
      <c r="L3935">
        <f>MONTH(SalesData[[#This Row],[Order Date]])</f>
        <v>11</v>
      </c>
      <c r="M3935">
        <f>SalesData[[#This Row],[Sales]]/SalesData[[#This Row],[Quantity]]</f>
        <v>12.28</v>
      </c>
      <c r="N3935" t="str">
        <f>IF(SalesData[[#This Row],[Profit]]&gt;0,"Profit","Loss")</f>
        <v>Profit</v>
      </c>
    </row>
    <row r="3936" spans="1:14" x14ac:dyDescent="0.3">
      <c r="A3936" t="s">
        <v>919</v>
      </c>
      <c r="B3936" s="3">
        <v>41950</v>
      </c>
      <c r="C3936" t="s">
        <v>17</v>
      </c>
      <c r="D3936" t="s">
        <v>21</v>
      </c>
      <c r="E3936" t="s">
        <v>921</v>
      </c>
      <c r="F3936" s="1">
        <v>18.28</v>
      </c>
      <c r="G3936">
        <v>5</v>
      </c>
      <c r="H3936" s="1">
        <v>6.3979999999999997</v>
      </c>
      <c r="I3936" s="4">
        <f>SalesData[[#This Row],[Profit]]/SalesData[[#This Row],[Sales]]</f>
        <v>0.35</v>
      </c>
      <c r="J3936">
        <f>YEAR(SalesData[[#This Row],[Order Date]])</f>
        <v>2014</v>
      </c>
      <c r="K3936" t="str">
        <f>TEXT(SalesData[[#This Row],[Order Date]],"mmm")</f>
        <v>Nov</v>
      </c>
      <c r="L3936">
        <f>MONTH(SalesData[[#This Row],[Order Date]])</f>
        <v>11</v>
      </c>
      <c r="M3936">
        <f>SalesData[[#This Row],[Sales]]/SalesData[[#This Row],[Quantity]]</f>
        <v>3.6560000000000001</v>
      </c>
      <c r="N3936" t="str">
        <f>IF(SalesData[[#This Row],[Profit]]&gt;0,"Profit","Loss")</f>
        <v>Profit</v>
      </c>
    </row>
    <row r="3937" spans="1:14" x14ac:dyDescent="0.3">
      <c r="A3937" t="s">
        <v>922</v>
      </c>
      <c r="B3937" s="3">
        <v>41950</v>
      </c>
      <c r="C3937" t="s">
        <v>17</v>
      </c>
      <c r="D3937" t="s">
        <v>10</v>
      </c>
      <c r="E3937" t="s">
        <v>923</v>
      </c>
      <c r="F3937" s="1">
        <v>164.85</v>
      </c>
      <c r="G3937">
        <v>3</v>
      </c>
      <c r="H3937" s="1">
        <v>47.8065</v>
      </c>
      <c r="I3937" s="4">
        <f>SalesData[[#This Row],[Profit]]/SalesData[[#This Row],[Sales]]</f>
        <v>0.29000000000000004</v>
      </c>
      <c r="J3937">
        <f>YEAR(SalesData[[#This Row],[Order Date]])</f>
        <v>2014</v>
      </c>
      <c r="K3937" t="str">
        <f>TEXT(SalesData[[#This Row],[Order Date]],"mmm")</f>
        <v>Nov</v>
      </c>
      <c r="L3937">
        <f>MONTH(SalesData[[#This Row],[Order Date]])</f>
        <v>11</v>
      </c>
      <c r="M3937">
        <f>SalesData[[#This Row],[Sales]]/SalesData[[#This Row],[Quantity]]</f>
        <v>54.949999999999996</v>
      </c>
      <c r="N3937" t="str">
        <f>IF(SalesData[[#This Row],[Profit]]&gt;0,"Profit","Loss")</f>
        <v>Profit</v>
      </c>
    </row>
    <row r="3938" spans="1:14" x14ac:dyDescent="0.3">
      <c r="A3938" t="s">
        <v>924</v>
      </c>
      <c r="B3938" s="3">
        <v>41951</v>
      </c>
      <c r="C3938" t="s">
        <v>13</v>
      </c>
      <c r="D3938" t="s">
        <v>14</v>
      </c>
      <c r="E3938" t="s">
        <v>925</v>
      </c>
      <c r="F3938" s="1">
        <v>12.35</v>
      </c>
      <c r="G3938">
        <v>1</v>
      </c>
      <c r="H3938" s="1">
        <v>5.4340000000000002</v>
      </c>
      <c r="I3938" s="4">
        <f>SalesData[[#This Row],[Profit]]/SalesData[[#This Row],[Sales]]</f>
        <v>0.44</v>
      </c>
      <c r="J3938">
        <f>YEAR(SalesData[[#This Row],[Order Date]])</f>
        <v>2014</v>
      </c>
      <c r="K3938" t="str">
        <f>TEXT(SalesData[[#This Row],[Order Date]],"mmm")</f>
        <v>Nov</v>
      </c>
      <c r="L3938">
        <f>MONTH(SalesData[[#This Row],[Order Date]])</f>
        <v>11</v>
      </c>
      <c r="M3938">
        <f>SalesData[[#This Row],[Sales]]/SalesData[[#This Row],[Quantity]]</f>
        <v>12.35</v>
      </c>
      <c r="N3938" t="str">
        <f>IF(SalesData[[#This Row],[Profit]]&gt;0,"Profit","Loss")</f>
        <v>Profit</v>
      </c>
    </row>
    <row r="3939" spans="1:14" x14ac:dyDescent="0.3">
      <c r="A3939" t="s">
        <v>924</v>
      </c>
      <c r="B3939" s="3">
        <v>41951</v>
      </c>
      <c r="C3939" t="s">
        <v>13</v>
      </c>
      <c r="D3939" t="s">
        <v>21</v>
      </c>
      <c r="E3939" t="s">
        <v>926</v>
      </c>
      <c r="F3939" s="1">
        <v>40.97</v>
      </c>
      <c r="G3939">
        <v>1</v>
      </c>
      <c r="H3939" s="1">
        <v>10.652200000000001</v>
      </c>
      <c r="I3939" s="4">
        <f>SalesData[[#This Row],[Profit]]/SalesData[[#This Row],[Sales]]</f>
        <v>0.26</v>
      </c>
      <c r="J3939">
        <f>YEAR(SalesData[[#This Row],[Order Date]])</f>
        <v>2014</v>
      </c>
      <c r="K3939" t="str">
        <f>TEXT(SalesData[[#This Row],[Order Date]],"mmm")</f>
        <v>Nov</v>
      </c>
      <c r="L3939">
        <f>MONTH(SalesData[[#This Row],[Order Date]])</f>
        <v>11</v>
      </c>
      <c r="M3939">
        <f>SalesData[[#This Row],[Sales]]/SalesData[[#This Row],[Quantity]]</f>
        <v>40.97</v>
      </c>
      <c r="N3939" t="str">
        <f>IF(SalesData[[#This Row],[Profit]]&gt;0,"Profit","Loss")</f>
        <v>Profit</v>
      </c>
    </row>
    <row r="3940" spans="1:14" x14ac:dyDescent="0.3">
      <c r="A3940" t="s">
        <v>924</v>
      </c>
      <c r="B3940" s="3">
        <v>41951</v>
      </c>
      <c r="C3940" t="s">
        <v>13</v>
      </c>
      <c r="D3940" t="s">
        <v>21</v>
      </c>
      <c r="E3940" t="s">
        <v>927</v>
      </c>
      <c r="F3940" s="1">
        <v>22.96</v>
      </c>
      <c r="G3940">
        <v>2</v>
      </c>
      <c r="H3940" s="1">
        <v>10.7912</v>
      </c>
      <c r="I3940" s="4">
        <f>SalesData[[#This Row],[Profit]]/SalesData[[#This Row],[Sales]]</f>
        <v>0.47</v>
      </c>
      <c r="J3940">
        <f>YEAR(SalesData[[#This Row],[Order Date]])</f>
        <v>2014</v>
      </c>
      <c r="K3940" t="str">
        <f>TEXT(SalesData[[#This Row],[Order Date]],"mmm")</f>
        <v>Nov</v>
      </c>
      <c r="L3940">
        <f>MONTH(SalesData[[#This Row],[Order Date]])</f>
        <v>11</v>
      </c>
      <c r="M3940">
        <f>SalesData[[#This Row],[Sales]]/SalesData[[#This Row],[Quantity]]</f>
        <v>11.48</v>
      </c>
      <c r="N3940" t="str">
        <f>IF(SalesData[[#This Row],[Profit]]&gt;0,"Profit","Loss")</f>
        <v>Profit</v>
      </c>
    </row>
    <row r="3941" spans="1:14" x14ac:dyDescent="0.3">
      <c r="A3941" t="s">
        <v>928</v>
      </c>
      <c r="B3941" s="3">
        <v>41951</v>
      </c>
      <c r="C3941" t="s">
        <v>17</v>
      </c>
      <c r="D3941" t="s">
        <v>21</v>
      </c>
      <c r="E3941" t="s">
        <v>929</v>
      </c>
      <c r="F3941" s="1">
        <v>375.34</v>
      </c>
      <c r="G3941">
        <v>1</v>
      </c>
      <c r="H3941" s="1">
        <v>18.766999999999999</v>
      </c>
      <c r="I3941" s="4">
        <f>SalesData[[#This Row],[Profit]]/SalesData[[#This Row],[Sales]]</f>
        <v>0.05</v>
      </c>
      <c r="J3941">
        <f>YEAR(SalesData[[#This Row],[Order Date]])</f>
        <v>2014</v>
      </c>
      <c r="K3941" t="str">
        <f>TEXT(SalesData[[#This Row],[Order Date]],"mmm")</f>
        <v>Nov</v>
      </c>
      <c r="L3941">
        <f>MONTH(SalesData[[#This Row],[Order Date]])</f>
        <v>11</v>
      </c>
      <c r="M3941">
        <f>SalesData[[#This Row],[Sales]]/SalesData[[#This Row],[Quantity]]</f>
        <v>375.34</v>
      </c>
      <c r="N3941" t="str">
        <f>IF(SalesData[[#This Row],[Profit]]&gt;0,"Profit","Loss")</f>
        <v>Profit</v>
      </c>
    </row>
    <row r="3942" spans="1:14" x14ac:dyDescent="0.3">
      <c r="A3942" t="s">
        <v>930</v>
      </c>
      <c r="B3942" s="3">
        <v>41952</v>
      </c>
      <c r="C3942" t="s">
        <v>13</v>
      </c>
      <c r="D3942" t="s">
        <v>14</v>
      </c>
      <c r="E3942" t="s">
        <v>931</v>
      </c>
      <c r="F3942" s="1">
        <v>127.95</v>
      </c>
      <c r="G3942">
        <v>3</v>
      </c>
      <c r="H3942" s="1">
        <v>21.7515</v>
      </c>
      <c r="I3942" s="4">
        <f>SalesData[[#This Row],[Profit]]/SalesData[[#This Row],[Sales]]</f>
        <v>0.16999999999999998</v>
      </c>
      <c r="J3942">
        <f>YEAR(SalesData[[#This Row],[Order Date]])</f>
        <v>2014</v>
      </c>
      <c r="K3942" t="str">
        <f>TEXT(SalesData[[#This Row],[Order Date]],"mmm")</f>
        <v>Nov</v>
      </c>
      <c r="L3942">
        <f>MONTH(SalesData[[#This Row],[Order Date]])</f>
        <v>11</v>
      </c>
      <c r="M3942">
        <f>SalesData[[#This Row],[Sales]]/SalesData[[#This Row],[Quantity]]</f>
        <v>42.65</v>
      </c>
      <c r="N3942" t="str">
        <f>IF(SalesData[[#This Row],[Profit]]&gt;0,"Profit","Loss")</f>
        <v>Profit</v>
      </c>
    </row>
    <row r="3943" spans="1:14" x14ac:dyDescent="0.3">
      <c r="A3943" t="s">
        <v>932</v>
      </c>
      <c r="B3943" s="3">
        <v>41953</v>
      </c>
      <c r="C3943" t="s">
        <v>17</v>
      </c>
      <c r="D3943" t="s">
        <v>21</v>
      </c>
      <c r="E3943" t="s">
        <v>933</v>
      </c>
      <c r="F3943" s="1">
        <v>281.904</v>
      </c>
      <c r="G3943">
        <v>2</v>
      </c>
      <c r="H3943" s="1">
        <v>10.571400000000001</v>
      </c>
      <c r="I3943" s="4">
        <f>SalesData[[#This Row],[Profit]]/SalesData[[#This Row],[Sales]]</f>
        <v>3.7500000000000006E-2</v>
      </c>
      <c r="J3943">
        <f>YEAR(SalesData[[#This Row],[Order Date]])</f>
        <v>2014</v>
      </c>
      <c r="K3943" t="str">
        <f>TEXT(SalesData[[#This Row],[Order Date]],"mmm")</f>
        <v>Nov</v>
      </c>
      <c r="L3943">
        <f>MONTH(SalesData[[#This Row],[Order Date]])</f>
        <v>11</v>
      </c>
      <c r="M3943">
        <f>SalesData[[#This Row],[Sales]]/SalesData[[#This Row],[Quantity]]</f>
        <v>140.952</v>
      </c>
      <c r="N3943" t="str">
        <f>IF(SalesData[[#This Row],[Profit]]&gt;0,"Profit","Loss")</f>
        <v>Profit</v>
      </c>
    </row>
    <row r="3944" spans="1:14" x14ac:dyDescent="0.3">
      <c r="A3944" t="s">
        <v>932</v>
      </c>
      <c r="B3944" s="3">
        <v>41953</v>
      </c>
      <c r="C3944" t="s">
        <v>17</v>
      </c>
      <c r="D3944" t="s">
        <v>21</v>
      </c>
      <c r="E3944" t="s">
        <v>934</v>
      </c>
      <c r="F3944" s="1">
        <v>201.43199999999999</v>
      </c>
      <c r="G3944">
        <v>3</v>
      </c>
      <c r="H3944" s="1">
        <v>67.9833</v>
      </c>
      <c r="I3944" s="4">
        <f>SalesData[[#This Row],[Profit]]/SalesData[[#This Row],[Sales]]</f>
        <v>0.33750000000000002</v>
      </c>
      <c r="J3944">
        <f>YEAR(SalesData[[#This Row],[Order Date]])</f>
        <v>2014</v>
      </c>
      <c r="K3944" t="str">
        <f>TEXT(SalesData[[#This Row],[Order Date]],"mmm")</f>
        <v>Nov</v>
      </c>
      <c r="L3944">
        <f>MONTH(SalesData[[#This Row],[Order Date]])</f>
        <v>11</v>
      </c>
      <c r="M3944">
        <f>SalesData[[#This Row],[Sales]]/SalesData[[#This Row],[Quantity]]</f>
        <v>67.143999999999991</v>
      </c>
      <c r="N3944" t="str">
        <f>IF(SalesData[[#This Row],[Profit]]&gt;0,"Profit","Loss")</f>
        <v>Profit</v>
      </c>
    </row>
    <row r="3945" spans="1:14" x14ac:dyDescent="0.3">
      <c r="A3945" t="s">
        <v>935</v>
      </c>
      <c r="B3945" s="3">
        <v>41953</v>
      </c>
      <c r="C3945" t="s">
        <v>13</v>
      </c>
      <c r="D3945" t="s">
        <v>14</v>
      </c>
      <c r="E3945" t="s">
        <v>936</v>
      </c>
      <c r="F3945" s="1">
        <v>63.47</v>
      </c>
      <c r="G3945">
        <v>11</v>
      </c>
      <c r="H3945" s="1">
        <v>19.041</v>
      </c>
      <c r="I3945" s="4">
        <f>SalesData[[#This Row],[Profit]]/SalesData[[#This Row],[Sales]]</f>
        <v>0.3</v>
      </c>
      <c r="J3945">
        <f>YEAR(SalesData[[#This Row],[Order Date]])</f>
        <v>2014</v>
      </c>
      <c r="K3945" t="str">
        <f>TEXT(SalesData[[#This Row],[Order Date]],"mmm")</f>
        <v>Nov</v>
      </c>
      <c r="L3945">
        <f>MONTH(SalesData[[#This Row],[Order Date]])</f>
        <v>11</v>
      </c>
      <c r="M3945">
        <f>SalesData[[#This Row],[Sales]]/SalesData[[#This Row],[Quantity]]</f>
        <v>5.77</v>
      </c>
      <c r="N3945" t="str">
        <f>IF(SalesData[[#This Row],[Profit]]&gt;0,"Profit","Loss")</f>
        <v>Profit</v>
      </c>
    </row>
    <row r="3946" spans="1:14" x14ac:dyDescent="0.3">
      <c r="A3946" t="s">
        <v>935</v>
      </c>
      <c r="B3946" s="3">
        <v>41953</v>
      </c>
      <c r="C3946" t="s">
        <v>13</v>
      </c>
      <c r="D3946" t="s">
        <v>10</v>
      </c>
      <c r="E3946" t="s">
        <v>937</v>
      </c>
      <c r="F3946" s="1">
        <v>345</v>
      </c>
      <c r="G3946">
        <v>5</v>
      </c>
      <c r="H3946" s="1">
        <v>58.65</v>
      </c>
      <c r="I3946" s="4">
        <f>SalesData[[#This Row],[Profit]]/SalesData[[#This Row],[Sales]]</f>
        <v>0.16999999999999998</v>
      </c>
      <c r="J3946">
        <f>YEAR(SalesData[[#This Row],[Order Date]])</f>
        <v>2014</v>
      </c>
      <c r="K3946" t="str">
        <f>TEXT(SalesData[[#This Row],[Order Date]],"mmm")</f>
        <v>Nov</v>
      </c>
      <c r="L3946">
        <f>MONTH(SalesData[[#This Row],[Order Date]])</f>
        <v>11</v>
      </c>
      <c r="M3946">
        <f>SalesData[[#This Row],[Sales]]/SalesData[[#This Row],[Quantity]]</f>
        <v>69</v>
      </c>
      <c r="N3946" t="str">
        <f>IF(SalesData[[#This Row],[Profit]]&gt;0,"Profit","Loss")</f>
        <v>Profit</v>
      </c>
    </row>
    <row r="3947" spans="1:14" x14ac:dyDescent="0.3">
      <c r="A3947" t="s">
        <v>938</v>
      </c>
      <c r="B3947" s="3">
        <v>41953</v>
      </c>
      <c r="C3947" t="s">
        <v>13</v>
      </c>
      <c r="D3947" t="s">
        <v>21</v>
      </c>
      <c r="E3947" t="s">
        <v>939</v>
      </c>
      <c r="F3947" s="1">
        <v>31.92</v>
      </c>
      <c r="G3947">
        <v>4</v>
      </c>
      <c r="H3947" s="1">
        <v>8.2992000000000008</v>
      </c>
      <c r="I3947" s="4">
        <f>SalesData[[#This Row],[Profit]]/SalesData[[#This Row],[Sales]]</f>
        <v>0.26</v>
      </c>
      <c r="J3947">
        <f>YEAR(SalesData[[#This Row],[Order Date]])</f>
        <v>2014</v>
      </c>
      <c r="K3947" t="str">
        <f>TEXT(SalesData[[#This Row],[Order Date]],"mmm")</f>
        <v>Nov</v>
      </c>
      <c r="L3947">
        <f>MONTH(SalesData[[#This Row],[Order Date]])</f>
        <v>11</v>
      </c>
      <c r="M3947">
        <f>SalesData[[#This Row],[Sales]]/SalesData[[#This Row],[Quantity]]</f>
        <v>7.98</v>
      </c>
      <c r="N3947" t="str">
        <f>IF(SalesData[[#This Row],[Profit]]&gt;0,"Profit","Loss")</f>
        <v>Profit</v>
      </c>
    </row>
    <row r="3948" spans="1:14" x14ac:dyDescent="0.3">
      <c r="A3948" t="s">
        <v>938</v>
      </c>
      <c r="B3948" s="3">
        <v>41953</v>
      </c>
      <c r="C3948" t="s">
        <v>13</v>
      </c>
      <c r="D3948" t="s">
        <v>14</v>
      </c>
      <c r="E3948" t="s">
        <v>940</v>
      </c>
      <c r="F3948" s="1">
        <v>433.56799999999998</v>
      </c>
      <c r="G3948">
        <v>2</v>
      </c>
      <c r="H3948" s="1">
        <v>-65.035200000000003</v>
      </c>
      <c r="I3948" s="4">
        <f>SalesData[[#This Row],[Profit]]/SalesData[[#This Row],[Sales]]</f>
        <v>-0.15000000000000002</v>
      </c>
      <c r="J3948">
        <f>YEAR(SalesData[[#This Row],[Order Date]])</f>
        <v>2014</v>
      </c>
      <c r="K3948" t="str">
        <f>TEXT(SalesData[[#This Row],[Order Date]],"mmm")</f>
        <v>Nov</v>
      </c>
      <c r="L3948">
        <f>MONTH(SalesData[[#This Row],[Order Date]])</f>
        <v>11</v>
      </c>
      <c r="M3948">
        <f>SalesData[[#This Row],[Sales]]/SalesData[[#This Row],[Quantity]]</f>
        <v>216.78399999999999</v>
      </c>
      <c r="N3948" t="str">
        <f>IF(SalesData[[#This Row],[Profit]]&gt;0,"Profit","Loss")</f>
        <v>Loss</v>
      </c>
    </row>
    <row r="3949" spans="1:14" x14ac:dyDescent="0.3">
      <c r="A3949" t="s">
        <v>941</v>
      </c>
      <c r="B3949" s="3">
        <v>41953</v>
      </c>
      <c r="C3949" t="s">
        <v>46</v>
      </c>
      <c r="D3949" t="s">
        <v>21</v>
      </c>
      <c r="E3949" t="s">
        <v>58</v>
      </c>
      <c r="F3949" s="1">
        <v>7.31</v>
      </c>
      <c r="G3949">
        <v>1</v>
      </c>
      <c r="H3949" s="1">
        <v>3.4357000000000002</v>
      </c>
      <c r="I3949" s="4">
        <f>SalesData[[#This Row],[Profit]]/SalesData[[#This Row],[Sales]]</f>
        <v>0.47000000000000003</v>
      </c>
      <c r="J3949">
        <f>YEAR(SalesData[[#This Row],[Order Date]])</f>
        <v>2014</v>
      </c>
      <c r="K3949" t="str">
        <f>TEXT(SalesData[[#This Row],[Order Date]],"mmm")</f>
        <v>Nov</v>
      </c>
      <c r="L3949">
        <f>MONTH(SalesData[[#This Row],[Order Date]])</f>
        <v>11</v>
      </c>
      <c r="M3949">
        <f>SalesData[[#This Row],[Sales]]/SalesData[[#This Row],[Quantity]]</f>
        <v>7.31</v>
      </c>
      <c r="N3949" t="str">
        <f>IF(SalesData[[#This Row],[Profit]]&gt;0,"Profit","Loss")</f>
        <v>Profit</v>
      </c>
    </row>
    <row r="3950" spans="1:14" x14ac:dyDescent="0.3">
      <c r="A3950" t="s">
        <v>941</v>
      </c>
      <c r="B3950" s="3">
        <v>41953</v>
      </c>
      <c r="C3950" t="s">
        <v>46</v>
      </c>
      <c r="D3950" t="s">
        <v>14</v>
      </c>
      <c r="E3950" t="s">
        <v>942</v>
      </c>
      <c r="F3950" s="1">
        <v>8.92</v>
      </c>
      <c r="G3950">
        <v>4</v>
      </c>
      <c r="H3950" s="1">
        <v>3.9247999999999998</v>
      </c>
      <c r="I3950" s="4">
        <f>SalesData[[#This Row],[Profit]]/SalesData[[#This Row],[Sales]]</f>
        <v>0.44</v>
      </c>
      <c r="J3950">
        <f>YEAR(SalesData[[#This Row],[Order Date]])</f>
        <v>2014</v>
      </c>
      <c r="K3950" t="str">
        <f>TEXT(SalesData[[#This Row],[Order Date]],"mmm")</f>
        <v>Nov</v>
      </c>
      <c r="L3950">
        <f>MONTH(SalesData[[#This Row],[Order Date]])</f>
        <v>11</v>
      </c>
      <c r="M3950">
        <f>SalesData[[#This Row],[Sales]]/SalesData[[#This Row],[Quantity]]</f>
        <v>2.23</v>
      </c>
      <c r="N3950" t="str">
        <f>IF(SalesData[[#This Row],[Profit]]&gt;0,"Profit","Loss")</f>
        <v>Profit</v>
      </c>
    </row>
    <row r="3951" spans="1:14" x14ac:dyDescent="0.3">
      <c r="A3951" t="s">
        <v>943</v>
      </c>
      <c r="B3951" s="3">
        <v>41953</v>
      </c>
      <c r="C3951" t="s">
        <v>13</v>
      </c>
      <c r="D3951" t="s">
        <v>21</v>
      </c>
      <c r="E3951" t="s">
        <v>846</v>
      </c>
      <c r="F3951" s="1">
        <v>7.64</v>
      </c>
      <c r="G3951">
        <v>1</v>
      </c>
      <c r="H3951" s="1">
        <v>3.7435999999999998</v>
      </c>
      <c r="I3951" s="4">
        <f>SalesData[[#This Row],[Profit]]/SalesData[[#This Row],[Sales]]</f>
        <v>0.49</v>
      </c>
      <c r="J3951">
        <f>YEAR(SalesData[[#This Row],[Order Date]])</f>
        <v>2014</v>
      </c>
      <c r="K3951" t="str">
        <f>TEXT(SalesData[[#This Row],[Order Date]],"mmm")</f>
        <v>Nov</v>
      </c>
      <c r="L3951">
        <f>MONTH(SalesData[[#This Row],[Order Date]])</f>
        <v>11</v>
      </c>
      <c r="M3951">
        <f>SalesData[[#This Row],[Sales]]/SalesData[[#This Row],[Quantity]]</f>
        <v>7.64</v>
      </c>
      <c r="N3951" t="str">
        <f>IF(SalesData[[#This Row],[Profit]]&gt;0,"Profit","Loss")</f>
        <v>Profit</v>
      </c>
    </row>
    <row r="3952" spans="1:14" x14ac:dyDescent="0.3">
      <c r="A3952" t="s">
        <v>944</v>
      </c>
      <c r="B3952" s="3">
        <v>41954</v>
      </c>
      <c r="C3952" t="s">
        <v>9</v>
      </c>
      <c r="D3952" t="s">
        <v>21</v>
      </c>
      <c r="E3952" t="s">
        <v>945</v>
      </c>
      <c r="F3952" s="1">
        <v>665.88</v>
      </c>
      <c r="G3952">
        <v>6</v>
      </c>
      <c r="H3952" s="1">
        <v>13.317600000000001</v>
      </c>
      <c r="I3952" s="4">
        <f>SalesData[[#This Row],[Profit]]/SalesData[[#This Row],[Sales]]</f>
        <v>0.02</v>
      </c>
      <c r="J3952">
        <f>YEAR(SalesData[[#This Row],[Order Date]])</f>
        <v>2014</v>
      </c>
      <c r="K3952" t="str">
        <f>TEXT(SalesData[[#This Row],[Order Date]],"mmm")</f>
        <v>Nov</v>
      </c>
      <c r="L3952">
        <f>MONTH(SalesData[[#This Row],[Order Date]])</f>
        <v>11</v>
      </c>
      <c r="M3952">
        <f>SalesData[[#This Row],[Sales]]/SalesData[[#This Row],[Quantity]]</f>
        <v>110.98</v>
      </c>
      <c r="N3952" t="str">
        <f>IF(SalesData[[#This Row],[Profit]]&gt;0,"Profit","Loss")</f>
        <v>Profit</v>
      </c>
    </row>
    <row r="3953" spans="1:14" x14ac:dyDescent="0.3">
      <c r="A3953" t="s">
        <v>946</v>
      </c>
      <c r="B3953" s="3">
        <v>41954</v>
      </c>
      <c r="C3953" t="s">
        <v>13</v>
      </c>
      <c r="D3953" t="s">
        <v>21</v>
      </c>
      <c r="E3953" t="s">
        <v>947</v>
      </c>
      <c r="F3953" s="1">
        <v>3.3919999999999999</v>
      </c>
      <c r="G3953">
        <v>1</v>
      </c>
      <c r="H3953" s="1">
        <v>0.80559999999999998</v>
      </c>
      <c r="I3953" s="4">
        <f>SalesData[[#This Row],[Profit]]/SalesData[[#This Row],[Sales]]</f>
        <v>0.23749999999999999</v>
      </c>
      <c r="J3953">
        <f>YEAR(SalesData[[#This Row],[Order Date]])</f>
        <v>2014</v>
      </c>
      <c r="K3953" t="str">
        <f>TEXT(SalesData[[#This Row],[Order Date]],"mmm")</f>
        <v>Nov</v>
      </c>
      <c r="L3953">
        <f>MONTH(SalesData[[#This Row],[Order Date]])</f>
        <v>11</v>
      </c>
      <c r="M3953">
        <f>SalesData[[#This Row],[Sales]]/SalesData[[#This Row],[Quantity]]</f>
        <v>3.3919999999999999</v>
      </c>
      <c r="N3953" t="str">
        <f>IF(SalesData[[#This Row],[Profit]]&gt;0,"Profit","Loss")</f>
        <v>Profit</v>
      </c>
    </row>
    <row r="3954" spans="1:14" x14ac:dyDescent="0.3">
      <c r="A3954" t="s">
        <v>946</v>
      </c>
      <c r="B3954" s="3">
        <v>41954</v>
      </c>
      <c r="C3954" t="s">
        <v>13</v>
      </c>
      <c r="D3954" t="s">
        <v>10</v>
      </c>
      <c r="E3954" t="s">
        <v>948</v>
      </c>
      <c r="F3954" s="1">
        <v>559.98400000000004</v>
      </c>
      <c r="G3954">
        <v>2</v>
      </c>
      <c r="H3954" s="1">
        <v>55.998399999999997</v>
      </c>
      <c r="I3954" s="4">
        <f>SalesData[[#This Row],[Profit]]/SalesData[[#This Row],[Sales]]</f>
        <v>9.9999999999999992E-2</v>
      </c>
      <c r="J3954">
        <f>YEAR(SalesData[[#This Row],[Order Date]])</f>
        <v>2014</v>
      </c>
      <c r="K3954" t="str">
        <f>TEXT(SalesData[[#This Row],[Order Date]],"mmm")</f>
        <v>Nov</v>
      </c>
      <c r="L3954">
        <f>MONTH(SalesData[[#This Row],[Order Date]])</f>
        <v>11</v>
      </c>
      <c r="M3954">
        <f>SalesData[[#This Row],[Sales]]/SalesData[[#This Row],[Quantity]]</f>
        <v>279.99200000000002</v>
      </c>
      <c r="N3954" t="str">
        <f>IF(SalesData[[#This Row],[Profit]]&gt;0,"Profit","Loss")</f>
        <v>Profit</v>
      </c>
    </row>
    <row r="3955" spans="1:14" x14ac:dyDescent="0.3">
      <c r="A3955" t="s">
        <v>946</v>
      </c>
      <c r="B3955" s="3">
        <v>41954</v>
      </c>
      <c r="C3955" t="s">
        <v>13</v>
      </c>
      <c r="D3955" t="s">
        <v>14</v>
      </c>
      <c r="E3955" t="s">
        <v>949</v>
      </c>
      <c r="F3955" s="1">
        <v>603.91999999999996</v>
      </c>
      <c r="G3955">
        <v>5</v>
      </c>
      <c r="H3955" s="1">
        <v>75.489999999999995</v>
      </c>
      <c r="I3955" s="4">
        <f>SalesData[[#This Row],[Profit]]/SalesData[[#This Row],[Sales]]</f>
        <v>0.125</v>
      </c>
      <c r="J3955">
        <f>YEAR(SalesData[[#This Row],[Order Date]])</f>
        <v>2014</v>
      </c>
      <c r="K3955" t="str">
        <f>TEXT(SalesData[[#This Row],[Order Date]],"mmm")</f>
        <v>Nov</v>
      </c>
      <c r="L3955">
        <f>MONTH(SalesData[[#This Row],[Order Date]])</f>
        <v>11</v>
      </c>
      <c r="M3955">
        <f>SalesData[[#This Row],[Sales]]/SalesData[[#This Row],[Quantity]]</f>
        <v>120.78399999999999</v>
      </c>
      <c r="N3955" t="str">
        <f>IF(SalesData[[#This Row],[Profit]]&gt;0,"Profit","Loss")</f>
        <v>Profit</v>
      </c>
    </row>
    <row r="3956" spans="1:14" x14ac:dyDescent="0.3">
      <c r="A3956" t="s">
        <v>950</v>
      </c>
      <c r="B3956" s="3">
        <v>41954</v>
      </c>
      <c r="C3956" t="s">
        <v>9</v>
      </c>
      <c r="D3956" t="s">
        <v>21</v>
      </c>
      <c r="E3956" t="s">
        <v>170</v>
      </c>
      <c r="F3956" s="1">
        <v>896.99</v>
      </c>
      <c r="G3956">
        <v>5</v>
      </c>
      <c r="H3956" s="1">
        <v>-1480.0335</v>
      </c>
      <c r="I3956" s="4">
        <f>SalesData[[#This Row],[Profit]]/SalesData[[#This Row],[Sales]]</f>
        <v>-1.65</v>
      </c>
      <c r="J3956">
        <f>YEAR(SalesData[[#This Row],[Order Date]])</f>
        <v>2014</v>
      </c>
      <c r="K3956" t="str">
        <f>TEXT(SalesData[[#This Row],[Order Date]],"mmm")</f>
        <v>Nov</v>
      </c>
      <c r="L3956">
        <f>MONTH(SalesData[[#This Row],[Order Date]])</f>
        <v>11</v>
      </c>
      <c r="M3956">
        <f>SalesData[[#This Row],[Sales]]/SalesData[[#This Row],[Quantity]]</f>
        <v>179.398</v>
      </c>
      <c r="N3956" t="str">
        <f>IF(SalesData[[#This Row],[Profit]]&gt;0,"Profit","Loss")</f>
        <v>Loss</v>
      </c>
    </row>
    <row r="3957" spans="1:14" x14ac:dyDescent="0.3">
      <c r="A3957" t="s">
        <v>950</v>
      </c>
      <c r="B3957" s="3">
        <v>41954</v>
      </c>
      <c r="C3957" t="s">
        <v>9</v>
      </c>
      <c r="D3957" t="s">
        <v>21</v>
      </c>
      <c r="E3957" t="s">
        <v>951</v>
      </c>
      <c r="F3957" s="1">
        <v>1.234</v>
      </c>
      <c r="G3957">
        <v>1</v>
      </c>
      <c r="H3957" s="1">
        <v>-1.9743999999999999</v>
      </c>
      <c r="I3957" s="4">
        <f>SalesData[[#This Row],[Profit]]/SalesData[[#This Row],[Sales]]</f>
        <v>-1.5999999999999999</v>
      </c>
      <c r="J3957">
        <f>YEAR(SalesData[[#This Row],[Order Date]])</f>
        <v>2014</v>
      </c>
      <c r="K3957" t="str">
        <f>TEXT(SalesData[[#This Row],[Order Date]],"mmm")</f>
        <v>Nov</v>
      </c>
      <c r="L3957">
        <f>MONTH(SalesData[[#This Row],[Order Date]])</f>
        <v>11</v>
      </c>
      <c r="M3957">
        <f>SalesData[[#This Row],[Sales]]/SalesData[[#This Row],[Quantity]]</f>
        <v>1.234</v>
      </c>
      <c r="N3957" t="str">
        <f>IF(SalesData[[#This Row],[Profit]]&gt;0,"Profit","Loss")</f>
        <v>Loss</v>
      </c>
    </row>
    <row r="3958" spans="1:14" x14ac:dyDescent="0.3">
      <c r="A3958" t="s">
        <v>950</v>
      </c>
      <c r="B3958" s="3">
        <v>41954</v>
      </c>
      <c r="C3958" t="s">
        <v>9</v>
      </c>
      <c r="D3958" t="s">
        <v>21</v>
      </c>
      <c r="E3958" t="s">
        <v>952</v>
      </c>
      <c r="F3958" s="1">
        <v>67.56</v>
      </c>
      <c r="G3958">
        <v>3</v>
      </c>
      <c r="H3958" s="1">
        <v>6.7560000000000002</v>
      </c>
      <c r="I3958" s="4">
        <f>SalesData[[#This Row],[Profit]]/SalesData[[#This Row],[Sales]]</f>
        <v>0.1</v>
      </c>
      <c r="J3958">
        <f>YEAR(SalesData[[#This Row],[Order Date]])</f>
        <v>2014</v>
      </c>
      <c r="K3958" t="str">
        <f>TEXT(SalesData[[#This Row],[Order Date]],"mmm")</f>
        <v>Nov</v>
      </c>
      <c r="L3958">
        <f>MONTH(SalesData[[#This Row],[Order Date]])</f>
        <v>11</v>
      </c>
      <c r="M3958">
        <f>SalesData[[#This Row],[Sales]]/SalesData[[#This Row],[Quantity]]</f>
        <v>22.52</v>
      </c>
      <c r="N3958" t="str">
        <f>IF(SalesData[[#This Row],[Profit]]&gt;0,"Profit","Loss")</f>
        <v>Profit</v>
      </c>
    </row>
    <row r="3959" spans="1:14" x14ac:dyDescent="0.3">
      <c r="A3959" t="s">
        <v>950</v>
      </c>
      <c r="B3959" s="3">
        <v>41954</v>
      </c>
      <c r="C3959" t="s">
        <v>9</v>
      </c>
      <c r="D3959" t="s">
        <v>21</v>
      </c>
      <c r="E3959" t="s">
        <v>953</v>
      </c>
      <c r="F3959" s="1">
        <v>21.72</v>
      </c>
      <c r="G3959">
        <v>5</v>
      </c>
      <c r="H3959" s="1">
        <v>7.8734999999999999</v>
      </c>
      <c r="I3959" s="4">
        <f>SalesData[[#This Row],[Profit]]/SalesData[[#This Row],[Sales]]</f>
        <v>0.36249999999999999</v>
      </c>
      <c r="J3959">
        <f>YEAR(SalesData[[#This Row],[Order Date]])</f>
        <v>2014</v>
      </c>
      <c r="K3959" t="str">
        <f>TEXT(SalesData[[#This Row],[Order Date]],"mmm")</f>
        <v>Nov</v>
      </c>
      <c r="L3959">
        <f>MONTH(SalesData[[#This Row],[Order Date]])</f>
        <v>11</v>
      </c>
      <c r="M3959">
        <f>SalesData[[#This Row],[Sales]]/SalesData[[#This Row],[Quantity]]</f>
        <v>4.3439999999999994</v>
      </c>
      <c r="N3959" t="str">
        <f>IF(SalesData[[#This Row],[Profit]]&gt;0,"Profit","Loss")</f>
        <v>Profit</v>
      </c>
    </row>
    <row r="3960" spans="1:14" x14ac:dyDescent="0.3">
      <c r="A3960" t="s">
        <v>950</v>
      </c>
      <c r="B3960" s="3">
        <v>41954</v>
      </c>
      <c r="C3960" t="s">
        <v>9</v>
      </c>
      <c r="D3960" t="s">
        <v>21</v>
      </c>
      <c r="E3960" t="s">
        <v>474</v>
      </c>
      <c r="F3960" s="1">
        <v>262.33600000000001</v>
      </c>
      <c r="G3960">
        <v>8</v>
      </c>
      <c r="H3960" s="1">
        <v>95.096800000000002</v>
      </c>
      <c r="I3960" s="4">
        <f>SalesData[[#This Row],[Profit]]/SalesData[[#This Row],[Sales]]</f>
        <v>0.36249999999999999</v>
      </c>
      <c r="J3960">
        <f>YEAR(SalesData[[#This Row],[Order Date]])</f>
        <v>2014</v>
      </c>
      <c r="K3960" t="str">
        <f>TEXT(SalesData[[#This Row],[Order Date]],"mmm")</f>
        <v>Nov</v>
      </c>
      <c r="L3960">
        <f>MONTH(SalesData[[#This Row],[Order Date]])</f>
        <v>11</v>
      </c>
      <c r="M3960">
        <f>SalesData[[#This Row],[Sales]]/SalesData[[#This Row],[Quantity]]</f>
        <v>32.792000000000002</v>
      </c>
      <c r="N3960" t="str">
        <f>IF(SalesData[[#This Row],[Profit]]&gt;0,"Profit","Loss")</f>
        <v>Profit</v>
      </c>
    </row>
    <row r="3961" spans="1:14" x14ac:dyDescent="0.3">
      <c r="A3961" t="s">
        <v>950</v>
      </c>
      <c r="B3961" s="3">
        <v>41954</v>
      </c>
      <c r="C3961" t="s">
        <v>9</v>
      </c>
      <c r="D3961" t="s">
        <v>10</v>
      </c>
      <c r="E3961" t="s">
        <v>954</v>
      </c>
      <c r="F3961" s="1">
        <v>148.47999999999999</v>
      </c>
      <c r="G3961">
        <v>2</v>
      </c>
      <c r="H3961" s="1">
        <v>16.704000000000001</v>
      </c>
      <c r="I3961" s="4">
        <f>SalesData[[#This Row],[Profit]]/SalesData[[#This Row],[Sales]]</f>
        <v>0.11250000000000002</v>
      </c>
      <c r="J3961">
        <f>YEAR(SalesData[[#This Row],[Order Date]])</f>
        <v>2014</v>
      </c>
      <c r="K3961" t="str">
        <f>TEXT(SalesData[[#This Row],[Order Date]],"mmm")</f>
        <v>Nov</v>
      </c>
      <c r="L3961">
        <f>MONTH(SalesData[[#This Row],[Order Date]])</f>
        <v>11</v>
      </c>
      <c r="M3961">
        <f>SalesData[[#This Row],[Sales]]/SalesData[[#This Row],[Quantity]]</f>
        <v>74.239999999999995</v>
      </c>
      <c r="N3961" t="str">
        <f>IF(SalesData[[#This Row],[Profit]]&gt;0,"Profit","Loss")</f>
        <v>Profit</v>
      </c>
    </row>
    <row r="3962" spans="1:14" x14ac:dyDescent="0.3">
      <c r="A3962" t="s">
        <v>950</v>
      </c>
      <c r="B3962" s="3">
        <v>41954</v>
      </c>
      <c r="C3962" t="s">
        <v>9</v>
      </c>
      <c r="D3962" t="s">
        <v>10</v>
      </c>
      <c r="E3962" t="s">
        <v>955</v>
      </c>
      <c r="F3962" s="1">
        <v>241.17599999999999</v>
      </c>
      <c r="G3962">
        <v>3</v>
      </c>
      <c r="H3962" s="1">
        <v>15.073499999999999</v>
      </c>
      <c r="I3962" s="4">
        <f>SalesData[[#This Row],[Profit]]/SalesData[[#This Row],[Sales]]</f>
        <v>6.25E-2</v>
      </c>
      <c r="J3962">
        <f>YEAR(SalesData[[#This Row],[Order Date]])</f>
        <v>2014</v>
      </c>
      <c r="K3962" t="str">
        <f>TEXT(SalesData[[#This Row],[Order Date]],"mmm")</f>
        <v>Nov</v>
      </c>
      <c r="L3962">
        <f>MONTH(SalesData[[#This Row],[Order Date]])</f>
        <v>11</v>
      </c>
      <c r="M3962">
        <f>SalesData[[#This Row],[Sales]]/SalesData[[#This Row],[Quantity]]</f>
        <v>80.391999999999996</v>
      </c>
      <c r="N3962" t="str">
        <f>IF(SalesData[[#This Row],[Profit]]&gt;0,"Profit","Loss")</f>
        <v>Profit</v>
      </c>
    </row>
    <row r="3963" spans="1:14" x14ac:dyDescent="0.3">
      <c r="A3963" t="s">
        <v>956</v>
      </c>
      <c r="B3963" s="3">
        <v>41954</v>
      </c>
      <c r="C3963" t="s">
        <v>13</v>
      </c>
      <c r="D3963" t="s">
        <v>21</v>
      </c>
      <c r="E3963" t="s">
        <v>957</v>
      </c>
      <c r="F3963" s="1">
        <v>30.48</v>
      </c>
      <c r="G3963">
        <v>3</v>
      </c>
      <c r="H3963" s="1">
        <v>7.9248000000000003</v>
      </c>
      <c r="I3963" s="4">
        <f>SalesData[[#This Row],[Profit]]/SalesData[[#This Row],[Sales]]</f>
        <v>0.26</v>
      </c>
      <c r="J3963">
        <f>YEAR(SalesData[[#This Row],[Order Date]])</f>
        <v>2014</v>
      </c>
      <c r="K3963" t="str">
        <f>TEXT(SalesData[[#This Row],[Order Date]],"mmm")</f>
        <v>Nov</v>
      </c>
      <c r="L3963">
        <f>MONTH(SalesData[[#This Row],[Order Date]])</f>
        <v>11</v>
      </c>
      <c r="M3963">
        <f>SalesData[[#This Row],[Sales]]/SalesData[[#This Row],[Quantity]]</f>
        <v>10.16</v>
      </c>
      <c r="N3963" t="str">
        <f>IF(SalesData[[#This Row],[Profit]]&gt;0,"Profit","Loss")</f>
        <v>Profit</v>
      </c>
    </row>
    <row r="3964" spans="1:14" x14ac:dyDescent="0.3">
      <c r="A3964" t="s">
        <v>956</v>
      </c>
      <c r="B3964" s="3">
        <v>41954</v>
      </c>
      <c r="C3964" t="s">
        <v>13</v>
      </c>
      <c r="D3964" t="s">
        <v>14</v>
      </c>
      <c r="E3964" t="s">
        <v>958</v>
      </c>
      <c r="F3964" s="1">
        <v>112.648</v>
      </c>
      <c r="G3964">
        <v>1</v>
      </c>
      <c r="H3964" s="1">
        <v>11.264799999999999</v>
      </c>
      <c r="I3964" s="4">
        <f>SalesData[[#This Row],[Profit]]/SalesData[[#This Row],[Sales]]</f>
        <v>9.9999999999999992E-2</v>
      </c>
      <c r="J3964">
        <f>YEAR(SalesData[[#This Row],[Order Date]])</f>
        <v>2014</v>
      </c>
      <c r="K3964" t="str">
        <f>TEXT(SalesData[[#This Row],[Order Date]],"mmm")</f>
        <v>Nov</v>
      </c>
      <c r="L3964">
        <f>MONTH(SalesData[[#This Row],[Order Date]])</f>
        <v>11</v>
      </c>
      <c r="M3964">
        <f>SalesData[[#This Row],[Sales]]/SalesData[[#This Row],[Quantity]]</f>
        <v>112.648</v>
      </c>
      <c r="N3964" t="str">
        <f>IF(SalesData[[#This Row],[Profit]]&gt;0,"Profit","Loss")</f>
        <v>Profit</v>
      </c>
    </row>
    <row r="3965" spans="1:14" x14ac:dyDescent="0.3">
      <c r="A3965" t="s">
        <v>959</v>
      </c>
      <c r="B3965" s="3">
        <v>41954</v>
      </c>
      <c r="C3965" t="s">
        <v>17</v>
      </c>
      <c r="D3965" t="s">
        <v>14</v>
      </c>
      <c r="E3965" t="s">
        <v>960</v>
      </c>
      <c r="F3965" s="1">
        <v>23.968</v>
      </c>
      <c r="G3965">
        <v>2</v>
      </c>
      <c r="H3965" s="1">
        <v>7.7896000000000001</v>
      </c>
      <c r="I3965" s="4">
        <f>SalesData[[#This Row],[Profit]]/SalesData[[#This Row],[Sales]]</f>
        <v>0.32500000000000001</v>
      </c>
      <c r="J3965">
        <f>YEAR(SalesData[[#This Row],[Order Date]])</f>
        <v>2014</v>
      </c>
      <c r="K3965" t="str">
        <f>TEXT(SalesData[[#This Row],[Order Date]],"mmm")</f>
        <v>Nov</v>
      </c>
      <c r="L3965">
        <f>MONTH(SalesData[[#This Row],[Order Date]])</f>
        <v>11</v>
      </c>
      <c r="M3965">
        <f>SalesData[[#This Row],[Sales]]/SalesData[[#This Row],[Quantity]]</f>
        <v>11.984</v>
      </c>
      <c r="N3965" t="str">
        <f>IF(SalesData[[#This Row],[Profit]]&gt;0,"Profit","Loss")</f>
        <v>Profit</v>
      </c>
    </row>
    <row r="3966" spans="1:14" x14ac:dyDescent="0.3">
      <c r="A3966" t="s">
        <v>959</v>
      </c>
      <c r="B3966" s="3">
        <v>41954</v>
      </c>
      <c r="C3966" t="s">
        <v>17</v>
      </c>
      <c r="D3966" t="s">
        <v>14</v>
      </c>
      <c r="E3966" t="s">
        <v>961</v>
      </c>
      <c r="F3966" s="1">
        <v>521.96</v>
      </c>
      <c r="G3966">
        <v>4</v>
      </c>
      <c r="H3966" s="1">
        <v>-250.54079999999999</v>
      </c>
      <c r="I3966" s="4">
        <f>SalesData[[#This Row],[Profit]]/SalesData[[#This Row],[Sales]]</f>
        <v>-0.47999999999999993</v>
      </c>
      <c r="J3966">
        <f>YEAR(SalesData[[#This Row],[Order Date]])</f>
        <v>2014</v>
      </c>
      <c r="K3966" t="str">
        <f>TEXT(SalesData[[#This Row],[Order Date]],"mmm")</f>
        <v>Nov</v>
      </c>
      <c r="L3966">
        <f>MONTH(SalesData[[#This Row],[Order Date]])</f>
        <v>11</v>
      </c>
      <c r="M3966">
        <f>SalesData[[#This Row],[Sales]]/SalesData[[#This Row],[Quantity]]</f>
        <v>130.49</v>
      </c>
      <c r="N3966" t="str">
        <f>IF(SalesData[[#This Row],[Profit]]&gt;0,"Profit","Loss")</f>
        <v>Loss</v>
      </c>
    </row>
    <row r="3967" spans="1:14" x14ac:dyDescent="0.3">
      <c r="A3967" t="s">
        <v>962</v>
      </c>
      <c r="B3967" s="3">
        <v>41954</v>
      </c>
      <c r="C3967" t="s">
        <v>13</v>
      </c>
      <c r="D3967" t="s">
        <v>10</v>
      </c>
      <c r="E3967" t="s">
        <v>149</v>
      </c>
      <c r="F3967" s="1">
        <v>575.928</v>
      </c>
      <c r="G3967">
        <v>9</v>
      </c>
      <c r="H3967" s="1">
        <v>57.592799999999997</v>
      </c>
      <c r="I3967" s="4">
        <f>SalesData[[#This Row],[Profit]]/SalesData[[#This Row],[Sales]]</f>
        <v>9.9999999999999992E-2</v>
      </c>
      <c r="J3967">
        <f>YEAR(SalesData[[#This Row],[Order Date]])</f>
        <v>2014</v>
      </c>
      <c r="K3967" t="str">
        <f>TEXT(SalesData[[#This Row],[Order Date]],"mmm")</f>
        <v>Nov</v>
      </c>
      <c r="L3967">
        <f>MONTH(SalesData[[#This Row],[Order Date]])</f>
        <v>11</v>
      </c>
      <c r="M3967">
        <f>SalesData[[#This Row],[Sales]]/SalesData[[#This Row],[Quantity]]</f>
        <v>63.991999999999997</v>
      </c>
      <c r="N3967" t="str">
        <f>IF(SalesData[[#This Row],[Profit]]&gt;0,"Profit","Loss")</f>
        <v>Profit</v>
      </c>
    </row>
    <row r="3968" spans="1:14" x14ac:dyDescent="0.3">
      <c r="A3968" t="s">
        <v>962</v>
      </c>
      <c r="B3968" s="3">
        <v>41954</v>
      </c>
      <c r="C3968" t="s">
        <v>13</v>
      </c>
      <c r="D3968" t="s">
        <v>21</v>
      </c>
      <c r="E3968" t="s">
        <v>338</v>
      </c>
      <c r="F3968" s="1">
        <v>7.78</v>
      </c>
      <c r="G3968">
        <v>2</v>
      </c>
      <c r="H3968" s="1">
        <v>2.0228000000000002</v>
      </c>
      <c r="I3968" s="4">
        <f>SalesData[[#This Row],[Profit]]/SalesData[[#This Row],[Sales]]</f>
        <v>0.26</v>
      </c>
      <c r="J3968">
        <f>YEAR(SalesData[[#This Row],[Order Date]])</f>
        <v>2014</v>
      </c>
      <c r="K3968" t="str">
        <f>TEXT(SalesData[[#This Row],[Order Date]],"mmm")</f>
        <v>Nov</v>
      </c>
      <c r="L3968">
        <f>MONTH(SalesData[[#This Row],[Order Date]])</f>
        <v>11</v>
      </c>
      <c r="M3968">
        <f>SalesData[[#This Row],[Sales]]/SalesData[[#This Row],[Quantity]]</f>
        <v>3.89</v>
      </c>
      <c r="N3968" t="str">
        <f>IF(SalesData[[#This Row],[Profit]]&gt;0,"Profit","Loss")</f>
        <v>Profit</v>
      </c>
    </row>
    <row r="3969" spans="1:14" x14ac:dyDescent="0.3">
      <c r="A3969" t="s">
        <v>962</v>
      </c>
      <c r="B3969" s="3">
        <v>41954</v>
      </c>
      <c r="C3969" t="s">
        <v>13</v>
      </c>
      <c r="D3969" t="s">
        <v>21</v>
      </c>
      <c r="E3969" t="s">
        <v>963</v>
      </c>
      <c r="F3969" s="1">
        <v>123.92</v>
      </c>
      <c r="G3969">
        <v>4</v>
      </c>
      <c r="H3969" s="1">
        <v>55.764000000000003</v>
      </c>
      <c r="I3969" s="4">
        <f>SalesData[[#This Row],[Profit]]/SalesData[[#This Row],[Sales]]</f>
        <v>0.45</v>
      </c>
      <c r="J3969">
        <f>YEAR(SalesData[[#This Row],[Order Date]])</f>
        <v>2014</v>
      </c>
      <c r="K3969" t="str">
        <f>TEXT(SalesData[[#This Row],[Order Date]],"mmm")</f>
        <v>Nov</v>
      </c>
      <c r="L3969">
        <f>MONTH(SalesData[[#This Row],[Order Date]])</f>
        <v>11</v>
      </c>
      <c r="M3969">
        <f>SalesData[[#This Row],[Sales]]/SalesData[[#This Row],[Quantity]]</f>
        <v>30.98</v>
      </c>
      <c r="N3969" t="str">
        <f>IF(SalesData[[#This Row],[Profit]]&gt;0,"Profit","Loss")</f>
        <v>Profit</v>
      </c>
    </row>
    <row r="3970" spans="1:14" x14ac:dyDescent="0.3">
      <c r="A3970" t="s">
        <v>964</v>
      </c>
      <c r="B3970" s="3">
        <v>41954</v>
      </c>
      <c r="C3970" t="s">
        <v>13</v>
      </c>
      <c r="D3970" t="s">
        <v>21</v>
      </c>
      <c r="E3970" t="s">
        <v>451</v>
      </c>
      <c r="F3970" s="1">
        <v>22.98</v>
      </c>
      <c r="G3970">
        <v>1</v>
      </c>
      <c r="H3970" s="1">
        <v>6.8940000000000001</v>
      </c>
      <c r="I3970" s="4">
        <f>SalesData[[#This Row],[Profit]]/SalesData[[#This Row],[Sales]]</f>
        <v>0.3</v>
      </c>
      <c r="J3970">
        <f>YEAR(SalesData[[#This Row],[Order Date]])</f>
        <v>2014</v>
      </c>
      <c r="K3970" t="str">
        <f>TEXT(SalesData[[#This Row],[Order Date]],"mmm")</f>
        <v>Nov</v>
      </c>
      <c r="L3970">
        <f>MONTH(SalesData[[#This Row],[Order Date]])</f>
        <v>11</v>
      </c>
      <c r="M3970">
        <f>SalesData[[#This Row],[Sales]]/SalesData[[#This Row],[Quantity]]</f>
        <v>22.98</v>
      </c>
      <c r="N3970" t="str">
        <f>IF(SalesData[[#This Row],[Profit]]&gt;0,"Profit","Loss")</f>
        <v>Profit</v>
      </c>
    </row>
    <row r="3971" spans="1:14" x14ac:dyDescent="0.3">
      <c r="A3971" t="s">
        <v>964</v>
      </c>
      <c r="B3971" s="3">
        <v>41954</v>
      </c>
      <c r="C3971" t="s">
        <v>13</v>
      </c>
      <c r="D3971" t="s">
        <v>10</v>
      </c>
      <c r="E3971" t="s">
        <v>604</v>
      </c>
      <c r="F3971" s="1">
        <v>102.13</v>
      </c>
      <c r="G3971">
        <v>7</v>
      </c>
      <c r="H3971" s="1">
        <v>15.3195</v>
      </c>
      <c r="I3971" s="4">
        <f>SalesData[[#This Row],[Profit]]/SalesData[[#This Row],[Sales]]</f>
        <v>0.15</v>
      </c>
      <c r="J3971">
        <f>YEAR(SalesData[[#This Row],[Order Date]])</f>
        <v>2014</v>
      </c>
      <c r="K3971" t="str">
        <f>TEXT(SalesData[[#This Row],[Order Date]],"mmm")</f>
        <v>Nov</v>
      </c>
      <c r="L3971">
        <f>MONTH(SalesData[[#This Row],[Order Date]])</f>
        <v>11</v>
      </c>
      <c r="M3971">
        <f>SalesData[[#This Row],[Sales]]/SalesData[[#This Row],[Quantity]]</f>
        <v>14.59</v>
      </c>
      <c r="N3971" t="str">
        <f>IF(SalesData[[#This Row],[Profit]]&gt;0,"Profit","Loss")</f>
        <v>Profit</v>
      </c>
    </row>
    <row r="3972" spans="1:14" x14ac:dyDescent="0.3">
      <c r="A3972" t="s">
        <v>964</v>
      </c>
      <c r="B3972" s="3">
        <v>41954</v>
      </c>
      <c r="C3972" t="s">
        <v>13</v>
      </c>
      <c r="D3972" t="s">
        <v>21</v>
      </c>
      <c r="E3972" t="s">
        <v>965</v>
      </c>
      <c r="F3972" s="1">
        <v>2033.5840000000001</v>
      </c>
      <c r="G3972">
        <v>2</v>
      </c>
      <c r="H3972" s="1">
        <v>762.59400000000005</v>
      </c>
      <c r="I3972" s="4">
        <f>SalesData[[#This Row],[Profit]]/SalesData[[#This Row],[Sales]]</f>
        <v>0.375</v>
      </c>
      <c r="J3972">
        <f>YEAR(SalesData[[#This Row],[Order Date]])</f>
        <v>2014</v>
      </c>
      <c r="K3972" t="str">
        <f>TEXT(SalesData[[#This Row],[Order Date]],"mmm")</f>
        <v>Nov</v>
      </c>
      <c r="L3972">
        <f>MONTH(SalesData[[#This Row],[Order Date]])</f>
        <v>11</v>
      </c>
      <c r="M3972">
        <f>SalesData[[#This Row],[Sales]]/SalesData[[#This Row],[Quantity]]</f>
        <v>1016.792</v>
      </c>
      <c r="N3972" t="str">
        <f>IF(SalesData[[#This Row],[Profit]]&gt;0,"Profit","Loss")</f>
        <v>Profit</v>
      </c>
    </row>
    <row r="3973" spans="1:14" x14ac:dyDescent="0.3">
      <c r="A3973" t="s">
        <v>966</v>
      </c>
      <c r="B3973" s="3">
        <v>41954</v>
      </c>
      <c r="C3973" t="s">
        <v>9</v>
      </c>
      <c r="D3973" t="s">
        <v>14</v>
      </c>
      <c r="E3973" t="s">
        <v>967</v>
      </c>
      <c r="F3973" s="1">
        <v>10.984</v>
      </c>
      <c r="G3973">
        <v>2</v>
      </c>
      <c r="H3973" s="1">
        <v>-7.9634</v>
      </c>
      <c r="I3973" s="4">
        <f>SalesData[[#This Row],[Profit]]/SalesData[[#This Row],[Sales]]</f>
        <v>-0.72499999999999998</v>
      </c>
      <c r="J3973">
        <f>YEAR(SalesData[[#This Row],[Order Date]])</f>
        <v>2014</v>
      </c>
      <c r="K3973" t="str">
        <f>TEXT(SalesData[[#This Row],[Order Date]],"mmm")</f>
        <v>Nov</v>
      </c>
      <c r="L3973">
        <f>MONTH(SalesData[[#This Row],[Order Date]])</f>
        <v>11</v>
      </c>
      <c r="M3973">
        <f>SalesData[[#This Row],[Sales]]/SalesData[[#This Row],[Quantity]]</f>
        <v>5.492</v>
      </c>
      <c r="N3973" t="str">
        <f>IF(SalesData[[#This Row],[Profit]]&gt;0,"Profit","Loss")</f>
        <v>Loss</v>
      </c>
    </row>
    <row r="3974" spans="1:14" x14ac:dyDescent="0.3">
      <c r="A3974" t="s">
        <v>966</v>
      </c>
      <c r="B3974" s="3">
        <v>41954</v>
      </c>
      <c r="C3974" t="s">
        <v>9</v>
      </c>
      <c r="D3974" t="s">
        <v>14</v>
      </c>
      <c r="E3974" t="s">
        <v>915</v>
      </c>
      <c r="F3974" s="1">
        <v>797.94399999999996</v>
      </c>
      <c r="G3974">
        <v>4</v>
      </c>
      <c r="H3974" s="1">
        <v>-56.996000000000002</v>
      </c>
      <c r="I3974" s="4">
        <f>SalesData[[#This Row],[Profit]]/SalesData[[#This Row],[Sales]]</f>
        <v>-7.1428571428571438E-2</v>
      </c>
      <c r="J3974">
        <f>YEAR(SalesData[[#This Row],[Order Date]])</f>
        <v>2014</v>
      </c>
      <c r="K3974" t="str">
        <f>TEXT(SalesData[[#This Row],[Order Date]],"mmm")</f>
        <v>Nov</v>
      </c>
      <c r="L3974">
        <f>MONTH(SalesData[[#This Row],[Order Date]])</f>
        <v>11</v>
      </c>
      <c r="M3974">
        <f>SalesData[[#This Row],[Sales]]/SalesData[[#This Row],[Quantity]]</f>
        <v>199.48599999999999</v>
      </c>
      <c r="N3974" t="str">
        <f>IF(SalesData[[#This Row],[Profit]]&gt;0,"Profit","Loss")</f>
        <v>Loss</v>
      </c>
    </row>
    <row r="3975" spans="1:14" x14ac:dyDescent="0.3">
      <c r="A3975" t="s">
        <v>968</v>
      </c>
      <c r="B3975" s="3">
        <v>41954</v>
      </c>
      <c r="C3975" t="s">
        <v>17</v>
      </c>
      <c r="D3975" t="s">
        <v>21</v>
      </c>
      <c r="E3975" t="s">
        <v>969</v>
      </c>
      <c r="F3975" s="1">
        <v>46.35</v>
      </c>
      <c r="G3975">
        <v>5</v>
      </c>
      <c r="H3975" s="1">
        <v>21.784500000000001</v>
      </c>
      <c r="I3975" s="4">
        <f>SalesData[[#This Row],[Profit]]/SalesData[[#This Row],[Sales]]</f>
        <v>0.47000000000000003</v>
      </c>
      <c r="J3975">
        <f>YEAR(SalesData[[#This Row],[Order Date]])</f>
        <v>2014</v>
      </c>
      <c r="K3975" t="str">
        <f>TEXT(SalesData[[#This Row],[Order Date]],"mmm")</f>
        <v>Nov</v>
      </c>
      <c r="L3975">
        <f>MONTH(SalesData[[#This Row],[Order Date]])</f>
        <v>11</v>
      </c>
      <c r="M3975">
        <f>SalesData[[#This Row],[Sales]]/SalesData[[#This Row],[Quantity]]</f>
        <v>9.27</v>
      </c>
      <c r="N3975" t="str">
        <f>IF(SalesData[[#This Row],[Profit]]&gt;0,"Profit","Loss")</f>
        <v>Profit</v>
      </c>
    </row>
    <row r="3976" spans="1:14" x14ac:dyDescent="0.3">
      <c r="A3976" t="s">
        <v>968</v>
      </c>
      <c r="B3976" s="3">
        <v>41954</v>
      </c>
      <c r="C3976" t="s">
        <v>17</v>
      </c>
      <c r="D3976" t="s">
        <v>21</v>
      </c>
      <c r="E3976" t="s">
        <v>970</v>
      </c>
      <c r="F3976" s="1">
        <v>223.92</v>
      </c>
      <c r="G3976">
        <v>4</v>
      </c>
      <c r="H3976" s="1">
        <v>109.7208</v>
      </c>
      <c r="I3976" s="4">
        <f>SalesData[[#This Row],[Profit]]/SalesData[[#This Row],[Sales]]</f>
        <v>0.49</v>
      </c>
      <c r="J3976">
        <f>YEAR(SalesData[[#This Row],[Order Date]])</f>
        <v>2014</v>
      </c>
      <c r="K3976" t="str">
        <f>TEXT(SalesData[[#This Row],[Order Date]],"mmm")</f>
        <v>Nov</v>
      </c>
      <c r="L3976">
        <f>MONTH(SalesData[[#This Row],[Order Date]])</f>
        <v>11</v>
      </c>
      <c r="M3976">
        <f>SalesData[[#This Row],[Sales]]/SalesData[[#This Row],[Quantity]]</f>
        <v>55.98</v>
      </c>
      <c r="N3976" t="str">
        <f>IF(SalesData[[#This Row],[Profit]]&gt;0,"Profit","Loss")</f>
        <v>Profit</v>
      </c>
    </row>
    <row r="3977" spans="1:14" x14ac:dyDescent="0.3">
      <c r="A3977" t="s">
        <v>968</v>
      </c>
      <c r="B3977" s="3">
        <v>41954</v>
      </c>
      <c r="C3977" t="s">
        <v>17</v>
      </c>
      <c r="D3977" t="s">
        <v>21</v>
      </c>
      <c r="E3977" t="s">
        <v>971</v>
      </c>
      <c r="F3977" s="1">
        <v>7.3</v>
      </c>
      <c r="G3977">
        <v>2</v>
      </c>
      <c r="H3977" s="1">
        <v>2.19</v>
      </c>
      <c r="I3977" s="4">
        <f>SalesData[[#This Row],[Profit]]/SalesData[[#This Row],[Sales]]</f>
        <v>0.3</v>
      </c>
      <c r="J3977">
        <f>YEAR(SalesData[[#This Row],[Order Date]])</f>
        <v>2014</v>
      </c>
      <c r="K3977" t="str">
        <f>TEXT(SalesData[[#This Row],[Order Date]],"mmm")</f>
        <v>Nov</v>
      </c>
      <c r="L3977">
        <f>MONTH(SalesData[[#This Row],[Order Date]])</f>
        <v>11</v>
      </c>
      <c r="M3977">
        <f>SalesData[[#This Row],[Sales]]/SalesData[[#This Row],[Quantity]]</f>
        <v>3.65</v>
      </c>
      <c r="N3977" t="str">
        <f>IF(SalesData[[#This Row],[Profit]]&gt;0,"Profit","Loss")</f>
        <v>Profit</v>
      </c>
    </row>
    <row r="3978" spans="1:14" x14ac:dyDescent="0.3">
      <c r="A3978" t="s">
        <v>972</v>
      </c>
      <c r="B3978" s="3">
        <v>41975</v>
      </c>
      <c r="C3978" t="s">
        <v>13</v>
      </c>
      <c r="D3978" t="s">
        <v>14</v>
      </c>
      <c r="E3978" t="s">
        <v>973</v>
      </c>
      <c r="F3978" s="1">
        <v>129.56800000000001</v>
      </c>
      <c r="G3978">
        <v>2</v>
      </c>
      <c r="H3978" s="1">
        <v>-24.294</v>
      </c>
      <c r="I3978" s="4">
        <f>SalesData[[#This Row],[Profit]]/SalesData[[#This Row],[Sales]]</f>
        <v>-0.1875</v>
      </c>
      <c r="J3978">
        <f>YEAR(SalesData[[#This Row],[Order Date]])</f>
        <v>2014</v>
      </c>
      <c r="K3978" t="str">
        <f>TEXT(SalesData[[#This Row],[Order Date]],"mmm")</f>
        <v>Dec</v>
      </c>
      <c r="L3978">
        <f>MONTH(SalesData[[#This Row],[Order Date]])</f>
        <v>12</v>
      </c>
      <c r="M3978">
        <f>SalesData[[#This Row],[Sales]]/SalesData[[#This Row],[Quantity]]</f>
        <v>64.784000000000006</v>
      </c>
      <c r="N3978" t="str">
        <f>IF(SalesData[[#This Row],[Profit]]&gt;0,"Profit","Loss")</f>
        <v>Loss</v>
      </c>
    </row>
    <row r="3979" spans="1:14" x14ac:dyDescent="0.3">
      <c r="A3979" t="s">
        <v>974</v>
      </c>
      <c r="B3979" s="3">
        <v>41977</v>
      </c>
      <c r="C3979" t="s">
        <v>13</v>
      </c>
      <c r="D3979" t="s">
        <v>10</v>
      </c>
      <c r="E3979" t="s">
        <v>178</v>
      </c>
      <c r="F3979" s="1">
        <v>1075.088</v>
      </c>
      <c r="G3979">
        <v>14</v>
      </c>
      <c r="H3979" s="1">
        <v>94.0702</v>
      </c>
      <c r="I3979" s="4">
        <f>SalesData[[#This Row],[Profit]]/SalesData[[#This Row],[Sales]]</f>
        <v>8.7500000000000008E-2</v>
      </c>
      <c r="J3979">
        <f>YEAR(SalesData[[#This Row],[Order Date]])</f>
        <v>2014</v>
      </c>
      <c r="K3979" t="str">
        <f>TEXT(SalesData[[#This Row],[Order Date]],"mmm")</f>
        <v>Dec</v>
      </c>
      <c r="L3979">
        <f>MONTH(SalesData[[#This Row],[Order Date]])</f>
        <v>12</v>
      </c>
      <c r="M3979">
        <f>SalesData[[#This Row],[Sales]]/SalesData[[#This Row],[Quantity]]</f>
        <v>76.792000000000002</v>
      </c>
      <c r="N3979" t="str">
        <f>IF(SalesData[[#This Row],[Profit]]&gt;0,"Profit","Loss")</f>
        <v>Profit</v>
      </c>
    </row>
    <row r="3980" spans="1:14" x14ac:dyDescent="0.3">
      <c r="A3980" t="s">
        <v>974</v>
      </c>
      <c r="B3980" s="3">
        <v>41977</v>
      </c>
      <c r="C3980" t="s">
        <v>13</v>
      </c>
      <c r="D3980" t="s">
        <v>10</v>
      </c>
      <c r="E3980" t="s">
        <v>975</v>
      </c>
      <c r="F3980" s="1">
        <v>438.36799999999999</v>
      </c>
      <c r="G3980">
        <v>4</v>
      </c>
      <c r="H3980" s="1">
        <v>38.357199999999999</v>
      </c>
      <c r="I3980" s="4">
        <f>SalesData[[#This Row],[Profit]]/SalesData[[#This Row],[Sales]]</f>
        <v>8.7499999999999994E-2</v>
      </c>
      <c r="J3980">
        <f>YEAR(SalesData[[#This Row],[Order Date]])</f>
        <v>2014</v>
      </c>
      <c r="K3980" t="str">
        <f>TEXT(SalesData[[#This Row],[Order Date]],"mmm")</f>
        <v>Dec</v>
      </c>
      <c r="L3980">
        <f>MONTH(SalesData[[#This Row],[Order Date]])</f>
        <v>12</v>
      </c>
      <c r="M3980">
        <f>SalesData[[#This Row],[Sales]]/SalesData[[#This Row],[Quantity]]</f>
        <v>109.592</v>
      </c>
      <c r="N3980" t="str">
        <f>IF(SalesData[[#This Row],[Profit]]&gt;0,"Profit","Loss")</f>
        <v>Profit</v>
      </c>
    </row>
    <row r="3981" spans="1:14" x14ac:dyDescent="0.3">
      <c r="A3981" t="s">
        <v>974</v>
      </c>
      <c r="B3981" s="3">
        <v>41977</v>
      </c>
      <c r="C3981" t="s">
        <v>13</v>
      </c>
      <c r="D3981" t="s">
        <v>21</v>
      </c>
      <c r="E3981" t="s">
        <v>976</v>
      </c>
      <c r="F3981" s="1">
        <v>18.088000000000001</v>
      </c>
      <c r="G3981">
        <v>7</v>
      </c>
      <c r="H3981" s="1">
        <v>6.5568999999999997</v>
      </c>
      <c r="I3981" s="4">
        <f>SalesData[[#This Row],[Profit]]/SalesData[[#This Row],[Sales]]</f>
        <v>0.36249999999999999</v>
      </c>
      <c r="J3981">
        <f>YEAR(SalesData[[#This Row],[Order Date]])</f>
        <v>2014</v>
      </c>
      <c r="K3981" t="str">
        <f>TEXT(SalesData[[#This Row],[Order Date]],"mmm")</f>
        <v>Dec</v>
      </c>
      <c r="L3981">
        <f>MONTH(SalesData[[#This Row],[Order Date]])</f>
        <v>12</v>
      </c>
      <c r="M3981">
        <f>SalesData[[#This Row],[Sales]]/SalesData[[#This Row],[Quantity]]</f>
        <v>2.5840000000000001</v>
      </c>
      <c r="N3981" t="str">
        <f>IF(SalesData[[#This Row],[Profit]]&gt;0,"Profit","Loss")</f>
        <v>Profit</v>
      </c>
    </row>
    <row r="3982" spans="1:14" x14ac:dyDescent="0.3">
      <c r="A3982" t="s">
        <v>974</v>
      </c>
      <c r="B3982" s="3">
        <v>41977</v>
      </c>
      <c r="C3982" t="s">
        <v>13</v>
      </c>
      <c r="D3982" t="s">
        <v>14</v>
      </c>
      <c r="E3982" t="s">
        <v>977</v>
      </c>
      <c r="F3982" s="1">
        <v>308.49900000000002</v>
      </c>
      <c r="G3982">
        <v>3</v>
      </c>
      <c r="H3982" s="1">
        <v>-18.146999999999998</v>
      </c>
      <c r="I3982" s="4">
        <f>SalesData[[#This Row],[Profit]]/SalesData[[#This Row],[Sales]]</f>
        <v>-5.8823529411764698E-2</v>
      </c>
      <c r="J3982">
        <f>YEAR(SalesData[[#This Row],[Order Date]])</f>
        <v>2014</v>
      </c>
      <c r="K3982" t="str">
        <f>TEXT(SalesData[[#This Row],[Order Date]],"mmm")</f>
        <v>Dec</v>
      </c>
      <c r="L3982">
        <f>MONTH(SalesData[[#This Row],[Order Date]])</f>
        <v>12</v>
      </c>
      <c r="M3982">
        <f>SalesData[[#This Row],[Sales]]/SalesData[[#This Row],[Quantity]]</f>
        <v>102.83300000000001</v>
      </c>
      <c r="N3982" t="str">
        <f>IF(SalesData[[#This Row],[Profit]]&gt;0,"Profit","Loss")</f>
        <v>Loss</v>
      </c>
    </row>
    <row r="3983" spans="1:14" x14ac:dyDescent="0.3">
      <c r="A3983" t="s">
        <v>978</v>
      </c>
      <c r="B3983" s="3">
        <v>41977</v>
      </c>
      <c r="C3983" t="s">
        <v>9</v>
      </c>
      <c r="D3983" t="s">
        <v>21</v>
      </c>
      <c r="E3983" t="s">
        <v>979</v>
      </c>
      <c r="F3983" s="1">
        <v>32.4</v>
      </c>
      <c r="G3983">
        <v>5</v>
      </c>
      <c r="H3983" s="1">
        <v>15.552</v>
      </c>
      <c r="I3983" s="4">
        <f>SalesData[[#This Row],[Profit]]/SalesData[[#This Row],[Sales]]</f>
        <v>0.48</v>
      </c>
      <c r="J3983">
        <f>YEAR(SalesData[[#This Row],[Order Date]])</f>
        <v>2014</v>
      </c>
      <c r="K3983" t="str">
        <f>TEXT(SalesData[[#This Row],[Order Date]],"mmm")</f>
        <v>Dec</v>
      </c>
      <c r="L3983">
        <f>MONTH(SalesData[[#This Row],[Order Date]])</f>
        <v>12</v>
      </c>
      <c r="M3983">
        <f>SalesData[[#This Row],[Sales]]/SalesData[[#This Row],[Quantity]]</f>
        <v>6.4799999999999995</v>
      </c>
      <c r="N3983" t="str">
        <f>IF(SalesData[[#This Row],[Profit]]&gt;0,"Profit","Loss")</f>
        <v>Profit</v>
      </c>
    </row>
    <row r="3984" spans="1:14" x14ac:dyDescent="0.3">
      <c r="A3984" t="s">
        <v>980</v>
      </c>
      <c r="B3984" s="3">
        <v>41977</v>
      </c>
      <c r="C3984" t="s">
        <v>13</v>
      </c>
      <c r="D3984" t="s">
        <v>21</v>
      </c>
      <c r="E3984" t="s">
        <v>981</v>
      </c>
      <c r="F3984" s="1">
        <v>39.68</v>
      </c>
      <c r="G3984">
        <v>2</v>
      </c>
      <c r="H3984" s="1">
        <v>16.268799999999999</v>
      </c>
      <c r="I3984" s="4">
        <f>SalesData[[#This Row],[Profit]]/SalesData[[#This Row],[Sales]]</f>
        <v>0.41</v>
      </c>
      <c r="J3984">
        <f>YEAR(SalesData[[#This Row],[Order Date]])</f>
        <v>2014</v>
      </c>
      <c r="K3984" t="str">
        <f>TEXT(SalesData[[#This Row],[Order Date]],"mmm")</f>
        <v>Dec</v>
      </c>
      <c r="L3984">
        <f>MONTH(SalesData[[#This Row],[Order Date]])</f>
        <v>12</v>
      </c>
      <c r="M3984">
        <f>SalesData[[#This Row],[Sales]]/SalesData[[#This Row],[Quantity]]</f>
        <v>19.84</v>
      </c>
      <c r="N3984" t="str">
        <f>IF(SalesData[[#This Row],[Profit]]&gt;0,"Profit","Loss")</f>
        <v>Profit</v>
      </c>
    </row>
    <row r="3985" spans="1:14" x14ac:dyDescent="0.3">
      <c r="A3985" t="s">
        <v>982</v>
      </c>
      <c r="B3985" s="3">
        <v>41978</v>
      </c>
      <c r="C3985" t="s">
        <v>9</v>
      </c>
      <c r="D3985" t="s">
        <v>14</v>
      </c>
      <c r="E3985" t="s">
        <v>875</v>
      </c>
      <c r="F3985" s="1">
        <v>34.79</v>
      </c>
      <c r="G3985">
        <v>7</v>
      </c>
      <c r="H3985" s="1">
        <v>10.7849</v>
      </c>
      <c r="I3985" s="4">
        <f>SalesData[[#This Row],[Profit]]/SalesData[[#This Row],[Sales]]</f>
        <v>0.31</v>
      </c>
      <c r="J3985">
        <f>YEAR(SalesData[[#This Row],[Order Date]])</f>
        <v>2014</v>
      </c>
      <c r="K3985" t="str">
        <f>TEXT(SalesData[[#This Row],[Order Date]],"mmm")</f>
        <v>Dec</v>
      </c>
      <c r="L3985">
        <f>MONTH(SalesData[[#This Row],[Order Date]])</f>
        <v>12</v>
      </c>
      <c r="M3985">
        <f>SalesData[[#This Row],[Sales]]/SalesData[[#This Row],[Quantity]]</f>
        <v>4.97</v>
      </c>
      <c r="N3985" t="str">
        <f>IF(SalesData[[#This Row],[Profit]]&gt;0,"Profit","Loss")</f>
        <v>Profit</v>
      </c>
    </row>
    <row r="3986" spans="1:14" x14ac:dyDescent="0.3">
      <c r="A3986" t="s">
        <v>983</v>
      </c>
      <c r="B3986" s="3">
        <v>41978</v>
      </c>
      <c r="C3986" t="s">
        <v>17</v>
      </c>
      <c r="D3986" t="s">
        <v>14</v>
      </c>
      <c r="E3986" t="s">
        <v>984</v>
      </c>
      <c r="F3986" s="1">
        <v>700.05600000000004</v>
      </c>
      <c r="G3986">
        <v>3</v>
      </c>
      <c r="H3986" s="1">
        <v>-130.0104</v>
      </c>
      <c r="I3986" s="4">
        <f>SalesData[[#This Row],[Profit]]/SalesData[[#This Row],[Sales]]</f>
        <v>-0.18571428571428572</v>
      </c>
      <c r="J3986">
        <f>YEAR(SalesData[[#This Row],[Order Date]])</f>
        <v>2014</v>
      </c>
      <c r="K3986" t="str">
        <f>TEXT(SalesData[[#This Row],[Order Date]],"mmm")</f>
        <v>Dec</v>
      </c>
      <c r="L3986">
        <f>MONTH(SalesData[[#This Row],[Order Date]])</f>
        <v>12</v>
      </c>
      <c r="M3986">
        <f>SalesData[[#This Row],[Sales]]/SalesData[[#This Row],[Quantity]]</f>
        <v>233.352</v>
      </c>
      <c r="N3986" t="str">
        <f>IF(SalesData[[#This Row],[Profit]]&gt;0,"Profit","Loss")</f>
        <v>Loss</v>
      </c>
    </row>
    <row r="3987" spans="1:14" x14ac:dyDescent="0.3">
      <c r="A3987" t="s">
        <v>985</v>
      </c>
      <c r="B3987" s="3">
        <v>41980</v>
      </c>
      <c r="C3987" t="s">
        <v>13</v>
      </c>
      <c r="D3987" t="s">
        <v>21</v>
      </c>
      <c r="E3987" t="s">
        <v>838</v>
      </c>
      <c r="F3987" s="1">
        <v>7.7119999999999997</v>
      </c>
      <c r="G3987">
        <v>2</v>
      </c>
      <c r="H3987" s="1">
        <v>2.7955999999999999</v>
      </c>
      <c r="I3987" s="4">
        <f>SalesData[[#This Row],[Profit]]/SalesData[[#This Row],[Sales]]</f>
        <v>0.36249999999999999</v>
      </c>
      <c r="J3987">
        <f>YEAR(SalesData[[#This Row],[Order Date]])</f>
        <v>2014</v>
      </c>
      <c r="K3987" t="str">
        <f>TEXT(SalesData[[#This Row],[Order Date]],"mmm")</f>
        <v>Dec</v>
      </c>
      <c r="L3987">
        <f>MONTH(SalesData[[#This Row],[Order Date]])</f>
        <v>12</v>
      </c>
      <c r="M3987">
        <f>SalesData[[#This Row],[Sales]]/SalesData[[#This Row],[Quantity]]</f>
        <v>3.8559999999999999</v>
      </c>
      <c r="N3987" t="str">
        <f>IF(SalesData[[#This Row],[Profit]]&gt;0,"Profit","Loss")</f>
        <v>Profit</v>
      </c>
    </row>
    <row r="3988" spans="1:14" x14ac:dyDescent="0.3">
      <c r="A3988" t="s">
        <v>985</v>
      </c>
      <c r="B3988" s="3">
        <v>41980</v>
      </c>
      <c r="C3988" t="s">
        <v>13</v>
      </c>
      <c r="D3988" t="s">
        <v>14</v>
      </c>
      <c r="E3988" t="s">
        <v>986</v>
      </c>
      <c r="F3988" s="1">
        <v>698.35199999999998</v>
      </c>
      <c r="G3988">
        <v>3</v>
      </c>
      <c r="H3988" s="1">
        <v>-17.4588</v>
      </c>
      <c r="I3988" s="4">
        <f>SalesData[[#This Row],[Profit]]/SalesData[[#This Row],[Sales]]</f>
        <v>-2.5000000000000001E-2</v>
      </c>
      <c r="J3988">
        <f>YEAR(SalesData[[#This Row],[Order Date]])</f>
        <v>2014</v>
      </c>
      <c r="K3988" t="str">
        <f>TEXT(SalesData[[#This Row],[Order Date]],"mmm")</f>
        <v>Dec</v>
      </c>
      <c r="L3988">
        <f>MONTH(SalesData[[#This Row],[Order Date]])</f>
        <v>12</v>
      </c>
      <c r="M3988">
        <f>SalesData[[#This Row],[Sales]]/SalesData[[#This Row],[Quantity]]</f>
        <v>232.78399999999999</v>
      </c>
      <c r="N3988" t="str">
        <f>IF(SalesData[[#This Row],[Profit]]&gt;0,"Profit","Loss")</f>
        <v>Loss</v>
      </c>
    </row>
    <row r="3989" spans="1:14" x14ac:dyDescent="0.3">
      <c r="A3989" t="s">
        <v>987</v>
      </c>
      <c r="B3989" s="3">
        <v>41980</v>
      </c>
      <c r="C3989" t="s">
        <v>13</v>
      </c>
      <c r="D3989" t="s">
        <v>21</v>
      </c>
      <c r="E3989" t="s">
        <v>736</v>
      </c>
      <c r="F3989" s="1">
        <v>249.75</v>
      </c>
      <c r="G3989">
        <v>9</v>
      </c>
      <c r="H3989" s="1">
        <v>44.954999999999998</v>
      </c>
      <c r="I3989" s="4">
        <f>SalesData[[#This Row],[Profit]]/SalesData[[#This Row],[Sales]]</f>
        <v>0.18</v>
      </c>
      <c r="J3989">
        <f>YEAR(SalesData[[#This Row],[Order Date]])</f>
        <v>2014</v>
      </c>
      <c r="K3989" t="str">
        <f>TEXT(SalesData[[#This Row],[Order Date]],"mmm")</f>
        <v>Dec</v>
      </c>
      <c r="L3989">
        <f>MONTH(SalesData[[#This Row],[Order Date]])</f>
        <v>12</v>
      </c>
      <c r="M3989">
        <f>SalesData[[#This Row],[Sales]]/SalesData[[#This Row],[Quantity]]</f>
        <v>27.75</v>
      </c>
      <c r="N3989" t="str">
        <f>IF(SalesData[[#This Row],[Profit]]&gt;0,"Profit","Loss")</f>
        <v>Profit</v>
      </c>
    </row>
    <row r="3990" spans="1:14" x14ac:dyDescent="0.3">
      <c r="A3990" t="s">
        <v>987</v>
      </c>
      <c r="B3990" s="3">
        <v>41980</v>
      </c>
      <c r="C3990" t="s">
        <v>13</v>
      </c>
      <c r="D3990" t="s">
        <v>10</v>
      </c>
      <c r="E3990" t="s">
        <v>988</v>
      </c>
      <c r="F3990" s="1">
        <v>255.93600000000001</v>
      </c>
      <c r="G3990">
        <v>8</v>
      </c>
      <c r="H3990" s="1">
        <v>28.7928</v>
      </c>
      <c r="I3990" s="4">
        <f>SalesData[[#This Row],[Profit]]/SalesData[[#This Row],[Sales]]</f>
        <v>0.11249999999999999</v>
      </c>
      <c r="J3990">
        <f>YEAR(SalesData[[#This Row],[Order Date]])</f>
        <v>2014</v>
      </c>
      <c r="K3990" t="str">
        <f>TEXT(SalesData[[#This Row],[Order Date]],"mmm")</f>
        <v>Dec</v>
      </c>
      <c r="L3990">
        <f>MONTH(SalesData[[#This Row],[Order Date]])</f>
        <v>12</v>
      </c>
      <c r="M3990">
        <f>SalesData[[#This Row],[Sales]]/SalesData[[#This Row],[Quantity]]</f>
        <v>31.992000000000001</v>
      </c>
      <c r="N3990" t="str">
        <f>IF(SalesData[[#This Row],[Profit]]&gt;0,"Profit","Loss")</f>
        <v>Profit</v>
      </c>
    </row>
    <row r="3991" spans="1:14" x14ac:dyDescent="0.3">
      <c r="A3991" t="s">
        <v>989</v>
      </c>
      <c r="B3991" s="3">
        <v>41980</v>
      </c>
      <c r="C3991" t="s">
        <v>13</v>
      </c>
      <c r="D3991" t="s">
        <v>14</v>
      </c>
      <c r="E3991" t="s">
        <v>990</v>
      </c>
      <c r="F3991" s="1">
        <v>123.136</v>
      </c>
      <c r="G3991">
        <v>4</v>
      </c>
      <c r="H3991" s="1">
        <v>13.8528</v>
      </c>
      <c r="I3991" s="4">
        <f>SalesData[[#This Row],[Profit]]/SalesData[[#This Row],[Sales]]</f>
        <v>0.1125</v>
      </c>
      <c r="J3991">
        <f>YEAR(SalesData[[#This Row],[Order Date]])</f>
        <v>2014</v>
      </c>
      <c r="K3991" t="str">
        <f>TEXT(SalesData[[#This Row],[Order Date]],"mmm")</f>
        <v>Dec</v>
      </c>
      <c r="L3991">
        <f>MONTH(SalesData[[#This Row],[Order Date]])</f>
        <v>12</v>
      </c>
      <c r="M3991">
        <f>SalesData[[#This Row],[Sales]]/SalesData[[#This Row],[Quantity]]</f>
        <v>30.783999999999999</v>
      </c>
      <c r="N3991" t="str">
        <f>IF(SalesData[[#This Row],[Profit]]&gt;0,"Profit","Loss")</f>
        <v>Profit</v>
      </c>
    </row>
    <row r="3992" spans="1:14" x14ac:dyDescent="0.3">
      <c r="A3992" t="s">
        <v>989</v>
      </c>
      <c r="B3992" s="3">
        <v>41980</v>
      </c>
      <c r="C3992" t="s">
        <v>13</v>
      </c>
      <c r="D3992" t="s">
        <v>21</v>
      </c>
      <c r="E3992" t="s">
        <v>991</v>
      </c>
      <c r="F3992" s="1">
        <v>11.263999999999999</v>
      </c>
      <c r="G3992">
        <v>4</v>
      </c>
      <c r="H3992" s="1">
        <v>3.8016000000000001</v>
      </c>
      <c r="I3992" s="4">
        <f>SalesData[[#This Row],[Profit]]/SalesData[[#This Row],[Sales]]</f>
        <v>0.33750000000000002</v>
      </c>
      <c r="J3992">
        <f>YEAR(SalesData[[#This Row],[Order Date]])</f>
        <v>2014</v>
      </c>
      <c r="K3992" t="str">
        <f>TEXT(SalesData[[#This Row],[Order Date]],"mmm")</f>
        <v>Dec</v>
      </c>
      <c r="L3992">
        <f>MONTH(SalesData[[#This Row],[Order Date]])</f>
        <v>12</v>
      </c>
      <c r="M3992">
        <f>SalesData[[#This Row],[Sales]]/SalesData[[#This Row],[Quantity]]</f>
        <v>2.8159999999999998</v>
      </c>
      <c r="N3992" t="str">
        <f>IF(SalesData[[#This Row],[Profit]]&gt;0,"Profit","Loss")</f>
        <v>Profit</v>
      </c>
    </row>
    <row r="3993" spans="1:14" x14ac:dyDescent="0.3">
      <c r="A3993" t="s">
        <v>992</v>
      </c>
      <c r="B3993" s="3">
        <v>41980</v>
      </c>
      <c r="C3993" t="s">
        <v>9</v>
      </c>
      <c r="D3993" t="s">
        <v>21</v>
      </c>
      <c r="E3993" t="s">
        <v>993</v>
      </c>
      <c r="F3993" s="1">
        <v>35.856000000000002</v>
      </c>
      <c r="G3993">
        <v>9</v>
      </c>
      <c r="H3993" s="1">
        <v>12.9978</v>
      </c>
      <c r="I3993" s="4">
        <f>SalesData[[#This Row],[Profit]]/SalesData[[#This Row],[Sales]]</f>
        <v>0.36249999999999999</v>
      </c>
      <c r="J3993">
        <f>YEAR(SalesData[[#This Row],[Order Date]])</f>
        <v>2014</v>
      </c>
      <c r="K3993" t="str">
        <f>TEXT(SalesData[[#This Row],[Order Date]],"mmm")</f>
        <v>Dec</v>
      </c>
      <c r="L3993">
        <f>MONTH(SalesData[[#This Row],[Order Date]])</f>
        <v>12</v>
      </c>
      <c r="M3993">
        <f>SalesData[[#This Row],[Sales]]/SalesData[[#This Row],[Quantity]]</f>
        <v>3.984</v>
      </c>
      <c r="N3993" t="str">
        <f>IF(SalesData[[#This Row],[Profit]]&gt;0,"Profit","Loss")</f>
        <v>Profit</v>
      </c>
    </row>
    <row r="3994" spans="1:14" x14ac:dyDescent="0.3">
      <c r="A3994" t="s">
        <v>992</v>
      </c>
      <c r="B3994" s="3">
        <v>41980</v>
      </c>
      <c r="C3994" t="s">
        <v>9</v>
      </c>
      <c r="D3994" t="s">
        <v>10</v>
      </c>
      <c r="E3994" t="s">
        <v>994</v>
      </c>
      <c r="F3994" s="1">
        <v>23.84</v>
      </c>
      <c r="G3994">
        <v>4</v>
      </c>
      <c r="H3994" s="1">
        <v>3.278</v>
      </c>
      <c r="I3994" s="4">
        <f>SalesData[[#This Row],[Profit]]/SalesData[[#This Row],[Sales]]</f>
        <v>0.13750000000000001</v>
      </c>
      <c r="J3994">
        <f>YEAR(SalesData[[#This Row],[Order Date]])</f>
        <v>2014</v>
      </c>
      <c r="K3994" t="str">
        <f>TEXT(SalesData[[#This Row],[Order Date]],"mmm")</f>
        <v>Dec</v>
      </c>
      <c r="L3994">
        <f>MONTH(SalesData[[#This Row],[Order Date]])</f>
        <v>12</v>
      </c>
      <c r="M3994">
        <f>SalesData[[#This Row],[Sales]]/SalesData[[#This Row],[Quantity]]</f>
        <v>5.96</v>
      </c>
      <c r="N3994" t="str">
        <f>IF(SalesData[[#This Row],[Profit]]&gt;0,"Profit","Loss")</f>
        <v>Profit</v>
      </c>
    </row>
    <row r="3995" spans="1:14" x14ac:dyDescent="0.3">
      <c r="A3995" t="s">
        <v>995</v>
      </c>
      <c r="B3995" s="3">
        <v>41980</v>
      </c>
      <c r="C3995" t="s">
        <v>9</v>
      </c>
      <c r="D3995" t="s">
        <v>14</v>
      </c>
      <c r="E3995" t="s">
        <v>996</v>
      </c>
      <c r="F3995" s="1">
        <v>512.35799999999995</v>
      </c>
      <c r="G3995">
        <v>3</v>
      </c>
      <c r="H3995" s="1">
        <v>-14.6388</v>
      </c>
      <c r="I3995" s="4">
        <f>SalesData[[#This Row],[Profit]]/SalesData[[#This Row],[Sales]]</f>
        <v>-2.8571428571428574E-2</v>
      </c>
      <c r="J3995">
        <f>YEAR(SalesData[[#This Row],[Order Date]])</f>
        <v>2014</v>
      </c>
      <c r="K3995" t="str">
        <f>TEXT(SalesData[[#This Row],[Order Date]],"mmm")</f>
        <v>Dec</v>
      </c>
      <c r="L3995">
        <f>MONTH(SalesData[[#This Row],[Order Date]])</f>
        <v>12</v>
      </c>
      <c r="M3995">
        <f>SalesData[[#This Row],[Sales]]/SalesData[[#This Row],[Quantity]]</f>
        <v>170.78599999999997</v>
      </c>
      <c r="N3995" t="str">
        <f>IF(SalesData[[#This Row],[Profit]]&gt;0,"Profit","Loss")</f>
        <v>Loss</v>
      </c>
    </row>
    <row r="3996" spans="1:14" x14ac:dyDescent="0.3">
      <c r="A3996" t="s">
        <v>995</v>
      </c>
      <c r="B3996" s="3">
        <v>41980</v>
      </c>
      <c r="C3996" t="s">
        <v>9</v>
      </c>
      <c r="D3996" t="s">
        <v>21</v>
      </c>
      <c r="E3996" t="s">
        <v>885</v>
      </c>
      <c r="F3996" s="1">
        <v>3.488</v>
      </c>
      <c r="G3996">
        <v>2</v>
      </c>
      <c r="H3996" s="1">
        <v>0.56679999999999997</v>
      </c>
      <c r="I3996" s="4">
        <f>SalesData[[#This Row],[Profit]]/SalesData[[#This Row],[Sales]]</f>
        <v>0.16250000000000001</v>
      </c>
      <c r="J3996">
        <f>YEAR(SalesData[[#This Row],[Order Date]])</f>
        <v>2014</v>
      </c>
      <c r="K3996" t="str">
        <f>TEXT(SalesData[[#This Row],[Order Date]],"mmm")</f>
        <v>Dec</v>
      </c>
      <c r="L3996">
        <f>MONTH(SalesData[[#This Row],[Order Date]])</f>
        <v>12</v>
      </c>
      <c r="M3996">
        <f>SalesData[[#This Row],[Sales]]/SalesData[[#This Row],[Quantity]]</f>
        <v>1.744</v>
      </c>
      <c r="N3996" t="str">
        <f>IF(SalesData[[#This Row],[Profit]]&gt;0,"Profit","Loss")</f>
        <v>Profit</v>
      </c>
    </row>
    <row r="3997" spans="1:14" x14ac:dyDescent="0.3">
      <c r="A3997" t="s">
        <v>995</v>
      </c>
      <c r="B3997" s="3">
        <v>41980</v>
      </c>
      <c r="C3997" t="s">
        <v>9</v>
      </c>
      <c r="D3997" t="s">
        <v>21</v>
      </c>
      <c r="E3997" t="s">
        <v>997</v>
      </c>
      <c r="F3997" s="1">
        <v>22.288</v>
      </c>
      <c r="G3997">
        <v>7</v>
      </c>
      <c r="H3997" s="1">
        <v>3.9003999999999999</v>
      </c>
      <c r="I3997" s="4">
        <f>SalesData[[#This Row],[Profit]]/SalesData[[#This Row],[Sales]]</f>
        <v>0.17499999999999999</v>
      </c>
      <c r="J3997">
        <f>YEAR(SalesData[[#This Row],[Order Date]])</f>
        <v>2014</v>
      </c>
      <c r="K3997" t="str">
        <f>TEXT(SalesData[[#This Row],[Order Date]],"mmm")</f>
        <v>Dec</v>
      </c>
      <c r="L3997">
        <f>MONTH(SalesData[[#This Row],[Order Date]])</f>
        <v>12</v>
      </c>
      <c r="M3997">
        <f>SalesData[[#This Row],[Sales]]/SalesData[[#This Row],[Quantity]]</f>
        <v>3.1840000000000002</v>
      </c>
      <c r="N3997" t="str">
        <f>IF(SalesData[[#This Row],[Profit]]&gt;0,"Profit","Loss")</f>
        <v>Profit</v>
      </c>
    </row>
    <row r="3998" spans="1:14" x14ac:dyDescent="0.3">
      <c r="A3998" t="s">
        <v>995</v>
      </c>
      <c r="B3998" s="3">
        <v>41980</v>
      </c>
      <c r="C3998" t="s">
        <v>9</v>
      </c>
      <c r="D3998" t="s">
        <v>21</v>
      </c>
      <c r="E3998" t="s">
        <v>813</v>
      </c>
      <c r="F3998" s="1">
        <v>16.032</v>
      </c>
      <c r="G3998">
        <v>3</v>
      </c>
      <c r="H3998" s="1">
        <v>5.6112000000000002</v>
      </c>
      <c r="I3998" s="4">
        <f>SalesData[[#This Row],[Profit]]/SalesData[[#This Row],[Sales]]</f>
        <v>0.35000000000000003</v>
      </c>
      <c r="J3998">
        <f>YEAR(SalesData[[#This Row],[Order Date]])</f>
        <v>2014</v>
      </c>
      <c r="K3998" t="str">
        <f>TEXT(SalesData[[#This Row],[Order Date]],"mmm")</f>
        <v>Dec</v>
      </c>
      <c r="L3998">
        <f>MONTH(SalesData[[#This Row],[Order Date]])</f>
        <v>12</v>
      </c>
      <c r="M3998">
        <f>SalesData[[#This Row],[Sales]]/SalesData[[#This Row],[Quantity]]</f>
        <v>5.3440000000000003</v>
      </c>
      <c r="N3998" t="str">
        <f>IF(SalesData[[#This Row],[Profit]]&gt;0,"Profit","Loss")</f>
        <v>Profit</v>
      </c>
    </row>
    <row r="3999" spans="1:14" x14ac:dyDescent="0.3">
      <c r="A3999" t="s">
        <v>998</v>
      </c>
      <c r="B3999" s="3">
        <v>41981</v>
      </c>
      <c r="C3999" t="s">
        <v>17</v>
      </c>
      <c r="D3999" t="s">
        <v>21</v>
      </c>
      <c r="E3999" t="s">
        <v>999</v>
      </c>
      <c r="F3999" s="1">
        <v>196.21</v>
      </c>
      <c r="G3999">
        <v>7</v>
      </c>
      <c r="H3999" s="1">
        <v>98.105000000000004</v>
      </c>
      <c r="I3999" s="4">
        <f>SalesData[[#This Row],[Profit]]/SalesData[[#This Row],[Sales]]</f>
        <v>0.5</v>
      </c>
      <c r="J3999">
        <f>YEAR(SalesData[[#This Row],[Order Date]])</f>
        <v>2014</v>
      </c>
      <c r="K3999" t="str">
        <f>TEXT(SalesData[[#This Row],[Order Date]],"mmm")</f>
        <v>Dec</v>
      </c>
      <c r="L3999">
        <f>MONTH(SalesData[[#This Row],[Order Date]])</f>
        <v>12</v>
      </c>
      <c r="M3999">
        <f>SalesData[[#This Row],[Sales]]/SalesData[[#This Row],[Quantity]]</f>
        <v>28.03</v>
      </c>
      <c r="N3999" t="str">
        <f>IF(SalesData[[#This Row],[Profit]]&gt;0,"Profit","Loss")</f>
        <v>Profit</v>
      </c>
    </row>
    <row r="4000" spans="1:14" x14ac:dyDescent="0.3">
      <c r="A4000" t="s">
        <v>1000</v>
      </c>
      <c r="B4000" s="3">
        <v>41981</v>
      </c>
      <c r="C4000" t="s">
        <v>13</v>
      </c>
      <c r="D4000" t="s">
        <v>10</v>
      </c>
      <c r="E4000" t="s">
        <v>1001</v>
      </c>
      <c r="F4000" s="1">
        <v>806.33600000000001</v>
      </c>
      <c r="G4000">
        <v>8</v>
      </c>
      <c r="H4000" s="1">
        <v>50.396000000000001</v>
      </c>
      <c r="I4000" s="4">
        <f>SalesData[[#This Row],[Profit]]/SalesData[[#This Row],[Sales]]</f>
        <v>6.25E-2</v>
      </c>
      <c r="J4000">
        <f>YEAR(SalesData[[#This Row],[Order Date]])</f>
        <v>2014</v>
      </c>
      <c r="K4000" t="str">
        <f>TEXT(SalesData[[#This Row],[Order Date]],"mmm")</f>
        <v>Dec</v>
      </c>
      <c r="L4000">
        <f>MONTH(SalesData[[#This Row],[Order Date]])</f>
        <v>12</v>
      </c>
      <c r="M4000">
        <f>SalesData[[#This Row],[Sales]]/SalesData[[#This Row],[Quantity]]</f>
        <v>100.792</v>
      </c>
      <c r="N4000" t="str">
        <f>IF(SalesData[[#This Row],[Profit]]&gt;0,"Profit","Loss")</f>
        <v>Profit</v>
      </c>
    </row>
    <row r="4001" spans="1:14" x14ac:dyDescent="0.3">
      <c r="A4001" t="s">
        <v>1000</v>
      </c>
      <c r="B4001" s="3">
        <v>41981</v>
      </c>
      <c r="C4001" t="s">
        <v>13</v>
      </c>
      <c r="D4001" t="s">
        <v>14</v>
      </c>
      <c r="E4001" t="s">
        <v>337</v>
      </c>
      <c r="F4001" s="1">
        <v>85.44</v>
      </c>
      <c r="G4001">
        <v>3</v>
      </c>
      <c r="H4001" s="1">
        <v>31.6128</v>
      </c>
      <c r="I4001" s="4">
        <f>SalesData[[#This Row],[Profit]]/SalesData[[#This Row],[Sales]]</f>
        <v>0.37</v>
      </c>
      <c r="J4001">
        <f>YEAR(SalesData[[#This Row],[Order Date]])</f>
        <v>2014</v>
      </c>
      <c r="K4001" t="str">
        <f>TEXT(SalesData[[#This Row],[Order Date]],"mmm")</f>
        <v>Dec</v>
      </c>
      <c r="L4001">
        <f>MONTH(SalesData[[#This Row],[Order Date]])</f>
        <v>12</v>
      </c>
      <c r="M4001">
        <f>SalesData[[#This Row],[Sales]]/SalesData[[#This Row],[Quantity]]</f>
        <v>28.48</v>
      </c>
      <c r="N4001" t="str">
        <f>IF(SalesData[[#This Row],[Profit]]&gt;0,"Profit","Loss")</f>
        <v>Profit</v>
      </c>
    </row>
    <row r="4002" spans="1:14" x14ac:dyDescent="0.3">
      <c r="A4002" t="s">
        <v>1002</v>
      </c>
      <c r="B4002" s="3">
        <v>41981</v>
      </c>
      <c r="C4002" t="s">
        <v>46</v>
      </c>
      <c r="D4002" t="s">
        <v>21</v>
      </c>
      <c r="E4002" t="s">
        <v>1003</v>
      </c>
      <c r="F4002" s="1">
        <v>31.103999999999999</v>
      </c>
      <c r="G4002">
        <v>6</v>
      </c>
      <c r="H4002" s="1">
        <v>10.8864</v>
      </c>
      <c r="I4002" s="4">
        <f>SalesData[[#This Row],[Profit]]/SalesData[[#This Row],[Sales]]</f>
        <v>0.35000000000000003</v>
      </c>
      <c r="J4002">
        <f>YEAR(SalesData[[#This Row],[Order Date]])</f>
        <v>2014</v>
      </c>
      <c r="K4002" t="str">
        <f>TEXT(SalesData[[#This Row],[Order Date]],"mmm")</f>
        <v>Dec</v>
      </c>
      <c r="L4002">
        <f>MONTH(SalesData[[#This Row],[Order Date]])</f>
        <v>12</v>
      </c>
      <c r="M4002">
        <f>SalesData[[#This Row],[Sales]]/SalesData[[#This Row],[Quantity]]</f>
        <v>5.1840000000000002</v>
      </c>
      <c r="N4002" t="str">
        <f>IF(SalesData[[#This Row],[Profit]]&gt;0,"Profit","Loss")</f>
        <v>Profit</v>
      </c>
    </row>
    <row r="4003" spans="1:14" x14ac:dyDescent="0.3">
      <c r="A4003" t="s">
        <v>1002</v>
      </c>
      <c r="B4003" s="3">
        <v>41981</v>
      </c>
      <c r="C4003" t="s">
        <v>46</v>
      </c>
      <c r="D4003" t="s">
        <v>21</v>
      </c>
      <c r="E4003" t="s">
        <v>1004</v>
      </c>
      <c r="F4003" s="1">
        <v>47.96</v>
      </c>
      <c r="G4003">
        <v>5</v>
      </c>
      <c r="H4003" s="1">
        <v>4.1965000000000003</v>
      </c>
      <c r="I4003" s="4">
        <f>SalesData[[#This Row],[Profit]]/SalesData[[#This Row],[Sales]]</f>
        <v>8.7500000000000008E-2</v>
      </c>
      <c r="J4003">
        <f>YEAR(SalesData[[#This Row],[Order Date]])</f>
        <v>2014</v>
      </c>
      <c r="K4003" t="str">
        <f>TEXT(SalesData[[#This Row],[Order Date]],"mmm")</f>
        <v>Dec</v>
      </c>
      <c r="L4003">
        <f>MONTH(SalesData[[#This Row],[Order Date]])</f>
        <v>12</v>
      </c>
      <c r="M4003">
        <f>SalesData[[#This Row],[Sales]]/SalesData[[#This Row],[Quantity]]</f>
        <v>9.5920000000000005</v>
      </c>
      <c r="N4003" t="str">
        <f>IF(SalesData[[#This Row],[Profit]]&gt;0,"Profit","Loss")</f>
        <v>Profit</v>
      </c>
    </row>
    <row r="4004" spans="1:14" x14ac:dyDescent="0.3">
      <c r="A4004" t="s">
        <v>1002</v>
      </c>
      <c r="B4004" s="3">
        <v>41981</v>
      </c>
      <c r="C4004" t="s">
        <v>46</v>
      </c>
      <c r="D4004" t="s">
        <v>10</v>
      </c>
      <c r="E4004" t="s">
        <v>354</v>
      </c>
      <c r="F4004" s="1">
        <v>158.928</v>
      </c>
      <c r="G4004">
        <v>7</v>
      </c>
      <c r="H4004" s="1">
        <v>41.718600000000002</v>
      </c>
      <c r="I4004" s="4">
        <f>SalesData[[#This Row],[Profit]]/SalesData[[#This Row],[Sales]]</f>
        <v>0.26250000000000001</v>
      </c>
      <c r="J4004">
        <f>YEAR(SalesData[[#This Row],[Order Date]])</f>
        <v>2014</v>
      </c>
      <c r="K4004" t="str">
        <f>TEXT(SalesData[[#This Row],[Order Date]],"mmm")</f>
        <v>Dec</v>
      </c>
      <c r="L4004">
        <f>MONTH(SalesData[[#This Row],[Order Date]])</f>
        <v>12</v>
      </c>
      <c r="M4004">
        <f>SalesData[[#This Row],[Sales]]/SalesData[[#This Row],[Quantity]]</f>
        <v>22.704000000000001</v>
      </c>
      <c r="N4004" t="str">
        <f>IF(SalesData[[#This Row],[Profit]]&gt;0,"Profit","Loss")</f>
        <v>Profit</v>
      </c>
    </row>
    <row r="4005" spans="1:14" x14ac:dyDescent="0.3">
      <c r="A4005" t="s">
        <v>1002</v>
      </c>
      <c r="B4005" s="3">
        <v>41981</v>
      </c>
      <c r="C4005" t="s">
        <v>46</v>
      </c>
      <c r="D4005" t="s">
        <v>21</v>
      </c>
      <c r="E4005" t="s">
        <v>1005</v>
      </c>
      <c r="F4005" s="1">
        <v>211.24799999999999</v>
      </c>
      <c r="G4005">
        <v>6</v>
      </c>
      <c r="H4005" s="1">
        <v>15.8436</v>
      </c>
      <c r="I4005" s="4">
        <f>SalesData[[#This Row],[Profit]]/SalesData[[#This Row],[Sales]]</f>
        <v>7.5000000000000011E-2</v>
      </c>
      <c r="J4005">
        <f>YEAR(SalesData[[#This Row],[Order Date]])</f>
        <v>2014</v>
      </c>
      <c r="K4005" t="str">
        <f>TEXT(SalesData[[#This Row],[Order Date]],"mmm")</f>
        <v>Dec</v>
      </c>
      <c r="L4005">
        <f>MONTH(SalesData[[#This Row],[Order Date]])</f>
        <v>12</v>
      </c>
      <c r="M4005">
        <f>SalesData[[#This Row],[Sales]]/SalesData[[#This Row],[Quantity]]</f>
        <v>35.207999999999998</v>
      </c>
      <c r="N4005" t="str">
        <f>IF(SalesData[[#This Row],[Profit]]&gt;0,"Profit","Loss")</f>
        <v>Profit</v>
      </c>
    </row>
    <row r="4006" spans="1:14" x14ac:dyDescent="0.3">
      <c r="A4006" t="s">
        <v>1002</v>
      </c>
      <c r="B4006" s="3">
        <v>41981</v>
      </c>
      <c r="C4006" t="s">
        <v>46</v>
      </c>
      <c r="D4006" t="s">
        <v>21</v>
      </c>
      <c r="E4006" t="s">
        <v>722</v>
      </c>
      <c r="F4006" s="1">
        <v>5.5519999999999996</v>
      </c>
      <c r="G4006">
        <v>2</v>
      </c>
      <c r="H4006" s="1">
        <v>-1.0409999999999999</v>
      </c>
      <c r="I4006" s="4">
        <f>SalesData[[#This Row],[Profit]]/SalesData[[#This Row],[Sales]]</f>
        <v>-0.1875</v>
      </c>
      <c r="J4006">
        <f>YEAR(SalesData[[#This Row],[Order Date]])</f>
        <v>2014</v>
      </c>
      <c r="K4006" t="str">
        <f>TEXT(SalesData[[#This Row],[Order Date]],"mmm")</f>
        <v>Dec</v>
      </c>
      <c r="L4006">
        <f>MONTH(SalesData[[#This Row],[Order Date]])</f>
        <v>12</v>
      </c>
      <c r="M4006">
        <f>SalesData[[#This Row],[Sales]]/SalesData[[#This Row],[Quantity]]</f>
        <v>2.7759999999999998</v>
      </c>
      <c r="N4006" t="str">
        <f>IF(SalesData[[#This Row],[Profit]]&gt;0,"Profit","Loss")</f>
        <v>Loss</v>
      </c>
    </row>
    <row r="4007" spans="1:14" x14ac:dyDescent="0.3">
      <c r="A4007" t="s">
        <v>1002</v>
      </c>
      <c r="B4007" s="3">
        <v>41981</v>
      </c>
      <c r="C4007" t="s">
        <v>46</v>
      </c>
      <c r="D4007" t="s">
        <v>21</v>
      </c>
      <c r="E4007" t="s">
        <v>1006</v>
      </c>
      <c r="F4007" s="1">
        <v>2.952</v>
      </c>
      <c r="G4007">
        <v>1</v>
      </c>
      <c r="H4007" s="1">
        <v>0.99629999999999996</v>
      </c>
      <c r="I4007" s="4">
        <f>SalesData[[#This Row],[Profit]]/SalesData[[#This Row],[Sales]]</f>
        <v>0.33749999999999997</v>
      </c>
      <c r="J4007">
        <f>YEAR(SalesData[[#This Row],[Order Date]])</f>
        <v>2014</v>
      </c>
      <c r="K4007" t="str">
        <f>TEXT(SalesData[[#This Row],[Order Date]],"mmm")</f>
        <v>Dec</v>
      </c>
      <c r="L4007">
        <f>MONTH(SalesData[[#This Row],[Order Date]])</f>
        <v>12</v>
      </c>
      <c r="M4007">
        <f>SalesData[[#This Row],[Sales]]/SalesData[[#This Row],[Quantity]]</f>
        <v>2.952</v>
      </c>
      <c r="N4007" t="str">
        <f>IF(SalesData[[#This Row],[Profit]]&gt;0,"Profit","Loss")</f>
        <v>Profit</v>
      </c>
    </row>
    <row r="4008" spans="1:14" x14ac:dyDescent="0.3">
      <c r="A4008" t="s">
        <v>1007</v>
      </c>
      <c r="B4008" s="3">
        <v>41981</v>
      </c>
      <c r="C4008" t="s">
        <v>46</v>
      </c>
      <c r="D4008" t="s">
        <v>21</v>
      </c>
      <c r="E4008" t="s">
        <v>1008</v>
      </c>
      <c r="F4008" s="1">
        <v>14.04</v>
      </c>
      <c r="G4008">
        <v>3</v>
      </c>
      <c r="H4008" s="1">
        <v>6.7392000000000003</v>
      </c>
      <c r="I4008" s="4">
        <f>SalesData[[#This Row],[Profit]]/SalesData[[#This Row],[Sales]]</f>
        <v>0.48000000000000004</v>
      </c>
      <c r="J4008">
        <f>YEAR(SalesData[[#This Row],[Order Date]])</f>
        <v>2014</v>
      </c>
      <c r="K4008" t="str">
        <f>TEXT(SalesData[[#This Row],[Order Date]],"mmm")</f>
        <v>Dec</v>
      </c>
      <c r="L4008">
        <f>MONTH(SalesData[[#This Row],[Order Date]])</f>
        <v>12</v>
      </c>
      <c r="M4008">
        <f>SalesData[[#This Row],[Sales]]/SalesData[[#This Row],[Quantity]]</f>
        <v>4.68</v>
      </c>
      <c r="N4008" t="str">
        <f>IF(SalesData[[#This Row],[Profit]]&gt;0,"Profit","Loss")</f>
        <v>Profit</v>
      </c>
    </row>
    <row r="4009" spans="1:14" x14ac:dyDescent="0.3">
      <c r="A4009" t="s">
        <v>1007</v>
      </c>
      <c r="B4009" s="3">
        <v>41981</v>
      </c>
      <c r="C4009" t="s">
        <v>46</v>
      </c>
      <c r="D4009" t="s">
        <v>10</v>
      </c>
      <c r="E4009" t="s">
        <v>194</v>
      </c>
      <c r="F4009" s="1">
        <v>272.61</v>
      </c>
      <c r="G4009">
        <v>13</v>
      </c>
      <c r="H4009" s="1">
        <v>98.139600000000002</v>
      </c>
      <c r="I4009" s="4">
        <f>SalesData[[#This Row],[Profit]]/SalesData[[#This Row],[Sales]]</f>
        <v>0.36</v>
      </c>
      <c r="J4009">
        <f>YEAR(SalesData[[#This Row],[Order Date]])</f>
        <v>2014</v>
      </c>
      <c r="K4009" t="str">
        <f>TEXT(SalesData[[#This Row],[Order Date]],"mmm")</f>
        <v>Dec</v>
      </c>
      <c r="L4009">
        <f>MONTH(SalesData[[#This Row],[Order Date]])</f>
        <v>12</v>
      </c>
      <c r="M4009">
        <f>SalesData[[#This Row],[Sales]]/SalesData[[#This Row],[Quantity]]</f>
        <v>20.970000000000002</v>
      </c>
      <c r="N4009" t="str">
        <f>IF(SalesData[[#This Row],[Profit]]&gt;0,"Profit","Loss")</f>
        <v>Profit</v>
      </c>
    </row>
    <row r="4010" spans="1:14" x14ac:dyDescent="0.3">
      <c r="A4010" t="s">
        <v>1009</v>
      </c>
      <c r="B4010" s="3">
        <v>41982</v>
      </c>
      <c r="C4010" t="s">
        <v>17</v>
      </c>
      <c r="D4010" t="s">
        <v>10</v>
      </c>
      <c r="E4010" t="s">
        <v>696</v>
      </c>
      <c r="F4010" s="1">
        <v>69.989999999999995</v>
      </c>
      <c r="G4010">
        <v>1</v>
      </c>
      <c r="H4010" s="1">
        <v>30.095700000000001</v>
      </c>
      <c r="I4010" s="4">
        <f>SalesData[[#This Row],[Profit]]/SalesData[[#This Row],[Sales]]</f>
        <v>0.43000000000000005</v>
      </c>
      <c r="J4010">
        <f>YEAR(SalesData[[#This Row],[Order Date]])</f>
        <v>2014</v>
      </c>
      <c r="K4010" t="str">
        <f>TEXT(SalesData[[#This Row],[Order Date]],"mmm")</f>
        <v>Dec</v>
      </c>
      <c r="L4010">
        <f>MONTH(SalesData[[#This Row],[Order Date]])</f>
        <v>12</v>
      </c>
      <c r="M4010">
        <f>SalesData[[#This Row],[Sales]]/SalesData[[#This Row],[Quantity]]</f>
        <v>69.989999999999995</v>
      </c>
      <c r="N4010" t="str">
        <f>IF(SalesData[[#This Row],[Profit]]&gt;0,"Profit","Loss")</f>
        <v>Profit</v>
      </c>
    </row>
    <row r="4011" spans="1:14" x14ac:dyDescent="0.3">
      <c r="A4011" t="s">
        <v>1010</v>
      </c>
      <c r="B4011" s="3">
        <v>41982</v>
      </c>
      <c r="C4011" t="s">
        <v>46</v>
      </c>
      <c r="D4011" t="s">
        <v>21</v>
      </c>
      <c r="E4011" t="s">
        <v>1011</v>
      </c>
      <c r="F4011" s="1">
        <v>10.368</v>
      </c>
      <c r="G4011">
        <v>2</v>
      </c>
      <c r="H4011" s="1">
        <v>3.6288</v>
      </c>
      <c r="I4011" s="4">
        <f>SalesData[[#This Row],[Profit]]/SalesData[[#This Row],[Sales]]</f>
        <v>0.35</v>
      </c>
      <c r="J4011">
        <f>YEAR(SalesData[[#This Row],[Order Date]])</f>
        <v>2014</v>
      </c>
      <c r="K4011" t="str">
        <f>TEXT(SalesData[[#This Row],[Order Date]],"mmm")</f>
        <v>Dec</v>
      </c>
      <c r="L4011">
        <f>MONTH(SalesData[[#This Row],[Order Date]])</f>
        <v>12</v>
      </c>
      <c r="M4011">
        <f>SalesData[[#This Row],[Sales]]/SalesData[[#This Row],[Quantity]]</f>
        <v>5.1840000000000002</v>
      </c>
      <c r="N4011" t="str">
        <f>IF(SalesData[[#This Row],[Profit]]&gt;0,"Profit","Loss")</f>
        <v>Profit</v>
      </c>
    </row>
    <row r="4012" spans="1:14" x14ac:dyDescent="0.3">
      <c r="A4012" t="s">
        <v>1010</v>
      </c>
      <c r="B4012" s="3">
        <v>41982</v>
      </c>
      <c r="C4012" t="s">
        <v>46</v>
      </c>
      <c r="D4012" t="s">
        <v>21</v>
      </c>
      <c r="E4012" t="s">
        <v>482</v>
      </c>
      <c r="F4012" s="1">
        <v>166.84</v>
      </c>
      <c r="G4012">
        <v>5</v>
      </c>
      <c r="H4012" s="1">
        <v>18.769500000000001</v>
      </c>
      <c r="I4012" s="4">
        <f>SalesData[[#This Row],[Profit]]/SalesData[[#This Row],[Sales]]</f>
        <v>0.1125</v>
      </c>
      <c r="J4012">
        <f>YEAR(SalesData[[#This Row],[Order Date]])</f>
        <v>2014</v>
      </c>
      <c r="K4012" t="str">
        <f>TEXT(SalesData[[#This Row],[Order Date]],"mmm")</f>
        <v>Dec</v>
      </c>
      <c r="L4012">
        <f>MONTH(SalesData[[#This Row],[Order Date]])</f>
        <v>12</v>
      </c>
      <c r="M4012">
        <f>SalesData[[#This Row],[Sales]]/SalesData[[#This Row],[Quantity]]</f>
        <v>33.368000000000002</v>
      </c>
      <c r="N4012" t="str">
        <f>IF(SalesData[[#This Row],[Profit]]&gt;0,"Profit","Loss")</f>
        <v>Profit</v>
      </c>
    </row>
    <row r="4013" spans="1:14" x14ac:dyDescent="0.3">
      <c r="A4013" t="s">
        <v>1010</v>
      </c>
      <c r="B4013" s="3">
        <v>41982</v>
      </c>
      <c r="C4013" t="s">
        <v>46</v>
      </c>
      <c r="D4013" t="s">
        <v>10</v>
      </c>
      <c r="E4013" t="s">
        <v>1012</v>
      </c>
      <c r="F4013" s="1">
        <v>15.215999999999999</v>
      </c>
      <c r="G4013">
        <v>1</v>
      </c>
      <c r="H4013" s="1">
        <v>2.2824</v>
      </c>
      <c r="I4013" s="4">
        <f>SalesData[[#This Row],[Profit]]/SalesData[[#This Row],[Sales]]</f>
        <v>0.15</v>
      </c>
      <c r="J4013">
        <f>YEAR(SalesData[[#This Row],[Order Date]])</f>
        <v>2014</v>
      </c>
      <c r="K4013" t="str">
        <f>TEXT(SalesData[[#This Row],[Order Date]],"mmm")</f>
        <v>Dec</v>
      </c>
      <c r="L4013">
        <f>MONTH(SalesData[[#This Row],[Order Date]])</f>
        <v>12</v>
      </c>
      <c r="M4013">
        <f>SalesData[[#This Row],[Sales]]/SalesData[[#This Row],[Quantity]]</f>
        <v>15.215999999999999</v>
      </c>
      <c r="N4013" t="str">
        <f>IF(SalesData[[#This Row],[Profit]]&gt;0,"Profit","Loss")</f>
        <v>Profit</v>
      </c>
    </row>
    <row r="4014" spans="1:14" x14ac:dyDescent="0.3">
      <c r="A4014" t="s">
        <v>1013</v>
      </c>
      <c r="B4014" s="3">
        <v>41982</v>
      </c>
      <c r="C4014" t="s">
        <v>9</v>
      </c>
      <c r="D4014" t="s">
        <v>21</v>
      </c>
      <c r="E4014" t="s">
        <v>1014</v>
      </c>
      <c r="F4014" s="1">
        <v>5.18</v>
      </c>
      <c r="G4014">
        <v>5</v>
      </c>
      <c r="H4014" s="1">
        <v>-8.0289999999999999</v>
      </c>
      <c r="I4014" s="4">
        <f>SalesData[[#This Row],[Profit]]/SalesData[[#This Row],[Sales]]</f>
        <v>-1.55</v>
      </c>
      <c r="J4014">
        <f>YEAR(SalesData[[#This Row],[Order Date]])</f>
        <v>2014</v>
      </c>
      <c r="K4014" t="str">
        <f>TEXT(SalesData[[#This Row],[Order Date]],"mmm")</f>
        <v>Dec</v>
      </c>
      <c r="L4014">
        <f>MONTH(SalesData[[#This Row],[Order Date]])</f>
        <v>12</v>
      </c>
      <c r="M4014">
        <f>SalesData[[#This Row],[Sales]]/SalesData[[#This Row],[Quantity]]</f>
        <v>1.036</v>
      </c>
      <c r="N4014" t="str">
        <f>IF(SalesData[[#This Row],[Profit]]&gt;0,"Profit","Loss")</f>
        <v>Loss</v>
      </c>
    </row>
    <row r="4015" spans="1:14" x14ac:dyDescent="0.3">
      <c r="A4015" t="s">
        <v>1015</v>
      </c>
      <c r="B4015" s="3">
        <v>41982</v>
      </c>
      <c r="C4015" t="s">
        <v>17</v>
      </c>
      <c r="D4015" t="s">
        <v>21</v>
      </c>
      <c r="E4015" t="s">
        <v>854</v>
      </c>
      <c r="F4015" s="1">
        <v>63.923999999999999</v>
      </c>
      <c r="G4015">
        <v>7</v>
      </c>
      <c r="H4015" s="1">
        <v>-46.877600000000001</v>
      </c>
      <c r="I4015" s="4">
        <f>SalesData[[#This Row],[Profit]]/SalesData[[#This Row],[Sales]]</f>
        <v>-0.73333333333333339</v>
      </c>
      <c r="J4015">
        <f>YEAR(SalesData[[#This Row],[Order Date]])</f>
        <v>2014</v>
      </c>
      <c r="K4015" t="str">
        <f>TEXT(SalesData[[#This Row],[Order Date]],"mmm")</f>
        <v>Dec</v>
      </c>
      <c r="L4015">
        <f>MONTH(SalesData[[#This Row],[Order Date]])</f>
        <v>12</v>
      </c>
      <c r="M4015">
        <f>SalesData[[#This Row],[Sales]]/SalesData[[#This Row],[Quantity]]</f>
        <v>9.1319999999999997</v>
      </c>
      <c r="N4015" t="str">
        <f>IF(SalesData[[#This Row],[Profit]]&gt;0,"Profit","Loss")</f>
        <v>Loss</v>
      </c>
    </row>
    <row r="4016" spans="1:14" x14ac:dyDescent="0.3">
      <c r="A4016" t="s">
        <v>1016</v>
      </c>
      <c r="B4016" s="3">
        <v>41982</v>
      </c>
      <c r="C4016" t="s">
        <v>9</v>
      </c>
      <c r="D4016" t="s">
        <v>21</v>
      </c>
      <c r="E4016" t="s">
        <v>279</v>
      </c>
      <c r="F4016" s="1">
        <v>357.93</v>
      </c>
      <c r="G4016">
        <v>3</v>
      </c>
      <c r="H4016" s="1">
        <v>7.1585999999999999</v>
      </c>
      <c r="I4016" s="4">
        <f>SalesData[[#This Row],[Profit]]/SalesData[[#This Row],[Sales]]</f>
        <v>0.02</v>
      </c>
      <c r="J4016">
        <f>YEAR(SalesData[[#This Row],[Order Date]])</f>
        <v>2014</v>
      </c>
      <c r="K4016" t="str">
        <f>TEXT(SalesData[[#This Row],[Order Date]],"mmm")</f>
        <v>Dec</v>
      </c>
      <c r="L4016">
        <f>MONTH(SalesData[[#This Row],[Order Date]])</f>
        <v>12</v>
      </c>
      <c r="M4016">
        <f>SalesData[[#This Row],[Sales]]/SalesData[[#This Row],[Quantity]]</f>
        <v>119.31</v>
      </c>
      <c r="N4016" t="str">
        <f>IF(SalesData[[#This Row],[Profit]]&gt;0,"Profit","Loss")</f>
        <v>Profit</v>
      </c>
    </row>
    <row r="4017" spans="1:14" x14ac:dyDescent="0.3">
      <c r="A4017" t="s">
        <v>1016</v>
      </c>
      <c r="B4017" s="3">
        <v>41982</v>
      </c>
      <c r="C4017" t="s">
        <v>9</v>
      </c>
      <c r="D4017" t="s">
        <v>10</v>
      </c>
      <c r="E4017" t="s">
        <v>1017</v>
      </c>
      <c r="F4017" s="1">
        <v>57.4</v>
      </c>
      <c r="G4017">
        <v>5</v>
      </c>
      <c r="H4017" s="1">
        <v>10.906000000000001</v>
      </c>
      <c r="I4017" s="4">
        <f>SalesData[[#This Row],[Profit]]/SalesData[[#This Row],[Sales]]</f>
        <v>0.19</v>
      </c>
      <c r="J4017">
        <f>YEAR(SalesData[[#This Row],[Order Date]])</f>
        <v>2014</v>
      </c>
      <c r="K4017" t="str">
        <f>TEXT(SalesData[[#This Row],[Order Date]],"mmm")</f>
        <v>Dec</v>
      </c>
      <c r="L4017">
        <f>MONTH(SalesData[[#This Row],[Order Date]])</f>
        <v>12</v>
      </c>
      <c r="M4017">
        <f>SalesData[[#This Row],[Sales]]/SalesData[[#This Row],[Quantity]]</f>
        <v>11.48</v>
      </c>
      <c r="N4017" t="str">
        <f>IF(SalesData[[#This Row],[Profit]]&gt;0,"Profit","Loss")</f>
        <v>Profit</v>
      </c>
    </row>
    <row r="4018" spans="1:14" x14ac:dyDescent="0.3">
      <c r="A4018" t="s">
        <v>1016</v>
      </c>
      <c r="B4018" s="3">
        <v>41982</v>
      </c>
      <c r="C4018" t="s">
        <v>9</v>
      </c>
      <c r="D4018" t="s">
        <v>21</v>
      </c>
      <c r="E4018" t="s">
        <v>1018</v>
      </c>
      <c r="F4018" s="1">
        <v>331.96</v>
      </c>
      <c r="G4018">
        <v>2</v>
      </c>
      <c r="H4018" s="1">
        <v>149.38200000000001</v>
      </c>
      <c r="I4018" s="4">
        <f>SalesData[[#This Row],[Profit]]/SalesData[[#This Row],[Sales]]</f>
        <v>0.45000000000000007</v>
      </c>
      <c r="J4018">
        <f>YEAR(SalesData[[#This Row],[Order Date]])</f>
        <v>2014</v>
      </c>
      <c r="K4018" t="str">
        <f>TEXT(SalesData[[#This Row],[Order Date]],"mmm")</f>
        <v>Dec</v>
      </c>
      <c r="L4018">
        <f>MONTH(SalesData[[#This Row],[Order Date]])</f>
        <v>12</v>
      </c>
      <c r="M4018">
        <f>SalesData[[#This Row],[Sales]]/SalesData[[#This Row],[Quantity]]</f>
        <v>165.98</v>
      </c>
      <c r="N4018" t="str">
        <f>IF(SalesData[[#This Row],[Profit]]&gt;0,"Profit","Loss")</f>
        <v>Profit</v>
      </c>
    </row>
    <row r="4019" spans="1:14" x14ac:dyDescent="0.3">
      <c r="A4019" t="s">
        <v>1016</v>
      </c>
      <c r="B4019" s="3">
        <v>41982</v>
      </c>
      <c r="C4019" t="s">
        <v>9</v>
      </c>
      <c r="D4019" t="s">
        <v>14</v>
      </c>
      <c r="E4019" t="s">
        <v>1019</v>
      </c>
      <c r="F4019" s="1">
        <v>40.56</v>
      </c>
      <c r="G4019">
        <v>2</v>
      </c>
      <c r="H4019" s="1">
        <v>12.979200000000001</v>
      </c>
      <c r="I4019" s="4">
        <f>SalesData[[#This Row],[Profit]]/SalesData[[#This Row],[Sales]]</f>
        <v>0.32</v>
      </c>
      <c r="J4019">
        <f>YEAR(SalesData[[#This Row],[Order Date]])</f>
        <v>2014</v>
      </c>
      <c r="K4019" t="str">
        <f>TEXT(SalesData[[#This Row],[Order Date]],"mmm")</f>
        <v>Dec</v>
      </c>
      <c r="L4019">
        <f>MONTH(SalesData[[#This Row],[Order Date]])</f>
        <v>12</v>
      </c>
      <c r="M4019">
        <f>SalesData[[#This Row],[Sales]]/SalesData[[#This Row],[Quantity]]</f>
        <v>20.28</v>
      </c>
      <c r="N4019" t="str">
        <f>IF(SalesData[[#This Row],[Profit]]&gt;0,"Profit","Loss")</f>
        <v>Profit</v>
      </c>
    </row>
    <row r="4020" spans="1:14" x14ac:dyDescent="0.3">
      <c r="A4020" t="s">
        <v>1020</v>
      </c>
      <c r="B4020" s="3">
        <v>41982</v>
      </c>
      <c r="C4020" t="s">
        <v>17</v>
      </c>
      <c r="D4020" t="s">
        <v>14</v>
      </c>
      <c r="E4020" t="s">
        <v>1021</v>
      </c>
      <c r="F4020" s="1">
        <v>3785.2919999999999</v>
      </c>
      <c r="G4020">
        <v>6</v>
      </c>
      <c r="H4020" s="1">
        <v>420.58800000000002</v>
      </c>
      <c r="I4020" s="4">
        <f>SalesData[[#This Row],[Profit]]/SalesData[[#This Row],[Sales]]</f>
        <v>0.11111111111111112</v>
      </c>
      <c r="J4020">
        <f>YEAR(SalesData[[#This Row],[Order Date]])</f>
        <v>2014</v>
      </c>
      <c r="K4020" t="str">
        <f>TEXT(SalesData[[#This Row],[Order Date]],"mmm")</f>
        <v>Dec</v>
      </c>
      <c r="L4020">
        <f>MONTH(SalesData[[#This Row],[Order Date]])</f>
        <v>12</v>
      </c>
      <c r="M4020">
        <f>SalesData[[#This Row],[Sales]]/SalesData[[#This Row],[Quantity]]</f>
        <v>630.88199999999995</v>
      </c>
      <c r="N4020" t="str">
        <f>IF(SalesData[[#This Row],[Profit]]&gt;0,"Profit","Loss")</f>
        <v>Profit</v>
      </c>
    </row>
    <row r="4021" spans="1:14" x14ac:dyDescent="0.3">
      <c r="A4021" t="s">
        <v>1022</v>
      </c>
      <c r="B4021" s="3">
        <v>41983</v>
      </c>
      <c r="C4021" t="s">
        <v>13</v>
      </c>
      <c r="D4021" t="s">
        <v>21</v>
      </c>
      <c r="E4021" t="s">
        <v>1023</v>
      </c>
      <c r="F4021" s="1">
        <v>14.9</v>
      </c>
      <c r="G4021">
        <v>5</v>
      </c>
      <c r="H4021" s="1">
        <v>4.1719999999999997</v>
      </c>
      <c r="I4021" s="4">
        <f>SalesData[[#This Row],[Profit]]/SalesData[[#This Row],[Sales]]</f>
        <v>0.27999999999999997</v>
      </c>
      <c r="J4021">
        <f>YEAR(SalesData[[#This Row],[Order Date]])</f>
        <v>2014</v>
      </c>
      <c r="K4021" t="str">
        <f>TEXT(SalesData[[#This Row],[Order Date]],"mmm")</f>
        <v>Dec</v>
      </c>
      <c r="L4021">
        <f>MONTH(SalesData[[#This Row],[Order Date]])</f>
        <v>12</v>
      </c>
      <c r="M4021">
        <f>SalesData[[#This Row],[Sales]]/SalesData[[#This Row],[Quantity]]</f>
        <v>2.98</v>
      </c>
      <c r="N4021" t="str">
        <f>IF(SalesData[[#This Row],[Profit]]&gt;0,"Profit","Loss")</f>
        <v>Profit</v>
      </c>
    </row>
    <row r="4022" spans="1:14" x14ac:dyDescent="0.3">
      <c r="A4022" t="s">
        <v>1022</v>
      </c>
      <c r="B4022" s="3">
        <v>41983</v>
      </c>
      <c r="C4022" t="s">
        <v>13</v>
      </c>
      <c r="D4022" t="s">
        <v>21</v>
      </c>
      <c r="E4022" t="s">
        <v>1024</v>
      </c>
      <c r="F4022" s="1">
        <v>21.39</v>
      </c>
      <c r="G4022">
        <v>1</v>
      </c>
      <c r="H4022" s="1">
        <v>6.2031000000000001</v>
      </c>
      <c r="I4022" s="4">
        <f>SalesData[[#This Row],[Profit]]/SalesData[[#This Row],[Sales]]</f>
        <v>0.28999999999999998</v>
      </c>
      <c r="J4022">
        <f>YEAR(SalesData[[#This Row],[Order Date]])</f>
        <v>2014</v>
      </c>
      <c r="K4022" t="str">
        <f>TEXT(SalesData[[#This Row],[Order Date]],"mmm")</f>
        <v>Dec</v>
      </c>
      <c r="L4022">
        <f>MONTH(SalesData[[#This Row],[Order Date]])</f>
        <v>12</v>
      </c>
      <c r="M4022">
        <f>SalesData[[#This Row],[Sales]]/SalesData[[#This Row],[Quantity]]</f>
        <v>21.39</v>
      </c>
      <c r="N4022" t="str">
        <f>IF(SalesData[[#This Row],[Profit]]&gt;0,"Profit","Loss")</f>
        <v>Profit</v>
      </c>
    </row>
    <row r="4023" spans="1:14" x14ac:dyDescent="0.3">
      <c r="A4023" t="s">
        <v>1025</v>
      </c>
      <c r="B4023" s="3">
        <v>41983</v>
      </c>
      <c r="C4023" t="s">
        <v>9</v>
      </c>
      <c r="D4023" t="s">
        <v>21</v>
      </c>
      <c r="E4023" t="s">
        <v>1026</v>
      </c>
      <c r="F4023" s="1">
        <v>22.24</v>
      </c>
      <c r="G4023">
        <v>2</v>
      </c>
      <c r="H4023" s="1">
        <v>2.5019999999999998</v>
      </c>
      <c r="I4023" s="4">
        <f>SalesData[[#This Row],[Profit]]/SalesData[[#This Row],[Sales]]</f>
        <v>0.1125</v>
      </c>
      <c r="J4023">
        <f>YEAR(SalesData[[#This Row],[Order Date]])</f>
        <v>2014</v>
      </c>
      <c r="K4023" t="str">
        <f>TEXT(SalesData[[#This Row],[Order Date]],"mmm")</f>
        <v>Dec</v>
      </c>
      <c r="L4023">
        <f>MONTH(SalesData[[#This Row],[Order Date]])</f>
        <v>12</v>
      </c>
      <c r="M4023">
        <f>SalesData[[#This Row],[Sales]]/SalesData[[#This Row],[Quantity]]</f>
        <v>11.12</v>
      </c>
      <c r="N4023" t="str">
        <f>IF(SalesData[[#This Row],[Profit]]&gt;0,"Profit","Loss")</f>
        <v>Profit</v>
      </c>
    </row>
    <row r="4024" spans="1:14" x14ac:dyDescent="0.3">
      <c r="A4024" t="s">
        <v>1027</v>
      </c>
      <c r="B4024" s="3">
        <v>41984</v>
      </c>
      <c r="C4024" t="s">
        <v>9</v>
      </c>
      <c r="D4024" t="s">
        <v>21</v>
      </c>
      <c r="E4024" t="s">
        <v>1028</v>
      </c>
      <c r="F4024" s="1">
        <v>49.631999999999998</v>
      </c>
      <c r="G4024">
        <v>4</v>
      </c>
      <c r="H4024" s="1">
        <v>4.9631999999999996</v>
      </c>
      <c r="I4024" s="4">
        <f>SalesData[[#This Row],[Profit]]/SalesData[[#This Row],[Sales]]</f>
        <v>9.9999999999999992E-2</v>
      </c>
      <c r="J4024">
        <f>YEAR(SalesData[[#This Row],[Order Date]])</f>
        <v>2014</v>
      </c>
      <c r="K4024" t="str">
        <f>TEXT(SalesData[[#This Row],[Order Date]],"mmm")</f>
        <v>Dec</v>
      </c>
      <c r="L4024">
        <f>MONTH(SalesData[[#This Row],[Order Date]])</f>
        <v>12</v>
      </c>
      <c r="M4024">
        <f>SalesData[[#This Row],[Sales]]/SalesData[[#This Row],[Quantity]]</f>
        <v>12.407999999999999</v>
      </c>
      <c r="N4024" t="str">
        <f>IF(SalesData[[#This Row],[Profit]]&gt;0,"Profit","Loss")</f>
        <v>Profit</v>
      </c>
    </row>
    <row r="4025" spans="1:14" x14ac:dyDescent="0.3">
      <c r="A4025" t="s">
        <v>1029</v>
      </c>
      <c r="B4025" s="3">
        <v>41984</v>
      </c>
      <c r="C4025" t="s">
        <v>13</v>
      </c>
      <c r="D4025" t="s">
        <v>21</v>
      </c>
      <c r="E4025" t="s">
        <v>1030</v>
      </c>
      <c r="F4025" s="1">
        <v>11.96</v>
      </c>
      <c r="G4025">
        <v>2</v>
      </c>
      <c r="H4025" s="1">
        <v>5.8604000000000003</v>
      </c>
      <c r="I4025" s="4">
        <f>SalesData[[#This Row],[Profit]]/SalesData[[#This Row],[Sales]]</f>
        <v>0.49</v>
      </c>
      <c r="J4025">
        <f>YEAR(SalesData[[#This Row],[Order Date]])</f>
        <v>2014</v>
      </c>
      <c r="K4025" t="str">
        <f>TEXT(SalesData[[#This Row],[Order Date]],"mmm")</f>
        <v>Dec</v>
      </c>
      <c r="L4025">
        <f>MONTH(SalesData[[#This Row],[Order Date]])</f>
        <v>12</v>
      </c>
      <c r="M4025">
        <f>SalesData[[#This Row],[Sales]]/SalesData[[#This Row],[Quantity]]</f>
        <v>5.98</v>
      </c>
      <c r="N4025" t="str">
        <f>IF(SalesData[[#This Row],[Profit]]&gt;0,"Profit","Loss")</f>
        <v>Profit</v>
      </c>
    </row>
    <row r="4026" spans="1:14" x14ac:dyDescent="0.3">
      <c r="A4026" t="s">
        <v>1029</v>
      </c>
      <c r="B4026" s="3">
        <v>41984</v>
      </c>
      <c r="C4026" t="s">
        <v>13</v>
      </c>
      <c r="D4026" t="s">
        <v>14</v>
      </c>
      <c r="E4026" t="s">
        <v>1031</v>
      </c>
      <c r="F4026" s="1">
        <v>629.06399999999996</v>
      </c>
      <c r="G4026">
        <v>3</v>
      </c>
      <c r="H4026" s="1">
        <v>31.453199999999999</v>
      </c>
      <c r="I4026" s="4">
        <f>SalesData[[#This Row],[Profit]]/SalesData[[#This Row],[Sales]]</f>
        <v>0.05</v>
      </c>
      <c r="J4026">
        <f>YEAR(SalesData[[#This Row],[Order Date]])</f>
        <v>2014</v>
      </c>
      <c r="K4026" t="str">
        <f>TEXT(SalesData[[#This Row],[Order Date]],"mmm")</f>
        <v>Dec</v>
      </c>
      <c r="L4026">
        <f>MONTH(SalesData[[#This Row],[Order Date]])</f>
        <v>12</v>
      </c>
      <c r="M4026">
        <f>SalesData[[#This Row],[Sales]]/SalesData[[#This Row],[Quantity]]</f>
        <v>209.68799999999999</v>
      </c>
      <c r="N4026" t="str">
        <f>IF(SalesData[[#This Row],[Profit]]&gt;0,"Profit","Loss")</f>
        <v>Profit</v>
      </c>
    </row>
    <row r="4027" spans="1:14" x14ac:dyDescent="0.3">
      <c r="A4027" t="s">
        <v>1032</v>
      </c>
      <c r="B4027" s="3">
        <v>41984</v>
      </c>
      <c r="C4027" t="s">
        <v>46</v>
      </c>
      <c r="D4027" t="s">
        <v>21</v>
      </c>
      <c r="E4027" t="s">
        <v>408</v>
      </c>
      <c r="F4027" s="1">
        <v>7.8719999999999999</v>
      </c>
      <c r="G4027">
        <v>3</v>
      </c>
      <c r="H4027" s="1">
        <v>0.88560000000000005</v>
      </c>
      <c r="I4027" s="4">
        <f>SalesData[[#This Row],[Profit]]/SalesData[[#This Row],[Sales]]</f>
        <v>0.1125</v>
      </c>
      <c r="J4027">
        <f>YEAR(SalesData[[#This Row],[Order Date]])</f>
        <v>2014</v>
      </c>
      <c r="K4027" t="str">
        <f>TEXT(SalesData[[#This Row],[Order Date]],"mmm")</f>
        <v>Dec</v>
      </c>
      <c r="L4027">
        <f>MONTH(SalesData[[#This Row],[Order Date]])</f>
        <v>12</v>
      </c>
      <c r="M4027">
        <f>SalesData[[#This Row],[Sales]]/SalesData[[#This Row],[Quantity]]</f>
        <v>2.6240000000000001</v>
      </c>
      <c r="N4027" t="str">
        <f>IF(SalesData[[#This Row],[Profit]]&gt;0,"Profit","Loss")</f>
        <v>Profit</v>
      </c>
    </row>
    <row r="4028" spans="1:14" x14ac:dyDescent="0.3">
      <c r="A4028" t="s">
        <v>1033</v>
      </c>
      <c r="B4028" s="3">
        <v>41984</v>
      </c>
      <c r="C4028" t="s">
        <v>9</v>
      </c>
      <c r="D4028" t="s">
        <v>21</v>
      </c>
      <c r="E4028" t="s">
        <v>1034</v>
      </c>
      <c r="F4028" s="1">
        <v>2.6720000000000002</v>
      </c>
      <c r="G4028">
        <v>1</v>
      </c>
      <c r="H4028" s="1">
        <v>0.33400000000000002</v>
      </c>
      <c r="I4028" s="4">
        <f>SalesData[[#This Row],[Profit]]/SalesData[[#This Row],[Sales]]</f>
        <v>0.125</v>
      </c>
      <c r="J4028">
        <f>YEAR(SalesData[[#This Row],[Order Date]])</f>
        <v>2014</v>
      </c>
      <c r="K4028" t="str">
        <f>TEXT(SalesData[[#This Row],[Order Date]],"mmm")</f>
        <v>Dec</v>
      </c>
      <c r="L4028">
        <f>MONTH(SalesData[[#This Row],[Order Date]])</f>
        <v>12</v>
      </c>
      <c r="M4028">
        <f>SalesData[[#This Row],[Sales]]/SalesData[[#This Row],[Quantity]]</f>
        <v>2.6720000000000002</v>
      </c>
      <c r="N4028" t="str">
        <f>IF(SalesData[[#This Row],[Profit]]&gt;0,"Profit","Loss")</f>
        <v>Profit</v>
      </c>
    </row>
    <row r="4029" spans="1:14" x14ac:dyDescent="0.3">
      <c r="A4029" t="s">
        <v>1033</v>
      </c>
      <c r="B4029" s="3">
        <v>41984</v>
      </c>
      <c r="C4029" t="s">
        <v>9</v>
      </c>
      <c r="D4029" t="s">
        <v>21</v>
      </c>
      <c r="E4029" t="s">
        <v>722</v>
      </c>
      <c r="F4029" s="1">
        <v>16.655999999999999</v>
      </c>
      <c r="G4029">
        <v>6</v>
      </c>
      <c r="H4029" s="1">
        <v>-3.1230000000000002</v>
      </c>
      <c r="I4029" s="4">
        <f>SalesData[[#This Row],[Profit]]/SalesData[[#This Row],[Sales]]</f>
        <v>-0.18750000000000003</v>
      </c>
      <c r="J4029">
        <f>YEAR(SalesData[[#This Row],[Order Date]])</f>
        <v>2014</v>
      </c>
      <c r="K4029" t="str">
        <f>TEXT(SalesData[[#This Row],[Order Date]],"mmm")</f>
        <v>Dec</v>
      </c>
      <c r="L4029">
        <f>MONTH(SalesData[[#This Row],[Order Date]])</f>
        <v>12</v>
      </c>
      <c r="M4029">
        <f>SalesData[[#This Row],[Sales]]/SalesData[[#This Row],[Quantity]]</f>
        <v>2.7759999999999998</v>
      </c>
      <c r="N4029" t="str">
        <f>IF(SalesData[[#This Row],[Profit]]&gt;0,"Profit","Loss")</f>
        <v>Loss</v>
      </c>
    </row>
    <row r="4030" spans="1:14" x14ac:dyDescent="0.3">
      <c r="A4030" t="s">
        <v>1033</v>
      </c>
      <c r="B4030" s="3">
        <v>41984</v>
      </c>
      <c r="C4030" t="s">
        <v>9</v>
      </c>
      <c r="D4030" t="s">
        <v>10</v>
      </c>
      <c r="E4030" t="s">
        <v>1035</v>
      </c>
      <c r="F4030" s="1">
        <v>79.512</v>
      </c>
      <c r="G4030">
        <v>3</v>
      </c>
      <c r="H4030" s="1">
        <v>20.8719</v>
      </c>
      <c r="I4030" s="4">
        <f>SalesData[[#This Row],[Profit]]/SalesData[[#This Row],[Sales]]</f>
        <v>0.26250000000000001</v>
      </c>
      <c r="J4030">
        <f>YEAR(SalesData[[#This Row],[Order Date]])</f>
        <v>2014</v>
      </c>
      <c r="K4030" t="str">
        <f>TEXT(SalesData[[#This Row],[Order Date]],"mmm")</f>
        <v>Dec</v>
      </c>
      <c r="L4030">
        <f>MONTH(SalesData[[#This Row],[Order Date]])</f>
        <v>12</v>
      </c>
      <c r="M4030">
        <f>SalesData[[#This Row],[Sales]]/SalesData[[#This Row],[Quantity]]</f>
        <v>26.504000000000001</v>
      </c>
      <c r="N4030" t="str">
        <f>IF(SalesData[[#This Row],[Profit]]&gt;0,"Profit","Loss")</f>
        <v>Profit</v>
      </c>
    </row>
    <row r="4031" spans="1:14" x14ac:dyDescent="0.3">
      <c r="A4031" t="s">
        <v>1033</v>
      </c>
      <c r="B4031" s="3">
        <v>41984</v>
      </c>
      <c r="C4031" t="s">
        <v>9</v>
      </c>
      <c r="D4031" t="s">
        <v>21</v>
      </c>
      <c r="E4031" t="s">
        <v>70</v>
      </c>
      <c r="F4031" s="1">
        <v>36.287999999999997</v>
      </c>
      <c r="G4031">
        <v>7</v>
      </c>
      <c r="H4031" s="1">
        <v>12.700799999999999</v>
      </c>
      <c r="I4031" s="4">
        <f>SalesData[[#This Row],[Profit]]/SalesData[[#This Row],[Sales]]</f>
        <v>0.35000000000000003</v>
      </c>
      <c r="J4031">
        <f>YEAR(SalesData[[#This Row],[Order Date]])</f>
        <v>2014</v>
      </c>
      <c r="K4031" t="str">
        <f>TEXT(SalesData[[#This Row],[Order Date]],"mmm")</f>
        <v>Dec</v>
      </c>
      <c r="L4031">
        <f>MONTH(SalesData[[#This Row],[Order Date]])</f>
        <v>12</v>
      </c>
      <c r="M4031">
        <f>SalesData[[#This Row],[Sales]]/SalesData[[#This Row],[Quantity]]</f>
        <v>5.1839999999999993</v>
      </c>
      <c r="N4031" t="str">
        <f>IF(SalesData[[#This Row],[Profit]]&gt;0,"Profit","Loss")</f>
        <v>Profit</v>
      </c>
    </row>
    <row r="4032" spans="1:14" x14ac:dyDescent="0.3">
      <c r="A4032" t="s">
        <v>1033</v>
      </c>
      <c r="B4032" s="3">
        <v>41984</v>
      </c>
      <c r="C4032" t="s">
        <v>9</v>
      </c>
      <c r="D4032" t="s">
        <v>14</v>
      </c>
      <c r="E4032" t="s">
        <v>830</v>
      </c>
      <c r="F4032" s="1">
        <v>67.993200000000002</v>
      </c>
      <c r="G4032">
        <v>1</v>
      </c>
      <c r="H4032" s="1">
        <v>-12.998699999999999</v>
      </c>
      <c r="I4032" s="4">
        <f>SalesData[[#This Row],[Profit]]/SalesData[[#This Row],[Sales]]</f>
        <v>-0.19117647058823528</v>
      </c>
      <c r="J4032">
        <f>YEAR(SalesData[[#This Row],[Order Date]])</f>
        <v>2014</v>
      </c>
      <c r="K4032" t="str">
        <f>TEXT(SalesData[[#This Row],[Order Date]],"mmm")</f>
        <v>Dec</v>
      </c>
      <c r="L4032">
        <f>MONTH(SalesData[[#This Row],[Order Date]])</f>
        <v>12</v>
      </c>
      <c r="M4032">
        <f>SalesData[[#This Row],[Sales]]/SalesData[[#This Row],[Quantity]]</f>
        <v>67.993200000000002</v>
      </c>
      <c r="N4032" t="str">
        <f>IF(SalesData[[#This Row],[Profit]]&gt;0,"Profit","Loss")</f>
        <v>Loss</v>
      </c>
    </row>
    <row r="4033" spans="1:14" x14ac:dyDescent="0.3">
      <c r="A4033" t="s">
        <v>1036</v>
      </c>
      <c r="B4033" s="3">
        <v>41984</v>
      </c>
      <c r="C4033" t="s">
        <v>9</v>
      </c>
      <c r="D4033" t="s">
        <v>14</v>
      </c>
      <c r="E4033" t="s">
        <v>1037</v>
      </c>
      <c r="F4033" s="1">
        <v>25.128</v>
      </c>
      <c r="G4033">
        <v>3</v>
      </c>
      <c r="H4033" s="1">
        <v>-6.9101999999999997</v>
      </c>
      <c r="I4033" s="4">
        <f>SalesData[[#This Row],[Profit]]/SalesData[[#This Row],[Sales]]</f>
        <v>-0.27499999999999997</v>
      </c>
      <c r="J4033">
        <f>YEAR(SalesData[[#This Row],[Order Date]])</f>
        <v>2014</v>
      </c>
      <c r="K4033" t="str">
        <f>TEXT(SalesData[[#This Row],[Order Date]],"mmm")</f>
        <v>Dec</v>
      </c>
      <c r="L4033">
        <f>MONTH(SalesData[[#This Row],[Order Date]])</f>
        <v>12</v>
      </c>
      <c r="M4033">
        <f>SalesData[[#This Row],[Sales]]/SalesData[[#This Row],[Quantity]]</f>
        <v>8.3759999999999994</v>
      </c>
      <c r="N4033" t="str">
        <f>IF(SalesData[[#This Row],[Profit]]&gt;0,"Profit","Loss")</f>
        <v>Loss</v>
      </c>
    </row>
    <row r="4034" spans="1:14" x14ac:dyDescent="0.3">
      <c r="A4034" t="s">
        <v>1036</v>
      </c>
      <c r="B4034" s="3">
        <v>41984</v>
      </c>
      <c r="C4034" t="s">
        <v>9</v>
      </c>
      <c r="D4034" t="s">
        <v>10</v>
      </c>
      <c r="E4034" t="s">
        <v>1038</v>
      </c>
      <c r="F4034" s="1">
        <v>127.98399999999999</v>
      </c>
      <c r="G4034">
        <v>2</v>
      </c>
      <c r="H4034" s="1">
        <v>25.596800000000002</v>
      </c>
      <c r="I4034" s="4">
        <f>SalesData[[#This Row],[Profit]]/SalesData[[#This Row],[Sales]]</f>
        <v>0.2</v>
      </c>
      <c r="J4034">
        <f>YEAR(SalesData[[#This Row],[Order Date]])</f>
        <v>2014</v>
      </c>
      <c r="K4034" t="str">
        <f>TEXT(SalesData[[#This Row],[Order Date]],"mmm")</f>
        <v>Dec</v>
      </c>
      <c r="L4034">
        <f>MONTH(SalesData[[#This Row],[Order Date]])</f>
        <v>12</v>
      </c>
      <c r="M4034">
        <f>SalesData[[#This Row],[Sales]]/SalesData[[#This Row],[Quantity]]</f>
        <v>63.991999999999997</v>
      </c>
      <c r="N4034" t="str">
        <f>IF(SalesData[[#This Row],[Profit]]&gt;0,"Profit","Loss")</f>
        <v>Profit</v>
      </c>
    </row>
    <row r="4035" spans="1:14" x14ac:dyDescent="0.3">
      <c r="A4035" t="s">
        <v>1039</v>
      </c>
      <c r="B4035" s="3">
        <v>41985</v>
      </c>
      <c r="C4035" t="s">
        <v>13</v>
      </c>
      <c r="D4035" t="s">
        <v>14</v>
      </c>
      <c r="E4035" t="s">
        <v>1040</v>
      </c>
      <c r="F4035" s="1">
        <v>764.68799999999999</v>
      </c>
      <c r="G4035">
        <v>6</v>
      </c>
      <c r="H4035" s="1">
        <v>95.585999999999999</v>
      </c>
      <c r="I4035" s="4">
        <f>SalesData[[#This Row],[Profit]]/SalesData[[#This Row],[Sales]]</f>
        <v>0.125</v>
      </c>
      <c r="J4035">
        <f>YEAR(SalesData[[#This Row],[Order Date]])</f>
        <v>2014</v>
      </c>
      <c r="K4035" t="str">
        <f>TEXT(SalesData[[#This Row],[Order Date]],"mmm")</f>
        <v>Dec</v>
      </c>
      <c r="L4035">
        <f>MONTH(SalesData[[#This Row],[Order Date]])</f>
        <v>12</v>
      </c>
      <c r="M4035">
        <f>SalesData[[#This Row],[Sales]]/SalesData[[#This Row],[Quantity]]</f>
        <v>127.44799999999999</v>
      </c>
      <c r="N4035" t="str">
        <f>IF(SalesData[[#This Row],[Profit]]&gt;0,"Profit","Loss")</f>
        <v>Profit</v>
      </c>
    </row>
    <row r="4036" spans="1:14" x14ac:dyDescent="0.3">
      <c r="A4036" t="s">
        <v>1039</v>
      </c>
      <c r="B4036" s="3">
        <v>41985</v>
      </c>
      <c r="C4036" t="s">
        <v>13</v>
      </c>
      <c r="D4036" t="s">
        <v>14</v>
      </c>
      <c r="E4036" t="s">
        <v>1041</v>
      </c>
      <c r="F4036" s="1">
        <v>3610.848</v>
      </c>
      <c r="G4036">
        <v>12</v>
      </c>
      <c r="H4036" s="1">
        <v>135.4068</v>
      </c>
      <c r="I4036" s="4">
        <f>SalesData[[#This Row],[Profit]]/SalesData[[#This Row],[Sales]]</f>
        <v>3.7499999999999999E-2</v>
      </c>
      <c r="J4036">
        <f>YEAR(SalesData[[#This Row],[Order Date]])</f>
        <v>2014</v>
      </c>
      <c r="K4036" t="str">
        <f>TEXT(SalesData[[#This Row],[Order Date]],"mmm")</f>
        <v>Dec</v>
      </c>
      <c r="L4036">
        <f>MONTH(SalesData[[#This Row],[Order Date]])</f>
        <v>12</v>
      </c>
      <c r="M4036">
        <f>SalesData[[#This Row],[Sales]]/SalesData[[#This Row],[Quantity]]</f>
        <v>300.904</v>
      </c>
      <c r="N4036" t="str">
        <f>IF(SalesData[[#This Row],[Profit]]&gt;0,"Profit","Loss")</f>
        <v>Profit</v>
      </c>
    </row>
    <row r="4037" spans="1:14" x14ac:dyDescent="0.3">
      <c r="A4037" t="s">
        <v>1039</v>
      </c>
      <c r="B4037" s="3">
        <v>41985</v>
      </c>
      <c r="C4037" t="s">
        <v>13</v>
      </c>
      <c r="D4037" t="s">
        <v>14</v>
      </c>
      <c r="E4037" t="s">
        <v>830</v>
      </c>
      <c r="F4037" s="1">
        <v>254.97450000000001</v>
      </c>
      <c r="G4037">
        <v>3</v>
      </c>
      <c r="H4037" s="1">
        <v>11.998799999999999</v>
      </c>
      <c r="I4037" s="4">
        <f>SalesData[[#This Row],[Profit]]/SalesData[[#This Row],[Sales]]</f>
        <v>4.7058823529411764E-2</v>
      </c>
      <c r="J4037">
        <f>YEAR(SalesData[[#This Row],[Order Date]])</f>
        <v>2014</v>
      </c>
      <c r="K4037" t="str">
        <f>TEXT(SalesData[[#This Row],[Order Date]],"mmm")</f>
        <v>Dec</v>
      </c>
      <c r="L4037">
        <f>MONTH(SalesData[[#This Row],[Order Date]])</f>
        <v>12</v>
      </c>
      <c r="M4037">
        <f>SalesData[[#This Row],[Sales]]/SalesData[[#This Row],[Quantity]]</f>
        <v>84.991500000000002</v>
      </c>
      <c r="N4037" t="str">
        <f>IF(SalesData[[#This Row],[Profit]]&gt;0,"Profit","Loss")</f>
        <v>Profit</v>
      </c>
    </row>
    <row r="4038" spans="1:14" x14ac:dyDescent="0.3">
      <c r="A4038" t="s">
        <v>1042</v>
      </c>
      <c r="B4038" s="3">
        <v>41985</v>
      </c>
      <c r="C4038" t="s">
        <v>13</v>
      </c>
      <c r="D4038" t="s">
        <v>14</v>
      </c>
      <c r="E4038" t="s">
        <v>1043</v>
      </c>
      <c r="F4038" s="1">
        <v>43.31</v>
      </c>
      <c r="G4038">
        <v>1</v>
      </c>
      <c r="H4038" s="1">
        <v>4.3310000000000004</v>
      </c>
      <c r="I4038" s="4">
        <f>SalesData[[#This Row],[Profit]]/SalesData[[#This Row],[Sales]]</f>
        <v>0.1</v>
      </c>
      <c r="J4038">
        <f>YEAR(SalesData[[#This Row],[Order Date]])</f>
        <v>2014</v>
      </c>
      <c r="K4038" t="str">
        <f>TEXT(SalesData[[#This Row],[Order Date]],"mmm")</f>
        <v>Dec</v>
      </c>
      <c r="L4038">
        <f>MONTH(SalesData[[#This Row],[Order Date]])</f>
        <v>12</v>
      </c>
      <c r="M4038">
        <f>SalesData[[#This Row],[Sales]]/SalesData[[#This Row],[Quantity]]</f>
        <v>43.31</v>
      </c>
      <c r="N4038" t="str">
        <f>IF(SalesData[[#This Row],[Profit]]&gt;0,"Profit","Loss")</f>
        <v>Profit</v>
      </c>
    </row>
    <row r="4039" spans="1:14" x14ac:dyDescent="0.3">
      <c r="A4039" t="s">
        <v>1044</v>
      </c>
      <c r="B4039" s="3">
        <v>41985</v>
      </c>
      <c r="C4039" t="s">
        <v>9</v>
      </c>
      <c r="D4039" t="s">
        <v>21</v>
      </c>
      <c r="E4039" t="s">
        <v>1045</v>
      </c>
      <c r="F4039" s="1">
        <v>210.392</v>
      </c>
      <c r="G4039">
        <v>2</v>
      </c>
      <c r="H4039" s="1">
        <v>-336.62720000000002</v>
      </c>
      <c r="I4039" s="4">
        <f>SalesData[[#This Row],[Profit]]/SalesData[[#This Row],[Sales]]</f>
        <v>-1.6</v>
      </c>
      <c r="J4039">
        <f>YEAR(SalesData[[#This Row],[Order Date]])</f>
        <v>2014</v>
      </c>
      <c r="K4039" t="str">
        <f>TEXT(SalesData[[#This Row],[Order Date]],"mmm")</f>
        <v>Dec</v>
      </c>
      <c r="L4039">
        <f>MONTH(SalesData[[#This Row],[Order Date]])</f>
        <v>12</v>
      </c>
      <c r="M4039">
        <f>SalesData[[#This Row],[Sales]]/SalesData[[#This Row],[Quantity]]</f>
        <v>105.196</v>
      </c>
      <c r="N4039" t="str">
        <f>IF(SalesData[[#This Row],[Profit]]&gt;0,"Profit","Loss")</f>
        <v>Loss</v>
      </c>
    </row>
    <row r="4040" spans="1:14" x14ac:dyDescent="0.3">
      <c r="A4040" t="s">
        <v>1046</v>
      </c>
      <c r="B4040" s="3">
        <v>41985</v>
      </c>
      <c r="C4040" t="s">
        <v>13</v>
      </c>
      <c r="D4040" t="s">
        <v>14</v>
      </c>
      <c r="E4040" t="s">
        <v>1047</v>
      </c>
      <c r="F4040" s="1">
        <v>12.54</v>
      </c>
      <c r="G4040">
        <v>3</v>
      </c>
      <c r="H4040" s="1">
        <v>4.5144000000000002</v>
      </c>
      <c r="I4040" s="4">
        <f>SalesData[[#This Row],[Profit]]/SalesData[[#This Row],[Sales]]</f>
        <v>0.36000000000000004</v>
      </c>
      <c r="J4040">
        <f>YEAR(SalesData[[#This Row],[Order Date]])</f>
        <v>2014</v>
      </c>
      <c r="K4040" t="str">
        <f>TEXT(SalesData[[#This Row],[Order Date]],"mmm")</f>
        <v>Dec</v>
      </c>
      <c r="L4040">
        <f>MONTH(SalesData[[#This Row],[Order Date]])</f>
        <v>12</v>
      </c>
      <c r="M4040">
        <f>SalesData[[#This Row],[Sales]]/SalesData[[#This Row],[Quantity]]</f>
        <v>4.18</v>
      </c>
      <c r="N4040" t="str">
        <f>IF(SalesData[[#This Row],[Profit]]&gt;0,"Profit","Loss")</f>
        <v>Profit</v>
      </c>
    </row>
    <row r="4041" spans="1:14" x14ac:dyDescent="0.3">
      <c r="A4041" t="s">
        <v>1046</v>
      </c>
      <c r="B4041" s="3">
        <v>41985</v>
      </c>
      <c r="C4041" t="s">
        <v>13</v>
      </c>
      <c r="D4041" t="s">
        <v>21</v>
      </c>
      <c r="E4041" t="s">
        <v>1048</v>
      </c>
      <c r="F4041" s="1">
        <v>8.94</v>
      </c>
      <c r="G4041">
        <v>3</v>
      </c>
      <c r="H4041" s="1">
        <v>0.62580000000000002</v>
      </c>
      <c r="I4041" s="4">
        <f>SalesData[[#This Row],[Profit]]/SalesData[[#This Row],[Sales]]</f>
        <v>7.0000000000000007E-2</v>
      </c>
      <c r="J4041">
        <f>YEAR(SalesData[[#This Row],[Order Date]])</f>
        <v>2014</v>
      </c>
      <c r="K4041" t="str">
        <f>TEXT(SalesData[[#This Row],[Order Date]],"mmm")</f>
        <v>Dec</v>
      </c>
      <c r="L4041">
        <f>MONTH(SalesData[[#This Row],[Order Date]])</f>
        <v>12</v>
      </c>
      <c r="M4041">
        <f>SalesData[[#This Row],[Sales]]/SalesData[[#This Row],[Quantity]]</f>
        <v>2.98</v>
      </c>
      <c r="N4041" t="str">
        <f>IF(SalesData[[#This Row],[Profit]]&gt;0,"Profit","Loss")</f>
        <v>Profit</v>
      </c>
    </row>
    <row r="4042" spans="1:14" x14ac:dyDescent="0.3">
      <c r="A4042" t="s">
        <v>1046</v>
      </c>
      <c r="B4042" s="3">
        <v>41985</v>
      </c>
      <c r="C4042" t="s">
        <v>13</v>
      </c>
      <c r="D4042" t="s">
        <v>14</v>
      </c>
      <c r="E4042" t="s">
        <v>1049</v>
      </c>
      <c r="F4042" s="1">
        <v>9.24</v>
      </c>
      <c r="G4042">
        <v>3</v>
      </c>
      <c r="H4042" s="1">
        <v>4.4352</v>
      </c>
      <c r="I4042" s="4">
        <f>SalesData[[#This Row],[Profit]]/SalesData[[#This Row],[Sales]]</f>
        <v>0.48</v>
      </c>
      <c r="J4042">
        <f>YEAR(SalesData[[#This Row],[Order Date]])</f>
        <v>2014</v>
      </c>
      <c r="K4042" t="str">
        <f>TEXT(SalesData[[#This Row],[Order Date]],"mmm")</f>
        <v>Dec</v>
      </c>
      <c r="L4042">
        <f>MONTH(SalesData[[#This Row],[Order Date]])</f>
        <v>12</v>
      </c>
      <c r="M4042">
        <f>SalesData[[#This Row],[Sales]]/SalesData[[#This Row],[Quantity]]</f>
        <v>3.08</v>
      </c>
      <c r="N4042" t="str">
        <f>IF(SalesData[[#This Row],[Profit]]&gt;0,"Profit","Loss")</f>
        <v>Profit</v>
      </c>
    </row>
    <row r="4043" spans="1:14" x14ac:dyDescent="0.3">
      <c r="A4043" t="s">
        <v>1050</v>
      </c>
      <c r="B4043" s="3">
        <v>41985</v>
      </c>
      <c r="C4043" t="s">
        <v>46</v>
      </c>
      <c r="D4043" t="s">
        <v>21</v>
      </c>
      <c r="E4043" t="s">
        <v>127</v>
      </c>
      <c r="F4043" s="1">
        <v>23.472000000000001</v>
      </c>
      <c r="G4043">
        <v>3</v>
      </c>
      <c r="H4043" s="1">
        <v>7.6284000000000001</v>
      </c>
      <c r="I4043" s="4">
        <f>SalesData[[#This Row],[Profit]]/SalesData[[#This Row],[Sales]]</f>
        <v>0.32500000000000001</v>
      </c>
      <c r="J4043">
        <f>YEAR(SalesData[[#This Row],[Order Date]])</f>
        <v>2014</v>
      </c>
      <c r="K4043" t="str">
        <f>TEXT(SalesData[[#This Row],[Order Date]],"mmm")</f>
        <v>Dec</v>
      </c>
      <c r="L4043">
        <f>MONTH(SalesData[[#This Row],[Order Date]])</f>
        <v>12</v>
      </c>
      <c r="M4043">
        <f>SalesData[[#This Row],[Sales]]/SalesData[[#This Row],[Quantity]]</f>
        <v>7.8240000000000007</v>
      </c>
      <c r="N4043" t="str">
        <f>IF(SalesData[[#This Row],[Profit]]&gt;0,"Profit","Loss")</f>
        <v>Profit</v>
      </c>
    </row>
    <row r="4044" spans="1:14" x14ac:dyDescent="0.3">
      <c r="I4044" s="4"/>
    </row>
    <row r="4045" spans="1:14" x14ac:dyDescent="0.3">
      <c r="F4045"/>
      <c r="H4045"/>
    </row>
    <row r="4046" spans="1:14" x14ac:dyDescent="0.3">
      <c r="F4046"/>
      <c r="H4046"/>
    </row>
    <row r="4047" spans="1:14" x14ac:dyDescent="0.3">
      <c r="F4047"/>
      <c r="H4047"/>
    </row>
    <row r="4048" spans="1:14" x14ac:dyDescent="0.3">
      <c r="F4048"/>
      <c r="H4048"/>
    </row>
    <row r="4049" spans="6:8" x14ac:dyDescent="0.3">
      <c r="F4049"/>
      <c r="H4049"/>
    </row>
    <row r="4050" spans="6:8" x14ac:dyDescent="0.3">
      <c r="F4050"/>
      <c r="H4050"/>
    </row>
    <row r="4051" spans="6:8" x14ac:dyDescent="0.3">
      <c r="F4051"/>
      <c r="H4051"/>
    </row>
    <row r="4052" spans="6:8" x14ac:dyDescent="0.3">
      <c r="F4052"/>
      <c r="H4052"/>
    </row>
    <row r="4053" spans="6:8" x14ac:dyDescent="0.3">
      <c r="F4053"/>
      <c r="H4053"/>
    </row>
    <row r="4054" spans="6:8" x14ac:dyDescent="0.3">
      <c r="F4054"/>
      <c r="H4054"/>
    </row>
    <row r="4055" spans="6:8" x14ac:dyDescent="0.3">
      <c r="F4055"/>
      <c r="H4055"/>
    </row>
    <row r="4056" spans="6:8" x14ac:dyDescent="0.3">
      <c r="F4056"/>
      <c r="H4056"/>
    </row>
    <row r="4057" spans="6:8" x14ac:dyDescent="0.3">
      <c r="F4057"/>
      <c r="H4057"/>
    </row>
    <row r="4058" spans="6:8" x14ac:dyDescent="0.3">
      <c r="F4058"/>
      <c r="H4058"/>
    </row>
    <row r="4059" spans="6:8" x14ac:dyDescent="0.3">
      <c r="F4059"/>
      <c r="H4059"/>
    </row>
    <row r="4060" spans="6:8" x14ac:dyDescent="0.3">
      <c r="F4060"/>
      <c r="H4060"/>
    </row>
    <row r="4061" spans="6:8" x14ac:dyDescent="0.3">
      <c r="F4061"/>
      <c r="H4061"/>
    </row>
    <row r="4062" spans="6:8" x14ac:dyDescent="0.3">
      <c r="F4062"/>
      <c r="H4062"/>
    </row>
    <row r="4063" spans="6:8" x14ac:dyDescent="0.3">
      <c r="F4063"/>
      <c r="H4063"/>
    </row>
    <row r="4064" spans="6:8" x14ac:dyDescent="0.3">
      <c r="F4064"/>
      <c r="H4064"/>
    </row>
    <row r="4065" spans="6:8" x14ac:dyDescent="0.3">
      <c r="F4065"/>
      <c r="H4065"/>
    </row>
    <row r="4066" spans="6:8" x14ac:dyDescent="0.3">
      <c r="F4066"/>
      <c r="H4066"/>
    </row>
    <row r="4067" spans="6:8" x14ac:dyDescent="0.3">
      <c r="F4067"/>
      <c r="H4067"/>
    </row>
    <row r="4068" spans="6:8" x14ac:dyDescent="0.3">
      <c r="F4068"/>
      <c r="H4068"/>
    </row>
    <row r="4069" spans="6:8" x14ac:dyDescent="0.3">
      <c r="F4069"/>
      <c r="H4069"/>
    </row>
    <row r="4070" spans="6:8" x14ac:dyDescent="0.3">
      <c r="F4070"/>
      <c r="H4070"/>
    </row>
    <row r="4071" spans="6:8" x14ac:dyDescent="0.3">
      <c r="F4071"/>
      <c r="H4071"/>
    </row>
    <row r="4072" spans="6:8" x14ac:dyDescent="0.3">
      <c r="F4072"/>
      <c r="H4072"/>
    </row>
    <row r="4073" spans="6:8" x14ac:dyDescent="0.3">
      <c r="F4073"/>
      <c r="H4073"/>
    </row>
    <row r="4074" spans="6:8" x14ac:dyDescent="0.3">
      <c r="F4074"/>
      <c r="H4074"/>
    </row>
    <row r="4075" spans="6:8" x14ac:dyDescent="0.3">
      <c r="F4075"/>
      <c r="H4075"/>
    </row>
    <row r="4076" spans="6:8" x14ac:dyDescent="0.3">
      <c r="F4076"/>
      <c r="H4076"/>
    </row>
    <row r="4077" spans="6:8" x14ac:dyDescent="0.3">
      <c r="F4077"/>
      <c r="H4077"/>
    </row>
    <row r="4078" spans="6:8" x14ac:dyDescent="0.3">
      <c r="F4078"/>
      <c r="H4078"/>
    </row>
    <row r="4079" spans="6:8" x14ac:dyDescent="0.3">
      <c r="F4079"/>
      <c r="H4079"/>
    </row>
    <row r="4080" spans="6:8" x14ac:dyDescent="0.3">
      <c r="F4080"/>
      <c r="H4080"/>
    </row>
    <row r="4081" spans="6:8" x14ac:dyDescent="0.3">
      <c r="F4081"/>
      <c r="H4081"/>
    </row>
    <row r="4082" spans="6:8" x14ac:dyDescent="0.3">
      <c r="F4082"/>
      <c r="H4082"/>
    </row>
    <row r="4083" spans="6:8" x14ac:dyDescent="0.3">
      <c r="F4083"/>
      <c r="H4083"/>
    </row>
    <row r="4084" spans="6:8" x14ac:dyDescent="0.3">
      <c r="F4084"/>
      <c r="H4084"/>
    </row>
    <row r="4085" spans="6:8" x14ac:dyDescent="0.3">
      <c r="F4085"/>
      <c r="H4085"/>
    </row>
    <row r="4086" spans="6:8" x14ac:dyDescent="0.3">
      <c r="F4086"/>
      <c r="H4086"/>
    </row>
    <row r="4087" spans="6:8" x14ac:dyDescent="0.3">
      <c r="F4087"/>
      <c r="H4087"/>
    </row>
    <row r="4088" spans="6:8" x14ac:dyDescent="0.3">
      <c r="F4088"/>
      <c r="H4088"/>
    </row>
    <row r="4089" spans="6:8" x14ac:dyDescent="0.3">
      <c r="F4089"/>
      <c r="H4089"/>
    </row>
    <row r="4090" spans="6:8" x14ac:dyDescent="0.3">
      <c r="F4090"/>
      <c r="H4090"/>
    </row>
    <row r="4091" spans="6:8" x14ac:dyDescent="0.3">
      <c r="F4091"/>
      <c r="H4091"/>
    </row>
    <row r="4092" spans="6:8" x14ac:dyDescent="0.3">
      <c r="F4092"/>
      <c r="H4092"/>
    </row>
    <row r="4093" spans="6:8" x14ac:dyDescent="0.3">
      <c r="F4093"/>
      <c r="H4093"/>
    </row>
    <row r="4094" spans="6:8" x14ac:dyDescent="0.3">
      <c r="F4094"/>
      <c r="H4094"/>
    </row>
    <row r="4095" spans="6:8" x14ac:dyDescent="0.3">
      <c r="F4095"/>
      <c r="H4095"/>
    </row>
    <row r="4096" spans="6:8" x14ac:dyDescent="0.3">
      <c r="F4096"/>
      <c r="H4096"/>
    </row>
    <row r="4097" spans="6:8" x14ac:dyDescent="0.3">
      <c r="F4097"/>
      <c r="H4097"/>
    </row>
    <row r="4098" spans="6:8" x14ac:dyDescent="0.3">
      <c r="F4098"/>
      <c r="H4098"/>
    </row>
    <row r="4099" spans="6:8" x14ac:dyDescent="0.3">
      <c r="F4099"/>
      <c r="H4099"/>
    </row>
    <row r="4100" spans="6:8" x14ac:dyDescent="0.3">
      <c r="F4100"/>
      <c r="H4100"/>
    </row>
    <row r="4101" spans="6:8" x14ac:dyDescent="0.3">
      <c r="F4101"/>
      <c r="H4101"/>
    </row>
    <row r="4102" spans="6:8" x14ac:dyDescent="0.3">
      <c r="F4102"/>
      <c r="H4102"/>
    </row>
    <row r="4103" spans="6:8" x14ac:dyDescent="0.3">
      <c r="F4103"/>
      <c r="H4103"/>
    </row>
    <row r="4104" spans="6:8" x14ac:dyDescent="0.3">
      <c r="F4104"/>
      <c r="H4104"/>
    </row>
    <row r="4105" spans="6:8" x14ac:dyDescent="0.3">
      <c r="F4105"/>
      <c r="H4105"/>
    </row>
    <row r="4106" spans="6:8" x14ac:dyDescent="0.3">
      <c r="F4106"/>
      <c r="H4106"/>
    </row>
    <row r="4107" spans="6:8" x14ac:dyDescent="0.3">
      <c r="F4107"/>
      <c r="H4107"/>
    </row>
    <row r="4108" spans="6:8" x14ac:dyDescent="0.3">
      <c r="F4108"/>
      <c r="H4108"/>
    </row>
    <row r="4109" spans="6:8" x14ac:dyDescent="0.3">
      <c r="F4109"/>
      <c r="H4109"/>
    </row>
    <row r="4110" spans="6:8" x14ac:dyDescent="0.3">
      <c r="F4110"/>
      <c r="H4110"/>
    </row>
    <row r="4111" spans="6:8" x14ac:dyDescent="0.3">
      <c r="F4111"/>
      <c r="H4111"/>
    </row>
    <row r="4112" spans="6:8" x14ac:dyDescent="0.3">
      <c r="F4112"/>
      <c r="H4112"/>
    </row>
    <row r="4113" spans="6:8" x14ac:dyDescent="0.3">
      <c r="F4113"/>
      <c r="H4113"/>
    </row>
    <row r="4114" spans="6:8" x14ac:dyDescent="0.3">
      <c r="F4114"/>
      <c r="H4114"/>
    </row>
    <row r="4115" spans="6:8" x14ac:dyDescent="0.3">
      <c r="F4115"/>
      <c r="H4115"/>
    </row>
    <row r="4116" spans="6:8" x14ac:dyDescent="0.3">
      <c r="F4116"/>
      <c r="H4116"/>
    </row>
    <row r="4117" spans="6:8" x14ac:dyDescent="0.3">
      <c r="F4117"/>
      <c r="H4117"/>
    </row>
    <row r="4118" spans="6:8" x14ac:dyDescent="0.3">
      <c r="F4118"/>
      <c r="H4118"/>
    </row>
    <row r="4119" spans="6:8" x14ac:dyDescent="0.3">
      <c r="F4119"/>
      <c r="H4119"/>
    </row>
    <row r="4120" spans="6:8" x14ac:dyDescent="0.3">
      <c r="F4120"/>
      <c r="H4120"/>
    </row>
    <row r="4121" spans="6:8" x14ac:dyDescent="0.3">
      <c r="F4121"/>
      <c r="H4121"/>
    </row>
    <row r="4122" spans="6:8" x14ac:dyDescent="0.3">
      <c r="F4122"/>
      <c r="H4122"/>
    </row>
    <row r="4123" spans="6:8" x14ac:dyDescent="0.3">
      <c r="F4123"/>
      <c r="H4123"/>
    </row>
    <row r="4124" spans="6:8" x14ac:dyDescent="0.3">
      <c r="F4124"/>
      <c r="H4124"/>
    </row>
    <row r="4125" spans="6:8" x14ac:dyDescent="0.3">
      <c r="F4125"/>
      <c r="H4125"/>
    </row>
    <row r="4126" spans="6:8" x14ac:dyDescent="0.3">
      <c r="F4126"/>
      <c r="H4126"/>
    </row>
    <row r="4127" spans="6:8" x14ac:dyDescent="0.3">
      <c r="F4127"/>
      <c r="H4127"/>
    </row>
    <row r="4128" spans="6:8" x14ac:dyDescent="0.3">
      <c r="F4128"/>
      <c r="H4128"/>
    </row>
    <row r="4129" spans="6:8" x14ac:dyDescent="0.3">
      <c r="F4129"/>
      <c r="H4129"/>
    </row>
    <row r="4130" spans="6:8" x14ac:dyDescent="0.3">
      <c r="F4130"/>
      <c r="H4130"/>
    </row>
    <row r="4131" spans="6:8" x14ac:dyDescent="0.3">
      <c r="F4131"/>
      <c r="H4131"/>
    </row>
    <row r="4132" spans="6:8" x14ac:dyDescent="0.3">
      <c r="F4132"/>
      <c r="H4132"/>
    </row>
    <row r="4133" spans="6:8" x14ac:dyDescent="0.3">
      <c r="F4133"/>
      <c r="H4133"/>
    </row>
    <row r="4134" spans="6:8" x14ac:dyDescent="0.3">
      <c r="F4134"/>
      <c r="H4134"/>
    </row>
    <row r="4135" spans="6:8" x14ac:dyDescent="0.3">
      <c r="F4135"/>
      <c r="H4135"/>
    </row>
    <row r="4136" spans="6:8" x14ac:dyDescent="0.3">
      <c r="F4136"/>
      <c r="H4136"/>
    </row>
    <row r="4137" spans="6:8" x14ac:dyDescent="0.3">
      <c r="F4137"/>
      <c r="H4137"/>
    </row>
    <row r="4138" spans="6:8" x14ac:dyDescent="0.3">
      <c r="F4138"/>
      <c r="H4138"/>
    </row>
    <row r="4139" spans="6:8" x14ac:dyDescent="0.3">
      <c r="F4139"/>
      <c r="H4139"/>
    </row>
    <row r="4140" spans="6:8" x14ac:dyDescent="0.3">
      <c r="F4140"/>
      <c r="H4140"/>
    </row>
    <row r="4141" spans="6:8" x14ac:dyDescent="0.3">
      <c r="F4141"/>
      <c r="H4141"/>
    </row>
    <row r="4142" spans="6:8" x14ac:dyDescent="0.3">
      <c r="F4142"/>
      <c r="H4142"/>
    </row>
    <row r="4143" spans="6:8" x14ac:dyDescent="0.3">
      <c r="F4143"/>
      <c r="H4143"/>
    </row>
    <row r="4144" spans="6:8" x14ac:dyDescent="0.3">
      <c r="F4144"/>
      <c r="H4144"/>
    </row>
    <row r="4145" spans="6:8" x14ac:dyDescent="0.3">
      <c r="F4145"/>
      <c r="H4145"/>
    </row>
    <row r="4146" spans="6:8" x14ac:dyDescent="0.3">
      <c r="F4146"/>
      <c r="H4146"/>
    </row>
    <row r="4147" spans="6:8" x14ac:dyDescent="0.3">
      <c r="F4147"/>
      <c r="H4147"/>
    </row>
    <row r="4148" spans="6:8" x14ac:dyDescent="0.3">
      <c r="F4148"/>
      <c r="H4148"/>
    </row>
    <row r="4149" spans="6:8" x14ac:dyDescent="0.3">
      <c r="F4149"/>
      <c r="H4149"/>
    </row>
    <row r="4150" spans="6:8" x14ac:dyDescent="0.3">
      <c r="F4150"/>
      <c r="H4150"/>
    </row>
    <row r="4151" spans="6:8" x14ac:dyDescent="0.3">
      <c r="F4151"/>
      <c r="H4151"/>
    </row>
    <row r="4152" spans="6:8" x14ac:dyDescent="0.3">
      <c r="F4152"/>
      <c r="H4152"/>
    </row>
    <row r="4153" spans="6:8" x14ac:dyDescent="0.3">
      <c r="F4153"/>
      <c r="H4153"/>
    </row>
    <row r="4154" spans="6:8" x14ac:dyDescent="0.3">
      <c r="F4154"/>
      <c r="H4154"/>
    </row>
    <row r="4155" spans="6:8" x14ac:dyDescent="0.3">
      <c r="F4155"/>
      <c r="H4155"/>
    </row>
    <row r="4156" spans="6:8" x14ac:dyDescent="0.3">
      <c r="F4156"/>
      <c r="H4156"/>
    </row>
    <row r="4157" spans="6:8" x14ac:dyDescent="0.3">
      <c r="F4157"/>
      <c r="H4157"/>
    </row>
    <row r="4158" spans="6:8" x14ac:dyDescent="0.3">
      <c r="F4158"/>
      <c r="H4158"/>
    </row>
    <row r="4159" spans="6:8" x14ac:dyDescent="0.3">
      <c r="F4159"/>
      <c r="H4159"/>
    </row>
    <row r="4160" spans="6:8" x14ac:dyDescent="0.3">
      <c r="F4160"/>
      <c r="H4160"/>
    </row>
    <row r="4161" spans="6:8" x14ac:dyDescent="0.3">
      <c r="F4161"/>
      <c r="H4161"/>
    </row>
    <row r="4162" spans="6:8" x14ac:dyDescent="0.3">
      <c r="F4162"/>
      <c r="H4162"/>
    </row>
    <row r="4163" spans="6:8" x14ac:dyDescent="0.3">
      <c r="F4163"/>
      <c r="H4163"/>
    </row>
    <row r="4164" spans="6:8" x14ac:dyDescent="0.3">
      <c r="F4164"/>
      <c r="H4164"/>
    </row>
    <row r="4165" spans="6:8" x14ac:dyDescent="0.3">
      <c r="F4165"/>
      <c r="H4165"/>
    </row>
    <row r="4166" spans="6:8" x14ac:dyDescent="0.3">
      <c r="F4166"/>
      <c r="H4166"/>
    </row>
    <row r="4167" spans="6:8" x14ac:dyDescent="0.3">
      <c r="F4167"/>
      <c r="H4167"/>
    </row>
    <row r="4168" spans="6:8" x14ac:dyDescent="0.3">
      <c r="F4168"/>
      <c r="H4168"/>
    </row>
    <row r="4169" spans="6:8" x14ac:dyDescent="0.3">
      <c r="F4169"/>
      <c r="H4169"/>
    </row>
    <row r="4170" spans="6:8" x14ac:dyDescent="0.3">
      <c r="F4170"/>
      <c r="H4170"/>
    </row>
    <row r="4171" spans="6:8" x14ac:dyDescent="0.3">
      <c r="F4171"/>
      <c r="H4171"/>
    </row>
    <row r="4172" spans="6:8" x14ac:dyDescent="0.3">
      <c r="F4172"/>
      <c r="H4172"/>
    </row>
    <row r="4173" spans="6:8" x14ac:dyDescent="0.3">
      <c r="F4173"/>
      <c r="H4173"/>
    </row>
    <row r="4174" spans="6:8" x14ac:dyDescent="0.3">
      <c r="F4174"/>
      <c r="H4174"/>
    </row>
    <row r="4175" spans="6:8" x14ac:dyDescent="0.3">
      <c r="F4175"/>
      <c r="H4175"/>
    </row>
    <row r="4176" spans="6:8" x14ac:dyDescent="0.3">
      <c r="F4176"/>
      <c r="H4176"/>
    </row>
    <row r="4177" spans="6:8" x14ac:dyDescent="0.3">
      <c r="F4177"/>
      <c r="H4177"/>
    </row>
    <row r="4178" spans="6:8" x14ac:dyDescent="0.3">
      <c r="F4178"/>
      <c r="H4178"/>
    </row>
    <row r="4179" spans="6:8" x14ac:dyDescent="0.3">
      <c r="F4179"/>
      <c r="H4179"/>
    </row>
    <row r="4180" spans="6:8" x14ac:dyDescent="0.3">
      <c r="F4180"/>
      <c r="H4180"/>
    </row>
    <row r="4181" spans="6:8" x14ac:dyDescent="0.3">
      <c r="F4181"/>
      <c r="H4181"/>
    </row>
    <row r="4182" spans="6:8" x14ac:dyDescent="0.3">
      <c r="F4182"/>
      <c r="H4182"/>
    </row>
    <row r="4183" spans="6:8" x14ac:dyDescent="0.3">
      <c r="F4183"/>
      <c r="H4183"/>
    </row>
    <row r="4184" spans="6:8" x14ac:dyDescent="0.3">
      <c r="F4184"/>
      <c r="H4184"/>
    </row>
    <row r="4185" spans="6:8" x14ac:dyDescent="0.3">
      <c r="F4185"/>
      <c r="H4185"/>
    </row>
    <row r="4186" spans="6:8" x14ac:dyDescent="0.3">
      <c r="F4186"/>
      <c r="H4186"/>
    </row>
    <row r="4187" spans="6:8" x14ac:dyDescent="0.3">
      <c r="F4187"/>
      <c r="H4187"/>
    </row>
    <row r="4188" spans="6:8" x14ac:dyDescent="0.3">
      <c r="F4188"/>
      <c r="H4188"/>
    </row>
    <row r="4189" spans="6:8" x14ac:dyDescent="0.3">
      <c r="F4189"/>
      <c r="H4189"/>
    </row>
    <row r="4190" spans="6:8" x14ac:dyDescent="0.3">
      <c r="F4190"/>
      <c r="H4190"/>
    </row>
    <row r="4191" spans="6:8" x14ac:dyDescent="0.3">
      <c r="F4191"/>
      <c r="H4191"/>
    </row>
    <row r="4192" spans="6:8" x14ac:dyDescent="0.3">
      <c r="F4192"/>
      <c r="H4192"/>
    </row>
    <row r="4193" spans="6:8" x14ac:dyDescent="0.3">
      <c r="F4193"/>
      <c r="H4193"/>
    </row>
    <row r="4194" spans="6:8" x14ac:dyDescent="0.3">
      <c r="F4194"/>
      <c r="H4194"/>
    </row>
    <row r="4195" spans="6:8" x14ac:dyDescent="0.3">
      <c r="F4195"/>
      <c r="H4195"/>
    </row>
    <row r="4196" spans="6:8" x14ac:dyDescent="0.3">
      <c r="F4196"/>
      <c r="H4196"/>
    </row>
    <row r="4197" spans="6:8" x14ac:dyDescent="0.3">
      <c r="F4197"/>
      <c r="H4197"/>
    </row>
    <row r="4198" spans="6:8" x14ac:dyDescent="0.3">
      <c r="F4198"/>
      <c r="H4198"/>
    </row>
    <row r="4199" spans="6:8" x14ac:dyDescent="0.3">
      <c r="F4199"/>
      <c r="H4199"/>
    </row>
    <row r="4200" spans="6:8" x14ac:dyDescent="0.3">
      <c r="F4200"/>
      <c r="H4200"/>
    </row>
    <row r="4201" spans="6:8" x14ac:dyDescent="0.3">
      <c r="F4201"/>
      <c r="H4201"/>
    </row>
    <row r="4202" spans="6:8" x14ac:dyDescent="0.3">
      <c r="F4202"/>
      <c r="H4202"/>
    </row>
    <row r="4203" spans="6:8" x14ac:dyDescent="0.3">
      <c r="F4203"/>
      <c r="H4203"/>
    </row>
    <row r="4204" spans="6:8" x14ac:dyDescent="0.3">
      <c r="F4204"/>
      <c r="H4204"/>
    </row>
    <row r="4205" spans="6:8" x14ac:dyDescent="0.3">
      <c r="F4205"/>
      <c r="H4205"/>
    </row>
    <row r="4206" spans="6:8" x14ac:dyDescent="0.3">
      <c r="F4206"/>
      <c r="H4206"/>
    </row>
    <row r="4207" spans="6:8" x14ac:dyDescent="0.3">
      <c r="F4207"/>
      <c r="H4207"/>
    </row>
    <row r="4208" spans="6:8" x14ac:dyDescent="0.3">
      <c r="F4208"/>
      <c r="H4208"/>
    </row>
    <row r="4209" spans="6:8" x14ac:dyDescent="0.3">
      <c r="F4209"/>
      <c r="H4209"/>
    </row>
    <row r="4210" spans="6:8" x14ac:dyDescent="0.3">
      <c r="F4210"/>
      <c r="H4210"/>
    </row>
    <row r="4211" spans="6:8" x14ac:dyDescent="0.3">
      <c r="F4211"/>
      <c r="H4211"/>
    </row>
    <row r="4212" spans="6:8" x14ac:dyDescent="0.3">
      <c r="F4212"/>
      <c r="H4212"/>
    </row>
    <row r="4213" spans="6:8" x14ac:dyDescent="0.3">
      <c r="F4213"/>
      <c r="H4213"/>
    </row>
    <row r="4214" spans="6:8" x14ac:dyDescent="0.3">
      <c r="F4214"/>
      <c r="H4214"/>
    </row>
    <row r="4215" spans="6:8" x14ac:dyDescent="0.3">
      <c r="F4215"/>
      <c r="H4215"/>
    </row>
    <row r="4216" spans="6:8" x14ac:dyDescent="0.3">
      <c r="F4216"/>
      <c r="H4216"/>
    </row>
    <row r="4217" spans="6:8" x14ac:dyDescent="0.3">
      <c r="F4217"/>
      <c r="H4217"/>
    </row>
    <row r="4218" spans="6:8" x14ac:dyDescent="0.3">
      <c r="F4218"/>
      <c r="H4218"/>
    </row>
    <row r="4219" spans="6:8" x14ac:dyDescent="0.3">
      <c r="F4219"/>
      <c r="H4219"/>
    </row>
    <row r="4220" spans="6:8" x14ac:dyDescent="0.3">
      <c r="F4220"/>
      <c r="H4220"/>
    </row>
    <row r="4221" spans="6:8" x14ac:dyDescent="0.3">
      <c r="F4221"/>
      <c r="H4221"/>
    </row>
    <row r="4222" spans="6:8" x14ac:dyDescent="0.3">
      <c r="F4222"/>
      <c r="H4222"/>
    </row>
    <row r="4223" spans="6:8" x14ac:dyDescent="0.3">
      <c r="F4223"/>
      <c r="H4223"/>
    </row>
    <row r="4224" spans="6:8" x14ac:dyDescent="0.3">
      <c r="F4224"/>
      <c r="H4224"/>
    </row>
    <row r="4225" spans="6:8" x14ac:dyDescent="0.3">
      <c r="F4225"/>
      <c r="H4225"/>
    </row>
    <row r="4226" spans="6:8" x14ac:dyDescent="0.3">
      <c r="F4226"/>
      <c r="H4226"/>
    </row>
    <row r="4227" spans="6:8" x14ac:dyDescent="0.3">
      <c r="F4227"/>
      <c r="H4227"/>
    </row>
    <row r="4228" spans="6:8" x14ac:dyDescent="0.3">
      <c r="F4228"/>
      <c r="H4228"/>
    </row>
    <row r="4229" spans="6:8" x14ac:dyDescent="0.3">
      <c r="F4229"/>
      <c r="H4229"/>
    </row>
    <row r="4230" spans="6:8" x14ac:dyDescent="0.3">
      <c r="F4230"/>
      <c r="H4230"/>
    </row>
    <row r="4231" spans="6:8" x14ac:dyDescent="0.3">
      <c r="F4231"/>
      <c r="H4231"/>
    </row>
    <row r="4232" spans="6:8" x14ac:dyDescent="0.3">
      <c r="F4232"/>
      <c r="H4232"/>
    </row>
    <row r="4233" spans="6:8" x14ac:dyDescent="0.3">
      <c r="F4233"/>
      <c r="H4233"/>
    </row>
    <row r="4234" spans="6:8" x14ac:dyDescent="0.3">
      <c r="F4234"/>
      <c r="H4234"/>
    </row>
    <row r="4235" spans="6:8" x14ac:dyDescent="0.3">
      <c r="F4235"/>
      <c r="H4235"/>
    </row>
    <row r="4236" spans="6:8" x14ac:dyDescent="0.3">
      <c r="F4236"/>
      <c r="H4236"/>
    </row>
    <row r="4237" spans="6:8" x14ac:dyDescent="0.3">
      <c r="F4237"/>
      <c r="H4237"/>
    </row>
    <row r="4238" spans="6:8" x14ac:dyDescent="0.3">
      <c r="F4238"/>
      <c r="H4238"/>
    </row>
    <row r="4239" spans="6:8" x14ac:dyDescent="0.3">
      <c r="F4239"/>
      <c r="H4239"/>
    </row>
    <row r="4240" spans="6:8" x14ac:dyDescent="0.3">
      <c r="F4240"/>
      <c r="H4240"/>
    </row>
    <row r="4241" spans="6:8" x14ac:dyDescent="0.3">
      <c r="F4241"/>
      <c r="H4241"/>
    </row>
    <row r="4242" spans="6:8" x14ac:dyDescent="0.3">
      <c r="F4242"/>
      <c r="H4242"/>
    </row>
    <row r="4243" spans="6:8" x14ac:dyDescent="0.3">
      <c r="F4243"/>
      <c r="H4243"/>
    </row>
    <row r="4244" spans="6:8" x14ac:dyDescent="0.3">
      <c r="F4244"/>
      <c r="H4244"/>
    </row>
    <row r="4245" spans="6:8" x14ac:dyDescent="0.3">
      <c r="F4245"/>
      <c r="H4245"/>
    </row>
    <row r="4246" spans="6:8" x14ac:dyDescent="0.3">
      <c r="F4246"/>
      <c r="H4246"/>
    </row>
    <row r="4247" spans="6:8" x14ac:dyDescent="0.3">
      <c r="F4247"/>
      <c r="H4247"/>
    </row>
    <row r="4248" spans="6:8" x14ac:dyDescent="0.3">
      <c r="F4248"/>
      <c r="H4248"/>
    </row>
    <row r="4249" spans="6:8" x14ac:dyDescent="0.3">
      <c r="F4249"/>
      <c r="H4249"/>
    </row>
    <row r="4250" spans="6:8" x14ac:dyDescent="0.3">
      <c r="F4250"/>
      <c r="H4250"/>
    </row>
    <row r="4251" spans="6:8" x14ac:dyDescent="0.3">
      <c r="F4251"/>
      <c r="H4251"/>
    </row>
    <row r="4252" spans="6:8" x14ac:dyDescent="0.3">
      <c r="F4252"/>
      <c r="H4252"/>
    </row>
    <row r="4253" spans="6:8" x14ac:dyDescent="0.3">
      <c r="F4253"/>
      <c r="H4253"/>
    </row>
    <row r="4254" spans="6:8" x14ac:dyDescent="0.3">
      <c r="F4254"/>
      <c r="H4254"/>
    </row>
    <row r="4255" spans="6:8" x14ac:dyDescent="0.3">
      <c r="F4255"/>
      <c r="H4255"/>
    </row>
    <row r="4256" spans="6:8" x14ac:dyDescent="0.3">
      <c r="F4256"/>
      <c r="H4256"/>
    </row>
    <row r="4257" spans="6:8" x14ac:dyDescent="0.3">
      <c r="F4257"/>
      <c r="H4257"/>
    </row>
    <row r="4258" spans="6:8" x14ac:dyDescent="0.3">
      <c r="F4258"/>
      <c r="H4258"/>
    </row>
    <row r="4259" spans="6:8" x14ac:dyDescent="0.3">
      <c r="F4259"/>
      <c r="H4259"/>
    </row>
    <row r="4260" spans="6:8" x14ac:dyDescent="0.3">
      <c r="F4260"/>
      <c r="H4260"/>
    </row>
    <row r="4261" spans="6:8" x14ac:dyDescent="0.3">
      <c r="F4261"/>
      <c r="H4261"/>
    </row>
    <row r="4262" spans="6:8" x14ac:dyDescent="0.3">
      <c r="F4262"/>
      <c r="H4262"/>
    </row>
    <row r="4263" spans="6:8" x14ac:dyDescent="0.3">
      <c r="F4263"/>
      <c r="H4263"/>
    </row>
    <row r="4264" spans="6:8" x14ac:dyDescent="0.3">
      <c r="F4264"/>
      <c r="H4264"/>
    </row>
    <row r="4265" spans="6:8" x14ac:dyDescent="0.3">
      <c r="F4265"/>
      <c r="H4265"/>
    </row>
    <row r="4266" spans="6:8" x14ac:dyDescent="0.3">
      <c r="F4266"/>
      <c r="H4266"/>
    </row>
    <row r="4267" spans="6:8" x14ac:dyDescent="0.3">
      <c r="F4267"/>
      <c r="H4267"/>
    </row>
    <row r="4268" spans="6:8" x14ac:dyDescent="0.3">
      <c r="F4268"/>
      <c r="H4268"/>
    </row>
    <row r="4269" spans="6:8" x14ac:dyDescent="0.3">
      <c r="F4269"/>
      <c r="H4269"/>
    </row>
    <row r="4270" spans="6:8" x14ac:dyDescent="0.3">
      <c r="F4270"/>
      <c r="H4270"/>
    </row>
    <row r="4271" spans="6:8" x14ac:dyDescent="0.3">
      <c r="F4271"/>
      <c r="H4271"/>
    </row>
    <row r="4272" spans="6:8" x14ac:dyDescent="0.3">
      <c r="F4272"/>
      <c r="H4272"/>
    </row>
    <row r="4273" spans="6:8" x14ac:dyDescent="0.3">
      <c r="F4273"/>
      <c r="H4273"/>
    </row>
    <row r="4274" spans="6:8" x14ac:dyDescent="0.3">
      <c r="F4274"/>
      <c r="H4274"/>
    </row>
    <row r="4275" spans="6:8" x14ac:dyDescent="0.3">
      <c r="F4275"/>
      <c r="H4275"/>
    </row>
    <row r="4276" spans="6:8" x14ac:dyDescent="0.3">
      <c r="F4276"/>
      <c r="H4276"/>
    </row>
    <row r="4277" spans="6:8" x14ac:dyDescent="0.3">
      <c r="F4277"/>
      <c r="H4277"/>
    </row>
    <row r="4278" spans="6:8" x14ac:dyDescent="0.3">
      <c r="F4278"/>
      <c r="H4278"/>
    </row>
    <row r="4279" spans="6:8" x14ac:dyDescent="0.3">
      <c r="F4279"/>
      <c r="H4279"/>
    </row>
    <row r="4280" spans="6:8" x14ac:dyDescent="0.3">
      <c r="F4280"/>
      <c r="H4280"/>
    </row>
    <row r="4281" spans="6:8" x14ac:dyDescent="0.3">
      <c r="F4281"/>
      <c r="H4281"/>
    </row>
    <row r="4282" spans="6:8" x14ac:dyDescent="0.3">
      <c r="F4282"/>
      <c r="H4282"/>
    </row>
    <row r="4283" spans="6:8" x14ac:dyDescent="0.3">
      <c r="F4283"/>
      <c r="H4283"/>
    </row>
    <row r="4284" spans="6:8" x14ac:dyDescent="0.3">
      <c r="F4284"/>
      <c r="H4284"/>
    </row>
    <row r="4285" spans="6:8" x14ac:dyDescent="0.3">
      <c r="F4285"/>
      <c r="H4285"/>
    </row>
    <row r="4286" spans="6:8" x14ac:dyDescent="0.3">
      <c r="F4286"/>
      <c r="H4286"/>
    </row>
    <row r="4287" spans="6:8" x14ac:dyDescent="0.3">
      <c r="F4287"/>
      <c r="H4287"/>
    </row>
    <row r="4288" spans="6:8" x14ac:dyDescent="0.3">
      <c r="F4288"/>
      <c r="H4288"/>
    </row>
    <row r="4289" spans="6:8" x14ac:dyDescent="0.3">
      <c r="F4289"/>
      <c r="H4289"/>
    </row>
    <row r="4290" spans="6:8" x14ac:dyDescent="0.3">
      <c r="F4290"/>
      <c r="H4290"/>
    </row>
    <row r="4291" spans="6:8" x14ac:dyDescent="0.3">
      <c r="F4291"/>
      <c r="H4291"/>
    </row>
    <row r="4292" spans="6:8" x14ac:dyDescent="0.3">
      <c r="F4292"/>
      <c r="H4292"/>
    </row>
    <row r="4293" spans="6:8" x14ac:dyDescent="0.3">
      <c r="F4293"/>
      <c r="H4293"/>
    </row>
    <row r="4294" spans="6:8" x14ac:dyDescent="0.3">
      <c r="F4294"/>
      <c r="H4294"/>
    </row>
    <row r="4295" spans="6:8" x14ac:dyDescent="0.3">
      <c r="F4295"/>
      <c r="H4295"/>
    </row>
    <row r="4296" spans="6:8" x14ac:dyDescent="0.3">
      <c r="F4296"/>
      <c r="H4296"/>
    </row>
    <row r="4297" spans="6:8" x14ac:dyDescent="0.3">
      <c r="F4297"/>
      <c r="H4297"/>
    </row>
    <row r="4298" spans="6:8" x14ac:dyDescent="0.3">
      <c r="F4298"/>
      <c r="H4298"/>
    </row>
    <row r="4299" spans="6:8" x14ac:dyDescent="0.3">
      <c r="F4299"/>
      <c r="H4299"/>
    </row>
    <row r="4300" spans="6:8" x14ac:dyDescent="0.3">
      <c r="F4300"/>
      <c r="H4300"/>
    </row>
    <row r="4301" spans="6:8" x14ac:dyDescent="0.3">
      <c r="F4301"/>
      <c r="H4301"/>
    </row>
    <row r="4302" spans="6:8" x14ac:dyDescent="0.3">
      <c r="F4302"/>
      <c r="H4302"/>
    </row>
    <row r="4303" spans="6:8" x14ac:dyDescent="0.3">
      <c r="F4303"/>
      <c r="H4303"/>
    </row>
    <row r="4304" spans="6:8" x14ac:dyDescent="0.3">
      <c r="F4304"/>
      <c r="H4304"/>
    </row>
    <row r="4305" spans="6:8" x14ac:dyDescent="0.3">
      <c r="F4305"/>
      <c r="H4305"/>
    </row>
    <row r="4306" spans="6:8" x14ac:dyDescent="0.3">
      <c r="F4306"/>
      <c r="H4306"/>
    </row>
    <row r="4307" spans="6:8" x14ac:dyDescent="0.3">
      <c r="F4307"/>
      <c r="H4307"/>
    </row>
    <row r="4308" spans="6:8" x14ac:dyDescent="0.3">
      <c r="F4308"/>
      <c r="H4308"/>
    </row>
    <row r="4309" spans="6:8" x14ac:dyDescent="0.3">
      <c r="F4309"/>
      <c r="H4309"/>
    </row>
    <row r="4310" spans="6:8" x14ac:dyDescent="0.3">
      <c r="F4310"/>
      <c r="H4310"/>
    </row>
    <row r="4311" spans="6:8" x14ac:dyDescent="0.3">
      <c r="F4311"/>
      <c r="H4311"/>
    </row>
    <row r="4312" spans="6:8" x14ac:dyDescent="0.3">
      <c r="F4312"/>
      <c r="H4312"/>
    </row>
    <row r="4313" spans="6:8" x14ac:dyDescent="0.3">
      <c r="F4313"/>
      <c r="H4313"/>
    </row>
    <row r="4314" spans="6:8" x14ac:dyDescent="0.3">
      <c r="F4314"/>
      <c r="H4314"/>
    </row>
    <row r="4315" spans="6:8" x14ac:dyDescent="0.3">
      <c r="F4315"/>
      <c r="H4315"/>
    </row>
    <row r="4316" spans="6:8" x14ac:dyDescent="0.3">
      <c r="F4316"/>
      <c r="H4316"/>
    </row>
    <row r="4317" spans="6:8" x14ac:dyDescent="0.3">
      <c r="F4317"/>
      <c r="H4317"/>
    </row>
    <row r="4318" spans="6:8" x14ac:dyDescent="0.3">
      <c r="F4318"/>
      <c r="H4318"/>
    </row>
    <row r="4319" spans="6:8" x14ac:dyDescent="0.3">
      <c r="F4319"/>
      <c r="H4319"/>
    </row>
    <row r="4320" spans="6:8" x14ac:dyDescent="0.3">
      <c r="F4320"/>
      <c r="H4320"/>
    </row>
    <row r="4321" spans="6:8" x14ac:dyDescent="0.3">
      <c r="F4321"/>
      <c r="H4321"/>
    </row>
    <row r="4322" spans="6:8" x14ac:dyDescent="0.3">
      <c r="F4322"/>
      <c r="H4322"/>
    </row>
    <row r="4323" spans="6:8" x14ac:dyDescent="0.3">
      <c r="F4323"/>
      <c r="H4323"/>
    </row>
    <row r="4324" spans="6:8" x14ac:dyDescent="0.3">
      <c r="F4324"/>
      <c r="H4324"/>
    </row>
    <row r="4325" spans="6:8" x14ac:dyDescent="0.3">
      <c r="F4325"/>
      <c r="H4325"/>
    </row>
    <row r="4326" spans="6:8" x14ac:dyDescent="0.3">
      <c r="F4326"/>
      <c r="H4326"/>
    </row>
    <row r="4327" spans="6:8" x14ac:dyDescent="0.3">
      <c r="F4327"/>
      <c r="H4327"/>
    </row>
    <row r="4328" spans="6:8" x14ac:dyDescent="0.3">
      <c r="F4328"/>
      <c r="H4328"/>
    </row>
    <row r="4329" spans="6:8" x14ac:dyDescent="0.3">
      <c r="F4329"/>
      <c r="H4329"/>
    </row>
    <row r="4330" spans="6:8" x14ac:dyDescent="0.3">
      <c r="F4330"/>
      <c r="H4330"/>
    </row>
    <row r="4331" spans="6:8" x14ac:dyDescent="0.3">
      <c r="F4331"/>
      <c r="H4331"/>
    </row>
    <row r="4332" spans="6:8" x14ac:dyDescent="0.3">
      <c r="F4332"/>
      <c r="H4332"/>
    </row>
    <row r="4333" spans="6:8" x14ac:dyDescent="0.3">
      <c r="F4333"/>
      <c r="H4333"/>
    </row>
    <row r="4334" spans="6:8" x14ac:dyDescent="0.3">
      <c r="F4334"/>
      <c r="H4334"/>
    </row>
    <row r="4335" spans="6:8" x14ac:dyDescent="0.3">
      <c r="F4335"/>
      <c r="H4335"/>
    </row>
    <row r="4336" spans="6:8" x14ac:dyDescent="0.3">
      <c r="F4336"/>
      <c r="H4336"/>
    </row>
    <row r="4337" spans="6:8" x14ac:dyDescent="0.3">
      <c r="F4337"/>
      <c r="H4337"/>
    </row>
    <row r="4338" spans="6:8" x14ac:dyDescent="0.3">
      <c r="F4338"/>
      <c r="H4338"/>
    </row>
    <row r="4339" spans="6:8" x14ac:dyDescent="0.3">
      <c r="F4339"/>
      <c r="H4339"/>
    </row>
    <row r="4340" spans="6:8" x14ac:dyDescent="0.3">
      <c r="F4340"/>
      <c r="H4340"/>
    </row>
    <row r="4341" spans="6:8" x14ac:dyDescent="0.3">
      <c r="F4341"/>
      <c r="H4341"/>
    </row>
    <row r="4342" spans="6:8" x14ac:dyDescent="0.3">
      <c r="F4342"/>
      <c r="H4342"/>
    </row>
    <row r="4343" spans="6:8" x14ac:dyDescent="0.3">
      <c r="F4343"/>
      <c r="H4343"/>
    </row>
    <row r="4344" spans="6:8" x14ac:dyDescent="0.3">
      <c r="F4344"/>
      <c r="H4344"/>
    </row>
    <row r="4345" spans="6:8" x14ac:dyDescent="0.3">
      <c r="F4345"/>
      <c r="H4345"/>
    </row>
    <row r="4346" spans="6:8" x14ac:dyDescent="0.3">
      <c r="F4346"/>
      <c r="H4346"/>
    </row>
    <row r="4347" spans="6:8" x14ac:dyDescent="0.3">
      <c r="F4347"/>
      <c r="H4347"/>
    </row>
    <row r="4348" spans="6:8" x14ac:dyDescent="0.3">
      <c r="F4348"/>
      <c r="H4348"/>
    </row>
    <row r="4349" spans="6:8" x14ac:dyDescent="0.3">
      <c r="F4349"/>
      <c r="H4349"/>
    </row>
    <row r="4350" spans="6:8" x14ac:dyDescent="0.3">
      <c r="F4350"/>
      <c r="H4350"/>
    </row>
    <row r="4351" spans="6:8" x14ac:dyDescent="0.3">
      <c r="F4351"/>
      <c r="H4351"/>
    </row>
    <row r="4352" spans="6:8" x14ac:dyDescent="0.3">
      <c r="F4352"/>
      <c r="H4352"/>
    </row>
    <row r="4353" spans="6:8" x14ac:dyDescent="0.3">
      <c r="F4353"/>
      <c r="H4353"/>
    </row>
    <row r="4354" spans="6:8" x14ac:dyDescent="0.3">
      <c r="F4354"/>
      <c r="H4354"/>
    </row>
    <row r="4355" spans="6:8" x14ac:dyDescent="0.3">
      <c r="F4355"/>
      <c r="H4355"/>
    </row>
    <row r="4356" spans="6:8" x14ac:dyDescent="0.3">
      <c r="F4356"/>
      <c r="H4356"/>
    </row>
    <row r="4357" spans="6:8" x14ac:dyDescent="0.3">
      <c r="F4357"/>
      <c r="H4357"/>
    </row>
    <row r="4358" spans="6:8" x14ac:dyDescent="0.3">
      <c r="F4358"/>
      <c r="H4358"/>
    </row>
    <row r="4359" spans="6:8" x14ac:dyDescent="0.3">
      <c r="F4359"/>
      <c r="H4359"/>
    </row>
    <row r="4360" spans="6:8" x14ac:dyDescent="0.3">
      <c r="F4360"/>
      <c r="H4360"/>
    </row>
    <row r="4361" spans="6:8" x14ac:dyDescent="0.3">
      <c r="F4361"/>
      <c r="H4361"/>
    </row>
    <row r="4362" spans="6:8" x14ac:dyDescent="0.3">
      <c r="F4362"/>
      <c r="H4362"/>
    </row>
    <row r="4363" spans="6:8" x14ac:dyDescent="0.3">
      <c r="F4363"/>
      <c r="H4363"/>
    </row>
    <row r="4364" spans="6:8" x14ac:dyDescent="0.3">
      <c r="F4364"/>
      <c r="H4364"/>
    </row>
    <row r="4365" spans="6:8" x14ac:dyDescent="0.3">
      <c r="F4365"/>
      <c r="H4365"/>
    </row>
    <row r="4366" spans="6:8" x14ac:dyDescent="0.3">
      <c r="F4366"/>
      <c r="H4366"/>
    </row>
    <row r="4367" spans="6:8" x14ac:dyDescent="0.3">
      <c r="F4367"/>
      <c r="H4367"/>
    </row>
    <row r="4368" spans="6:8" x14ac:dyDescent="0.3">
      <c r="F4368"/>
      <c r="H4368"/>
    </row>
    <row r="4369" spans="6:8" x14ac:dyDescent="0.3">
      <c r="F4369"/>
      <c r="H4369"/>
    </row>
    <row r="4370" spans="6:8" x14ac:dyDescent="0.3">
      <c r="F4370"/>
      <c r="H4370"/>
    </row>
    <row r="4371" spans="6:8" x14ac:dyDescent="0.3">
      <c r="F4371"/>
      <c r="H4371"/>
    </row>
    <row r="4372" spans="6:8" x14ac:dyDescent="0.3">
      <c r="F4372"/>
      <c r="H4372"/>
    </row>
    <row r="4373" spans="6:8" x14ac:dyDescent="0.3">
      <c r="F4373"/>
      <c r="H4373"/>
    </row>
    <row r="4374" spans="6:8" x14ac:dyDescent="0.3">
      <c r="F4374"/>
      <c r="H4374"/>
    </row>
    <row r="4375" spans="6:8" x14ac:dyDescent="0.3">
      <c r="F4375"/>
      <c r="H4375"/>
    </row>
    <row r="4376" spans="6:8" x14ac:dyDescent="0.3">
      <c r="F4376"/>
      <c r="H4376"/>
    </row>
    <row r="4377" spans="6:8" x14ac:dyDescent="0.3">
      <c r="F4377"/>
      <c r="H4377"/>
    </row>
    <row r="4378" spans="6:8" x14ac:dyDescent="0.3">
      <c r="F4378"/>
      <c r="H4378"/>
    </row>
    <row r="4379" spans="6:8" x14ac:dyDescent="0.3">
      <c r="F4379"/>
      <c r="H4379"/>
    </row>
    <row r="4380" spans="6:8" x14ac:dyDescent="0.3">
      <c r="F4380"/>
      <c r="H4380"/>
    </row>
    <row r="4381" spans="6:8" x14ac:dyDescent="0.3">
      <c r="F4381"/>
      <c r="H4381"/>
    </row>
    <row r="4382" spans="6:8" x14ac:dyDescent="0.3">
      <c r="F4382"/>
      <c r="H4382"/>
    </row>
    <row r="4383" spans="6:8" x14ac:dyDescent="0.3">
      <c r="F4383"/>
      <c r="H4383"/>
    </row>
    <row r="4384" spans="6:8" x14ac:dyDescent="0.3">
      <c r="F4384"/>
      <c r="H4384"/>
    </row>
    <row r="4385" spans="6:8" x14ac:dyDescent="0.3">
      <c r="F4385"/>
      <c r="H4385"/>
    </row>
    <row r="4386" spans="6:8" x14ac:dyDescent="0.3">
      <c r="F4386"/>
      <c r="H4386"/>
    </row>
    <row r="4387" spans="6:8" x14ac:dyDescent="0.3">
      <c r="F4387"/>
      <c r="H4387"/>
    </row>
    <row r="4388" spans="6:8" x14ac:dyDescent="0.3">
      <c r="F4388"/>
      <c r="H4388"/>
    </row>
    <row r="4389" spans="6:8" x14ac:dyDescent="0.3">
      <c r="F4389"/>
      <c r="H4389"/>
    </row>
    <row r="4390" spans="6:8" x14ac:dyDescent="0.3">
      <c r="F4390"/>
      <c r="H4390"/>
    </row>
    <row r="4391" spans="6:8" x14ac:dyDescent="0.3">
      <c r="F4391"/>
      <c r="H4391"/>
    </row>
    <row r="4392" spans="6:8" x14ac:dyDescent="0.3">
      <c r="F4392"/>
      <c r="H4392"/>
    </row>
    <row r="4393" spans="6:8" x14ac:dyDescent="0.3">
      <c r="F4393"/>
      <c r="H4393"/>
    </row>
    <row r="4394" spans="6:8" x14ac:dyDescent="0.3">
      <c r="F4394"/>
      <c r="H4394"/>
    </row>
    <row r="4395" spans="6:8" x14ac:dyDescent="0.3">
      <c r="F4395"/>
      <c r="H4395"/>
    </row>
    <row r="4396" spans="6:8" x14ac:dyDescent="0.3">
      <c r="F4396"/>
      <c r="H4396"/>
    </row>
    <row r="4397" spans="6:8" x14ac:dyDescent="0.3">
      <c r="F4397"/>
      <c r="H4397"/>
    </row>
    <row r="4398" spans="6:8" x14ac:dyDescent="0.3">
      <c r="F4398"/>
      <c r="H4398"/>
    </row>
    <row r="4399" spans="6:8" x14ac:dyDescent="0.3">
      <c r="F4399"/>
      <c r="H4399"/>
    </row>
    <row r="4400" spans="6:8" x14ac:dyDescent="0.3">
      <c r="F4400"/>
      <c r="H4400"/>
    </row>
    <row r="4401" spans="6:8" x14ac:dyDescent="0.3">
      <c r="F4401"/>
      <c r="H4401"/>
    </row>
    <row r="4402" spans="6:8" x14ac:dyDescent="0.3">
      <c r="F4402"/>
      <c r="H4402"/>
    </row>
    <row r="4403" spans="6:8" x14ac:dyDescent="0.3">
      <c r="F4403"/>
      <c r="H4403"/>
    </row>
    <row r="4404" spans="6:8" x14ac:dyDescent="0.3">
      <c r="F4404"/>
      <c r="H4404"/>
    </row>
    <row r="4405" spans="6:8" x14ac:dyDescent="0.3">
      <c r="F4405"/>
      <c r="H4405"/>
    </row>
    <row r="4406" spans="6:8" x14ac:dyDescent="0.3">
      <c r="F4406"/>
      <c r="H4406"/>
    </row>
    <row r="4407" spans="6:8" x14ac:dyDescent="0.3">
      <c r="F4407"/>
      <c r="H4407"/>
    </row>
    <row r="4408" spans="6:8" x14ac:dyDescent="0.3">
      <c r="F4408"/>
      <c r="H4408"/>
    </row>
    <row r="4409" spans="6:8" x14ac:dyDescent="0.3">
      <c r="F4409"/>
      <c r="H4409"/>
    </row>
    <row r="4410" spans="6:8" x14ac:dyDescent="0.3">
      <c r="F4410"/>
      <c r="H4410"/>
    </row>
    <row r="4411" spans="6:8" x14ac:dyDescent="0.3">
      <c r="F4411"/>
      <c r="H4411"/>
    </row>
    <row r="4412" spans="6:8" x14ac:dyDescent="0.3">
      <c r="F4412"/>
      <c r="H4412"/>
    </row>
    <row r="4413" spans="6:8" x14ac:dyDescent="0.3">
      <c r="F4413"/>
      <c r="H4413"/>
    </row>
    <row r="4414" spans="6:8" x14ac:dyDescent="0.3">
      <c r="F4414"/>
      <c r="H4414"/>
    </row>
    <row r="4415" spans="6:8" x14ac:dyDescent="0.3">
      <c r="F4415"/>
      <c r="H4415"/>
    </row>
    <row r="4416" spans="6:8" x14ac:dyDescent="0.3">
      <c r="F4416"/>
      <c r="H4416"/>
    </row>
    <row r="4417" spans="6:8" x14ac:dyDescent="0.3">
      <c r="F4417"/>
      <c r="H4417"/>
    </row>
    <row r="4418" spans="6:8" x14ac:dyDescent="0.3">
      <c r="F4418"/>
      <c r="H4418"/>
    </row>
    <row r="4419" spans="6:8" x14ac:dyDescent="0.3">
      <c r="F4419"/>
      <c r="H4419"/>
    </row>
    <row r="4420" spans="6:8" x14ac:dyDescent="0.3">
      <c r="F4420"/>
      <c r="H4420"/>
    </row>
    <row r="4421" spans="6:8" x14ac:dyDescent="0.3">
      <c r="F4421"/>
      <c r="H4421"/>
    </row>
    <row r="4422" spans="6:8" x14ac:dyDescent="0.3">
      <c r="F4422"/>
      <c r="H4422"/>
    </row>
    <row r="4423" spans="6:8" x14ac:dyDescent="0.3">
      <c r="F4423"/>
      <c r="H4423"/>
    </row>
    <row r="4424" spans="6:8" x14ac:dyDescent="0.3">
      <c r="F4424"/>
      <c r="H4424"/>
    </row>
    <row r="4425" spans="6:8" x14ac:dyDescent="0.3">
      <c r="F4425"/>
      <c r="H4425"/>
    </row>
    <row r="4426" spans="6:8" x14ac:dyDescent="0.3">
      <c r="F4426"/>
      <c r="H4426"/>
    </row>
    <row r="4427" spans="6:8" x14ac:dyDescent="0.3">
      <c r="F4427"/>
      <c r="H4427"/>
    </row>
    <row r="4428" spans="6:8" x14ac:dyDescent="0.3">
      <c r="F4428"/>
      <c r="H4428"/>
    </row>
    <row r="4429" spans="6:8" x14ac:dyDescent="0.3">
      <c r="F4429"/>
      <c r="H4429"/>
    </row>
    <row r="4430" spans="6:8" x14ac:dyDescent="0.3">
      <c r="F4430"/>
      <c r="H4430"/>
    </row>
    <row r="4431" spans="6:8" x14ac:dyDescent="0.3">
      <c r="F4431"/>
      <c r="H4431"/>
    </row>
    <row r="4432" spans="6:8" x14ac:dyDescent="0.3">
      <c r="F4432"/>
      <c r="H4432"/>
    </row>
    <row r="4433" spans="6:8" x14ac:dyDescent="0.3">
      <c r="F4433"/>
      <c r="H4433"/>
    </row>
    <row r="4434" spans="6:8" x14ac:dyDescent="0.3">
      <c r="F4434"/>
      <c r="H4434"/>
    </row>
    <row r="4435" spans="6:8" x14ac:dyDescent="0.3">
      <c r="F4435"/>
      <c r="H4435"/>
    </row>
    <row r="4436" spans="6:8" x14ac:dyDescent="0.3">
      <c r="F4436"/>
      <c r="H4436"/>
    </row>
    <row r="4437" spans="6:8" x14ac:dyDescent="0.3">
      <c r="F4437"/>
      <c r="H4437"/>
    </row>
    <row r="4438" spans="6:8" x14ac:dyDescent="0.3">
      <c r="F4438"/>
      <c r="H4438"/>
    </row>
    <row r="4439" spans="6:8" x14ac:dyDescent="0.3">
      <c r="F4439"/>
      <c r="H4439"/>
    </row>
    <row r="4440" spans="6:8" x14ac:dyDescent="0.3">
      <c r="F4440"/>
      <c r="H4440"/>
    </row>
    <row r="4441" spans="6:8" x14ac:dyDescent="0.3">
      <c r="F4441"/>
      <c r="H4441"/>
    </row>
    <row r="4442" spans="6:8" x14ac:dyDescent="0.3">
      <c r="F4442"/>
      <c r="H4442"/>
    </row>
    <row r="4443" spans="6:8" x14ac:dyDescent="0.3">
      <c r="F4443"/>
      <c r="H4443"/>
    </row>
    <row r="4444" spans="6:8" x14ac:dyDescent="0.3">
      <c r="F4444"/>
      <c r="H4444"/>
    </row>
    <row r="4445" spans="6:8" x14ac:dyDescent="0.3">
      <c r="F4445"/>
      <c r="H4445"/>
    </row>
    <row r="4446" spans="6:8" x14ac:dyDescent="0.3">
      <c r="F4446"/>
      <c r="H4446"/>
    </row>
    <row r="4447" spans="6:8" x14ac:dyDescent="0.3">
      <c r="F4447"/>
      <c r="H4447"/>
    </row>
    <row r="4448" spans="6:8" x14ac:dyDescent="0.3">
      <c r="F4448"/>
      <c r="H4448"/>
    </row>
    <row r="4449" spans="6:8" x14ac:dyDescent="0.3">
      <c r="F4449"/>
      <c r="H4449"/>
    </row>
    <row r="4450" spans="6:8" x14ac:dyDescent="0.3">
      <c r="F4450"/>
      <c r="H4450"/>
    </row>
    <row r="4451" spans="6:8" x14ac:dyDescent="0.3">
      <c r="F4451"/>
      <c r="H4451"/>
    </row>
    <row r="4452" spans="6:8" x14ac:dyDescent="0.3">
      <c r="F4452"/>
      <c r="H4452"/>
    </row>
    <row r="4453" spans="6:8" x14ac:dyDescent="0.3">
      <c r="F4453"/>
      <c r="H4453"/>
    </row>
    <row r="4454" spans="6:8" x14ac:dyDescent="0.3">
      <c r="F4454"/>
      <c r="H4454"/>
    </row>
    <row r="4455" spans="6:8" x14ac:dyDescent="0.3">
      <c r="F4455"/>
      <c r="H4455"/>
    </row>
    <row r="4456" spans="6:8" x14ac:dyDescent="0.3">
      <c r="F4456"/>
      <c r="H4456"/>
    </row>
    <row r="4457" spans="6:8" x14ac:dyDescent="0.3">
      <c r="F4457"/>
      <c r="H4457"/>
    </row>
    <row r="4458" spans="6:8" x14ac:dyDescent="0.3">
      <c r="F4458"/>
      <c r="H4458"/>
    </row>
    <row r="4459" spans="6:8" x14ac:dyDescent="0.3">
      <c r="F4459"/>
      <c r="H4459"/>
    </row>
    <row r="4460" spans="6:8" x14ac:dyDescent="0.3">
      <c r="F4460"/>
      <c r="H4460"/>
    </row>
    <row r="4461" spans="6:8" x14ac:dyDescent="0.3">
      <c r="F4461"/>
      <c r="H4461"/>
    </row>
    <row r="4462" spans="6:8" x14ac:dyDescent="0.3">
      <c r="F4462"/>
      <c r="H4462"/>
    </row>
    <row r="4463" spans="6:8" x14ac:dyDescent="0.3">
      <c r="F4463"/>
      <c r="H4463"/>
    </row>
    <row r="4464" spans="6:8" x14ac:dyDescent="0.3">
      <c r="F4464"/>
      <c r="H4464"/>
    </row>
    <row r="4465" spans="6:8" x14ac:dyDescent="0.3">
      <c r="F4465"/>
      <c r="H4465"/>
    </row>
    <row r="4466" spans="6:8" x14ac:dyDescent="0.3">
      <c r="F4466"/>
      <c r="H4466"/>
    </row>
    <row r="4467" spans="6:8" x14ac:dyDescent="0.3">
      <c r="F4467"/>
      <c r="H4467"/>
    </row>
    <row r="4468" spans="6:8" x14ac:dyDescent="0.3">
      <c r="F4468"/>
      <c r="H4468"/>
    </row>
    <row r="4469" spans="6:8" x14ac:dyDescent="0.3">
      <c r="F4469"/>
      <c r="H4469"/>
    </row>
    <row r="4470" spans="6:8" x14ac:dyDescent="0.3">
      <c r="F4470"/>
      <c r="H4470"/>
    </row>
    <row r="4471" spans="6:8" x14ac:dyDescent="0.3">
      <c r="F4471"/>
      <c r="H4471"/>
    </row>
    <row r="4472" spans="6:8" x14ac:dyDescent="0.3">
      <c r="F4472"/>
      <c r="H4472"/>
    </row>
    <row r="4473" spans="6:8" x14ac:dyDescent="0.3">
      <c r="F4473"/>
      <c r="H4473"/>
    </row>
    <row r="4474" spans="6:8" x14ac:dyDescent="0.3">
      <c r="F4474"/>
      <c r="H4474"/>
    </row>
    <row r="4475" spans="6:8" x14ac:dyDescent="0.3">
      <c r="F4475"/>
      <c r="H4475"/>
    </row>
    <row r="4476" spans="6:8" x14ac:dyDescent="0.3">
      <c r="F4476"/>
      <c r="H4476"/>
    </row>
    <row r="4477" spans="6:8" x14ac:dyDescent="0.3">
      <c r="F4477"/>
      <c r="H4477"/>
    </row>
    <row r="4478" spans="6:8" x14ac:dyDescent="0.3">
      <c r="F4478"/>
      <c r="H4478"/>
    </row>
    <row r="4479" spans="6:8" x14ac:dyDescent="0.3">
      <c r="F4479"/>
      <c r="H4479"/>
    </row>
    <row r="4480" spans="6:8" x14ac:dyDescent="0.3">
      <c r="F4480"/>
      <c r="H4480"/>
    </row>
    <row r="4481" spans="6:8" x14ac:dyDescent="0.3">
      <c r="F4481"/>
      <c r="H4481"/>
    </row>
    <row r="4482" spans="6:8" x14ac:dyDescent="0.3">
      <c r="F4482"/>
      <c r="H4482"/>
    </row>
    <row r="4483" spans="6:8" x14ac:dyDescent="0.3">
      <c r="F4483"/>
      <c r="H4483"/>
    </row>
    <row r="4484" spans="6:8" x14ac:dyDescent="0.3">
      <c r="F4484"/>
      <c r="H4484"/>
    </row>
    <row r="4485" spans="6:8" x14ac:dyDescent="0.3">
      <c r="F4485"/>
      <c r="H4485"/>
    </row>
    <row r="4486" spans="6:8" x14ac:dyDescent="0.3">
      <c r="F4486"/>
      <c r="H4486"/>
    </row>
    <row r="4487" spans="6:8" x14ac:dyDescent="0.3">
      <c r="F4487"/>
      <c r="H4487"/>
    </row>
    <row r="4488" spans="6:8" x14ac:dyDescent="0.3">
      <c r="F4488"/>
      <c r="H4488"/>
    </row>
    <row r="4489" spans="6:8" x14ac:dyDescent="0.3">
      <c r="F4489"/>
      <c r="H4489"/>
    </row>
    <row r="4490" spans="6:8" x14ac:dyDescent="0.3">
      <c r="F4490"/>
      <c r="H4490"/>
    </row>
    <row r="4491" spans="6:8" x14ac:dyDescent="0.3">
      <c r="F4491"/>
      <c r="H4491"/>
    </row>
    <row r="4492" spans="6:8" x14ac:dyDescent="0.3">
      <c r="F4492"/>
      <c r="H4492"/>
    </row>
    <row r="4493" spans="6:8" x14ac:dyDescent="0.3">
      <c r="F4493"/>
      <c r="H4493"/>
    </row>
    <row r="4494" spans="6:8" x14ac:dyDescent="0.3">
      <c r="F4494"/>
      <c r="H4494"/>
    </row>
    <row r="4495" spans="6:8" x14ac:dyDescent="0.3">
      <c r="F4495"/>
      <c r="H4495"/>
    </row>
    <row r="4496" spans="6:8" x14ac:dyDescent="0.3">
      <c r="F4496"/>
      <c r="H4496"/>
    </row>
    <row r="4497" spans="6:8" x14ac:dyDescent="0.3">
      <c r="F4497"/>
      <c r="H4497"/>
    </row>
    <row r="4498" spans="6:8" x14ac:dyDescent="0.3">
      <c r="F4498"/>
      <c r="H4498"/>
    </row>
    <row r="4499" spans="6:8" x14ac:dyDescent="0.3">
      <c r="F4499"/>
      <c r="H4499"/>
    </row>
    <row r="4500" spans="6:8" x14ac:dyDescent="0.3">
      <c r="F4500"/>
      <c r="H4500"/>
    </row>
    <row r="4501" spans="6:8" x14ac:dyDescent="0.3">
      <c r="F4501"/>
      <c r="H4501"/>
    </row>
    <row r="4502" spans="6:8" x14ac:dyDescent="0.3">
      <c r="F4502"/>
      <c r="H4502"/>
    </row>
    <row r="4503" spans="6:8" x14ac:dyDescent="0.3">
      <c r="F4503"/>
      <c r="H4503"/>
    </row>
    <row r="4504" spans="6:8" x14ac:dyDescent="0.3">
      <c r="F4504"/>
      <c r="H4504"/>
    </row>
    <row r="4505" spans="6:8" x14ac:dyDescent="0.3">
      <c r="F4505"/>
      <c r="H4505"/>
    </row>
    <row r="4506" spans="6:8" x14ac:dyDescent="0.3">
      <c r="F4506"/>
      <c r="H4506"/>
    </row>
    <row r="4507" spans="6:8" x14ac:dyDescent="0.3">
      <c r="F4507"/>
      <c r="H4507"/>
    </row>
    <row r="4508" spans="6:8" x14ac:dyDescent="0.3">
      <c r="F4508"/>
      <c r="H4508"/>
    </row>
    <row r="4509" spans="6:8" x14ac:dyDescent="0.3">
      <c r="F4509"/>
      <c r="H4509"/>
    </row>
    <row r="4510" spans="6:8" x14ac:dyDescent="0.3">
      <c r="F4510"/>
      <c r="H4510"/>
    </row>
    <row r="4511" spans="6:8" x14ac:dyDescent="0.3">
      <c r="F4511"/>
      <c r="H4511"/>
    </row>
    <row r="4512" spans="6:8" x14ac:dyDescent="0.3">
      <c r="F4512"/>
      <c r="H4512"/>
    </row>
    <row r="4513" spans="6:8" x14ac:dyDescent="0.3">
      <c r="F4513"/>
      <c r="H4513"/>
    </row>
    <row r="4514" spans="6:8" x14ac:dyDescent="0.3">
      <c r="F4514"/>
      <c r="H4514"/>
    </row>
    <row r="4515" spans="6:8" x14ac:dyDescent="0.3">
      <c r="F4515"/>
      <c r="H4515"/>
    </row>
    <row r="4516" spans="6:8" x14ac:dyDescent="0.3">
      <c r="F4516"/>
      <c r="H4516"/>
    </row>
    <row r="4517" spans="6:8" x14ac:dyDescent="0.3">
      <c r="F4517"/>
      <c r="H4517"/>
    </row>
    <row r="4518" spans="6:8" x14ac:dyDescent="0.3">
      <c r="F4518"/>
      <c r="H4518"/>
    </row>
    <row r="4519" spans="6:8" x14ac:dyDescent="0.3">
      <c r="F4519"/>
      <c r="H4519"/>
    </row>
    <row r="4520" spans="6:8" x14ac:dyDescent="0.3">
      <c r="F4520"/>
      <c r="H4520"/>
    </row>
    <row r="4521" spans="6:8" x14ac:dyDescent="0.3">
      <c r="F4521"/>
      <c r="H4521"/>
    </row>
    <row r="4522" spans="6:8" x14ac:dyDescent="0.3">
      <c r="F4522"/>
      <c r="H4522"/>
    </row>
    <row r="4523" spans="6:8" x14ac:dyDescent="0.3">
      <c r="F4523"/>
      <c r="H4523"/>
    </row>
    <row r="4524" spans="6:8" x14ac:dyDescent="0.3">
      <c r="F4524"/>
      <c r="H4524"/>
    </row>
    <row r="4525" spans="6:8" x14ac:dyDescent="0.3">
      <c r="F4525"/>
      <c r="H4525"/>
    </row>
    <row r="4526" spans="6:8" x14ac:dyDescent="0.3">
      <c r="F4526"/>
      <c r="H4526"/>
    </row>
    <row r="4527" spans="6:8" x14ac:dyDescent="0.3">
      <c r="F4527"/>
      <c r="H4527"/>
    </row>
    <row r="4528" spans="6:8" x14ac:dyDescent="0.3">
      <c r="F4528"/>
      <c r="H4528"/>
    </row>
    <row r="4529" spans="6:8" x14ac:dyDescent="0.3">
      <c r="F4529"/>
      <c r="H4529"/>
    </row>
    <row r="4530" spans="6:8" x14ac:dyDescent="0.3">
      <c r="F4530"/>
      <c r="H4530"/>
    </row>
    <row r="4531" spans="6:8" x14ac:dyDescent="0.3">
      <c r="F4531"/>
      <c r="H4531"/>
    </row>
    <row r="4532" spans="6:8" x14ac:dyDescent="0.3">
      <c r="F4532"/>
      <c r="H4532"/>
    </row>
    <row r="4533" spans="6:8" x14ac:dyDescent="0.3">
      <c r="F4533"/>
      <c r="H4533"/>
    </row>
    <row r="4534" spans="6:8" x14ac:dyDescent="0.3">
      <c r="F4534"/>
      <c r="H4534"/>
    </row>
    <row r="4535" spans="6:8" x14ac:dyDescent="0.3">
      <c r="F4535"/>
      <c r="H4535"/>
    </row>
    <row r="4536" spans="6:8" x14ac:dyDescent="0.3">
      <c r="F4536"/>
      <c r="H4536"/>
    </row>
    <row r="4537" spans="6:8" x14ac:dyDescent="0.3">
      <c r="F4537"/>
      <c r="H4537"/>
    </row>
    <row r="4538" spans="6:8" x14ac:dyDescent="0.3">
      <c r="F4538"/>
      <c r="H4538"/>
    </row>
    <row r="4539" spans="6:8" x14ac:dyDescent="0.3">
      <c r="F4539"/>
      <c r="H4539"/>
    </row>
    <row r="4540" spans="6:8" x14ac:dyDescent="0.3">
      <c r="F4540"/>
      <c r="H4540"/>
    </row>
    <row r="4541" spans="6:8" x14ac:dyDescent="0.3">
      <c r="F4541"/>
      <c r="H4541"/>
    </row>
    <row r="4542" spans="6:8" x14ac:dyDescent="0.3">
      <c r="F4542"/>
      <c r="H4542"/>
    </row>
    <row r="4543" spans="6:8" x14ac:dyDescent="0.3">
      <c r="F4543"/>
      <c r="H4543"/>
    </row>
    <row r="4544" spans="6:8" x14ac:dyDescent="0.3">
      <c r="F4544"/>
      <c r="H4544"/>
    </row>
    <row r="4545" spans="6:8" x14ac:dyDescent="0.3">
      <c r="F4545"/>
      <c r="H4545"/>
    </row>
    <row r="4546" spans="6:8" x14ac:dyDescent="0.3">
      <c r="F4546"/>
      <c r="H4546"/>
    </row>
    <row r="4547" spans="6:8" x14ac:dyDescent="0.3">
      <c r="F4547"/>
      <c r="H4547"/>
    </row>
    <row r="4548" spans="6:8" x14ac:dyDescent="0.3">
      <c r="F4548"/>
      <c r="H4548"/>
    </row>
    <row r="4549" spans="6:8" x14ac:dyDescent="0.3">
      <c r="F4549"/>
      <c r="H4549"/>
    </row>
    <row r="4550" spans="6:8" x14ac:dyDescent="0.3">
      <c r="F4550"/>
      <c r="H4550"/>
    </row>
    <row r="4551" spans="6:8" x14ac:dyDescent="0.3">
      <c r="F4551"/>
      <c r="H4551"/>
    </row>
    <row r="4552" spans="6:8" x14ac:dyDescent="0.3">
      <c r="F4552"/>
      <c r="H4552"/>
    </row>
    <row r="4553" spans="6:8" x14ac:dyDescent="0.3">
      <c r="F4553"/>
      <c r="H4553"/>
    </row>
    <row r="4554" spans="6:8" x14ac:dyDescent="0.3">
      <c r="F4554"/>
      <c r="H4554"/>
    </row>
    <row r="4555" spans="6:8" x14ac:dyDescent="0.3">
      <c r="F4555"/>
      <c r="H4555"/>
    </row>
    <row r="4556" spans="6:8" x14ac:dyDescent="0.3">
      <c r="F4556"/>
      <c r="H4556"/>
    </row>
    <row r="4557" spans="6:8" x14ac:dyDescent="0.3">
      <c r="F4557"/>
      <c r="H4557"/>
    </row>
    <row r="4558" spans="6:8" x14ac:dyDescent="0.3">
      <c r="F4558"/>
      <c r="H4558"/>
    </row>
    <row r="4559" spans="6:8" x14ac:dyDescent="0.3">
      <c r="F4559"/>
      <c r="H4559"/>
    </row>
    <row r="4560" spans="6:8" x14ac:dyDescent="0.3">
      <c r="F4560"/>
      <c r="H4560"/>
    </row>
    <row r="4561" spans="6:8" x14ac:dyDescent="0.3">
      <c r="F4561"/>
      <c r="H4561"/>
    </row>
    <row r="4562" spans="6:8" x14ac:dyDescent="0.3">
      <c r="F4562"/>
      <c r="H4562"/>
    </row>
    <row r="4563" spans="6:8" x14ac:dyDescent="0.3">
      <c r="F4563"/>
      <c r="H4563"/>
    </row>
    <row r="4564" spans="6:8" x14ac:dyDescent="0.3">
      <c r="F4564"/>
      <c r="H4564"/>
    </row>
    <row r="4565" spans="6:8" x14ac:dyDescent="0.3">
      <c r="F4565"/>
      <c r="H4565"/>
    </row>
    <row r="4566" spans="6:8" x14ac:dyDescent="0.3">
      <c r="F4566"/>
      <c r="H4566"/>
    </row>
    <row r="4567" spans="6:8" x14ac:dyDescent="0.3">
      <c r="F4567"/>
      <c r="H4567"/>
    </row>
    <row r="4568" spans="6:8" x14ac:dyDescent="0.3">
      <c r="F4568"/>
      <c r="H4568"/>
    </row>
    <row r="4569" spans="6:8" x14ac:dyDescent="0.3">
      <c r="F4569"/>
      <c r="H4569"/>
    </row>
    <row r="4570" spans="6:8" x14ac:dyDescent="0.3">
      <c r="F4570"/>
      <c r="H4570"/>
    </row>
    <row r="4571" spans="6:8" x14ac:dyDescent="0.3">
      <c r="F4571"/>
      <c r="H4571"/>
    </row>
    <row r="4572" spans="6:8" x14ac:dyDescent="0.3">
      <c r="F4572"/>
      <c r="H4572"/>
    </row>
    <row r="4573" spans="6:8" x14ac:dyDescent="0.3">
      <c r="F4573"/>
      <c r="H4573"/>
    </row>
    <row r="4574" spans="6:8" x14ac:dyDescent="0.3">
      <c r="F4574"/>
      <c r="H4574"/>
    </row>
    <row r="4575" spans="6:8" x14ac:dyDescent="0.3">
      <c r="F4575"/>
      <c r="H4575"/>
    </row>
    <row r="4576" spans="6:8" x14ac:dyDescent="0.3">
      <c r="F4576"/>
      <c r="H4576"/>
    </row>
    <row r="4577" spans="6:8" x14ac:dyDescent="0.3">
      <c r="F4577"/>
      <c r="H4577"/>
    </row>
    <row r="4578" spans="6:8" x14ac:dyDescent="0.3">
      <c r="F4578"/>
      <c r="H4578"/>
    </row>
    <row r="4579" spans="6:8" x14ac:dyDescent="0.3">
      <c r="F4579"/>
      <c r="H4579"/>
    </row>
    <row r="4580" spans="6:8" x14ac:dyDescent="0.3">
      <c r="F4580"/>
      <c r="H4580"/>
    </row>
    <row r="4581" spans="6:8" x14ac:dyDescent="0.3">
      <c r="F4581"/>
      <c r="H4581"/>
    </row>
    <row r="4582" spans="6:8" x14ac:dyDescent="0.3">
      <c r="F4582"/>
      <c r="H4582"/>
    </row>
    <row r="4583" spans="6:8" x14ac:dyDescent="0.3">
      <c r="F4583"/>
      <c r="H4583"/>
    </row>
    <row r="4584" spans="6:8" x14ac:dyDescent="0.3">
      <c r="F4584"/>
      <c r="H4584"/>
    </row>
    <row r="4585" spans="6:8" x14ac:dyDescent="0.3">
      <c r="F4585"/>
      <c r="H4585"/>
    </row>
    <row r="4586" spans="6:8" x14ac:dyDescent="0.3">
      <c r="F4586"/>
      <c r="H4586"/>
    </row>
    <row r="4587" spans="6:8" x14ac:dyDescent="0.3">
      <c r="F4587"/>
      <c r="H4587"/>
    </row>
    <row r="4588" spans="6:8" x14ac:dyDescent="0.3">
      <c r="F4588"/>
      <c r="H4588"/>
    </row>
    <row r="4589" spans="6:8" x14ac:dyDescent="0.3">
      <c r="F4589"/>
      <c r="H4589"/>
    </row>
    <row r="4590" spans="6:8" x14ac:dyDescent="0.3">
      <c r="F4590"/>
      <c r="H4590"/>
    </row>
    <row r="4591" spans="6:8" x14ac:dyDescent="0.3">
      <c r="F4591"/>
      <c r="H4591"/>
    </row>
    <row r="4592" spans="6:8" x14ac:dyDescent="0.3">
      <c r="F4592"/>
      <c r="H4592"/>
    </row>
    <row r="4593" spans="6:8" x14ac:dyDescent="0.3">
      <c r="F4593"/>
      <c r="H4593"/>
    </row>
    <row r="4594" spans="6:8" x14ac:dyDescent="0.3">
      <c r="F4594"/>
      <c r="H4594"/>
    </row>
    <row r="4595" spans="6:8" x14ac:dyDescent="0.3">
      <c r="F4595"/>
      <c r="H4595"/>
    </row>
    <row r="4596" spans="6:8" x14ac:dyDescent="0.3">
      <c r="F4596"/>
      <c r="H4596"/>
    </row>
    <row r="4597" spans="6:8" x14ac:dyDescent="0.3">
      <c r="F4597"/>
      <c r="H4597"/>
    </row>
    <row r="4598" spans="6:8" x14ac:dyDescent="0.3">
      <c r="F4598"/>
      <c r="H4598"/>
    </row>
    <row r="4599" spans="6:8" x14ac:dyDescent="0.3">
      <c r="F4599"/>
      <c r="H4599"/>
    </row>
    <row r="4600" spans="6:8" x14ac:dyDescent="0.3">
      <c r="F4600"/>
      <c r="H4600"/>
    </row>
    <row r="4601" spans="6:8" x14ac:dyDescent="0.3">
      <c r="F4601"/>
      <c r="H4601"/>
    </row>
    <row r="4602" spans="6:8" x14ac:dyDescent="0.3">
      <c r="F4602"/>
      <c r="H4602"/>
    </row>
    <row r="4603" spans="6:8" x14ac:dyDescent="0.3">
      <c r="F4603"/>
      <c r="H4603"/>
    </row>
    <row r="4604" spans="6:8" x14ac:dyDescent="0.3">
      <c r="F4604"/>
      <c r="H4604"/>
    </row>
    <row r="4605" spans="6:8" x14ac:dyDescent="0.3">
      <c r="F4605"/>
      <c r="H4605"/>
    </row>
    <row r="4606" spans="6:8" x14ac:dyDescent="0.3">
      <c r="F4606"/>
      <c r="H4606"/>
    </row>
    <row r="4607" spans="6:8" x14ac:dyDescent="0.3">
      <c r="F4607"/>
      <c r="H4607"/>
    </row>
    <row r="4608" spans="6:8" x14ac:dyDescent="0.3">
      <c r="F4608"/>
      <c r="H4608"/>
    </row>
    <row r="4609" spans="6:8" x14ac:dyDescent="0.3">
      <c r="F4609"/>
      <c r="H4609"/>
    </row>
    <row r="4610" spans="6:8" x14ac:dyDescent="0.3">
      <c r="F4610"/>
      <c r="H4610"/>
    </row>
    <row r="4611" spans="6:8" x14ac:dyDescent="0.3">
      <c r="F4611"/>
      <c r="H4611"/>
    </row>
    <row r="4612" spans="6:8" x14ac:dyDescent="0.3">
      <c r="F4612"/>
      <c r="H4612"/>
    </row>
    <row r="4613" spans="6:8" x14ac:dyDescent="0.3">
      <c r="F4613"/>
      <c r="H4613"/>
    </row>
    <row r="4614" spans="6:8" x14ac:dyDescent="0.3">
      <c r="F4614"/>
      <c r="H4614"/>
    </row>
    <row r="4615" spans="6:8" x14ac:dyDescent="0.3">
      <c r="F4615"/>
      <c r="H4615"/>
    </row>
    <row r="4616" spans="6:8" x14ac:dyDescent="0.3">
      <c r="F4616"/>
      <c r="H4616"/>
    </row>
    <row r="4617" spans="6:8" x14ac:dyDescent="0.3">
      <c r="F4617"/>
      <c r="H4617"/>
    </row>
    <row r="4618" spans="6:8" x14ac:dyDescent="0.3">
      <c r="F4618"/>
      <c r="H4618"/>
    </row>
    <row r="4619" spans="6:8" x14ac:dyDescent="0.3">
      <c r="F4619"/>
      <c r="H4619"/>
    </row>
    <row r="4620" spans="6:8" x14ac:dyDescent="0.3">
      <c r="F4620"/>
      <c r="H4620"/>
    </row>
    <row r="4621" spans="6:8" x14ac:dyDescent="0.3">
      <c r="F4621"/>
      <c r="H4621"/>
    </row>
    <row r="4622" spans="6:8" x14ac:dyDescent="0.3">
      <c r="F4622"/>
      <c r="H4622"/>
    </row>
    <row r="4623" spans="6:8" x14ac:dyDescent="0.3">
      <c r="F4623"/>
      <c r="H4623"/>
    </row>
    <row r="4624" spans="6:8" x14ac:dyDescent="0.3">
      <c r="F4624"/>
      <c r="H4624"/>
    </row>
    <row r="4625" spans="6:8" x14ac:dyDescent="0.3">
      <c r="F4625"/>
      <c r="H4625"/>
    </row>
    <row r="4626" spans="6:8" x14ac:dyDescent="0.3">
      <c r="F4626"/>
      <c r="H4626"/>
    </row>
    <row r="4627" spans="6:8" x14ac:dyDescent="0.3">
      <c r="F4627"/>
      <c r="H4627"/>
    </row>
    <row r="4628" spans="6:8" x14ac:dyDescent="0.3">
      <c r="F4628"/>
      <c r="H4628"/>
    </row>
    <row r="4629" spans="6:8" x14ac:dyDescent="0.3">
      <c r="F4629"/>
      <c r="H4629"/>
    </row>
    <row r="4630" spans="6:8" x14ac:dyDescent="0.3">
      <c r="F4630"/>
      <c r="H4630"/>
    </row>
    <row r="4631" spans="6:8" x14ac:dyDescent="0.3">
      <c r="F4631"/>
      <c r="H4631"/>
    </row>
    <row r="4632" spans="6:8" x14ac:dyDescent="0.3">
      <c r="F4632"/>
      <c r="H4632"/>
    </row>
    <row r="4633" spans="6:8" x14ac:dyDescent="0.3">
      <c r="F4633"/>
      <c r="H4633"/>
    </row>
    <row r="4634" spans="6:8" x14ac:dyDescent="0.3">
      <c r="F4634"/>
      <c r="H4634"/>
    </row>
    <row r="4635" spans="6:8" x14ac:dyDescent="0.3">
      <c r="F4635"/>
      <c r="H4635"/>
    </row>
    <row r="4636" spans="6:8" x14ac:dyDescent="0.3">
      <c r="F4636"/>
      <c r="H4636"/>
    </row>
    <row r="4637" spans="6:8" x14ac:dyDescent="0.3">
      <c r="F4637"/>
      <c r="H4637"/>
    </row>
    <row r="4638" spans="6:8" x14ac:dyDescent="0.3">
      <c r="F4638"/>
      <c r="H4638"/>
    </row>
    <row r="4639" spans="6:8" x14ac:dyDescent="0.3">
      <c r="F4639"/>
      <c r="H4639"/>
    </row>
    <row r="4640" spans="6:8" x14ac:dyDescent="0.3">
      <c r="F4640"/>
      <c r="H4640"/>
    </row>
    <row r="4641" spans="6:8" x14ac:dyDescent="0.3">
      <c r="F4641"/>
      <c r="H4641"/>
    </row>
    <row r="4642" spans="6:8" x14ac:dyDescent="0.3">
      <c r="F4642"/>
      <c r="H4642"/>
    </row>
    <row r="4643" spans="6:8" x14ac:dyDescent="0.3">
      <c r="F4643"/>
      <c r="H4643"/>
    </row>
    <row r="4644" spans="6:8" x14ac:dyDescent="0.3">
      <c r="F4644"/>
      <c r="H4644"/>
    </row>
    <row r="4645" spans="6:8" x14ac:dyDescent="0.3">
      <c r="F4645"/>
      <c r="H4645"/>
    </row>
    <row r="4646" spans="6:8" x14ac:dyDescent="0.3">
      <c r="F4646"/>
      <c r="H4646"/>
    </row>
    <row r="4647" spans="6:8" x14ac:dyDescent="0.3">
      <c r="F4647"/>
      <c r="H4647"/>
    </row>
    <row r="4648" spans="6:8" x14ac:dyDescent="0.3">
      <c r="F4648"/>
      <c r="H4648"/>
    </row>
    <row r="4649" spans="6:8" x14ac:dyDescent="0.3">
      <c r="F4649"/>
      <c r="H4649"/>
    </row>
    <row r="4650" spans="6:8" x14ac:dyDescent="0.3">
      <c r="F4650"/>
      <c r="H4650"/>
    </row>
    <row r="4651" spans="6:8" x14ac:dyDescent="0.3">
      <c r="F4651"/>
      <c r="H4651"/>
    </row>
    <row r="4652" spans="6:8" x14ac:dyDescent="0.3">
      <c r="F4652"/>
      <c r="H4652"/>
    </row>
    <row r="4653" spans="6:8" x14ac:dyDescent="0.3">
      <c r="F4653"/>
      <c r="H4653"/>
    </row>
    <row r="4654" spans="6:8" x14ac:dyDescent="0.3">
      <c r="F4654"/>
      <c r="H4654"/>
    </row>
    <row r="4655" spans="6:8" x14ac:dyDescent="0.3">
      <c r="F4655"/>
      <c r="H4655"/>
    </row>
    <row r="4656" spans="6:8" x14ac:dyDescent="0.3">
      <c r="F4656"/>
      <c r="H4656"/>
    </row>
    <row r="4657" spans="6:8" x14ac:dyDescent="0.3">
      <c r="F4657"/>
      <c r="H4657"/>
    </row>
    <row r="4658" spans="6:8" x14ac:dyDescent="0.3">
      <c r="F4658"/>
      <c r="H4658"/>
    </row>
    <row r="4659" spans="6:8" x14ac:dyDescent="0.3">
      <c r="F4659"/>
      <c r="H4659"/>
    </row>
    <row r="4660" spans="6:8" x14ac:dyDescent="0.3">
      <c r="F4660"/>
      <c r="H4660"/>
    </row>
    <row r="4661" spans="6:8" x14ac:dyDescent="0.3">
      <c r="F4661"/>
      <c r="H4661"/>
    </row>
    <row r="4662" spans="6:8" x14ac:dyDescent="0.3">
      <c r="F4662"/>
      <c r="H4662"/>
    </row>
    <row r="4663" spans="6:8" x14ac:dyDescent="0.3">
      <c r="F4663"/>
      <c r="H4663"/>
    </row>
    <row r="4664" spans="6:8" x14ac:dyDescent="0.3">
      <c r="F4664"/>
      <c r="H4664"/>
    </row>
    <row r="4665" spans="6:8" x14ac:dyDescent="0.3">
      <c r="F4665"/>
      <c r="H4665"/>
    </row>
    <row r="4666" spans="6:8" x14ac:dyDescent="0.3">
      <c r="F4666"/>
      <c r="H4666"/>
    </row>
    <row r="4667" spans="6:8" x14ac:dyDescent="0.3">
      <c r="F4667"/>
      <c r="H4667"/>
    </row>
    <row r="4668" spans="6:8" x14ac:dyDescent="0.3">
      <c r="F4668"/>
      <c r="H4668"/>
    </row>
    <row r="4669" spans="6:8" x14ac:dyDescent="0.3">
      <c r="F4669"/>
      <c r="H4669"/>
    </row>
    <row r="4670" spans="6:8" x14ac:dyDescent="0.3">
      <c r="F4670"/>
      <c r="H4670"/>
    </row>
    <row r="4671" spans="6:8" x14ac:dyDescent="0.3">
      <c r="F4671"/>
      <c r="H4671"/>
    </row>
    <row r="4672" spans="6:8" x14ac:dyDescent="0.3">
      <c r="F4672"/>
      <c r="H4672"/>
    </row>
    <row r="4673" spans="6:8" x14ac:dyDescent="0.3">
      <c r="F4673"/>
      <c r="H4673"/>
    </row>
    <row r="4674" spans="6:8" x14ac:dyDescent="0.3">
      <c r="F4674"/>
      <c r="H4674"/>
    </row>
    <row r="4675" spans="6:8" x14ac:dyDescent="0.3">
      <c r="F4675"/>
      <c r="H4675"/>
    </row>
    <row r="4676" spans="6:8" x14ac:dyDescent="0.3">
      <c r="F4676"/>
      <c r="H4676"/>
    </row>
    <row r="4677" spans="6:8" x14ac:dyDescent="0.3">
      <c r="F4677"/>
      <c r="H4677"/>
    </row>
    <row r="4678" spans="6:8" x14ac:dyDescent="0.3">
      <c r="F4678"/>
      <c r="H4678"/>
    </row>
    <row r="4679" spans="6:8" x14ac:dyDescent="0.3">
      <c r="F4679"/>
      <c r="H4679"/>
    </row>
    <row r="4680" spans="6:8" x14ac:dyDescent="0.3">
      <c r="F4680"/>
      <c r="H4680"/>
    </row>
    <row r="4681" spans="6:8" x14ac:dyDescent="0.3">
      <c r="F4681"/>
      <c r="H4681"/>
    </row>
    <row r="4682" spans="6:8" x14ac:dyDescent="0.3">
      <c r="F4682"/>
      <c r="H4682"/>
    </row>
    <row r="4683" spans="6:8" x14ac:dyDescent="0.3">
      <c r="F4683"/>
      <c r="H4683"/>
    </row>
    <row r="4684" spans="6:8" x14ac:dyDescent="0.3">
      <c r="F4684"/>
      <c r="H4684"/>
    </row>
    <row r="4685" spans="6:8" x14ac:dyDescent="0.3">
      <c r="F4685"/>
      <c r="H4685"/>
    </row>
    <row r="4686" spans="6:8" x14ac:dyDescent="0.3">
      <c r="F4686"/>
      <c r="H4686"/>
    </row>
    <row r="4687" spans="6:8" x14ac:dyDescent="0.3">
      <c r="F4687"/>
      <c r="H4687"/>
    </row>
    <row r="4688" spans="6:8" x14ac:dyDescent="0.3">
      <c r="F4688"/>
      <c r="H4688"/>
    </row>
    <row r="4689" spans="6:8" x14ac:dyDescent="0.3">
      <c r="F4689"/>
      <c r="H4689"/>
    </row>
    <row r="4690" spans="6:8" x14ac:dyDescent="0.3">
      <c r="F4690"/>
      <c r="H4690"/>
    </row>
    <row r="4691" spans="6:8" x14ac:dyDescent="0.3">
      <c r="F4691"/>
      <c r="H4691"/>
    </row>
    <row r="4692" spans="6:8" x14ac:dyDescent="0.3">
      <c r="F4692"/>
      <c r="H4692"/>
    </row>
    <row r="4693" spans="6:8" x14ac:dyDescent="0.3">
      <c r="F4693"/>
      <c r="H4693"/>
    </row>
    <row r="4694" spans="6:8" x14ac:dyDescent="0.3">
      <c r="F4694"/>
      <c r="H4694"/>
    </row>
    <row r="4695" spans="6:8" x14ac:dyDescent="0.3">
      <c r="F4695"/>
      <c r="H4695"/>
    </row>
    <row r="4696" spans="6:8" x14ac:dyDescent="0.3">
      <c r="F4696"/>
      <c r="H4696"/>
    </row>
    <row r="4697" spans="6:8" x14ac:dyDescent="0.3">
      <c r="F4697"/>
      <c r="H4697"/>
    </row>
    <row r="4698" spans="6:8" x14ac:dyDescent="0.3">
      <c r="F4698"/>
      <c r="H4698"/>
    </row>
    <row r="4699" spans="6:8" x14ac:dyDescent="0.3">
      <c r="F4699"/>
      <c r="H4699"/>
    </row>
    <row r="4700" spans="6:8" x14ac:dyDescent="0.3">
      <c r="F4700"/>
      <c r="H4700"/>
    </row>
    <row r="4701" spans="6:8" x14ac:dyDescent="0.3">
      <c r="F4701"/>
      <c r="H4701"/>
    </row>
    <row r="4702" spans="6:8" x14ac:dyDescent="0.3">
      <c r="F4702"/>
      <c r="H4702"/>
    </row>
    <row r="4703" spans="6:8" x14ac:dyDescent="0.3">
      <c r="F4703"/>
      <c r="H4703"/>
    </row>
    <row r="4704" spans="6:8" x14ac:dyDescent="0.3">
      <c r="F4704"/>
      <c r="H4704"/>
    </row>
    <row r="4705" spans="6:8" x14ac:dyDescent="0.3">
      <c r="F4705"/>
      <c r="H4705"/>
    </row>
    <row r="4706" spans="6:8" x14ac:dyDescent="0.3">
      <c r="F4706"/>
      <c r="H4706"/>
    </row>
    <row r="4707" spans="6:8" x14ac:dyDescent="0.3">
      <c r="F4707"/>
      <c r="H4707"/>
    </row>
    <row r="4708" spans="6:8" x14ac:dyDescent="0.3">
      <c r="F4708"/>
      <c r="H4708"/>
    </row>
    <row r="4709" spans="6:8" x14ac:dyDescent="0.3">
      <c r="F4709"/>
      <c r="H4709"/>
    </row>
    <row r="4710" spans="6:8" x14ac:dyDescent="0.3">
      <c r="F4710"/>
      <c r="H4710"/>
    </row>
    <row r="4711" spans="6:8" x14ac:dyDescent="0.3">
      <c r="F4711"/>
      <c r="H4711"/>
    </row>
    <row r="4712" spans="6:8" x14ac:dyDescent="0.3">
      <c r="F4712"/>
      <c r="H4712"/>
    </row>
    <row r="4713" spans="6:8" x14ac:dyDescent="0.3">
      <c r="F4713"/>
      <c r="H4713"/>
    </row>
    <row r="4714" spans="6:8" x14ac:dyDescent="0.3">
      <c r="F4714"/>
      <c r="H4714"/>
    </row>
    <row r="4715" spans="6:8" x14ac:dyDescent="0.3">
      <c r="F4715"/>
      <c r="H4715"/>
    </row>
    <row r="4716" spans="6:8" x14ac:dyDescent="0.3">
      <c r="F4716"/>
      <c r="H4716"/>
    </row>
    <row r="4717" spans="6:8" x14ac:dyDescent="0.3">
      <c r="F4717"/>
      <c r="H4717"/>
    </row>
    <row r="4718" spans="6:8" x14ac:dyDescent="0.3">
      <c r="F4718"/>
      <c r="H4718"/>
    </row>
    <row r="4719" spans="6:8" x14ac:dyDescent="0.3">
      <c r="F4719"/>
      <c r="H4719"/>
    </row>
    <row r="4720" spans="6:8" x14ac:dyDescent="0.3">
      <c r="F4720"/>
      <c r="H4720"/>
    </row>
    <row r="4721" spans="6:8" x14ac:dyDescent="0.3">
      <c r="F4721"/>
      <c r="H4721"/>
    </row>
    <row r="4722" spans="6:8" x14ac:dyDescent="0.3">
      <c r="F4722"/>
      <c r="H4722"/>
    </row>
    <row r="4723" spans="6:8" x14ac:dyDescent="0.3">
      <c r="F4723"/>
      <c r="H4723"/>
    </row>
    <row r="4724" spans="6:8" x14ac:dyDescent="0.3">
      <c r="F4724"/>
      <c r="H4724"/>
    </row>
    <row r="4725" spans="6:8" x14ac:dyDescent="0.3">
      <c r="F4725"/>
      <c r="H4725"/>
    </row>
    <row r="4726" spans="6:8" x14ac:dyDescent="0.3">
      <c r="F4726"/>
      <c r="H4726"/>
    </row>
    <row r="4727" spans="6:8" x14ac:dyDescent="0.3">
      <c r="F4727"/>
      <c r="H4727"/>
    </row>
    <row r="4728" spans="6:8" x14ac:dyDescent="0.3">
      <c r="F4728"/>
      <c r="H4728"/>
    </row>
    <row r="4729" spans="6:8" x14ac:dyDescent="0.3">
      <c r="F4729"/>
      <c r="H4729"/>
    </row>
    <row r="4730" spans="6:8" x14ac:dyDescent="0.3">
      <c r="F4730"/>
      <c r="H4730"/>
    </row>
    <row r="4731" spans="6:8" x14ac:dyDescent="0.3">
      <c r="F4731"/>
      <c r="H4731"/>
    </row>
    <row r="4732" spans="6:8" x14ac:dyDescent="0.3">
      <c r="F4732"/>
      <c r="H4732"/>
    </row>
    <row r="4733" spans="6:8" x14ac:dyDescent="0.3">
      <c r="F4733"/>
      <c r="H4733"/>
    </row>
    <row r="4734" spans="6:8" x14ac:dyDescent="0.3">
      <c r="F4734"/>
      <c r="H4734"/>
    </row>
    <row r="4735" spans="6:8" x14ac:dyDescent="0.3">
      <c r="F4735"/>
      <c r="H4735"/>
    </row>
    <row r="4736" spans="6:8" x14ac:dyDescent="0.3">
      <c r="F4736"/>
      <c r="H4736"/>
    </row>
    <row r="4737" spans="6:8" x14ac:dyDescent="0.3">
      <c r="F4737"/>
      <c r="H4737"/>
    </row>
    <row r="4738" spans="6:8" x14ac:dyDescent="0.3">
      <c r="F4738"/>
      <c r="H4738"/>
    </row>
    <row r="4739" spans="6:8" x14ac:dyDescent="0.3">
      <c r="F4739"/>
      <c r="H4739"/>
    </row>
    <row r="4740" spans="6:8" x14ac:dyDescent="0.3">
      <c r="F4740"/>
      <c r="H4740"/>
    </row>
    <row r="4741" spans="6:8" x14ac:dyDescent="0.3">
      <c r="F4741"/>
      <c r="H4741"/>
    </row>
    <row r="4742" spans="6:8" x14ac:dyDescent="0.3">
      <c r="F4742"/>
      <c r="H4742"/>
    </row>
    <row r="4743" spans="6:8" x14ac:dyDescent="0.3">
      <c r="F4743"/>
      <c r="H4743"/>
    </row>
    <row r="4744" spans="6:8" x14ac:dyDescent="0.3">
      <c r="F4744"/>
      <c r="H4744"/>
    </row>
    <row r="4745" spans="6:8" x14ac:dyDescent="0.3">
      <c r="F4745"/>
      <c r="H4745"/>
    </row>
    <row r="4746" spans="6:8" x14ac:dyDescent="0.3">
      <c r="F4746"/>
      <c r="H4746"/>
    </row>
    <row r="4747" spans="6:8" x14ac:dyDescent="0.3">
      <c r="F4747"/>
      <c r="H4747"/>
    </row>
    <row r="4748" spans="6:8" x14ac:dyDescent="0.3">
      <c r="F4748"/>
      <c r="H4748"/>
    </row>
    <row r="4749" spans="6:8" x14ac:dyDescent="0.3">
      <c r="F4749"/>
      <c r="H4749"/>
    </row>
    <row r="4750" spans="6:8" x14ac:dyDescent="0.3">
      <c r="F4750"/>
      <c r="H4750"/>
    </row>
    <row r="4751" spans="6:8" x14ac:dyDescent="0.3">
      <c r="F4751"/>
      <c r="H4751"/>
    </row>
    <row r="4752" spans="6:8" x14ac:dyDescent="0.3">
      <c r="F4752"/>
      <c r="H4752"/>
    </row>
    <row r="4753" spans="6:8" x14ac:dyDescent="0.3">
      <c r="F4753"/>
      <c r="H4753"/>
    </row>
    <row r="4754" spans="6:8" x14ac:dyDescent="0.3">
      <c r="F4754"/>
      <c r="H4754"/>
    </row>
    <row r="4755" spans="6:8" x14ac:dyDescent="0.3">
      <c r="F4755"/>
      <c r="H4755"/>
    </row>
    <row r="4756" spans="6:8" x14ac:dyDescent="0.3">
      <c r="F4756"/>
      <c r="H4756"/>
    </row>
    <row r="4757" spans="6:8" x14ac:dyDescent="0.3">
      <c r="F4757"/>
      <c r="H4757"/>
    </row>
    <row r="4758" spans="6:8" x14ac:dyDescent="0.3">
      <c r="F4758"/>
      <c r="H4758"/>
    </row>
    <row r="4759" spans="6:8" x14ac:dyDescent="0.3">
      <c r="F4759"/>
      <c r="H4759"/>
    </row>
    <row r="4760" spans="6:8" x14ac:dyDescent="0.3">
      <c r="F4760"/>
      <c r="H4760"/>
    </row>
    <row r="4761" spans="6:8" x14ac:dyDescent="0.3">
      <c r="F4761"/>
      <c r="H4761"/>
    </row>
    <row r="4762" spans="6:8" x14ac:dyDescent="0.3">
      <c r="F4762"/>
      <c r="H4762"/>
    </row>
    <row r="4763" spans="6:8" x14ac:dyDescent="0.3">
      <c r="F4763"/>
      <c r="H4763"/>
    </row>
    <row r="4764" spans="6:8" x14ac:dyDescent="0.3">
      <c r="F4764"/>
      <c r="H4764"/>
    </row>
    <row r="4765" spans="6:8" x14ac:dyDescent="0.3">
      <c r="F4765"/>
      <c r="H4765"/>
    </row>
    <row r="4766" spans="6:8" x14ac:dyDescent="0.3">
      <c r="F4766"/>
      <c r="H4766"/>
    </row>
    <row r="4767" spans="6:8" x14ac:dyDescent="0.3">
      <c r="F4767"/>
      <c r="H4767"/>
    </row>
    <row r="4768" spans="6:8" x14ac:dyDescent="0.3">
      <c r="F4768"/>
      <c r="H4768"/>
    </row>
    <row r="4769" spans="6:8" x14ac:dyDescent="0.3">
      <c r="F4769"/>
      <c r="H4769"/>
    </row>
    <row r="4770" spans="6:8" x14ac:dyDescent="0.3">
      <c r="F4770"/>
      <c r="H4770"/>
    </row>
    <row r="4771" spans="6:8" x14ac:dyDescent="0.3">
      <c r="F4771"/>
      <c r="H4771"/>
    </row>
    <row r="4772" spans="6:8" x14ac:dyDescent="0.3">
      <c r="F4772"/>
      <c r="H4772"/>
    </row>
    <row r="4773" spans="6:8" x14ac:dyDescent="0.3">
      <c r="F4773"/>
      <c r="H4773"/>
    </row>
    <row r="4774" spans="6:8" x14ac:dyDescent="0.3">
      <c r="F4774"/>
      <c r="H4774"/>
    </row>
    <row r="4775" spans="6:8" x14ac:dyDescent="0.3">
      <c r="F4775"/>
      <c r="H4775"/>
    </row>
    <row r="4776" spans="6:8" x14ac:dyDescent="0.3">
      <c r="F4776"/>
      <c r="H4776"/>
    </row>
    <row r="4777" spans="6:8" x14ac:dyDescent="0.3">
      <c r="F4777"/>
      <c r="H4777"/>
    </row>
    <row r="4778" spans="6:8" x14ac:dyDescent="0.3">
      <c r="F4778"/>
      <c r="H4778"/>
    </row>
    <row r="4779" spans="6:8" x14ac:dyDescent="0.3">
      <c r="F4779"/>
      <c r="H4779"/>
    </row>
    <row r="4780" spans="6:8" x14ac:dyDescent="0.3">
      <c r="F4780"/>
      <c r="H4780"/>
    </row>
    <row r="4781" spans="6:8" x14ac:dyDescent="0.3">
      <c r="F4781"/>
      <c r="H4781"/>
    </row>
    <row r="4782" spans="6:8" x14ac:dyDescent="0.3">
      <c r="F4782"/>
      <c r="H4782"/>
    </row>
    <row r="4783" spans="6:8" x14ac:dyDescent="0.3">
      <c r="F4783"/>
      <c r="H4783"/>
    </row>
    <row r="4784" spans="6:8" x14ac:dyDescent="0.3">
      <c r="F4784"/>
      <c r="H4784"/>
    </row>
    <row r="4785" spans="6:8" x14ac:dyDescent="0.3">
      <c r="F4785"/>
      <c r="H4785"/>
    </row>
    <row r="4786" spans="6:8" x14ac:dyDescent="0.3">
      <c r="F4786"/>
      <c r="H4786"/>
    </row>
    <row r="4787" spans="6:8" x14ac:dyDescent="0.3">
      <c r="F4787"/>
      <c r="H4787"/>
    </row>
    <row r="4788" spans="6:8" x14ac:dyDescent="0.3">
      <c r="F4788"/>
      <c r="H4788"/>
    </row>
    <row r="4789" spans="6:8" x14ac:dyDescent="0.3">
      <c r="F4789"/>
      <c r="H4789"/>
    </row>
    <row r="4790" spans="6:8" x14ac:dyDescent="0.3">
      <c r="F4790"/>
      <c r="H4790"/>
    </row>
    <row r="4791" spans="6:8" x14ac:dyDescent="0.3">
      <c r="F4791"/>
      <c r="H4791"/>
    </row>
    <row r="4792" spans="6:8" x14ac:dyDescent="0.3">
      <c r="F4792"/>
      <c r="H4792"/>
    </row>
    <row r="4793" spans="6:8" x14ac:dyDescent="0.3">
      <c r="F4793"/>
      <c r="H4793"/>
    </row>
    <row r="4794" spans="6:8" x14ac:dyDescent="0.3">
      <c r="F4794"/>
      <c r="H4794"/>
    </row>
    <row r="4795" spans="6:8" x14ac:dyDescent="0.3">
      <c r="F4795"/>
      <c r="H4795"/>
    </row>
    <row r="4796" spans="6:8" x14ac:dyDescent="0.3">
      <c r="F4796"/>
      <c r="H4796"/>
    </row>
    <row r="4797" spans="6:8" x14ac:dyDescent="0.3">
      <c r="F4797"/>
      <c r="H4797"/>
    </row>
    <row r="4798" spans="6:8" x14ac:dyDescent="0.3">
      <c r="F4798"/>
      <c r="H4798"/>
    </row>
    <row r="4799" spans="6:8" x14ac:dyDescent="0.3">
      <c r="F4799"/>
      <c r="H4799"/>
    </row>
    <row r="4800" spans="6:8" x14ac:dyDescent="0.3">
      <c r="F4800"/>
      <c r="H4800"/>
    </row>
    <row r="4801" spans="6:8" x14ac:dyDescent="0.3">
      <c r="F4801"/>
      <c r="H4801"/>
    </row>
    <row r="4802" spans="6:8" x14ac:dyDescent="0.3">
      <c r="F4802"/>
      <c r="H4802"/>
    </row>
    <row r="4803" spans="6:8" x14ac:dyDescent="0.3">
      <c r="F4803"/>
      <c r="H4803"/>
    </row>
    <row r="4804" spans="6:8" x14ac:dyDescent="0.3">
      <c r="F4804"/>
      <c r="H4804"/>
    </row>
    <row r="4805" spans="6:8" x14ac:dyDescent="0.3">
      <c r="F4805"/>
      <c r="H4805"/>
    </row>
    <row r="4806" spans="6:8" x14ac:dyDescent="0.3">
      <c r="F4806"/>
      <c r="H4806"/>
    </row>
    <row r="4807" spans="6:8" x14ac:dyDescent="0.3">
      <c r="F4807"/>
      <c r="H4807"/>
    </row>
    <row r="4808" spans="6:8" x14ac:dyDescent="0.3">
      <c r="F4808"/>
      <c r="H4808"/>
    </row>
    <row r="4809" spans="6:8" x14ac:dyDescent="0.3">
      <c r="F4809"/>
      <c r="H4809"/>
    </row>
    <row r="4810" spans="6:8" x14ac:dyDescent="0.3">
      <c r="F4810"/>
      <c r="H4810"/>
    </row>
    <row r="4811" spans="6:8" x14ac:dyDescent="0.3">
      <c r="F4811"/>
      <c r="H4811"/>
    </row>
    <row r="4812" spans="6:8" x14ac:dyDescent="0.3">
      <c r="F4812"/>
      <c r="H4812"/>
    </row>
    <row r="4813" spans="6:8" x14ac:dyDescent="0.3">
      <c r="F4813"/>
      <c r="H4813"/>
    </row>
    <row r="4814" spans="6:8" x14ac:dyDescent="0.3">
      <c r="F4814"/>
      <c r="H4814"/>
    </row>
    <row r="4815" spans="6:8" x14ac:dyDescent="0.3">
      <c r="F4815"/>
      <c r="H4815"/>
    </row>
    <row r="4816" spans="6:8" x14ac:dyDescent="0.3">
      <c r="F4816"/>
      <c r="H4816"/>
    </row>
    <row r="4817" spans="6:8" x14ac:dyDescent="0.3">
      <c r="F4817"/>
      <c r="H4817"/>
    </row>
    <row r="4818" spans="6:8" x14ac:dyDescent="0.3">
      <c r="F4818"/>
      <c r="H4818"/>
    </row>
    <row r="4819" spans="6:8" x14ac:dyDescent="0.3">
      <c r="F4819"/>
      <c r="H4819"/>
    </row>
    <row r="4820" spans="6:8" x14ac:dyDescent="0.3">
      <c r="F4820"/>
      <c r="H4820"/>
    </row>
    <row r="4821" spans="6:8" x14ac:dyDescent="0.3">
      <c r="F4821"/>
      <c r="H4821"/>
    </row>
    <row r="4822" spans="6:8" x14ac:dyDescent="0.3">
      <c r="F4822"/>
      <c r="H4822"/>
    </row>
    <row r="4823" spans="6:8" x14ac:dyDescent="0.3">
      <c r="F4823"/>
      <c r="H4823"/>
    </row>
    <row r="4824" spans="6:8" x14ac:dyDescent="0.3">
      <c r="F4824"/>
      <c r="H4824"/>
    </row>
    <row r="4825" spans="6:8" x14ac:dyDescent="0.3">
      <c r="F4825"/>
      <c r="H4825"/>
    </row>
    <row r="4826" spans="6:8" x14ac:dyDescent="0.3">
      <c r="F4826"/>
      <c r="H4826"/>
    </row>
    <row r="4827" spans="6:8" x14ac:dyDescent="0.3">
      <c r="F4827"/>
      <c r="H4827"/>
    </row>
    <row r="4828" spans="6:8" x14ac:dyDescent="0.3">
      <c r="F4828"/>
      <c r="H4828"/>
    </row>
    <row r="4829" spans="6:8" x14ac:dyDescent="0.3">
      <c r="F4829"/>
      <c r="H4829"/>
    </row>
    <row r="4830" spans="6:8" x14ac:dyDescent="0.3">
      <c r="F4830"/>
      <c r="H4830"/>
    </row>
    <row r="4831" spans="6:8" x14ac:dyDescent="0.3">
      <c r="F4831"/>
      <c r="H4831"/>
    </row>
    <row r="4832" spans="6:8" x14ac:dyDescent="0.3">
      <c r="F4832"/>
      <c r="H4832"/>
    </row>
    <row r="4833" spans="6:8" x14ac:dyDescent="0.3">
      <c r="F4833"/>
      <c r="H4833"/>
    </row>
    <row r="4834" spans="6:8" x14ac:dyDescent="0.3">
      <c r="F4834"/>
      <c r="H4834"/>
    </row>
    <row r="4835" spans="6:8" x14ac:dyDescent="0.3">
      <c r="F4835"/>
      <c r="H4835"/>
    </row>
    <row r="4836" spans="6:8" x14ac:dyDescent="0.3">
      <c r="F4836"/>
      <c r="H4836"/>
    </row>
    <row r="4837" spans="6:8" x14ac:dyDescent="0.3">
      <c r="F4837"/>
      <c r="H4837"/>
    </row>
    <row r="4838" spans="6:8" x14ac:dyDescent="0.3">
      <c r="F4838"/>
      <c r="H4838"/>
    </row>
    <row r="4839" spans="6:8" x14ac:dyDescent="0.3">
      <c r="F4839"/>
      <c r="H4839"/>
    </row>
    <row r="4840" spans="6:8" x14ac:dyDescent="0.3">
      <c r="F4840"/>
      <c r="H4840"/>
    </row>
    <row r="4841" spans="6:8" x14ac:dyDescent="0.3">
      <c r="F4841"/>
      <c r="H4841"/>
    </row>
    <row r="4842" spans="6:8" x14ac:dyDescent="0.3">
      <c r="F4842"/>
      <c r="H4842"/>
    </row>
    <row r="4843" spans="6:8" x14ac:dyDescent="0.3">
      <c r="F4843"/>
      <c r="H4843"/>
    </row>
    <row r="4844" spans="6:8" x14ac:dyDescent="0.3">
      <c r="F4844"/>
      <c r="H4844"/>
    </row>
    <row r="4845" spans="6:8" x14ac:dyDescent="0.3">
      <c r="F4845"/>
      <c r="H4845"/>
    </row>
    <row r="4846" spans="6:8" x14ac:dyDescent="0.3">
      <c r="F4846"/>
      <c r="H4846"/>
    </row>
    <row r="4847" spans="6:8" x14ac:dyDescent="0.3">
      <c r="F4847"/>
      <c r="H4847"/>
    </row>
    <row r="4848" spans="6:8" x14ac:dyDescent="0.3">
      <c r="F4848"/>
      <c r="H4848"/>
    </row>
    <row r="4849" spans="6:8" x14ac:dyDescent="0.3">
      <c r="F4849"/>
      <c r="H4849"/>
    </row>
    <row r="4850" spans="6:8" x14ac:dyDescent="0.3">
      <c r="F4850"/>
      <c r="H4850"/>
    </row>
    <row r="4851" spans="6:8" x14ac:dyDescent="0.3">
      <c r="F4851"/>
      <c r="H4851"/>
    </row>
    <row r="4852" spans="6:8" x14ac:dyDescent="0.3">
      <c r="F4852"/>
      <c r="H4852"/>
    </row>
    <row r="4853" spans="6:8" x14ac:dyDescent="0.3">
      <c r="F4853"/>
      <c r="H4853"/>
    </row>
    <row r="4854" spans="6:8" x14ac:dyDescent="0.3">
      <c r="F4854"/>
      <c r="H4854"/>
    </row>
    <row r="4855" spans="6:8" x14ac:dyDescent="0.3">
      <c r="F4855"/>
      <c r="H4855"/>
    </row>
    <row r="4856" spans="6:8" x14ac:dyDescent="0.3">
      <c r="F4856"/>
      <c r="H4856"/>
    </row>
    <row r="4857" spans="6:8" x14ac:dyDescent="0.3">
      <c r="F4857"/>
      <c r="H4857"/>
    </row>
    <row r="4858" spans="6:8" x14ac:dyDescent="0.3">
      <c r="F4858"/>
      <c r="H4858"/>
    </row>
    <row r="4859" spans="6:8" x14ac:dyDescent="0.3">
      <c r="F4859"/>
      <c r="H4859"/>
    </row>
    <row r="4860" spans="6:8" x14ac:dyDescent="0.3">
      <c r="F4860"/>
      <c r="H4860"/>
    </row>
    <row r="4861" spans="6:8" x14ac:dyDescent="0.3">
      <c r="F4861"/>
      <c r="H4861"/>
    </row>
    <row r="4862" spans="6:8" x14ac:dyDescent="0.3">
      <c r="F4862"/>
      <c r="H4862"/>
    </row>
    <row r="4863" spans="6:8" x14ac:dyDescent="0.3">
      <c r="F4863"/>
      <c r="H4863"/>
    </row>
    <row r="4864" spans="6:8" x14ac:dyDescent="0.3">
      <c r="F4864"/>
      <c r="H4864"/>
    </row>
    <row r="4865" spans="6:8" x14ac:dyDescent="0.3">
      <c r="F4865"/>
      <c r="H4865"/>
    </row>
    <row r="4866" spans="6:8" x14ac:dyDescent="0.3">
      <c r="F4866"/>
      <c r="H4866"/>
    </row>
    <row r="4867" spans="6:8" x14ac:dyDescent="0.3">
      <c r="F4867"/>
      <c r="H4867"/>
    </row>
    <row r="4868" spans="6:8" x14ac:dyDescent="0.3">
      <c r="F4868"/>
      <c r="H4868"/>
    </row>
    <row r="4869" spans="6:8" x14ac:dyDescent="0.3">
      <c r="F4869"/>
      <c r="H4869"/>
    </row>
    <row r="4870" spans="6:8" x14ac:dyDescent="0.3">
      <c r="F4870"/>
      <c r="H4870"/>
    </row>
    <row r="4871" spans="6:8" x14ac:dyDescent="0.3">
      <c r="F4871"/>
      <c r="H4871"/>
    </row>
    <row r="4872" spans="6:8" x14ac:dyDescent="0.3">
      <c r="F4872"/>
      <c r="H4872"/>
    </row>
    <row r="4873" spans="6:8" x14ac:dyDescent="0.3">
      <c r="F4873"/>
      <c r="H4873"/>
    </row>
    <row r="4874" spans="6:8" x14ac:dyDescent="0.3">
      <c r="F4874"/>
      <c r="H4874"/>
    </row>
    <row r="4875" spans="6:8" x14ac:dyDescent="0.3">
      <c r="F4875"/>
      <c r="H4875"/>
    </row>
    <row r="4876" spans="6:8" x14ac:dyDescent="0.3">
      <c r="F4876"/>
      <c r="H4876"/>
    </row>
    <row r="4877" spans="6:8" x14ac:dyDescent="0.3">
      <c r="F4877"/>
      <c r="H4877"/>
    </row>
    <row r="4878" spans="6:8" x14ac:dyDescent="0.3">
      <c r="F4878"/>
      <c r="H4878"/>
    </row>
    <row r="4879" spans="6:8" x14ac:dyDescent="0.3">
      <c r="F4879"/>
      <c r="H4879"/>
    </row>
    <row r="4880" spans="6:8" x14ac:dyDescent="0.3">
      <c r="F4880"/>
      <c r="H4880"/>
    </row>
    <row r="4881" spans="6:8" x14ac:dyDescent="0.3">
      <c r="F4881"/>
      <c r="H4881"/>
    </row>
    <row r="4882" spans="6:8" x14ac:dyDescent="0.3">
      <c r="F4882"/>
      <c r="H4882"/>
    </row>
    <row r="4883" spans="6:8" x14ac:dyDescent="0.3">
      <c r="F4883"/>
      <c r="H4883"/>
    </row>
    <row r="4884" spans="6:8" x14ac:dyDescent="0.3">
      <c r="F4884"/>
      <c r="H4884"/>
    </row>
    <row r="4885" spans="6:8" x14ac:dyDescent="0.3">
      <c r="F4885"/>
      <c r="H4885"/>
    </row>
    <row r="4886" spans="6:8" x14ac:dyDescent="0.3">
      <c r="F4886"/>
      <c r="H4886"/>
    </row>
    <row r="4887" spans="6:8" x14ac:dyDescent="0.3">
      <c r="F4887"/>
      <c r="H4887"/>
    </row>
    <row r="4888" spans="6:8" x14ac:dyDescent="0.3">
      <c r="F4888"/>
      <c r="H4888"/>
    </row>
    <row r="4889" spans="6:8" x14ac:dyDescent="0.3">
      <c r="F4889"/>
      <c r="H4889"/>
    </row>
    <row r="4890" spans="6:8" x14ac:dyDescent="0.3">
      <c r="F4890"/>
      <c r="H4890"/>
    </row>
    <row r="4891" spans="6:8" x14ac:dyDescent="0.3">
      <c r="F4891"/>
      <c r="H4891"/>
    </row>
    <row r="4892" spans="6:8" x14ac:dyDescent="0.3">
      <c r="F4892"/>
      <c r="H4892"/>
    </row>
    <row r="4893" spans="6:8" x14ac:dyDescent="0.3">
      <c r="F4893"/>
      <c r="H4893"/>
    </row>
    <row r="4894" spans="6:8" x14ac:dyDescent="0.3">
      <c r="F4894"/>
      <c r="H4894"/>
    </row>
    <row r="4895" spans="6:8" x14ac:dyDescent="0.3">
      <c r="F4895"/>
      <c r="H4895"/>
    </row>
    <row r="4896" spans="6:8" x14ac:dyDescent="0.3">
      <c r="F4896"/>
      <c r="H4896"/>
    </row>
    <row r="4897" spans="6:8" x14ac:dyDescent="0.3">
      <c r="F4897"/>
      <c r="H4897"/>
    </row>
    <row r="4898" spans="6:8" x14ac:dyDescent="0.3">
      <c r="F4898"/>
      <c r="H4898"/>
    </row>
    <row r="4899" spans="6:8" x14ac:dyDescent="0.3">
      <c r="F4899"/>
      <c r="H4899"/>
    </row>
    <row r="4900" spans="6:8" x14ac:dyDescent="0.3">
      <c r="F4900"/>
      <c r="H4900"/>
    </row>
    <row r="4901" spans="6:8" x14ac:dyDescent="0.3">
      <c r="F4901"/>
      <c r="H4901"/>
    </row>
    <row r="4902" spans="6:8" x14ac:dyDescent="0.3">
      <c r="F4902"/>
      <c r="H4902"/>
    </row>
    <row r="4903" spans="6:8" x14ac:dyDescent="0.3">
      <c r="F4903"/>
      <c r="H4903"/>
    </row>
    <row r="4904" spans="6:8" x14ac:dyDescent="0.3">
      <c r="F4904"/>
      <c r="H4904"/>
    </row>
    <row r="4905" spans="6:8" x14ac:dyDescent="0.3">
      <c r="F4905"/>
      <c r="H4905"/>
    </row>
    <row r="4906" spans="6:8" x14ac:dyDescent="0.3">
      <c r="F4906"/>
      <c r="H4906"/>
    </row>
    <row r="4907" spans="6:8" x14ac:dyDescent="0.3">
      <c r="F4907"/>
      <c r="H4907"/>
    </row>
    <row r="4908" spans="6:8" x14ac:dyDescent="0.3">
      <c r="F4908"/>
      <c r="H4908"/>
    </row>
    <row r="4909" spans="6:8" x14ac:dyDescent="0.3">
      <c r="F4909"/>
      <c r="H4909"/>
    </row>
    <row r="4910" spans="6:8" x14ac:dyDescent="0.3">
      <c r="F4910"/>
      <c r="H4910"/>
    </row>
    <row r="4911" spans="6:8" x14ac:dyDescent="0.3">
      <c r="F4911"/>
      <c r="H4911"/>
    </row>
    <row r="4912" spans="6:8" x14ac:dyDescent="0.3">
      <c r="F4912"/>
      <c r="H4912"/>
    </row>
    <row r="4913" spans="6:8" x14ac:dyDescent="0.3">
      <c r="F4913"/>
      <c r="H4913"/>
    </row>
    <row r="4914" spans="6:8" x14ac:dyDescent="0.3">
      <c r="F4914"/>
      <c r="H4914"/>
    </row>
    <row r="4915" spans="6:8" x14ac:dyDescent="0.3">
      <c r="F4915"/>
      <c r="H4915"/>
    </row>
    <row r="4916" spans="6:8" x14ac:dyDescent="0.3">
      <c r="F4916"/>
      <c r="H4916"/>
    </row>
    <row r="4917" spans="6:8" x14ac:dyDescent="0.3">
      <c r="F4917"/>
      <c r="H4917"/>
    </row>
    <row r="4918" spans="6:8" x14ac:dyDescent="0.3">
      <c r="F4918"/>
      <c r="H4918"/>
    </row>
    <row r="4919" spans="6:8" x14ac:dyDescent="0.3">
      <c r="F4919"/>
      <c r="H4919"/>
    </row>
    <row r="4920" spans="6:8" x14ac:dyDescent="0.3">
      <c r="F4920"/>
      <c r="H4920"/>
    </row>
    <row r="4921" spans="6:8" x14ac:dyDescent="0.3">
      <c r="F4921"/>
      <c r="H4921"/>
    </row>
    <row r="4922" spans="6:8" x14ac:dyDescent="0.3">
      <c r="F4922"/>
      <c r="H4922"/>
    </row>
    <row r="4923" spans="6:8" x14ac:dyDescent="0.3">
      <c r="F4923"/>
      <c r="H4923"/>
    </row>
    <row r="4924" spans="6:8" x14ac:dyDescent="0.3">
      <c r="F4924"/>
      <c r="H4924"/>
    </row>
    <row r="4925" spans="6:8" x14ac:dyDescent="0.3">
      <c r="F4925"/>
      <c r="H4925"/>
    </row>
    <row r="4926" spans="6:8" x14ac:dyDescent="0.3">
      <c r="F4926"/>
      <c r="H4926"/>
    </row>
    <row r="4927" spans="6:8" x14ac:dyDescent="0.3">
      <c r="F4927"/>
      <c r="H4927"/>
    </row>
    <row r="4928" spans="6:8" x14ac:dyDescent="0.3">
      <c r="F4928"/>
      <c r="H4928"/>
    </row>
    <row r="4929" spans="6:8" x14ac:dyDescent="0.3">
      <c r="F4929"/>
      <c r="H4929"/>
    </row>
    <row r="4930" spans="6:8" x14ac:dyDescent="0.3">
      <c r="F4930"/>
      <c r="H4930"/>
    </row>
    <row r="4931" spans="6:8" x14ac:dyDescent="0.3">
      <c r="F4931"/>
      <c r="H4931"/>
    </row>
    <row r="4932" spans="6:8" x14ac:dyDescent="0.3">
      <c r="F4932"/>
      <c r="H4932"/>
    </row>
    <row r="4933" spans="6:8" x14ac:dyDescent="0.3">
      <c r="F4933"/>
      <c r="H4933"/>
    </row>
    <row r="4934" spans="6:8" x14ac:dyDescent="0.3">
      <c r="F4934"/>
      <c r="H4934"/>
    </row>
    <row r="4935" spans="6:8" x14ac:dyDescent="0.3">
      <c r="F4935"/>
      <c r="H4935"/>
    </row>
    <row r="4936" spans="6:8" x14ac:dyDescent="0.3">
      <c r="F4936"/>
      <c r="H4936"/>
    </row>
    <row r="4937" spans="6:8" x14ac:dyDescent="0.3">
      <c r="F4937"/>
      <c r="H4937"/>
    </row>
    <row r="4938" spans="6:8" x14ac:dyDescent="0.3">
      <c r="F4938"/>
      <c r="H4938"/>
    </row>
    <row r="4939" spans="6:8" x14ac:dyDescent="0.3">
      <c r="F4939"/>
      <c r="H4939"/>
    </row>
    <row r="4940" spans="6:8" x14ac:dyDescent="0.3">
      <c r="F4940"/>
      <c r="H4940"/>
    </row>
    <row r="4941" spans="6:8" x14ac:dyDescent="0.3">
      <c r="F4941"/>
      <c r="H4941"/>
    </row>
    <row r="4942" spans="6:8" x14ac:dyDescent="0.3">
      <c r="F4942"/>
      <c r="H4942"/>
    </row>
    <row r="4943" spans="6:8" x14ac:dyDescent="0.3">
      <c r="F4943"/>
      <c r="H4943"/>
    </row>
    <row r="4944" spans="6:8" x14ac:dyDescent="0.3">
      <c r="F4944"/>
      <c r="H4944"/>
    </row>
    <row r="4945" spans="6:8" x14ac:dyDescent="0.3">
      <c r="F4945"/>
      <c r="H4945"/>
    </row>
    <row r="4946" spans="6:8" x14ac:dyDescent="0.3">
      <c r="F4946"/>
      <c r="H4946"/>
    </row>
    <row r="4947" spans="6:8" x14ac:dyDescent="0.3">
      <c r="F4947"/>
      <c r="H4947"/>
    </row>
    <row r="4948" spans="6:8" x14ac:dyDescent="0.3">
      <c r="F4948"/>
      <c r="H4948"/>
    </row>
    <row r="4949" spans="6:8" x14ac:dyDescent="0.3">
      <c r="F4949"/>
      <c r="H4949"/>
    </row>
    <row r="4950" spans="6:8" x14ac:dyDescent="0.3">
      <c r="F4950"/>
      <c r="H4950"/>
    </row>
    <row r="4951" spans="6:8" x14ac:dyDescent="0.3">
      <c r="F4951"/>
      <c r="H4951"/>
    </row>
    <row r="4952" spans="6:8" x14ac:dyDescent="0.3">
      <c r="F4952"/>
      <c r="H4952"/>
    </row>
    <row r="4953" spans="6:8" x14ac:dyDescent="0.3">
      <c r="F4953"/>
      <c r="H4953"/>
    </row>
    <row r="4954" spans="6:8" x14ac:dyDescent="0.3">
      <c r="F4954"/>
      <c r="H4954"/>
    </row>
    <row r="4955" spans="6:8" x14ac:dyDescent="0.3">
      <c r="F4955"/>
      <c r="H4955"/>
    </row>
    <row r="4956" spans="6:8" x14ac:dyDescent="0.3">
      <c r="F4956"/>
      <c r="H4956"/>
    </row>
    <row r="4957" spans="6:8" x14ac:dyDescent="0.3">
      <c r="F4957"/>
      <c r="H4957"/>
    </row>
    <row r="4958" spans="6:8" x14ac:dyDescent="0.3">
      <c r="F4958"/>
      <c r="H4958"/>
    </row>
    <row r="4959" spans="6:8" x14ac:dyDescent="0.3">
      <c r="F4959"/>
      <c r="H4959"/>
    </row>
    <row r="4960" spans="6:8" x14ac:dyDescent="0.3">
      <c r="F4960"/>
      <c r="H4960"/>
    </row>
    <row r="4961" spans="6:8" x14ac:dyDescent="0.3">
      <c r="F4961"/>
      <c r="H4961"/>
    </row>
    <row r="4962" spans="6:8" x14ac:dyDescent="0.3">
      <c r="F4962"/>
      <c r="H4962"/>
    </row>
    <row r="4963" spans="6:8" x14ac:dyDescent="0.3">
      <c r="F4963"/>
      <c r="H4963"/>
    </row>
    <row r="4964" spans="6:8" x14ac:dyDescent="0.3">
      <c r="F4964"/>
      <c r="H4964"/>
    </row>
    <row r="4965" spans="6:8" x14ac:dyDescent="0.3">
      <c r="F4965"/>
      <c r="H4965"/>
    </row>
    <row r="4966" spans="6:8" x14ac:dyDescent="0.3">
      <c r="F4966"/>
      <c r="H4966"/>
    </row>
    <row r="4967" spans="6:8" x14ac:dyDescent="0.3">
      <c r="F4967"/>
      <c r="H4967"/>
    </row>
    <row r="4968" spans="6:8" x14ac:dyDescent="0.3">
      <c r="F4968"/>
      <c r="H4968"/>
    </row>
    <row r="4969" spans="6:8" x14ac:dyDescent="0.3">
      <c r="F4969"/>
      <c r="H4969"/>
    </row>
    <row r="4970" spans="6:8" x14ac:dyDescent="0.3">
      <c r="F4970"/>
      <c r="H4970"/>
    </row>
    <row r="4971" spans="6:8" x14ac:dyDescent="0.3">
      <c r="F4971"/>
      <c r="H4971"/>
    </row>
    <row r="4972" spans="6:8" x14ac:dyDescent="0.3">
      <c r="F4972"/>
      <c r="H4972"/>
    </row>
    <row r="4973" spans="6:8" x14ac:dyDescent="0.3">
      <c r="F4973"/>
      <c r="H4973"/>
    </row>
    <row r="4974" spans="6:8" x14ac:dyDescent="0.3">
      <c r="F4974"/>
      <c r="H4974"/>
    </row>
    <row r="4975" spans="6:8" x14ac:dyDescent="0.3">
      <c r="F4975"/>
      <c r="H4975"/>
    </row>
    <row r="4976" spans="6:8" x14ac:dyDescent="0.3">
      <c r="F4976"/>
      <c r="H4976"/>
    </row>
    <row r="4977" spans="6:8" x14ac:dyDescent="0.3">
      <c r="F4977"/>
      <c r="H4977"/>
    </row>
    <row r="4978" spans="6:8" x14ac:dyDescent="0.3">
      <c r="F4978"/>
      <c r="H4978"/>
    </row>
    <row r="4979" spans="6:8" x14ac:dyDescent="0.3">
      <c r="F4979"/>
      <c r="H4979"/>
    </row>
    <row r="4980" spans="6:8" x14ac:dyDescent="0.3">
      <c r="F4980"/>
      <c r="H4980"/>
    </row>
    <row r="4981" spans="6:8" x14ac:dyDescent="0.3">
      <c r="F4981"/>
      <c r="H4981"/>
    </row>
    <row r="4982" spans="6:8" x14ac:dyDescent="0.3">
      <c r="F4982"/>
      <c r="H4982"/>
    </row>
    <row r="4983" spans="6:8" x14ac:dyDescent="0.3">
      <c r="F4983"/>
      <c r="H4983"/>
    </row>
    <row r="4984" spans="6:8" x14ac:dyDescent="0.3">
      <c r="F4984"/>
      <c r="H4984"/>
    </row>
    <row r="4985" spans="6:8" x14ac:dyDescent="0.3">
      <c r="F4985"/>
      <c r="H4985"/>
    </row>
    <row r="4986" spans="6:8" x14ac:dyDescent="0.3">
      <c r="F4986"/>
      <c r="H4986"/>
    </row>
    <row r="4987" spans="6:8" x14ac:dyDescent="0.3">
      <c r="F4987"/>
      <c r="H4987"/>
    </row>
    <row r="4988" spans="6:8" x14ac:dyDescent="0.3">
      <c r="F4988"/>
      <c r="H4988"/>
    </row>
    <row r="4989" spans="6:8" x14ac:dyDescent="0.3">
      <c r="F4989"/>
      <c r="H4989"/>
    </row>
    <row r="4990" spans="6:8" x14ac:dyDescent="0.3">
      <c r="F4990"/>
      <c r="H4990"/>
    </row>
    <row r="4991" spans="6:8" x14ac:dyDescent="0.3">
      <c r="F4991"/>
      <c r="H4991"/>
    </row>
    <row r="4992" spans="6:8" x14ac:dyDescent="0.3">
      <c r="F4992"/>
      <c r="H4992"/>
    </row>
    <row r="4993" spans="6:8" x14ac:dyDescent="0.3">
      <c r="F4993"/>
      <c r="H4993"/>
    </row>
    <row r="4994" spans="6:8" x14ac:dyDescent="0.3">
      <c r="F4994"/>
      <c r="H4994"/>
    </row>
    <row r="4995" spans="6:8" x14ac:dyDescent="0.3">
      <c r="F4995"/>
      <c r="H4995"/>
    </row>
    <row r="4996" spans="6:8" x14ac:dyDescent="0.3">
      <c r="F4996"/>
      <c r="H4996"/>
    </row>
    <row r="4997" spans="6:8" x14ac:dyDescent="0.3">
      <c r="F4997"/>
      <c r="H4997"/>
    </row>
    <row r="4998" spans="6:8" x14ac:dyDescent="0.3">
      <c r="F4998"/>
      <c r="H4998"/>
    </row>
    <row r="4999" spans="6:8" x14ac:dyDescent="0.3">
      <c r="F4999"/>
      <c r="H4999"/>
    </row>
    <row r="5000" spans="6:8" x14ac:dyDescent="0.3">
      <c r="F5000"/>
      <c r="H5000"/>
    </row>
    <row r="5001" spans="6:8" x14ac:dyDescent="0.3">
      <c r="F5001"/>
      <c r="H5001"/>
    </row>
    <row r="5002" spans="6:8" x14ac:dyDescent="0.3">
      <c r="F5002"/>
      <c r="H5002"/>
    </row>
    <row r="5003" spans="6:8" x14ac:dyDescent="0.3">
      <c r="F5003"/>
      <c r="H5003"/>
    </row>
    <row r="5004" spans="6:8" x14ac:dyDescent="0.3">
      <c r="F5004"/>
      <c r="H5004"/>
    </row>
    <row r="5005" spans="6:8" x14ac:dyDescent="0.3">
      <c r="F5005"/>
      <c r="H5005"/>
    </row>
    <row r="5006" spans="6:8" x14ac:dyDescent="0.3">
      <c r="F5006"/>
      <c r="H5006"/>
    </row>
    <row r="5007" spans="6:8" x14ac:dyDescent="0.3">
      <c r="F5007"/>
      <c r="H5007"/>
    </row>
    <row r="5008" spans="6:8" x14ac:dyDescent="0.3">
      <c r="F5008"/>
      <c r="H5008"/>
    </row>
    <row r="5009" spans="6:8" x14ac:dyDescent="0.3">
      <c r="F5009"/>
      <c r="H5009"/>
    </row>
    <row r="5010" spans="6:8" x14ac:dyDescent="0.3">
      <c r="F5010"/>
      <c r="H5010"/>
    </row>
    <row r="5011" spans="6:8" x14ac:dyDescent="0.3">
      <c r="F5011"/>
      <c r="H5011"/>
    </row>
    <row r="5012" spans="6:8" x14ac:dyDescent="0.3">
      <c r="F5012"/>
      <c r="H5012"/>
    </row>
    <row r="5013" spans="6:8" x14ac:dyDescent="0.3">
      <c r="F5013"/>
      <c r="H5013"/>
    </row>
    <row r="5014" spans="6:8" x14ac:dyDescent="0.3">
      <c r="F5014"/>
      <c r="H5014"/>
    </row>
    <row r="5015" spans="6:8" x14ac:dyDescent="0.3">
      <c r="F5015"/>
      <c r="H5015"/>
    </row>
    <row r="5016" spans="6:8" x14ac:dyDescent="0.3">
      <c r="F5016"/>
      <c r="H5016"/>
    </row>
    <row r="5017" spans="6:8" x14ac:dyDescent="0.3">
      <c r="F5017"/>
      <c r="H5017"/>
    </row>
    <row r="5018" spans="6:8" x14ac:dyDescent="0.3">
      <c r="F5018"/>
      <c r="H5018"/>
    </row>
    <row r="5019" spans="6:8" x14ac:dyDescent="0.3">
      <c r="F5019"/>
      <c r="H5019"/>
    </row>
    <row r="5020" spans="6:8" x14ac:dyDescent="0.3">
      <c r="F5020"/>
      <c r="H5020"/>
    </row>
    <row r="5021" spans="6:8" x14ac:dyDescent="0.3">
      <c r="F5021"/>
      <c r="H5021"/>
    </row>
    <row r="5022" spans="6:8" x14ac:dyDescent="0.3">
      <c r="F5022"/>
      <c r="H5022"/>
    </row>
    <row r="5023" spans="6:8" x14ac:dyDescent="0.3">
      <c r="F5023"/>
      <c r="H5023"/>
    </row>
    <row r="5024" spans="6:8" x14ac:dyDescent="0.3">
      <c r="F5024"/>
      <c r="H5024"/>
    </row>
    <row r="5025" spans="6:8" x14ac:dyDescent="0.3">
      <c r="F5025"/>
      <c r="H5025"/>
    </row>
    <row r="5026" spans="6:8" x14ac:dyDescent="0.3">
      <c r="F5026"/>
      <c r="H5026"/>
    </row>
    <row r="5027" spans="6:8" x14ac:dyDescent="0.3">
      <c r="F5027"/>
      <c r="H5027"/>
    </row>
    <row r="5028" spans="6:8" x14ac:dyDescent="0.3">
      <c r="F5028"/>
      <c r="H5028"/>
    </row>
    <row r="5029" spans="6:8" x14ac:dyDescent="0.3">
      <c r="F5029"/>
      <c r="H5029"/>
    </row>
    <row r="5030" spans="6:8" x14ac:dyDescent="0.3">
      <c r="F5030"/>
      <c r="H5030"/>
    </row>
    <row r="5031" spans="6:8" x14ac:dyDescent="0.3">
      <c r="F5031"/>
      <c r="H5031"/>
    </row>
    <row r="5032" spans="6:8" x14ac:dyDescent="0.3">
      <c r="F5032"/>
      <c r="H5032"/>
    </row>
    <row r="5033" spans="6:8" x14ac:dyDescent="0.3">
      <c r="F5033"/>
      <c r="H5033"/>
    </row>
    <row r="5034" spans="6:8" x14ac:dyDescent="0.3">
      <c r="F5034"/>
      <c r="H5034"/>
    </row>
    <row r="5035" spans="6:8" x14ac:dyDescent="0.3">
      <c r="F5035"/>
      <c r="H5035"/>
    </row>
    <row r="5036" spans="6:8" x14ac:dyDescent="0.3">
      <c r="F5036"/>
      <c r="H5036"/>
    </row>
    <row r="5037" spans="6:8" x14ac:dyDescent="0.3">
      <c r="F5037"/>
      <c r="H5037"/>
    </row>
    <row r="5038" spans="6:8" x14ac:dyDescent="0.3">
      <c r="F5038"/>
      <c r="H5038"/>
    </row>
    <row r="5039" spans="6:8" x14ac:dyDescent="0.3">
      <c r="F5039"/>
      <c r="H5039"/>
    </row>
    <row r="5040" spans="6:8" x14ac:dyDescent="0.3">
      <c r="F5040"/>
      <c r="H5040"/>
    </row>
    <row r="5041" spans="6:8" x14ac:dyDescent="0.3">
      <c r="F5041"/>
      <c r="H5041"/>
    </row>
    <row r="5042" spans="6:8" x14ac:dyDescent="0.3">
      <c r="F5042"/>
      <c r="H5042"/>
    </row>
    <row r="5043" spans="6:8" x14ac:dyDescent="0.3">
      <c r="F5043"/>
      <c r="H5043"/>
    </row>
    <row r="5044" spans="6:8" x14ac:dyDescent="0.3">
      <c r="F5044"/>
      <c r="H5044"/>
    </row>
    <row r="5045" spans="6:8" x14ac:dyDescent="0.3">
      <c r="F5045"/>
      <c r="H5045"/>
    </row>
    <row r="5046" spans="6:8" x14ac:dyDescent="0.3">
      <c r="F5046"/>
      <c r="H5046"/>
    </row>
    <row r="5047" spans="6:8" x14ac:dyDescent="0.3">
      <c r="F5047"/>
      <c r="H5047"/>
    </row>
    <row r="5048" spans="6:8" x14ac:dyDescent="0.3">
      <c r="F5048"/>
      <c r="H5048"/>
    </row>
    <row r="5049" spans="6:8" x14ac:dyDescent="0.3">
      <c r="F5049"/>
      <c r="H5049"/>
    </row>
    <row r="5050" spans="6:8" x14ac:dyDescent="0.3">
      <c r="F5050"/>
      <c r="H5050"/>
    </row>
    <row r="5051" spans="6:8" x14ac:dyDescent="0.3">
      <c r="F5051"/>
      <c r="H5051"/>
    </row>
    <row r="5052" spans="6:8" x14ac:dyDescent="0.3">
      <c r="F5052"/>
      <c r="H5052"/>
    </row>
    <row r="5053" spans="6:8" x14ac:dyDescent="0.3">
      <c r="F5053"/>
      <c r="H5053"/>
    </row>
    <row r="5054" spans="6:8" x14ac:dyDescent="0.3">
      <c r="F5054"/>
      <c r="H5054"/>
    </row>
    <row r="5055" spans="6:8" x14ac:dyDescent="0.3">
      <c r="F5055"/>
      <c r="H5055"/>
    </row>
    <row r="5056" spans="6:8" x14ac:dyDescent="0.3">
      <c r="F5056"/>
      <c r="H5056"/>
    </row>
    <row r="5057" spans="6:8" x14ac:dyDescent="0.3">
      <c r="F5057"/>
      <c r="H5057"/>
    </row>
    <row r="5058" spans="6:8" x14ac:dyDescent="0.3">
      <c r="F5058"/>
      <c r="H5058"/>
    </row>
    <row r="5059" spans="6:8" x14ac:dyDescent="0.3">
      <c r="F5059"/>
      <c r="H5059"/>
    </row>
    <row r="5060" spans="6:8" x14ac:dyDescent="0.3">
      <c r="F5060"/>
      <c r="H5060"/>
    </row>
    <row r="5061" spans="6:8" x14ac:dyDescent="0.3">
      <c r="F5061"/>
      <c r="H5061"/>
    </row>
    <row r="5062" spans="6:8" x14ac:dyDescent="0.3">
      <c r="F5062"/>
      <c r="H5062"/>
    </row>
    <row r="5063" spans="6:8" x14ac:dyDescent="0.3">
      <c r="F5063"/>
      <c r="H5063"/>
    </row>
    <row r="5064" spans="6:8" x14ac:dyDescent="0.3">
      <c r="F5064"/>
      <c r="H5064"/>
    </row>
    <row r="5065" spans="6:8" x14ac:dyDescent="0.3">
      <c r="F5065"/>
      <c r="H5065"/>
    </row>
    <row r="5066" spans="6:8" x14ac:dyDescent="0.3">
      <c r="F5066"/>
      <c r="H5066"/>
    </row>
    <row r="5067" spans="6:8" x14ac:dyDescent="0.3">
      <c r="F5067"/>
      <c r="H5067"/>
    </row>
    <row r="5068" spans="6:8" x14ac:dyDescent="0.3">
      <c r="F5068"/>
      <c r="H5068"/>
    </row>
    <row r="5069" spans="6:8" x14ac:dyDescent="0.3">
      <c r="F5069"/>
      <c r="H5069"/>
    </row>
    <row r="5070" spans="6:8" x14ac:dyDescent="0.3">
      <c r="F5070"/>
      <c r="H5070"/>
    </row>
    <row r="5071" spans="6:8" x14ac:dyDescent="0.3">
      <c r="F5071"/>
      <c r="H5071"/>
    </row>
    <row r="5072" spans="6:8" x14ac:dyDescent="0.3">
      <c r="F5072"/>
      <c r="H5072"/>
    </row>
    <row r="5073" spans="6:8" x14ac:dyDescent="0.3">
      <c r="F5073"/>
      <c r="H5073"/>
    </row>
    <row r="5074" spans="6:8" x14ac:dyDescent="0.3">
      <c r="F5074"/>
      <c r="H5074"/>
    </row>
    <row r="5075" spans="6:8" x14ac:dyDescent="0.3">
      <c r="F5075"/>
      <c r="H5075"/>
    </row>
    <row r="5076" spans="6:8" x14ac:dyDescent="0.3">
      <c r="F5076"/>
      <c r="H5076"/>
    </row>
    <row r="5077" spans="6:8" x14ac:dyDescent="0.3">
      <c r="F5077"/>
      <c r="H5077"/>
    </row>
    <row r="5078" spans="6:8" x14ac:dyDescent="0.3">
      <c r="F5078"/>
      <c r="H5078"/>
    </row>
    <row r="5079" spans="6:8" x14ac:dyDescent="0.3">
      <c r="F5079"/>
      <c r="H5079"/>
    </row>
    <row r="5080" spans="6:8" x14ac:dyDescent="0.3">
      <c r="F5080"/>
      <c r="H5080"/>
    </row>
    <row r="5081" spans="6:8" x14ac:dyDescent="0.3">
      <c r="F5081"/>
      <c r="H5081"/>
    </row>
    <row r="5082" spans="6:8" x14ac:dyDescent="0.3">
      <c r="F5082"/>
      <c r="H5082"/>
    </row>
    <row r="5083" spans="6:8" x14ac:dyDescent="0.3">
      <c r="F5083"/>
      <c r="H5083"/>
    </row>
    <row r="5084" spans="6:8" x14ac:dyDescent="0.3">
      <c r="F5084"/>
      <c r="H5084"/>
    </row>
    <row r="5085" spans="6:8" x14ac:dyDescent="0.3">
      <c r="F5085"/>
      <c r="H5085"/>
    </row>
    <row r="5086" spans="6:8" x14ac:dyDescent="0.3">
      <c r="F5086"/>
      <c r="H5086"/>
    </row>
    <row r="5087" spans="6:8" x14ac:dyDescent="0.3">
      <c r="F5087"/>
      <c r="H5087"/>
    </row>
    <row r="5088" spans="6:8" x14ac:dyDescent="0.3">
      <c r="F5088"/>
      <c r="H5088"/>
    </row>
    <row r="5089" spans="6:8" x14ac:dyDescent="0.3">
      <c r="F5089"/>
      <c r="H5089"/>
    </row>
    <row r="5090" spans="6:8" x14ac:dyDescent="0.3">
      <c r="F5090"/>
      <c r="H5090"/>
    </row>
    <row r="5091" spans="6:8" x14ac:dyDescent="0.3">
      <c r="F5091"/>
      <c r="H5091"/>
    </row>
    <row r="5092" spans="6:8" x14ac:dyDescent="0.3">
      <c r="F5092"/>
      <c r="H5092"/>
    </row>
    <row r="5093" spans="6:8" x14ac:dyDescent="0.3">
      <c r="F5093"/>
      <c r="H5093"/>
    </row>
    <row r="5094" spans="6:8" x14ac:dyDescent="0.3">
      <c r="F5094"/>
      <c r="H5094"/>
    </row>
    <row r="5095" spans="6:8" x14ac:dyDescent="0.3">
      <c r="F5095"/>
      <c r="H5095"/>
    </row>
    <row r="5096" spans="6:8" x14ac:dyDescent="0.3">
      <c r="F5096"/>
      <c r="H5096"/>
    </row>
    <row r="5097" spans="6:8" x14ac:dyDescent="0.3">
      <c r="F5097"/>
      <c r="H5097"/>
    </row>
    <row r="5098" spans="6:8" x14ac:dyDescent="0.3">
      <c r="F5098"/>
      <c r="H5098"/>
    </row>
    <row r="5099" spans="6:8" x14ac:dyDescent="0.3">
      <c r="F5099"/>
      <c r="H5099"/>
    </row>
    <row r="5100" spans="6:8" x14ac:dyDescent="0.3">
      <c r="F5100"/>
      <c r="H5100"/>
    </row>
    <row r="5101" spans="6:8" x14ac:dyDescent="0.3">
      <c r="F5101"/>
      <c r="H5101"/>
    </row>
    <row r="5102" spans="6:8" x14ac:dyDescent="0.3">
      <c r="F5102"/>
      <c r="H5102"/>
    </row>
    <row r="5103" spans="6:8" x14ac:dyDescent="0.3">
      <c r="F5103"/>
      <c r="H5103"/>
    </row>
    <row r="5104" spans="6:8" x14ac:dyDescent="0.3">
      <c r="F5104"/>
      <c r="H5104"/>
    </row>
    <row r="5105" spans="6:8" x14ac:dyDescent="0.3">
      <c r="F5105"/>
      <c r="H5105"/>
    </row>
    <row r="5106" spans="6:8" x14ac:dyDescent="0.3">
      <c r="F5106"/>
      <c r="H5106"/>
    </row>
    <row r="5107" spans="6:8" x14ac:dyDescent="0.3">
      <c r="F5107"/>
      <c r="H5107"/>
    </row>
    <row r="5108" spans="6:8" x14ac:dyDescent="0.3">
      <c r="F5108"/>
      <c r="H5108"/>
    </row>
    <row r="5109" spans="6:8" x14ac:dyDescent="0.3">
      <c r="F5109"/>
      <c r="H5109"/>
    </row>
    <row r="5110" spans="6:8" x14ac:dyDescent="0.3">
      <c r="F5110"/>
      <c r="H5110"/>
    </row>
    <row r="5111" spans="6:8" x14ac:dyDescent="0.3">
      <c r="F5111"/>
      <c r="H5111"/>
    </row>
    <row r="5112" spans="6:8" x14ac:dyDescent="0.3">
      <c r="F5112"/>
      <c r="H5112"/>
    </row>
    <row r="5113" spans="6:8" x14ac:dyDescent="0.3">
      <c r="F5113"/>
      <c r="H5113"/>
    </row>
    <row r="5114" spans="6:8" x14ac:dyDescent="0.3">
      <c r="F5114"/>
      <c r="H5114"/>
    </row>
    <row r="5115" spans="6:8" x14ac:dyDescent="0.3">
      <c r="F5115"/>
      <c r="H5115"/>
    </row>
    <row r="5116" spans="6:8" x14ac:dyDescent="0.3">
      <c r="F5116"/>
      <c r="H5116"/>
    </row>
    <row r="5117" spans="6:8" x14ac:dyDescent="0.3">
      <c r="F5117"/>
      <c r="H5117"/>
    </row>
    <row r="5118" spans="6:8" x14ac:dyDescent="0.3">
      <c r="F5118"/>
      <c r="H5118"/>
    </row>
    <row r="5119" spans="6:8" x14ac:dyDescent="0.3">
      <c r="F5119"/>
      <c r="H5119"/>
    </row>
    <row r="5120" spans="6:8" x14ac:dyDescent="0.3">
      <c r="F5120"/>
      <c r="H5120"/>
    </row>
    <row r="5121" spans="6:8" x14ac:dyDescent="0.3">
      <c r="F5121"/>
      <c r="H5121"/>
    </row>
    <row r="5122" spans="6:8" x14ac:dyDescent="0.3">
      <c r="F5122"/>
      <c r="H5122"/>
    </row>
    <row r="5123" spans="6:8" x14ac:dyDescent="0.3">
      <c r="F5123"/>
      <c r="H5123"/>
    </row>
    <row r="5124" spans="6:8" x14ac:dyDescent="0.3">
      <c r="F5124"/>
      <c r="H5124"/>
    </row>
    <row r="5125" spans="6:8" x14ac:dyDescent="0.3">
      <c r="F5125"/>
      <c r="H5125"/>
    </row>
    <row r="5126" spans="6:8" x14ac:dyDescent="0.3">
      <c r="F5126"/>
      <c r="H5126"/>
    </row>
    <row r="5127" spans="6:8" x14ac:dyDescent="0.3">
      <c r="F5127"/>
      <c r="H5127"/>
    </row>
    <row r="5128" spans="6:8" x14ac:dyDescent="0.3">
      <c r="F5128"/>
      <c r="H5128"/>
    </row>
    <row r="5129" spans="6:8" x14ac:dyDescent="0.3">
      <c r="F5129"/>
      <c r="H5129"/>
    </row>
    <row r="5130" spans="6:8" x14ac:dyDescent="0.3">
      <c r="F5130"/>
      <c r="H5130"/>
    </row>
    <row r="5131" spans="6:8" x14ac:dyDescent="0.3">
      <c r="F5131"/>
      <c r="H5131"/>
    </row>
    <row r="5132" spans="6:8" x14ac:dyDescent="0.3">
      <c r="F5132"/>
      <c r="H5132"/>
    </row>
    <row r="5133" spans="6:8" x14ac:dyDescent="0.3">
      <c r="F5133"/>
      <c r="H5133"/>
    </row>
    <row r="5134" spans="6:8" x14ac:dyDescent="0.3">
      <c r="F5134"/>
      <c r="H5134"/>
    </row>
    <row r="5135" spans="6:8" x14ac:dyDescent="0.3">
      <c r="F5135"/>
      <c r="H5135"/>
    </row>
    <row r="5136" spans="6:8" x14ac:dyDescent="0.3">
      <c r="F5136"/>
      <c r="H5136"/>
    </row>
    <row r="5137" spans="6:8" x14ac:dyDescent="0.3">
      <c r="F5137"/>
      <c r="H5137"/>
    </row>
    <row r="5138" spans="6:8" x14ac:dyDescent="0.3">
      <c r="F5138"/>
      <c r="H5138"/>
    </row>
    <row r="5139" spans="6:8" x14ac:dyDescent="0.3">
      <c r="F5139"/>
      <c r="H5139"/>
    </row>
    <row r="5140" spans="6:8" x14ac:dyDescent="0.3">
      <c r="F5140"/>
      <c r="H5140"/>
    </row>
    <row r="5141" spans="6:8" x14ac:dyDescent="0.3">
      <c r="F5141"/>
      <c r="H5141"/>
    </row>
    <row r="5142" spans="6:8" x14ac:dyDescent="0.3">
      <c r="F5142"/>
      <c r="H5142"/>
    </row>
    <row r="5143" spans="6:8" x14ac:dyDescent="0.3">
      <c r="F5143"/>
      <c r="H5143"/>
    </row>
    <row r="5144" spans="6:8" x14ac:dyDescent="0.3">
      <c r="F5144"/>
      <c r="H5144"/>
    </row>
    <row r="5145" spans="6:8" x14ac:dyDescent="0.3">
      <c r="F5145"/>
      <c r="H5145"/>
    </row>
    <row r="5146" spans="6:8" x14ac:dyDescent="0.3">
      <c r="F5146"/>
      <c r="H5146"/>
    </row>
    <row r="5147" spans="6:8" x14ac:dyDescent="0.3">
      <c r="F5147"/>
      <c r="H5147"/>
    </row>
    <row r="5148" spans="6:8" x14ac:dyDescent="0.3">
      <c r="F5148"/>
      <c r="H5148"/>
    </row>
    <row r="5149" spans="6:8" x14ac:dyDescent="0.3">
      <c r="F5149"/>
      <c r="H5149"/>
    </row>
    <row r="5150" spans="6:8" x14ac:dyDescent="0.3">
      <c r="F5150"/>
      <c r="H5150"/>
    </row>
    <row r="5151" spans="6:8" x14ac:dyDescent="0.3">
      <c r="F5151"/>
      <c r="H5151"/>
    </row>
    <row r="5152" spans="6:8" x14ac:dyDescent="0.3">
      <c r="F5152"/>
      <c r="H5152"/>
    </row>
    <row r="5153" spans="6:8" x14ac:dyDescent="0.3">
      <c r="F5153"/>
      <c r="H5153"/>
    </row>
    <row r="5154" spans="6:8" x14ac:dyDescent="0.3">
      <c r="F5154"/>
      <c r="H5154"/>
    </row>
    <row r="5155" spans="6:8" x14ac:dyDescent="0.3">
      <c r="F5155"/>
      <c r="H5155"/>
    </row>
    <row r="5156" spans="6:8" x14ac:dyDescent="0.3">
      <c r="F5156"/>
      <c r="H5156"/>
    </row>
    <row r="5157" spans="6:8" x14ac:dyDescent="0.3">
      <c r="F5157"/>
      <c r="H5157"/>
    </row>
    <row r="5158" spans="6:8" x14ac:dyDescent="0.3">
      <c r="F5158"/>
      <c r="H5158"/>
    </row>
    <row r="5159" spans="6:8" x14ac:dyDescent="0.3">
      <c r="F5159"/>
      <c r="H5159"/>
    </row>
    <row r="5160" spans="6:8" x14ac:dyDescent="0.3">
      <c r="F5160"/>
      <c r="H5160"/>
    </row>
    <row r="5161" spans="6:8" x14ac:dyDescent="0.3">
      <c r="F5161"/>
      <c r="H5161"/>
    </row>
    <row r="5162" spans="6:8" x14ac:dyDescent="0.3">
      <c r="F5162"/>
      <c r="H5162"/>
    </row>
    <row r="5163" spans="6:8" x14ac:dyDescent="0.3">
      <c r="F5163"/>
      <c r="H5163"/>
    </row>
    <row r="5164" spans="6:8" x14ac:dyDescent="0.3">
      <c r="F5164"/>
      <c r="H5164"/>
    </row>
    <row r="5165" spans="6:8" x14ac:dyDescent="0.3">
      <c r="F5165"/>
      <c r="H5165"/>
    </row>
    <row r="5166" spans="6:8" x14ac:dyDescent="0.3">
      <c r="F5166"/>
      <c r="H5166"/>
    </row>
    <row r="5167" spans="6:8" x14ac:dyDescent="0.3">
      <c r="F5167"/>
      <c r="H5167"/>
    </row>
    <row r="5168" spans="6:8" x14ac:dyDescent="0.3">
      <c r="F5168"/>
      <c r="H5168"/>
    </row>
    <row r="5169" spans="6:8" x14ac:dyDescent="0.3">
      <c r="F5169"/>
      <c r="H5169"/>
    </row>
    <row r="5170" spans="6:8" x14ac:dyDescent="0.3">
      <c r="F5170"/>
      <c r="H5170"/>
    </row>
    <row r="5171" spans="6:8" x14ac:dyDescent="0.3">
      <c r="F5171"/>
      <c r="H5171"/>
    </row>
    <row r="5172" spans="6:8" x14ac:dyDescent="0.3">
      <c r="F5172"/>
      <c r="H5172"/>
    </row>
    <row r="5173" spans="6:8" x14ac:dyDescent="0.3">
      <c r="F5173"/>
      <c r="H5173"/>
    </row>
    <row r="5174" spans="6:8" x14ac:dyDescent="0.3">
      <c r="F5174"/>
      <c r="H5174"/>
    </row>
    <row r="5175" spans="6:8" x14ac:dyDescent="0.3">
      <c r="F5175"/>
      <c r="H5175"/>
    </row>
    <row r="5176" spans="6:8" x14ac:dyDescent="0.3">
      <c r="F5176"/>
      <c r="H5176"/>
    </row>
    <row r="5177" spans="6:8" x14ac:dyDescent="0.3">
      <c r="F5177"/>
      <c r="H5177"/>
    </row>
    <row r="5178" spans="6:8" x14ac:dyDescent="0.3">
      <c r="F5178"/>
      <c r="H5178"/>
    </row>
    <row r="5179" spans="6:8" x14ac:dyDescent="0.3">
      <c r="F5179"/>
      <c r="H5179"/>
    </row>
    <row r="5180" spans="6:8" x14ac:dyDescent="0.3">
      <c r="F5180"/>
      <c r="H5180"/>
    </row>
    <row r="5181" spans="6:8" x14ac:dyDescent="0.3">
      <c r="F5181"/>
      <c r="H5181"/>
    </row>
    <row r="5182" spans="6:8" x14ac:dyDescent="0.3">
      <c r="F5182"/>
      <c r="H5182"/>
    </row>
    <row r="5183" spans="6:8" x14ac:dyDescent="0.3">
      <c r="F5183"/>
      <c r="H5183"/>
    </row>
    <row r="5184" spans="6:8" x14ac:dyDescent="0.3">
      <c r="F5184"/>
      <c r="H5184"/>
    </row>
    <row r="5185" spans="6:8" x14ac:dyDescent="0.3">
      <c r="F5185"/>
      <c r="H5185"/>
    </row>
    <row r="5186" spans="6:8" x14ac:dyDescent="0.3">
      <c r="F5186"/>
      <c r="H5186"/>
    </row>
    <row r="5187" spans="6:8" x14ac:dyDescent="0.3">
      <c r="F5187"/>
      <c r="H5187"/>
    </row>
    <row r="5188" spans="6:8" x14ac:dyDescent="0.3">
      <c r="F5188"/>
      <c r="H5188"/>
    </row>
    <row r="5189" spans="6:8" x14ac:dyDescent="0.3">
      <c r="F5189"/>
      <c r="H5189"/>
    </row>
    <row r="5190" spans="6:8" x14ac:dyDescent="0.3">
      <c r="F5190"/>
      <c r="H5190"/>
    </row>
    <row r="5191" spans="6:8" x14ac:dyDescent="0.3">
      <c r="F5191"/>
      <c r="H5191"/>
    </row>
    <row r="5192" spans="6:8" x14ac:dyDescent="0.3">
      <c r="F5192"/>
      <c r="H5192"/>
    </row>
    <row r="5193" spans="6:8" x14ac:dyDescent="0.3">
      <c r="F5193"/>
      <c r="H5193"/>
    </row>
    <row r="5194" spans="6:8" x14ac:dyDescent="0.3">
      <c r="F5194"/>
      <c r="H5194"/>
    </row>
    <row r="5195" spans="6:8" x14ac:dyDescent="0.3">
      <c r="F5195"/>
      <c r="H5195"/>
    </row>
    <row r="5196" spans="6:8" x14ac:dyDescent="0.3">
      <c r="F5196"/>
      <c r="H5196"/>
    </row>
    <row r="5197" spans="6:8" x14ac:dyDescent="0.3">
      <c r="F5197"/>
      <c r="H5197"/>
    </row>
    <row r="5198" spans="6:8" x14ac:dyDescent="0.3">
      <c r="F5198"/>
      <c r="H5198"/>
    </row>
    <row r="5199" spans="6:8" x14ac:dyDescent="0.3">
      <c r="F5199"/>
      <c r="H5199"/>
    </row>
    <row r="5200" spans="6:8" x14ac:dyDescent="0.3">
      <c r="F5200"/>
      <c r="H5200"/>
    </row>
    <row r="5201" spans="6:8" x14ac:dyDescent="0.3">
      <c r="F5201"/>
      <c r="H5201"/>
    </row>
    <row r="5202" spans="6:8" x14ac:dyDescent="0.3">
      <c r="F5202"/>
      <c r="H5202"/>
    </row>
    <row r="5203" spans="6:8" x14ac:dyDescent="0.3">
      <c r="F5203"/>
      <c r="H5203"/>
    </row>
    <row r="5204" spans="6:8" x14ac:dyDescent="0.3">
      <c r="F5204"/>
      <c r="H5204"/>
    </row>
    <row r="5205" spans="6:8" x14ac:dyDescent="0.3">
      <c r="F5205"/>
      <c r="H5205"/>
    </row>
    <row r="5206" spans="6:8" x14ac:dyDescent="0.3">
      <c r="F5206"/>
      <c r="H5206"/>
    </row>
    <row r="5207" spans="6:8" x14ac:dyDescent="0.3">
      <c r="F5207"/>
      <c r="H5207"/>
    </row>
    <row r="5208" spans="6:8" x14ac:dyDescent="0.3">
      <c r="F5208"/>
      <c r="H5208"/>
    </row>
    <row r="5209" spans="6:8" x14ac:dyDescent="0.3">
      <c r="F5209"/>
      <c r="H5209"/>
    </row>
    <row r="5210" spans="6:8" x14ac:dyDescent="0.3">
      <c r="F5210"/>
      <c r="H5210"/>
    </row>
    <row r="5211" spans="6:8" x14ac:dyDescent="0.3">
      <c r="F5211"/>
      <c r="H5211"/>
    </row>
    <row r="5212" spans="6:8" x14ac:dyDescent="0.3">
      <c r="F5212"/>
      <c r="H5212"/>
    </row>
    <row r="5213" spans="6:8" x14ac:dyDescent="0.3">
      <c r="F5213"/>
      <c r="H5213"/>
    </row>
    <row r="5214" spans="6:8" x14ac:dyDescent="0.3">
      <c r="F5214"/>
      <c r="H5214"/>
    </row>
    <row r="5215" spans="6:8" x14ac:dyDescent="0.3">
      <c r="F5215"/>
      <c r="H5215"/>
    </row>
    <row r="5216" spans="6:8" x14ac:dyDescent="0.3">
      <c r="F5216"/>
      <c r="H5216"/>
    </row>
    <row r="5217" spans="6:8" x14ac:dyDescent="0.3">
      <c r="F5217"/>
      <c r="H5217"/>
    </row>
    <row r="5218" spans="6:8" x14ac:dyDescent="0.3">
      <c r="F5218"/>
      <c r="H5218"/>
    </row>
    <row r="5219" spans="6:8" x14ac:dyDescent="0.3">
      <c r="F5219"/>
      <c r="H5219"/>
    </row>
    <row r="5220" spans="6:8" x14ac:dyDescent="0.3">
      <c r="F5220"/>
      <c r="H5220"/>
    </row>
    <row r="5221" spans="6:8" x14ac:dyDescent="0.3">
      <c r="F5221"/>
      <c r="H5221"/>
    </row>
    <row r="5222" spans="6:8" x14ac:dyDescent="0.3">
      <c r="F5222"/>
      <c r="H5222"/>
    </row>
    <row r="5223" spans="6:8" x14ac:dyDescent="0.3">
      <c r="F5223"/>
      <c r="H5223"/>
    </row>
    <row r="5224" spans="6:8" x14ac:dyDescent="0.3">
      <c r="F5224"/>
      <c r="H5224"/>
    </row>
    <row r="5225" spans="6:8" x14ac:dyDescent="0.3">
      <c r="F5225"/>
      <c r="H5225"/>
    </row>
    <row r="5226" spans="6:8" x14ac:dyDescent="0.3">
      <c r="F5226"/>
      <c r="H5226"/>
    </row>
    <row r="5227" spans="6:8" x14ac:dyDescent="0.3">
      <c r="F5227"/>
      <c r="H5227"/>
    </row>
    <row r="5228" spans="6:8" x14ac:dyDescent="0.3">
      <c r="F5228"/>
      <c r="H5228"/>
    </row>
    <row r="5229" spans="6:8" x14ac:dyDescent="0.3">
      <c r="F5229"/>
      <c r="H5229"/>
    </row>
    <row r="5230" spans="6:8" x14ac:dyDescent="0.3">
      <c r="F5230"/>
      <c r="H5230"/>
    </row>
    <row r="5231" spans="6:8" x14ac:dyDescent="0.3">
      <c r="F5231"/>
      <c r="H5231"/>
    </row>
    <row r="5232" spans="6:8" x14ac:dyDescent="0.3">
      <c r="F5232"/>
      <c r="H5232"/>
    </row>
    <row r="5233" spans="6:8" x14ac:dyDescent="0.3">
      <c r="F5233"/>
      <c r="H5233"/>
    </row>
    <row r="5234" spans="6:8" x14ac:dyDescent="0.3">
      <c r="F5234"/>
      <c r="H5234"/>
    </row>
    <row r="5235" spans="6:8" x14ac:dyDescent="0.3">
      <c r="F5235"/>
      <c r="H5235"/>
    </row>
    <row r="5236" spans="6:8" x14ac:dyDescent="0.3">
      <c r="F5236"/>
      <c r="H5236"/>
    </row>
    <row r="5237" spans="6:8" x14ac:dyDescent="0.3">
      <c r="F5237"/>
      <c r="H5237"/>
    </row>
    <row r="5238" spans="6:8" x14ac:dyDescent="0.3">
      <c r="F5238"/>
      <c r="H5238"/>
    </row>
    <row r="5239" spans="6:8" x14ac:dyDescent="0.3">
      <c r="F5239"/>
      <c r="H5239"/>
    </row>
    <row r="5240" spans="6:8" x14ac:dyDescent="0.3">
      <c r="F5240"/>
      <c r="H5240"/>
    </row>
    <row r="5241" spans="6:8" x14ac:dyDescent="0.3">
      <c r="F5241"/>
      <c r="H5241"/>
    </row>
    <row r="5242" spans="6:8" x14ac:dyDescent="0.3">
      <c r="F5242"/>
      <c r="H5242"/>
    </row>
    <row r="5243" spans="6:8" x14ac:dyDescent="0.3">
      <c r="F5243"/>
      <c r="H5243"/>
    </row>
    <row r="5244" spans="6:8" x14ac:dyDescent="0.3">
      <c r="F5244"/>
      <c r="H5244"/>
    </row>
    <row r="5245" spans="6:8" x14ac:dyDescent="0.3">
      <c r="F5245"/>
      <c r="H5245"/>
    </row>
    <row r="5246" spans="6:8" x14ac:dyDescent="0.3">
      <c r="F5246"/>
      <c r="H5246"/>
    </row>
    <row r="5247" spans="6:8" x14ac:dyDescent="0.3">
      <c r="F5247"/>
      <c r="H5247"/>
    </row>
    <row r="5248" spans="6:8" x14ac:dyDescent="0.3">
      <c r="F5248"/>
      <c r="H5248"/>
    </row>
    <row r="5249" spans="6:8" x14ac:dyDescent="0.3">
      <c r="F5249"/>
      <c r="H5249"/>
    </row>
    <row r="5250" spans="6:8" x14ac:dyDescent="0.3">
      <c r="F5250"/>
      <c r="H5250"/>
    </row>
    <row r="5251" spans="6:8" x14ac:dyDescent="0.3">
      <c r="F5251"/>
      <c r="H5251"/>
    </row>
    <row r="5252" spans="6:8" x14ac:dyDescent="0.3">
      <c r="F5252"/>
      <c r="H5252"/>
    </row>
    <row r="5253" spans="6:8" x14ac:dyDescent="0.3">
      <c r="F5253"/>
      <c r="H5253"/>
    </row>
    <row r="5254" spans="6:8" x14ac:dyDescent="0.3">
      <c r="F5254"/>
      <c r="H5254"/>
    </row>
    <row r="5255" spans="6:8" x14ac:dyDescent="0.3">
      <c r="F5255"/>
      <c r="H5255"/>
    </row>
    <row r="5256" spans="6:8" x14ac:dyDescent="0.3">
      <c r="F5256"/>
      <c r="H5256"/>
    </row>
    <row r="5257" spans="6:8" x14ac:dyDescent="0.3">
      <c r="F5257"/>
      <c r="H5257"/>
    </row>
    <row r="5258" spans="6:8" x14ac:dyDescent="0.3">
      <c r="F5258"/>
      <c r="H5258"/>
    </row>
    <row r="5259" spans="6:8" x14ac:dyDescent="0.3">
      <c r="F5259"/>
      <c r="H5259"/>
    </row>
    <row r="5260" spans="6:8" x14ac:dyDescent="0.3">
      <c r="F5260"/>
      <c r="H5260"/>
    </row>
    <row r="5261" spans="6:8" x14ac:dyDescent="0.3">
      <c r="F5261"/>
      <c r="H5261"/>
    </row>
    <row r="5262" spans="6:8" x14ac:dyDescent="0.3">
      <c r="F5262"/>
      <c r="H5262"/>
    </row>
    <row r="5263" spans="6:8" x14ac:dyDescent="0.3">
      <c r="F5263"/>
      <c r="H5263"/>
    </row>
    <row r="5264" spans="6:8" x14ac:dyDescent="0.3">
      <c r="F5264"/>
      <c r="H5264"/>
    </row>
    <row r="5265" spans="6:8" x14ac:dyDescent="0.3">
      <c r="F5265"/>
      <c r="H5265"/>
    </row>
    <row r="5266" spans="6:8" x14ac:dyDescent="0.3">
      <c r="F5266"/>
      <c r="H5266"/>
    </row>
    <row r="5267" spans="6:8" x14ac:dyDescent="0.3">
      <c r="F5267"/>
      <c r="H5267"/>
    </row>
    <row r="5268" spans="6:8" x14ac:dyDescent="0.3">
      <c r="F5268"/>
      <c r="H5268"/>
    </row>
    <row r="5269" spans="6:8" x14ac:dyDescent="0.3">
      <c r="F5269"/>
      <c r="H5269"/>
    </row>
    <row r="5270" spans="6:8" x14ac:dyDescent="0.3">
      <c r="F5270"/>
      <c r="H5270"/>
    </row>
    <row r="5271" spans="6:8" x14ac:dyDescent="0.3">
      <c r="F5271"/>
      <c r="H5271"/>
    </row>
    <row r="5272" spans="6:8" x14ac:dyDescent="0.3">
      <c r="F5272"/>
      <c r="H5272"/>
    </row>
    <row r="5273" spans="6:8" x14ac:dyDescent="0.3">
      <c r="F5273"/>
      <c r="H5273"/>
    </row>
    <row r="5274" spans="6:8" x14ac:dyDescent="0.3">
      <c r="F5274"/>
      <c r="H5274"/>
    </row>
    <row r="5275" spans="6:8" x14ac:dyDescent="0.3">
      <c r="F5275"/>
      <c r="H5275"/>
    </row>
    <row r="5276" spans="6:8" x14ac:dyDescent="0.3">
      <c r="F5276"/>
      <c r="H5276"/>
    </row>
    <row r="5277" spans="6:8" x14ac:dyDescent="0.3">
      <c r="F5277"/>
      <c r="H5277"/>
    </row>
    <row r="5278" spans="6:8" x14ac:dyDescent="0.3">
      <c r="F5278"/>
      <c r="H5278"/>
    </row>
    <row r="5279" spans="6:8" x14ac:dyDescent="0.3">
      <c r="F5279"/>
      <c r="H5279"/>
    </row>
    <row r="5280" spans="6:8" x14ac:dyDescent="0.3">
      <c r="F5280"/>
      <c r="H5280"/>
    </row>
    <row r="5281" spans="6:8" x14ac:dyDescent="0.3">
      <c r="F5281"/>
      <c r="H5281"/>
    </row>
    <row r="5282" spans="6:8" x14ac:dyDescent="0.3">
      <c r="F5282"/>
      <c r="H5282"/>
    </row>
    <row r="5283" spans="6:8" x14ac:dyDescent="0.3">
      <c r="F5283"/>
      <c r="H5283"/>
    </row>
    <row r="5284" spans="6:8" x14ac:dyDescent="0.3">
      <c r="F5284"/>
      <c r="H5284"/>
    </row>
    <row r="5285" spans="6:8" x14ac:dyDescent="0.3">
      <c r="F5285"/>
      <c r="H5285"/>
    </row>
    <row r="5286" spans="6:8" x14ac:dyDescent="0.3">
      <c r="F5286"/>
      <c r="H5286"/>
    </row>
    <row r="5287" spans="6:8" x14ac:dyDescent="0.3">
      <c r="F5287"/>
      <c r="H5287"/>
    </row>
    <row r="5288" spans="6:8" x14ac:dyDescent="0.3">
      <c r="F5288"/>
      <c r="H5288"/>
    </row>
    <row r="5289" spans="6:8" x14ac:dyDescent="0.3">
      <c r="F5289"/>
      <c r="H5289"/>
    </row>
    <row r="5290" spans="6:8" x14ac:dyDescent="0.3">
      <c r="F5290"/>
      <c r="H5290"/>
    </row>
    <row r="5291" spans="6:8" x14ac:dyDescent="0.3">
      <c r="F5291"/>
      <c r="H5291"/>
    </row>
    <row r="5292" spans="6:8" x14ac:dyDescent="0.3">
      <c r="F5292"/>
      <c r="H5292"/>
    </row>
    <row r="5293" spans="6:8" x14ac:dyDescent="0.3">
      <c r="F5293"/>
      <c r="H5293"/>
    </row>
    <row r="5294" spans="6:8" x14ac:dyDescent="0.3">
      <c r="F5294"/>
      <c r="H5294"/>
    </row>
    <row r="5295" spans="6:8" x14ac:dyDescent="0.3">
      <c r="F5295"/>
      <c r="H5295"/>
    </row>
    <row r="5296" spans="6:8" x14ac:dyDescent="0.3">
      <c r="F5296"/>
      <c r="H5296"/>
    </row>
    <row r="5297" spans="6:8" x14ac:dyDescent="0.3">
      <c r="F5297"/>
      <c r="H5297"/>
    </row>
    <row r="5298" spans="6:8" x14ac:dyDescent="0.3">
      <c r="F5298"/>
      <c r="H5298"/>
    </row>
    <row r="5299" spans="6:8" x14ac:dyDescent="0.3">
      <c r="F5299"/>
      <c r="H5299"/>
    </row>
    <row r="5300" spans="6:8" x14ac:dyDescent="0.3">
      <c r="F5300"/>
      <c r="H5300"/>
    </row>
    <row r="5301" spans="6:8" x14ac:dyDescent="0.3">
      <c r="F5301"/>
      <c r="H5301"/>
    </row>
    <row r="5302" spans="6:8" x14ac:dyDescent="0.3">
      <c r="F5302"/>
      <c r="H5302"/>
    </row>
    <row r="5303" spans="6:8" x14ac:dyDescent="0.3">
      <c r="F5303"/>
      <c r="H5303"/>
    </row>
    <row r="5304" spans="6:8" x14ac:dyDescent="0.3">
      <c r="F5304"/>
      <c r="H5304"/>
    </row>
    <row r="5305" spans="6:8" x14ac:dyDescent="0.3">
      <c r="F5305"/>
      <c r="H5305"/>
    </row>
    <row r="5306" spans="6:8" x14ac:dyDescent="0.3">
      <c r="F5306"/>
      <c r="H5306"/>
    </row>
    <row r="5307" spans="6:8" x14ac:dyDescent="0.3">
      <c r="F5307"/>
      <c r="H5307"/>
    </row>
    <row r="5308" spans="6:8" x14ac:dyDescent="0.3">
      <c r="F5308"/>
      <c r="H5308"/>
    </row>
    <row r="5309" spans="6:8" x14ac:dyDescent="0.3">
      <c r="F5309"/>
      <c r="H5309"/>
    </row>
    <row r="5310" spans="6:8" x14ac:dyDescent="0.3">
      <c r="F5310"/>
      <c r="H5310"/>
    </row>
    <row r="5311" spans="6:8" x14ac:dyDescent="0.3">
      <c r="F5311"/>
      <c r="H5311"/>
    </row>
    <row r="5312" spans="6:8" x14ac:dyDescent="0.3">
      <c r="F5312"/>
      <c r="H5312"/>
    </row>
    <row r="5313" spans="6:8" x14ac:dyDescent="0.3">
      <c r="F5313"/>
      <c r="H5313"/>
    </row>
    <row r="5314" spans="6:8" x14ac:dyDescent="0.3">
      <c r="F5314"/>
      <c r="H5314"/>
    </row>
    <row r="5315" spans="6:8" x14ac:dyDescent="0.3">
      <c r="F5315"/>
      <c r="H5315"/>
    </row>
    <row r="5316" spans="6:8" x14ac:dyDescent="0.3">
      <c r="F5316"/>
      <c r="H5316"/>
    </row>
    <row r="5317" spans="6:8" x14ac:dyDescent="0.3">
      <c r="F5317"/>
      <c r="H5317"/>
    </row>
    <row r="5318" spans="6:8" x14ac:dyDescent="0.3">
      <c r="F5318"/>
      <c r="H5318"/>
    </row>
    <row r="5319" spans="6:8" x14ac:dyDescent="0.3">
      <c r="F5319"/>
      <c r="H5319"/>
    </row>
    <row r="5320" spans="6:8" x14ac:dyDescent="0.3">
      <c r="F5320"/>
      <c r="H5320"/>
    </row>
    <row r="5321" spans="6:8" x14ac:dyDescent="0.3">
      <c r="F5321"/>
      <c r="H5321"/>
    </row>
    <row r="5322" spans="6:8" x14ac:dyDescent="0.3">
      <c r="F5322"/>
      <c r="H5322"/>
    </row>
    <row r="5323" spans="6:8" x14ac:dyDescent="0.3">
      <c r="F5323"/>
      <c r="H5323"/>
    </row>
    <row r="5324" spans="6:8" x14ac:dyDescent="0.3">
      <c r="F5324"/>
      <c r="H5324"/>
    </row>
    <row r="5325" spans="6:8" x14ac:dyDescent="0.3">
      <c r="F5325"/>
      <c r="H5325"/>
    </row>
    <row r="5326" spans="6:8" x14ac:dyDescent="0.3">
      <c r="F5326"/>
      <c r="H5326"/>
    </row>
    <row r="5327" spans="6:8" x14ac:dyDescent="0.3">
      <c r="F5327"/>
      <c r="H5327"/>
    </row>
    <row r="5328" spans="6:8" x14ac:dyDescent="0.3">
      <c r="F5328"/>
      <c r="H5328"/>
    </row>
    <row r="5329" spans="6:8" x14ac:dyDescent="0.3">
      <c r="F5329"/>
      <c r="H5329"/>
    </row>
    <row r="5330" spans="6:8" x14ac:dyDescent="0.3">
      <c r="F5330"/>
      <c r="H5330"/>
    </row>
    <row r="5331" spans="6:8" x14ac:dyDescent="0.3">
      <c r="F5331"/>
      <c r="H5331"/>
    </row>
    <row r="5332" spans="6:8" x14ac:dyDescent="0.3">
      <c r="F5332"/>
      <c r="H5332"/>
    </row>
    <row r="5333" spans="6:8" x14ac:dyDescent="0.3">
      <c r="F5333"/>
      <c r="H5333"/>
    </row>
    <row r="5334" spans="6:8" x14ac:dyDescent="0.3">
      <c r="F5334"/>
      <c r="H5334"/>
    </row>
    <row r="5335" spans="6:8" x14ac:dyDescent="0.3">
      <c r="F5335"/>
      <c r="H5335"/>
    </row>
    <row r="5336" spans="6:8" x14ac:dyDescent="0.3">
      <c r="F5336"/>
      <c r="H5336"/>
    </row>
    <row r="5337" spans="6:8" x14ac:dyDescent="0.3">
      <c r="F5337"/>
      <c r="H5337"/>
    </row>
    <row r="5338" spans="6:8" x14ac:dyDescent="0.3">
      <c r="F5338"/>
      <c r="H5338"/>
    </row>
    <row r="5339" spans="6:8" x14ac:dyDescent="0.3">
      <c r="F5339"/>
      <c r="H5339"/>
    </row>
    <row r="5340" spans="6:8" x14ac:dyDescent="0.3">
      <c r="F5340"/>
      <c r="H5340"/>
    </row>
    <row r="5341" spans="6:8" x14ac:dyDescent="0.3">
      <c r="F5341"/>
      <c r="H5341"/>
    </row>
    <row r="5342" spans="6:8" x14ac:dyDescent="0.3">
      <c r="F5342"/>
      <c r="H5342"/>
    </row>
    <row r="5343" spans="6:8" x14ac:dyDescent="0.3">
      <c r="F5343"/>
      <c r="H5343"/>
    </row>
    <row r="5344" spans="6:8" x14ac:dyDescent="0.3">
      <c r="F5344"/>
      <c r="H5344"/>
    </row>
    <row r="5345" spans="6:8" x14ac:dyDescent="0.3">
      <c r="F5345"/>
      <c r="H5345"/>
    </row>
    <row r="5346" spans="6:8" x14ac:dyDescent="0.3">
      <c r="F5346"/>
      <c r="H5346"/>
    </row>
    <row r="5347" spans="6:8" x14ac:dyDescent="0.3">
      <c r="F5347"/>
      <c r="H5347"/>
    </row>
    <row r="5348" spans="6:8" x14ac:dyDescent="0.3">
      <c r="F5348"/>
      <c r="H5348"/>
    </row>
    <row r="5349" spans="6:8" x14ac:dyDescent="0.3">
      <c r="F5349"/>
      <c r="H5349"/>
    </row>
    <row r="5350" spans="6:8" x14ac:dyDescent="0.3">
      <c r="F5350"/>
      <c r="H5350"/>
    </row>
    <row r="5351" spans="6:8" x14ac:dyDescent="0.3">
      <c r="F5351"/>
      <c r="H5351"/>
    </row>
    <row r="5352" spans="6:8" x14ac:dyDescent="0.3">
      <c r="F5352"/>
      <c r="H5352"/>
    </row>
    <row r="5353" spans="6:8" x14ac:dyDescent="0.3">
      <c r="F5353"/>
      <c r="H5353"/>
    </row>
    <row r="5354" spans="6:8" x14ac:dyDescent="0.3">
      <c r="F5354"/>
      <c r="H5354"/>
    </row>
    <row r="5355" spans="6:8" x14ac:dyDescent="0.3">
      <c r="F5355"/>
      <c r="H5355"/>
    </row>
    <row r="5356" spans="6:8" x14ac:dyDescent="0.3">
      <c r="F5356"/>
      <c r="H5356"/>
    </row>
    <row r="5357" spans="6:8" x14ac:dyDescent="0.3">
      <c r="F5357"/>
      <c r="H5357"/>
    </row>
    <row r="5358" spans="6:8" x14ac:dyDescent="0.3">
      <c r="F5358"/>
      <c r="H5358"/>
    </row>
    <row r="5359" spans="6:8" x14ac:dyDescent="0.3">
      <c r="F5359"/>
      <c r="H5359"/>
    </row>
    <row r="5360" spans="6:8" x14ac:dyDescent="0.3">
      <c r="F5360"/>
      <c r="H5360"/>
    </row>
    <row r="5361" spans="6:8" x14ac:dyDescent="0.3">
      <c r="F5361"/>
      <c r="H5361"/>
    </row>
    <row r="5362" spans="6:8" x14ac:dyDescent="0.3">
      <c r="F5362"/>
      <c r="H5362"/>
    </row>
    <row r="5363" spans="6:8" x14ac:dyDescent="0.3">
      <c r="F5363"/>
      <c r="H5363"/>
    </row>
    <row r="5364" spans="6:8" x14ac:dyDescent="0.3">
      <c r="F5364"/>
      <c r="H5364"/>
    </row>
    <row r="5365" spans="6:8" x14ac:dyDescent="0.3">
      <c r="F5365"/>
      <c r="H5365"/>
    </row>
    <row r="5366" spans="6:8" x14ac:dyDescent="0.3">
      <c r="F5366"/>
      <c r="H5366"/>
    </row>
    <row r="5367" spans="6:8" x14ac:dyDescent="0.3">
      <c r="F5367"/>
      <c r="H5367"/>
    </row>
    <row r="5368" spans="6:8" x14ac:dyDescent="0.3">
      <c r="F5368"/>
      <c r="H5368"/>
    </row>
    <row r="5369" spans="6:8" x14ac:dyDescent="0.3">
      <c r="F5369"/>
      <c r="H5369"/>
    </row>
    <row r="5370" spans="6:8" x14ac:dyDescent="0.3">
      <c r="F5370"/>
      <c r="H5370"/>
    </row>
    <row r="5371" spans="6:8" x14ac:dyDescent="0.3">
      <c r="F5371"/>
      <c r="H5371"/>
    </row>
    <row r="5372" spans="6:8" x14ac:dyDescent="0.3">
      <c r="F5372"/>
      <c r="H5372"/>
    </row>
    <row r="5373" spans="6:8" x14ac:dyDescent="0.3">
      <c r="F5373"/>
      <c r="H5373"/>
    </row>
    <row r="5374" spans="6:8" x14ac:dyDescent="0.3">
      <c r="F5374"/>
      <c r="H5374"/>
    </row>
    <row r="5375" spans="6:8" x14ac:dyDescent="0.3">
      <c r="F5375"/>
      <c r="H5375"/>
    </row>
    <row r="5376" spans="6:8" x14ac:dyDescent="0.3">
      <c r="F5376"/>
      <c r="H5376"/>
    </row>
    <row r="5377" spans="6:8" x14ac:dyDescent="0.3">
      <c r="F5377"/>
      <c r="H5377"/>
    </row>
    <row r="5378" spans="6:8" x14ac:dyDescent="0.3">
      <c r="F5378"/>
      <c r="H5378"/>
    </row>
    <row r="5379" spans="6:8" x14ac:dyDescent="0.3">
      <c r="F5379"/>
      <c r="H5379"/>
    </row>
    <row r="5380" spans="6:8" x14ac:dyDescent="0.3">
      <c r="F5380"/>
      <c r="H5380"/>
    </row>
    <row r="5381" spans="6:8" x14ac:dyDescent="0.3">
      <c r="F5381"/>
      <c r="H5381"/>
    </row>
    <row r="5382" spans="6:8" x14ac:dyDescent="0.3">
      <c r="F5382"/>
      <c r="H5382"/>
    </row>
    <row r="5383" spans="6:8" x14ac:dyDescent="0.3">
      <c r="F5383"/>
      <c r="H5383"/>
    </row>
    <row r="5384" spans="6:8" x14ac:dyDescent="0.3">
      <c r="F5384"/>
      <c r="H5384"/>
    </row>
    <row r="5385" spans="6:8" x14ac:dyDescent="0.3">
      <c r="F5385"/>
      <c r="H5385"/>
    </row>
    <row r="5386" spans="6:8" x14ac:dyDescent="0.3">
      <c r="F5386"/>
      <c r="H5386"/>
    </row>
    <row r="5387" spans="6:8" x14ac:dyDescent="0.3">
      <c r="F5387"/>
      <c r="H5387"/>
    </row>
    <row r="5388" spans="6:8" x14ac:dyDescent="0.3">
      <c r="F5388"/>
      <c r="H5388"/>
    </row>
    <row r="5389" spans="6:8" x14ac:dyDescent="0.3">
      <c r="F5389"/>
      <c r="H5389"/>
    </row>
    <row r="5390" spans="6:8" x14ac:dyDescent="0.3">
      <c r="F5390"/>
      <c r="H5390"/>
    </row>
    <row r="5391" spans="6:8" x14ac:dyDescent="0.3">
      <c r="F5391"/>
      <c r="H5391"/>
    </row>
    <row r="5392" spans="6:8" x14ac:dyDescent="0.3">
      <c r="F5392"/>
      <c r="H5392"/>
    </row>
    <row r="5393" spans="6:8" x14ac:dyDescent="0.3">
      <c r="F5393"/>
      <c r="H5393"/>
    </row>
    <row r="5394" spans="6:8" x14ac:dyDescent="0.3">
      <c r="F5394"/>
      <c r="H5394"/>
    </row>
    <row r="5395" spans="6:8" x14ac:dyDescent="0.3">
      <c r="F5395"/>
      <c r="H5395"/>
    </row>
    <row r="5396" spans="6:8" x14ac:dyDescent="0.3">
      <c r="F5396"/>
      <c r="H5396"/>
    </row>
    <row r="5397" spans="6:8" x14ac:dyDescent="0.3">
      <c r="F5397"/>
      <c r="H5397"/>
    </row>
    <row r="5398" spans="6:8" x14ac:dyDescent="0.3">
      <c r="F5398"/>
      <c r="H5398"/>
    </row>
    <row r="5399" spans="6:8" x14ac:dyDescent="0.3">
      <c r="F5399"/>
      <c r="H5399"/>
    </row>
    <row r="5400" spans="6:8" x14ac:dyDescent="0.3">
      <c r="F5400"/>
      <c r="H5400"/>
    </row>
    <row r="5401" spans="6:8" x14ac:dyDescent="0.3">
      <c r="F5401"/>
      <c r="H5401"/>
    </row>
    <row r="5402" spans="6:8" x14ac:dyDescent="0.3">
      <c r="F5402"/>
      <c r="H5402"/>
    </row>
    <row r="5403" spans="6:8" x14ac:dyDescent="0.3">
      <c r="F5403"/>
      <c r="H5403"/>
    </row>
    <row r="5404" spans="6:8" x14ac:dyDescent="0.3">
      <c r="F5404"/>
      <c r="H5404"/>
    </row>
    <row r="5405" spans="6:8" x14ac:dyDescent="0.3">
      <c r="F5405"/>
      <c r="H5405"/>
    </row>
    <row r="5406" spans="6:8" x14ac:dyDescent="0.3">
      <c r="F5406"/>
      <c r="H5406"/>
    </row>
    <row r="5407" spans="6:8" x14ac:dyDescent="0.3">
      <c r="F5407"/>
      <c r="H5407"/>
    </row>
    <row r="5408" spans="6:8" x14ac:dyDescent="0.3">
      <c r="F5408"/>
      <c r="H5408"/>
    </row>
    <row r="5409" spans="6:8" x14ac:dyDescent="0.3">
      <c r="F5409"/>
      <c r="H5409"/>
    </row>
    <row r="5410" spans="6:8" x14ac:dyDescent="0.3">
      <c r="F5410"/>
      <c r="H5410"/>
    </row>
    <row r="5411" spans="6:8" x14ac:dyDescent="0.3">
      <c r="F5411"/>
      <c r="H5411"/>
    </row>
    <row r="5412" spans="6:8" x14ac:dyDescent="0.3">
      <c r="F5412"/>
      <c r="H5412"/>
    </row>
    <row r="5413" spans="6:8" x14ac:dyDescent="0.3">
      <c r="F5413"/>
      <c r="H5413"/>
    </row>
    <row r="5414" spans="6:8" x14ac:dyDescent="0.3">
      <c r="F5414"/>
      <c r="H5414"/>
    </row>
    <row r="5415" spans="6:8" x14ac:dyDescent="0.3">
      <c r="F5415"/>
      <c r="H5415"/>
    </row>
    <row r="5416" spans="6:8" x14ac:dyDescent="0.3">
      <c r="F5416"/>
      <c r="H5416"/>
    </row>
    <row r="5417" spans="6:8" x14ac:dyDescent="0.3">
      <c r="F5417"/>
      <c r="H5417"/>
    </row>
    <row r="5418" spans="6:8" x14ac:dyDescent="0.3">
      <c r="F5418"/>
      <c r="H5418"/>
    </row>
    <row r="5419" spans="6:8" x14ac:dyDescent="0.3">
      <c r="F5419"/>
      <c r="H5419"/>
    </row>
    <row r="5420" spans="6:8" x14ac:dyDescent="0.3">
      <c r="F5420"/>
      <c r="H5420"/>
    </row>
    <row r="5421" spans="6:8" x14ac:dyDescent="0.3">
      <c r="F5421"/>
      <c r="H5421"/>
    </row>
    <row r="5422" spans="6:8" x14ac:dyDescent="0.3">
      <c r="F5422"/>
      <c r="H5422"/>
    </row>
    <row r="5423" spans="6:8" x14ac:dyDescent="0.3">
      <c r="F5423"/>
      <c r="H5423"/>
    </row>
    <row r="5424" spans="6:8" x14ac:dyDescent="0.3">
      <c r="F5424"/>
      <c r="H5424"/>
    </row>
    <row r="5425" spans="6:8" x14ac:dyDescent="0.3">
      <c r="F5425"/>
      <c r="H5425"/>
    </row>
    <row r="5426" spans="6:8" x14ac:dyDescent="0.3">
      <c r="F5426"/>
      <c r="H5426"/>
    </row>
    <row r="5427" spans="6:8" x14ac:dyDescent="0.3">
      <c r="F5427"/>
      <c r="H5427"/>
    </row>
    <row r="5428" spans="6:8" x14ac:dyDescent="0.3">
      <c r="F5428"/>
      <c r="H5428"/>
    </row>
    <row r="5429" spans="6:8" x14ac:dyDescent="0.3">
      <c r="F5429"/>
      <c r="H5429"/>
    </row>
    <row r="5430" spans="6:8" x14ac:dyDescent="0.3">
      <c r="F5430"/>
      <c r="H5430"/>
    </row>
    <row r="5431" spans="6:8" x14ac:dyDescent="0.3">
      <c r="F5431"/>
      <c r="H5431"/>
    </row>
    <row r="5432" spans="6:8" x14ac:dyDescent="0.3">
      <c r="F5432"/>
      <c r="H5432"/>
    </row>
    <row r="5433" spans="6:8" x14ac:dyDescent="0.3">
      <c r="F5433"/>
      <c r="H5433"/>
    </row>
    <row r="5434" spans="6:8" x14ac:dyDescent="0.3">
      <c r="F5434"/>
      <c r="H5434"/>
    </row>
    <row r="5435" spans="6:8" x14ac:dyDescent="0.3">
      <c r="F5435"/>
      <c r="H5435"/>
    </row>
    <row r="5436" spans="6:8" x14ac:dyDescent="0.3">
      <c r="F5436"/>
      <c r="H5436"/>
    </row>
    <row r="5437" spans="6:8" x14ac:dyDescent="0.3">
      <c r="F5437"/>
      <c r="H5437"/>
    </row>
    <row r="5438" spans="6:8" x14ac:dyDescent="0.3">
      <c r="F5438"/>
      <c r="H5438"/>
    </row>
    <row r="5439" spans="6:8" x14ac:dyDescent="0.3">
      <c r="F5439"/>
      <c r="H5439"/>
    </row>
    <row r="5440" spans="6:8" x14ac:dyDescent="0.3">
      <c r="F5440"/>
      <c r="H5440"/>
    </row>
    <row r="5441" spans="6:8" x14ac:dyDescent="0.3">
      <c r="F5441"/>
      <c r="H5441"/>
    </row>
    <row r="5442" spans="6:8" x14ac:dyDescent="0.3">
      <c r="F5442"/>
      <c r="H5442"/>
    </row>
    <row r="5443" spans="6:8" x14ac:dyDescent="0.3">
      <c r="F5443"/>
      <c r="H5443"/>
    </row>
    <row r="5444" spans="6:8" x14ac:dyDescent="0.3">
      <c r="F5444"/>
      <c r="H5444"/>
    </row>
    <row r="5445" spans="6:8" x14ac:dyDescent="0.3">
      <c r="F5445"/>
      <c r="H5445"/>
    </row>
    <row r="5446" spans="6:8" x14ac:dyDescent="0.3">
      <c r="F5446"/>
      <c r="H5446"/>
    </row>
    <row r="5447" spans="6:8" x14ac:dyDescent="0.3">
      <c r="F5447"/>
      <c r="H5447"/>
    </row>
    <row r="5448" spans="6:8" x14ac:dyDescent="0.3">
      <c r="F5448"/>
      <c r="H5448"/>
    </row>
    <row r="5449" spans="6:8" x14ac:dyDescent="0.3">
      <c r="F5449"/>
      <c r="H5449"/>
    </row>
    <row r="5450" spans="6:8" x14ac:dyDescent="0.3">
      <c r="F5450"/>
      <c r="H5450"/>
    </row>
    <row r="5451" spans="6:8" x14ac:dyDescent="0.3">
      <c r="F5451"/>
      <c r="H5451"/>
    </row>
    <row r="5452" spans="6:8" x14ac:dyDescent="0.3">
      <c r="F5452"/>
      <c r="H5452"/>
    </row>
    <row r="5453" spans="6:8" x14ac:dyDescent="0.3">
      <c r="F5453"/>
      <c r="H5453"/>
    </row>
    <row r="5454" spans="6:8" x14ac:dyDescent="0.3">
      <c r="F5454"/>
      <c r="H5454"/>
    </row>
    <row r="5455" spans="6:8" x14ac:dyDescent="0.3">
      <c r="F5455"/>
      <c r="H5455"/>
    </row>
    <row r="5456" spans="6:8" x14ac:dyDescent="0.3">
      <c r="F5456"/>
      <c r="H5456"/>
    </row>
    <row r="5457" spans="6:8" x14ac:dyDescent="0.3">
      <c r="F5457"/>
      <c r="H5457"/>
    </row>
    <row r="5458" spans="6:8" x14ac:dyDescent="0.3">
      <c r="F5458"/>
      <c r="H5458"/>
    </row>
    <row r="5459" spans="6:8" x14ac:dyDescent="0.3">
      <c r="F5459"/>
      <c r="H5459"/>
    </row>
    <row r="5460" spans="6:8" x14ac:dyDescent="0.3">
      <c r="F5460"/>
      <c r="H5460"/>
    </row>
    <row r="5461" spans="6:8" x14ac:dyDescent="0.3">
      <c r="F5461"/>
      <c r="H5461"/>
    </row>
    <row r="5462" spans="6:8" x14ac:dyDescent="0.3">
      <c r="F5462"/>
      <c r="H5462"/>
    </row>
    <row r="5463" spans="6:8" x14ac:dyDescent="0.3">
      <c r="F5463"/>
      <c r="H5463"/>
    </row>
    <row r="5464" spans="6:8" x14ac:dyDescent="0.3">
      <c r="F5464"/>
      <c r="H5464"/>
    </row>
    <row r="5465" spans="6:8" x14ac:dyDescent="0.3">
      <c r="F5465"/>
      <c r="H5465"/>
    </row>
    <row r="5466" spans="6:8" x14ac:dyDescent="0.3">
      <c r="F5466"/>
      <c r="H5466"/>
    </row>
    <row r="5467" spans="6:8" x14ac:dyDescent="0.3">
      <c r="F5467"/>
      <c r="H5467"/>
    </row>
    <row r="5468" spans="6:8" x14ac:dyDescent="0.3">
      <c r="F5468"/>
      <c r="H5468"/>
    </row>
    <row r="5469" spans="6:8" x14ac:dyDescent="0.3">
      <c r="F5469"/>
      <c r="H5469"/>
    </row>
    <row r="5470" spans="6:8" x14ac:dyDescent="0.3">
      <c r="F5470"/>
      <c r="H5470"/>
    </row>
    <row r="5471" spans="6:8" x14ac:dyDescent="0.3">
      <c r="F5471"/>
      <c r="H5471"/>
    </row>
    <row r="5472" spans="6:8" x14ac:dyDescent="0.3">
      <c r="F5472"/>
      <c r="H5472"/>
    </row>
    <row r="5473" spans="6:8" x14ac:dyDescent="0.3">
      <c r="F5473"/>
      <c r="H5473"/>
    </row>
    <row r="5474" spans="6:8" x14ac:dyDescent="0.3">
      <c r="F5474"/>
      <c r="H5474"/>
    </row>
    <row r="5475" spans="6:8" x14ac:dyDescent="0.3">
      <c r="F5475"/>
      <c r="H5475"/>
    </row>
    <row r="5476" spans="6:8" x14ac:dyDescent="0.3">
      <c r="F5476"/>
      <c r="H5476"/>
    </row>
    <row r="5477" spans="6:8" x14ac:dyDescent="0.3">
      <c r="F5477"/>
      <c r="H5477"/>
    </row>
    <row r="5478" spans="6:8" x14ac:dyDescent="0.3">
      <c r="F5478"/>
      <c r="H5478"/>
    </row>
    <row r="5479" spans="6:8" x14ac:dyDescent="0.3">
      <c r="F5479"/>
      <c r="H5479"/>
    </row>
    <row r="5480" spans="6:8" x14ac:dyDescent="0.3">
      <c r="F5480"/>
      <c r="H5480"/>
    </row>
    <row r="5481" spans="6:8" x14ac:dyDescent="0.3">
      <c r="F5481"/>
      <c r="H5481"/>
    </row>
    <row r="5482" spans="6:8" x14ac:dyDescent="0.3">
      <c r="F5482"/>
      <c r="H5482"/>
    </row>
    <row r="5483" spans="6:8" x14ac:dyDescent="0.3">
      <c r="F5483"/>
      <c r="H5483"/>
    </row>
    <row r="5484" spans="6:8" x14ac:dyDescent="0.3">
      <c r="F5484"/>
      <c r="H5484"/>
    </row>
    <row r="5485" spans="6:8" x14ac:dyDescent="0.3">
      <c r="F5485"/>
      <c r="H5485"/>
    </row>
    <row r="5486" spans="6:8" x14ac:dyDescent="0.3">
      <c r="F5486"/>
      <c r="H5486"/>
    </row>
    <row r="5487" spans="6:8" x14ac:dyDescent="0.3">
      <c r="F5487"/>
      <c r="H5487"/>
    </row>
    <row r="5488" spans="6:8" x14ac:dyDescent="0.3">
      <c r="F5488"/>
      <c r="H5488"/>
    </row>
    <row r="5489" spans="6:8" x14ac:dyDescent="0.3">
      <c r="F5489"/>
      <c r="H5489"/>
    </row>
    <row r="5490" spans="6:8" x14ac:dyDescent="0.3">
      <c r="F5490"/>
      <c r="H5490"/>
    </row>
    <row r="5491" spans="6:8" x14ac:dyDescent="0.3">
      <c r="F5491"/>
      <c r="H5491"/>
    </row>
    <row r="5492" spans="6:8" x14ac:dyDescent="0.3">
      <c r="F5492"/>
      <c r="H5492"/>
    </row>
    <row r="5493" spans="6:8" x14ac:dyDescent="0.3">
      <c r="F5493"/>
      <c r="H5493"/>
    </row>
    <row r="5494" spans="6:8" x14ac:dyDescent="0.3">
      <c r="F5494"/>
      <c r="H5494"/>
    </row>
    <row r="5495" spans="6:8" x14ac:dyDescent="0.3">
      <c r="F5495"/>
      <c r="H5495"/>
    </row>
    <row r="5496" spans="6:8" x14ac:dyDescent="0.3">
      <c r="F5496"/>
      <c r="H5496"/>
    </row>
    <row r="5497" spans="6:8" x14ac:dyDescent="0.3">
      <c r="F5497"/>
      <c r="H5497"/>
    </row>
    <row r="5498" spans="6:8" x14ac:dyDescent="0.3">
      <c r="F5498"/>
      <c r="H5498"/>
    </row>
    <row r="5499" spans="6:8" x14ac:dyDescent="0.3">
      <c r="F5499"/>
      <c r="H5499"/>
    </row>
    <row r="5500" spans="6:8" x14ac:dyDescent="0.3">
      <c r="F5500"/>
      <c r="H5500"/>
    </row>
    <row r="5501" spans="6:8" x14ac:dyDescent="0.3">
      <c r="F5501"/>
      <c r="H5501"/>
    </row>
    <row r="5502" spans="6:8" x14ac:dyDescent="0.3">
      <c r="F5502"/>
      <c r="H5502"/>
    </row>
    <row r="5503" spans="6:8" x14ac:dyDescent="0.3">
      <c r="F5503"/>
      <c r="H5503"/>
    </row>
    <row r="5504" spans="6:8" x14ac:dyDescent="0.3">
      <c r="F5504"/>
      <c r="H5504"/>
    </row>
    <row r="5505" spans="6:8" x14ac:dyDescent="0.3">
      <c r="F5505"/>
      <c r="H5505"/>
    </row>
    <row r="5506" spans="6:8" x14ac:dyDescent="0.3">
      <c r="F5506"/>
      <c r="H5506"/>
    </row>
    <row r="5507" spans="6:8" x14ac:dyDescent="0.3">
      <c r="F5507"/>
      <c r="H5507"/>
    </row>
    <row r="5508" spans="6:8" x14ac:dyDescent="0.3">
      <c r="F5508"/>
      <c r="H5508"/>
    </row>
    <row r="5509" spans="6:8" x14ac:dyDescent="0.3">
      <c r="F5509"/>
      <c r="H5509"/>
    </row>
    <row r="5510" spans="6:8" x14ac:dyDescent="0.3">
      <c r="F5510"/>
      <c r="H5510"/>
    </row>
    <row r="5511" spans="6:8" x14ac:dyDescent="0.3">
      <c r="F5511"/>
      <c r="H5511"/>
    </row>
    <row r="5512" spans="6:8" x14ac:dyDescent="0.3">
      <c r="F5512"/>
      <c r="H5512"/>
    </row>
    <row r="5513" spans="6:8" x14ac:dyDescent="0.3">
      <c r="F5513"/>
      <c r="H5513"/>
    </row>
    <row r="5514" spans="6:8" x14ac:dyDescent="0.3">
      <c r="F5514"/>
      <c r="H5514"/>
    </row>
    <row r="5515" spans="6:8" x14ac:dyDescent="0.3">
      <c r="F5515"/>
      <c r="H5515"/>
    </row>
    <row r="5516" spans="6:8" x14ac:dyDescent="0.3">
      <c r="F5516"/>
      <c r="H5516"/>
    </row>
    <row r="5517" spans="6:8" x14ac:dyDescent="0.3">
      <c r="F5517"/>
      <c r="H5517"/>
    </row>
    <row r="5518" spans="6:8" x14ac:dyDescent="0.3">
      <c r="F5518"/>
      <c r="H5518"/>
    </row>
    <row r="5519" spans="6:8" x14ac:dyDescent="0.3">
      <c r="F5519"/>
      <c r="H5519"/>
    </row>
    <row r="5520" spans="6:8" x14ac:dyDescent="0.3">
      <c r="F5520"/>
      <c r="H5520"/>
    </row>
    <row r="5521" spans="6:8" x14ac:dyDescent="0.3">
      <c r="F5521"/>
      <c r="H5521"/>
    </row>
    <row r="5522" spans="6:8" x14ac:dyDescent="0.3">
      <c r="F5522"/>
      <c r="H5522"/>
    </row>
    <row r="5523" spans="6:8" x14ac:dyDescent="0.3">
      <c r="F5523"/>
      <c r="H5523"/>
    </row>
    <row r="5524" spans="6:8" x14ac:dyDescent="0.3">
      <c r="F5524"/>
      <c r="H5524"/>
    </row>
    <row r="5525" spans="6:8" x14ac:dyDescent="0.3">
      <c r="F5525"/>
      <c r="H5525"/>
    </row>
    <row r="5526" spans="6:8" x14ac:dyDescent="0.3">
      <c r="F5526"/>
      <c r="H5526"/>
    </row>
    <row r="5527" spans="6:8" x14ac:dyDescent="0.3">
      <c r="F5527"/>
      <c r="H5527"/>
    </row>
    <row r="5528" spans="6:8" x14ac:dyDescent="0.3">
      <c r="F5528"/>
      <c r="H5528"/>
    </row>
    <row r="5529" spans="6:8" x14ac:dyDescent="0.3">
      <c r="F5529"/>
      <c r="H5529"/>
    </row>
    <row r="5530" spans="6:8" x14ac:dyDescent="0.3">
      <c r="F5530"/>
      <c r="H5530"/>
    </row>
    <row r="5531" spans="6:8" x14ac:dyDescent="0.3">
      <c r="F5531"/>
      <c r="H5531"/>
    </row>
    <row r="5532" spans="6:8" x14ac:dyDescent="0.3">
      <c r="F5532"/>
      <c r="H5532"/>
    </row>
    <row r="5533" spans="6:8" x14ac:dyDescent="0.3">
      <c r="F5533"/>
      <c r="H5533"/>
    </row>
    <row r="5534" spans="6:8" x14ac:dyDescent="0.3">
      <c r="F5534"/>
      <c r="H5534"/>
    </row>
    <row r="5535" spans="6:8" x14ac:dyDescent="0.3">
      <c r="F5535"/>
      <c r="H5535"/>
    </row>
    <row r="5536" spans="6:8" x14ac:dyDescent="0.3">
      <c r="F5536"/>
      <c r="H5536"/>
    </row>
    <row r="5537" spans="6:8" x14ac:dyDescent="0.3">
      <c r="F5537"/>
      <c r="H5537"/>
    </row>
    <row r="5538" spans="6:8" x14ac:dyDescent="0.3">
      <c r="F5538"/>
      <c r="H5538"/>
    </row>
    <row r="5539" spans="6:8" x14ac:dyDescent="0.3">
      <c r="F5539"/>
      <c r="H5539"/>
    </row>
    <row r="5540" spans="6:8" x14ac:dyDescent="0.3">
      <c r="F5540"/>
      <c r="H5540"/>
    </row>
    <row r="5541" spans="6:8" x14ac:dyDescent="0.3">
      <c r="F5541"/>
      <c r="H5541"/>
    </row>
    <row r="5542" spans="6:8" x14ac:dyDescent="0.3">
      <c r="F5542"/>
      <c r="H5542"/>
    </row>
    <row r="5543" spans="6:8" x14ac:dyDescent="0.3">
      <c r="F5543"/>
      <c r="H5543"/>
    </row>
    <row r="5544" spans="6:8" x14ac:dyDescent="0.3">
      <c r="F5544"/>
      <c r="H5544"/>
    </row>
    <row r="5545" spans="6:8" x14ac:dyDescent="0.3">
      <c r="F5545"/>
      <c r="H5545"/>
    </row>
    <row r="5546" spans="6:8" x14ac:dyDescent="0.3">
      <c r="F5546"/>
      <c r="H5546"/>
    </row>
    <row r="5547" spans="6:8" x14ac:dyDescent="0.3">
      <c r="F5547"/>
      <c r="H5547"/>
    </row>
    <row r="5548" spans="6:8" x14ac:dyDescent="0.3">
      <c r="F5548"/>
      <c r="H5548"/>
    </row>
    <row r="5549" spans="6:8" x14ac:dyDescent="0.3">
      <c r="F5549"/>
      <c r="H5549"/>
    </row>
    <row r="5550" spans="6:8" x14ac:dyDescent="0.3">
      <c r="F5550"/>
      <c r="H5550"/>
    </row>
    <row r="5551" spans="6:8" x14ac:dyDescent="0.3">
      <c r="F5551"/>
      <c r="H5551"/>
    </row>
    <row r="5552" spans="6:8" x14ac:dyDescent="0.3">
      <c r="F5552"/>
      <c r="H5552"/>
    </row>
    <row r="5553" spans="6:8" x14ac:dyDescent="0.3">
      <c r="F5553"/>
      <c r="H5553"/>
    </row>
    <row r="5554" spans="6:8" x14ac:dyDescent="0.3">
      <c r="F5554"/>
      <c r="H5554"/>
    </row>
    <row r="5555" spans="6:8" x14ac:dyDescent="0.3">
      <c r="F5555"/>
      <c r="H5555"/>
    </row>
    <row r="5556" spans="6:8" x14ac:dyDescent="0.3">
      <c r="F5556"/>
      <c r="H5556"/>
    </row>
    <row r="5557" spans="6:8" x14ac:dyDescent="0.3">
      <c r="F5557"/>
      <c r="H5557"/>
    </row>
    <row r="5558" spans="6:8" x14ac:dyDescent="0.3">
      <c r="F5558"/>
      <c r="H5558"/>
    </row>
    <row r="5559" spans="6:8" x14ac:dyDescent="0.3">
      <c r="F5559"/>
      <c r="H5559"/>
    </row>
    <row r="5560" spans="6:8" x14ac:dyDescent="0.3">
      <c r="F5560"/>
      <c r="H5560"/>
    </row>
    <row r="5561" spans="6:8" x14ac:dyDescent="0.3">
      <c r="F5561"/>
      <c r="H5561"/>
    </row>
    <row r="5562" spans="6:8" x14ac:dyDescent="0.3">
      <c r="F5562"/>
      <c r="H5562"/>
    </row>
    <row r="5563" spans="6:8" x14ac:dyDescent="0.3">
      <c r="F5563"/>
      <c r="H5563"/>
    </row>
    <row r="5564" spans="6:8" x14ac:dyDescent="0.3">
      <c r="F5564"/>
      <c r="H5564"/>
    </row>
    <row r="5565" spans="6:8" x14ac:dyDescent="0.3">
      <c r="F5565"/>
      <c r="H5565"/>
    </row>
    <row r="5566" spans="6:8" x14ac:dyDescent="0.3">
      <c r="F5566"/>
      <c r="H5566"/>
    </row>
    <row r="5567" spans="6:8" x14ac:dyDescent="0.3">
      <c r="F5567"/>
      <c r="H5567"/>
    </row>
    <row r="5568" spans="6:8" x14ac:dyDescent="0.3">
      <c r="F5568"/>
      <c r="H5568"/>
    </row>
    <row r="5569" spans="6:8" x14ac:dyDescent="0.3">
      <c r="F5569"/>
      <c r="H5569"/>
    </row>
    <row r="5570" spans="6:8" x14ac:dyDescent="0.3">
      <c r="F5570"/>
      <c r="H5570"/>
    </row>
    <row r="5571" spans="6:8" x14ac:dyDescent="0.3">
      <c r="F5571"/>
      <c r="H5571"/>
    </row>
    <row r="5572" spans="6:8" x14ac:dyDescent="0.3">
      <c r="F5572"/>
      <c r="H5572"/>
    </row>
    <row r="5573" spans="6:8" x14ac:dyDescent="0.3">
      <c r="F5573"/>
      <c r="H5573"/>
    </row>
    <row r="5574" spans="6:8" x14ac:dyDescent="0.3">
      <c r="F5574"/>
      <c r="H5574"/>
    </row>
    <row r="5575" spans="6:8" x14ac:dyDescent="0.3">
      <c r="F5575"/>
      <c r="H5575"/>
    </row>
    <row r="5576" spans="6:8" x14ac:dyDescent="0.3">
      <c r="F5576"/>
      <c r="H5576"/>
    </row>
    <row r="5577" spans="6:8" x14ac:dyDescent="0.3">
      <c r="F5577"/>
      <c r="H5577"/>
    </row>
    <row r="5578" spans="6:8" x14ac:dyDescent="0.3">
      <c r="F5578"/>
      <c r="H5578"/>
    </row>
    <row r="5579" spans="6:8" x14ac:dyDescent="0.3">
      <c r="F5579"/>
      <c r="H5579"/>
    </row>
    <row r="5580" spans="6:8" x14ac:dyDescent="0.3">
      <c r="F5580"/>
      <c r="H5580"/>
    </row>
    <row r="5581" spans="6:8" x14ac:dyDescent="0.3">
      <c r="F5581"/>
      <c r="H5581"/>
    </row>
    <row r="5582" spans="6:8" x14ac:dyDescent="0.3">
      <c r="F5582"/>
      <c r="H5582"/>
    </row>
    <row r="5583" spans="6:8" x14ac:dyDescent="0.3">
      <c r="F5583"/>
      <c r="H5583"/>
    </row>
    <row r="5584" spans="6:8" x14ac:dyDescent="0.3">
      <c r="F5584"/>
      <c r="H5584"/>
    </row>
    <row r="5585" spans="6:8" x14ac:dyDescent="0.3">
      <c r="F5585"/>
      <c r="H5585"/>
    </row>
    <row r="5586" spans="6:8" x14ac:dyDescent="0.3">
      <c r="F5586"/>
      <c r="H5586"/>
    </row>
    <row r="5587" spans="6:8" x14ac:dyDescent="0.3">
      <c r="F5587"/>
      <c r="H5587"/>
    </row>
    <row r="5588" spans="6:8" x14ac:dyDescent="0.3">
      <c r="F5588"/>
      <c r="H5588"/>
    </row>
    <row r="5589" spans="6:8" x14ac:dyDescent="0.3">
      <c r="F5589"/>
      <c r="H5589"/>
    </row>
    <row r="5590" spans="6:8" x14ac:dyDescent="0.3">
      <c r="F5590"/>
      <c r="H5590"/>
    </row>
    <row r="5591" spans="6:8" x14ac:dyDescent="0.3">
      <c r="F5591"/>
      <c r="H5591"/>
    </row>
    <row r="5592" spans="6:8" x14ac:dyDescent="0.3">
      <c r="F5592"/>
      <c r="H5592"/>
    </row>
    <row r="5593" spans="6:8" x14ac:dyDescent="0.3">
      <c r="F5593"/>
      <c r="H5593"/>
    </row>
    <row r="5594" spans="6:8" x14ac:dyDescent="0.3">
      <c r="F5594"/>
      <c r="H5594"/>
    </row>
    <row r="5595" spans="6:8" x14ac:dyDescent="0.3">
      <c r="F5595"/>
      <c r="H5595"/>
    </row>
    <row r="5596" spans="6:8" x14ac:dyDescent="0.3">
      <c r="F5596"/>
      <c r="H5596"/>
    </row>
    <row r="5597" spans="6:8" x14ac:dyDescent="0.3">
      <c r="F5597"/>
      <c r="H5597"/>
    </row>
    <row r="5598" spans="6:8" x14ac:dyDescent="0.3">
      <c r="F5598"/>
      <c r="H5598"/>
    </row>
    <row r="5599" spans="6:8" x14ac:dyDescent="0.3">
      <c r="F5599"/>
      <c r="H5599"/>
    </row>
    <row r="5600" spans="6:8" x14ac:dyDescent="0.3">
      <c r="F5600"/>
      <c r="H5600"/>
    </row>
    <row r="5601" spans="6:8" x14ac:dyDescent="0.3">
      <c r="F5601"/>
      <c r="H5601"/>
    </row>
    <row r="5602" spans="6:8" x14ac:dyDescent="0.3">
      <c r="F5602"/>
      <c r="H5602"/>
    </row>
    <row r="5603" spans="6:8" x14ac:dyDescent="0.3">
      <c r="F5603"/>
      <c r="H5603"/>
    </row>
    <row r="5604" spans="6:8" x14ac:dyDescent="0.3">
      <c r="F5604"/>
      <c r="H5604"/>
    </row>
    <row r="5605" spans="6:8" x14ac:dyDescent="0.3">
      <c r="F5605"/>
      <c r="H5605"/>
    </row>
    <row r="5606" spans="6:8" x14ac:dyDescent="0.3">
      <c r="F5606"/>
      <c r="H5606"/>
    </row>
    <row r="5607" spans="6:8" x14ac:dyDescent="0.3">
      <c r="F5607"/>
      <c r="H5607"/>
    </row>
    <row r="5608" spans="6:8" x14ac:dyDescent="0.3">
      <c r="F5608"/>
      <c r="H5608"/>
    </row>
    <row r="5609" spans="6:8" x14ac:dyDescent="0.3">
      <c r="F5609"/>
      <c r="H5609"/>
    </row>
    <row r="5610" spans="6:8" x14ac:dyDescent="0.3">
      <c r="F5610"/>
      <c r="H5610"/>
    </row>
    <row r="5611" spans="6:8" x14ac:dyDescent="0.3">
      <c r="F5611"/>
      <c r="H5611"/>
    </row>
    <row r="5612" spans="6:8" x14ac:dyDescent="0.3">
      <c r="F5612"/>
      <c r="H5612"/>
    </row>
    <row r="5613" spans="6:8" x14ac:dyDescent="0.3">
      <c r="F5613"/>
      <c r="H5613"/>
    </row>
    <row r="5614" spans="6:8" x14ac:dyDescent="0.3">
      <c r="F5614"/>
      <c r="H5614"/>
    </row>
    <row r="5615" spans="6:8" x14ac:dyDescent="0.3">
      <c r="F5615"/>
      <c r="H5615"/>
    </row>
    <row r="5616" spans="6:8" x14ac:dyDescent="0.3">
      <c r="F5616"/>
      <c r="H5616"/>
    </row>
    <row r="5617" spans="6:8" x14ac:dyDescent="0.3">
      <c r="F5617"/>
      <c r="H5617"/>
    </row>
    <row r="5618" spans="6:8" x14ac:dyDescent="0.3">
      <c r="F5618"/>
      <c r="H5618"/>
    </row>
    <row r="5619" spans="6:8" x14ac:dyDescent="0.3">
      <c r="F5619"/>
      <c r="H5619"/>
    </row>
    <row r="5620" spans="6:8" x14ac:dyDescent="0.3">
      <c r="F5620"/>
      <c r="H5620"/>
    </row>
    <row r="5621" spans="6:8" x14ac:dyDescent="0.3">
      <c r="F5621"/>
      <c r="H5621"/>
    </row>
    <row r="5622" spans="6:8" x14ac:dyDescent="0.3">
      <c r="F5622"/>
      <c r="H5622"/>
    </row>
    <row r="5623" spans="6:8" x14ac:dyDescent="0.3">
      <c r="F5623"/>
      <c r="H5623"/>
    </row>
    <row r="5624" spans="6:8" x14ac:dyDescent="0.3">
      <c r="F5624"/>
      <c r="H5624"/>
    </row>
    <row r="5625" spans="6:8" x14ac:dyDescent="0.3">
      <c r="F5625"/>
      <c r="H5625"/>
    </row>
    <row r="5626" spans="6:8" x14ac:dyDescent="0.3">
      <c r="F5626"/>
      <c r="H5626"/>
    </row>
    <row r="5627" spans="6:8" x14ac:dyDescent="0.3">
      <c r="F5627"/>
      <c r="H5627"/>
    </row>
    <row r="5628" spans="6:8" x14ac:dyDescent="0.3">
      <c r="F5628"/>
      <c r="H5628"/>
    </row>
    <row r="5629" spans="6:8" x14ac:dyDescent="0.3">
      <c r="F5629"/>
      <c r="H5629"/>
    </row>
    <row r="5630" spans="6:8" x14ac:dyDescent="0.3">
      <c r="F5630"/>
      <c r="H5630"/>
    </row>
    <row r="5631" spans="6:8" x14ac:dyDescent="0.3">
      <c r="F5631"/>
      <c r="H5631"/>
    </row>
    <row r="5632" spans="6:8" x14ac:dyDescent="0.3">
      <c r="F5632"/>
      <c r="H5632"/>
    </row>
    <row r="5633" spans="6:8" x14ac:dyDescent="0.3">
      <c r="F5633"/>
      <c r="H5633"/>
    </row>
    <row r="5634" spans="6:8" x14ac:dyDescent="0.3">
      <c r="F5634"/>
      <c r="H5634"/>
    </row>
    <row r="5635" spans="6:8" x14ac:dyDescent="0.3">
      <c r="F5635"/>
      <c r="H5635"/>
    </row>
    <row r="5636" spans="6:8" x14ac:dyDescent="0.3">
      <c r="F5636"/>
      <c r="H5636"/>
    </row>
    <row r="5637" spans="6:8" x14ac:dyDescent="0.3">
      <c r="F5637"/>
      <c r="H5637"/>
    </row>
    <row r="5638" spans="6:8" x14ac:dyDescent="0.3">
      <c r="F5638"/>
      <c r="H5638"/>
    </row>
    <row r="5639" spans="6:8" x14ac:dyDescent="0.3">
      <c r="F5639"/>
      <c r="H5639"/>
    </row>
    <row r="5640" spans="6:8" x14ac:dyDescent="0.3">
      <c r="F5640"/>
      <c r="H5640"/>
    </row>
    <row r="5641" spans="6:8" x14ac:dyDescent="0.3">
      <c r="F5641"/>
      <c r="H5641"/>
    </row>
    <row r="5642" spans="6:8" x14ac:dyDescent="0.3">
      <c r="F5642"/>
      <c r="H5642"/>
    </row>
    <row r="5643" spans="6:8" x14ac:dyDescent="0.3">
      <c r="F5643"/>
      <c r="H5643"/>
    </row>
    <row r="5644" spans="6:8" x14ac:dyDescent="0.3">
      <c r="F5644"/>
      <c r="H5644"/>
    </row>
    <row r="5645" spans="6:8" x14ac:dyDescent="0.3">
      <c r="F5645"/>
      <c r="H5645"/>
    </row>
    <row r="5646" spans="6:8" x14ac:dyDescent="0.3">
      <c r="F5646"/>
      <c r="H5646"/>
    </row>
    <row r="5647" spans="6:8" x14ac:dyDescent="0.3">
      <c r="F5647"/>
      <c r="H5647"/>
    </row>
    <row r="5648" spans="6:8" x14ac:dyDescent="0.3">
      <c r="F5648"/>
      <c r="H5648"/>
    </row>
    <row r="5649" spans="6:8" x14ac:dyDescent="0.3">
      <c r="F5649"/>
      <c r="H5649"/>
    </row>
    <row r="5650" spans="6:8" x14ac:dyDescent="0.3">
      <c r="F5650"/>
      <c r="H5650"/>
    </row>
    <row r="5651" spans="6:8" x14ac:dyDescent="0.3">
      <c r="F5651"/>
      <c r="H5651"/>
    </row>
    <row r="5652" spans="6:8" x14ac:dyDescent="0.3">
      <c r="F5652"/>
      <c r="H5652"/>
    </row>
    <row r="5653" spans="6:8" x14ac:dyDescent="0.3">
      <c r="F5653"/>
      <c r="H5653"/>
    </row>
    <row r="5654" spans="6:8" x14ac:dyDescent="0.3">
      <c r="F5654"/>
      <c r="H5654"/>
    </row>
    <row r="5655" spans="6:8" x14ac:dyDescent="0.3">
      <c r="F5655"/>
      <c r="H5655"/>
    </row>
    <row r="5656" spans="6:8" x14ac:dyDescent="0.3">
      <c r="F5656"/>
      <c r="H5656"/>
    </row>
    <row r="5657" spans="6:8" x14ac:dyDescent="0.3">
      <c r="F5657"/>
      <c r="H5657"/>
    </row>
    <row r="5658" spans="6:8" x14ac:dyDescent="0.3">
      <c r="F5658"/>
      <c r="H5658"/>
    </row>
    <row r="5659" spans="6:8" x14ac:dyDescent="0.3">
      <c r="F5659"/>
      <c r="H5659"/>
    </row>
    <row r="5660" spans="6:8" x14ac:dyDescent="0.3">
      <c r="F5660"/>
      <c r="H5660"/>
    </row>
    <row r="5661" spans="6:8" x14ac:dyDescent="0.3">
      <c r="F5661"/>
      <c r="H5661"/>
    </row>
    <row r="5662" spans="6:8" x14ac:dyDescent="0.3">
      <c r="F5662"/>
      <c r="H5662"/>
    </row>
    <row r="5663" spans="6:8" x14ac:dyDescent="0.3">
      <c r="F5663"/>
      <c r="H5663"/>
    </row>
    <row r="5664" spans="6:8" x14ac:dyDescent="0.3">
      <c r="F5664"/>
      <c r="H5664"/>
    </row>
    <row r="5665" spans="6:8" x14ac:dyDescent="0.3">
      <c r="F5665"/>
      <c r="H5665"/>
    </row>
    <row r="5666" spans="6:8" x14ac:dyDescent="0.3">
      <c r="F5666"/>
      <c r="H5666"/>
    </row>
    <row r="5667" spans="6:8" x14ac:dyDescent="0.3">
      <c r="F5667"/>
      <c r="H5667"/>
    </row>
    <row r="5668" spans="6:8" x14ac:dyDescent="0.3">
      <c r="F5668"/>
      <c r="H5668"/>
    </row>
    <row r="5669" spans="6:8" x14ac:dyDescent="0.3">
      <c r="F5669"/>
      <c r="H5669"/>
    </row>
    <row r="5670" spans="6:8" x14ac:dyDescent="0.3">
      <c r="F5670"/>
      <c r="H5670"/>
    </row>
    <row r="5671" spans="6:8" x14ac:dyDescent="0.3">
      <c r="F5671"/>
      <c r="H5671"/>
    </row>
    <row r="5672" spans="6:8" x14ac:dyDescent="0.3">
      <c r="F5672"/>
      <c r="H5672"/>
    </row>
    <row r="5673" spans="6:8" x14ac:dyDescent="0.3">
      <c r="F5673"/>
      <c r="H5673"/>
    </row>
    <row r="5674" spans="6:8" x14ac:dyDescent="0.3">
      <c r="F5674"/>
      <c r="H5674"/>
    </row>
    <row r="5675" spans="6:8" x14ac:dyDescent="0.3">
      <c r="F5675"/>
      <c r="H5675"/>
    </row>
    <row r="5676" spans="6:8" x14ac:dyDescent="0.3">
      <c r="F5676"/>
      <c r="H5676"/>
    </row>
    <row r="5677" spans="6:8" x14ac:dyDescent="0.3">
      <c r="F5677"/>
      <c r="H5677"/>
    </row>
    <row r="5678" spans="6:8" x14ac:dyDescent="0.3">
      <c r="F5678"/>
      <c r="H5678"/>
    </row>
    <row r="5679" spans="6:8" x14ac:dyDescent="0.3">
      <c r="F5679"/>
      <c r="H5679"/>
    </row>
    <row r="5680" spans="6:8" x14ac:dyDescent="0.3">
      <c r="F5680"/>
      <c r="H5680"/>
    </row>
    <row r="5681" spans="6:8" x14ac:dyDescent="0.3">
      <c r="F5681"/>
      <c r="H5681"/>
    </row>
    <row r="5682" spans="6:8" x14ac:dyDescent="0.3">
      <c r="F5682"/>
      <c r="H5682"/>
    </row>
    <row r="5683" spans="6:8" x14ac:dyDescent="0.3">
      <c r="F5683"/>
      <c r="H5683"/>
    </row>
    <row r="5684" spans="6:8" x14ac:dyDescent="0.3">
      <c r="F5684"/>
      <c r="H5684"/>
    </row>
    <row r="5685" spans="6:8" x14ac:dyDescent="0.3">
      <c r="F5685"/>
      <c r="H5685"/>
    </row>
    <row r="5686" spans="6:8" x14ac:dyDescent="0.3">
      <c r="F5686"/>
      <c r="H5686"/>
    </row>
    <row r="5687" spans="6:8" x14ac:dyDescent="0.3">
      <c r="F5687"/>
      <c r="H5687"/>
    </row>
    <row r="5688" spans="6:8" x14ac:dyDescent="0.3">
      <c r="F5688"/>
      <c r="H5688"/>
    </row>
    <row r="5689" spans="6:8" x14ac:dyDescent="0.3">
      <c r="F5689"/>
      <c r="H5689"/>
    </row>
    <row r="5690" spans="6:8" x14ac:dyDescent="0.3">
      <c r="F5690"/>
      <c r="H5690"/>
    </row>
    <row r="5691" spans="6:8" x14ac:dyDescent="0.3">
      <c r="F5691"/>
      <c r="H5691"/>
    </row>
    <row r="5692" spans="6:8" x14ac:dyDescent="0.3">
      <c r="F5692"/>
      <c r="H5692"/>
    </row>
    <row r="5693" spans="6:8" x14ac:dyDescent="0.3">
      <c r="F5693"/>
      <c r="H5693"/>
    </row>
    <row r="5694" spans="6:8" x14ac:dyDescent="0.3">
      <c r="F5694"/>
      <c r="H5694"/>
    </row>
    <row r="5695" spans="6:8" x14ac:dyDescent="0.3">
      <c r="F5695"/>
      <c r="H5695"/>
    </row>
    <row r="5696" spans="6:8" x14ac:dyDescent="0.3">
      <c r="F5696"/>
      <c r="H5696"/>
    </row>
    <row r="5697" spans="6:8" x14ac:dyDescent="0.3">
      <c r="F5697"/>
      <c r="H5697"/>
    </row>
    <row r="5698" spans="6:8" x14ac:dyDescent="0.3">
      <c r="F5698"/>
      <c r="H5698"/>
    </row>
    <row r="5699" spans="6:8" x14ac:dyDescent="0.3">
      <c r="F5699"/>
      <c r="H5699"/>
    </row>
    <row r="5700" spans="6:8" x14ac:dyDescent="0.3">
      <c r="F5700"/>
      <c r="H5700"/>
    </row>
    <row r="5701" spans="6:8" x14ac:dyDescent="0.3">
      <c r="F5701"/>
      <c r="H5701"/>
    </row>
    <row r="5702" spans="6:8" x14ac:dyDescent="0.3">
      <c r="F5702"/>
      <c r="H5702"/>
    </row>
    <row r="5703" spans="6:8" x14ac:dyDescent="0.3">
      <c r="F5703"/>
      <c r="H5703"/>
    </row>
    <row r="5704" spans="6:8" x14ac:dyDescent="0.3">
      <c r="F5704"/>
      <c r="H5704"/>
    </row>
    <row r="5705" spans="6:8" x14ac:dyDescent="0.3">
      <c r="F5705"/>
      <c r="H5705"/>
    </row>
    <row r="5706" spans="6:8" x14ac:dyDescent="0.3">
      <c r="F5706"/>
      <c r="H5706"/>
    </row>
    <row r="5707" spans="6:8" x14ac:dyDescent="0.3">
      <c r="F5707"/>
      <c r="H5707"/>
    </row>
    <row r="5708" spans="6:8" x14ac:dyDescent="0.3">
      <c r="F5708"/>
      <c r="H5708"/>
    </row>
    <row r="5709" spans="6:8" x14ac:dyDescent="0.3">
      <c r="F5709"/>
      <c r="H5709"/>
    </row>
    <row r="5710" spans="6:8" x14ac:dyDescent="0.3">
      <c r="F5710"/>
      <c r="H5710"/>
    </row>
    <row r="5711" spans="6:8" x14ac:dyDescent="0.3">
      <c r="F5711"/>
      <c r="H5711"/>
    </row>
    <row r="5712" spans="6:8" x14ac:dyDescent="0.3">
      <c r="F5712"/>
      <c r="H5712"/>
    </row>
    <row r="5713" spans="6:8" x14ac:dyDescent="0.3">
      <c r="F5713"/>
      <c r="H5713"/>
    </row>
    <row r="5714" spans="6:8" x14ac:dyDescent="0.3">
      <c r="F5714"/>
      <c r="H5714"/>
    </row>
    <row r="5715" spans="6:8" x14ac:dyDescent="0.3">
      <c r="F5715"/>
      <c r="H5715"/>
    </row>
    <row r="5716" spans="6:8" x14ac:dyDescent="0.3">
      <c r="F5716"/>
      <c r="H5716"/>
    </row>
    <row r="5717" spans="6:8" x14ac:dyDescent="0.3">
      <c r="F5717"/>
      <c r="H5717"/>
    </row>
    <row r="5718" spans="6:8" x14ac:dyDescent="0.3">
      <c r="F5718"/>
      <c r="H5718"/>
    </row>
    <row r="5719" spans="6:8" x14ac:dyDescent="0.3">
      <c r="F5719"/>
      <c r="H5719"/>
    </row>
    <row r="5720" spans="6:8" x14ac:dyDescent="0.3">
      <c r="F5720"/>
      <c r="H5720"/>
    </row>
    <row r="5721" spans="6:8" x14ac:dyDescent="0.3">
      <c r="F5721"/>
      <c r="H5721"/>
    </row>
    <row r="5722" spans="6:8" x14ac:dyDescent="0.3">
      <c r="F5722"/>
      <c r="H5722"/>
    </row>
    <row r="5723" spans="6:8" x14ac:dyDescent="0.3">
      <c r="F5723"/>
      <c r="H5723"/>
    </row>
    <row r="5724" spans="6:8" x14ac:dyDescent="0.3">
      <c r="F5724"/>
      <c r="H5724"/>
    </row>
    <row r="5725" spans="6:8" x14ac:dyDescent="0.3">
      <c r="F5725"/>
      <c r="H5725"/>
    </row>
    <row r="5726" spans="6:8" x14ac:dyDescent="0.3">
      <c r="F5726"/>
      <c r="H5726"/>
    </row>
    <row r="5727" spans="6:8" x14ac:dyDescent="0.3">
      <c r="F5727"/>
      <c r="H5727"/>
    </row>
    <row r="5728" spans="6:8" x14ac:dyDescent="0.3">
      <c r="F5728"/>
      <c r="H5728"/>
    </row>
    <row r="5729" spans="6:8" x14ac:dyDescent="0.3">
      <c r="F5729"/>
      <c r="H5729"/>
    </row>
    <row r="5730" spans="6:8" x14ac:dyDescent="0.3">
      <c r="F5730"/>
      <c r="H5730"/>
    </row>
    <row r="5731" spans="6:8" x14ac:dyDescent="0.3">
      <c r="F5731"/>
      <c r="H5731"/>
    </row>
    <row r="5732" spans="6:8" x14ac:dyDescent="0.3">
      <c r="F5732"/>
      <c r="H5732"/>
    </row>
    <row r="5733" spans="6:8" x14ac:dyDescent="0.3">
      <c r="F5733"/>
      <c r="H5733"/>
    </row>
    <row r="5734" spans="6:8" x14ac:dyDescent="0.3">
      <c r="F5734"/>
      <c r="H5734"/>
    </row>
    <row r="5735" spans="6:8" x14ac:dyDescent="0.3">
      <c r="F5735"/>
      <c r="H5735"/>
    </row>
    <row r="5736" spans="6:8" x14ac:dyDescent="0.3">
      <c r="F5736"/>
      <c r="H5736"/>
    </row>
    <row r="5737" spans="6:8" x14ac:dyDescent="0.3">
      <c r="F5737"/>
      <c r="H5737"/>
    </row>
    <row r="5738" spans="6:8" x14ac:dyDescent="0.3">
      <c r="F5738"/>
      <c r="H5738"/>
    </row>
    <row r="5739" spans="6:8" x14ac:dyDescent="0.3">
      <c r="F5739"/>
      <c r="H5739"/>
    </row>
    <row r="5740" spans="6:8" x14ac:dyDescent="0.3">
      <c r="F5740"/>
      <c r="H5740"/>
    </row>
    <row r="5741" spans="6:8" x14ac:dyDescent="0.3">
      <c r="F5741"/>
      <c r="H5741"/>
    </row>
    <row r="5742" spans="6:8" x14ac:dyDescent="0.3">
      <c r="F5742"/>
      <c r="H5742"/>
    </row>
    <row r="5743" spans="6:8" x14ac:dyDescent="0.3">
      <c r="F5743"/>
      <c r="H5743"/>
    </row>
    <row r="5744" spans="6:8" x14ac:dyDescent="0.3">
      <c r="F5744"/>
      <c r="H5744"/>
    </row>
    <row r="5745" spans="6:8" x14ac:dyDescent="0.3">
      <c r="F5745"/>
      <c r="H5745"/>
    </row>
    <row r="5746" spans="6:8" x14ac:dyDescent="0.3">
      <c r="F5746"/>
      <c r="H5746"/>
    </row>
    <row r="5747" spans="6:8" x14ac:dyDescent="0.3">
      <c r="F5747"/>
      <c r="H5747"/>
    </row>
    <row r="5748" spans="6:8" x14ac:dyDescent="0.3">
      <c r="F5748"/>
      <c r="H5748"/>
    </row>
    <row r="5749" spans="6:8" x14ac:dyDescent="0.3">
      <c r="F5749"/>
      <c r="H5749"/>
    </row>
    <row r="5750" spans="6:8" x14ac:dyDescent="0.3">
      <c r="F5750"/>
      <c r="H5750"/>
    </row>
    <row r="5751" spans="6:8" x14ac:dyDescent="0.3">
      <c r="F5751"/>
      <c r="H5751"/>
    </row>
    <row r="5752" spans="6:8" x14ac:dyDescent="0.3">
      <c r="F5752"/>
      <c r="H5752"/>
    </row>
    <row r="5753" spans="6:8" x14ac:dyDescent="0.3">
      <c r="F5753"/>
      <c r="H5753"/>
    </row>
    <row r="5754" spans="6:8" x14ac:dyDescent="0.3">
      <c r="F5754"/>
      <c r="H5754"/>
    </row>
    <row r="5755" spans="6:8" x14ac:dyDescent="0.3">
      <c r="F5755"/>
      <c r="H5755"/>
    </row>
    <row r="5756" spans="6:8" x14ac:dyDescent="0.3">
      <c r="F5756"/>
      <c r="H5756"/>
    </row>
    <row r="5757" spans="6:8" x14ac:dyDescent="0.3">
      <c r="F5757"/>
      <c r="H5757"/>
    </row>
    <row r="5758" spans="6:8" x14ac:dyDescent="0.3">
      <c r="F5758"/>
      <c r="H5758"/>
    </row>
    <row r="5759" spans="6:8" x14ac:dyDescent="0.3">
      <c r="F5759"/>
      <c r="H5759"/>
    </row>
    <row r="5760" spans="6:8" x14ac:dyDescent="0.3">
      <c r="F5760"/>
      <c r="H5760"/>
    </row>
    <row r="5761" spans="6:8" x14ac:dyDescent="0.3">
      <c r="F5761"/>
      <c r="H5761"/>
    </row>
    <row r="5762" spans="6:8" x14ac:dyDescent="0.3">
      <c r="F5762"/>
      <c r="H5762"/>
    </row>
    <row r="5763" spans="6:8" x14ac:dyDescent="0.3">
      <c r="F5763"/>
      <c r="H5763"/>
    </row>
    <row r="5764" spans="6:8" x14ac:dyDescent="0.3">
      <c r="F5764"/>
      <c r="H5764"/>
    </row>
    <row r="5765" spans="6:8" x14ac:dyDescent="0.3">
      <c r="F5765"/>
      <c r="H5765"/>
    </row>
    <row r="5766" spans="6:8" x14ac:dyDescent="0.3">
      <c r="F5766"/>
      <c r="H5766"/>
    </row>
    <row r="5767" spans="6:8" x14ac:dyDescent="0.3">
      <c r="F5767"/>
      <c r="H5767"/>
    </row>
    <row r="5768" spans="6:8" x14ac:dyDescent="0.3">
      <c r="F5768"/>
      <c r="H5768"/>
    </row>
    <row r="5769" spans="6:8" x14ac:dyDescent="0.3">
      <c r="F5769"/>
      <c r="H5769"/>
    </row>
    <row r="5770" spans="6:8" x14ac:dyDescent="0.3">
      <c r="F5770"/>
      <c r="H5770"/>
    </row>
    <row r="5771" spans="6:8" x14ac:dyDescent="0.3">
      <c r="F5771"/>
      <c r="H5771"/>
    </row>
    <row r="5772" spans="6:8" x14ac:dyDescent="0.3">
      <c r="F5772"/>
      <c r="H5772"/>
    </row>
    <row r="5773" spans="6:8" x14ac:dyDescent="0.3">
      <c r="F5773"/>
      <c r="H5773"/>
    </row>
    <row r="5774" spans="6:8" x14ac:dyDescent="0.3">
      <c r="F5774"/>
      <c r="H5774"/>
    </row>
    <row r="5775" spans="6:8" x14ac:dyDescent="0.3">
      <c r="F5775"/>
      <c r="H5775"/>
    </row>
    <row r="5776" spans="6:8" x14ac:dyDescent="0.3">
      <c r="F5776"/>
      <c r="H5776"/>
    </row>
    <row r="5777" spans="6:8" x14ac:dyDescent="0.3">
      <c r="F5777"/>
      <c r="H5777"/>
    </row>
    <row r="5778" spans="6:8" x14ac:dyDescent="0.3">
      <c r="F5778"/>
      <c r="H5778"/>
    </row>
    <row r="5779" spans="6:8" x14ac:dyDescent="0.3">
      <c r="F5779"/>
      <c r="H5779"/>
    </row>
    <row r="5780" spans="6:8" x14ac:dyDescent="0.3">
      <c r="F5780"/>
      <c r="H5780"/>
    </row>
    <row r="5781" spans="6:8" x14ac:dyDescent="0.3">
      <c r="F5781"/>
      <c r="H5781"/>
    </row>
    <row r="5782" spans="6:8" x14ac:dyDescent="0.3">
      <c r="F5782"/>
      <c r="H5782"/>
    </row>
    <row r="5783" spans="6:8" x14ac:dyDescent="0.3">
      <c r="F5783"/>
      <c r="H5783"/>
    </row>
    <row r="5784" spans="6:8" x14ac:dyDescent="0.3">
      <c r="F5784"/>
      <c r="H5784"/>
    </row>
    <row r="5785" spans="6:8" x14ac:dyDescent="0.3">
      <c r="F5785"/>
      <c r="H5785"/>
    </row>
    <row r="5786" spans="6:8" x14ac:dyDescent="0.3">
      <c r="F5786"/>
      <c r="H5786"/>
    </row>
    <row r="5787" spans="6:8" x14ac:dyDescent="0.3">
      <c r="F5787"/>
      <c r="H5787"/>
    </row>
    <row r="5788" spans="6:8" x14ac:dyDescent="0.3">
      <c r="F5788"/>
      <c r="H5788"/>
    </row>
    <row r="5789" spans="6:8" x14ac:dyDescent="0.3">
      <c r="F5789"/>
      <c r="H5789"/>
    </row>
    <row r="5790" spans="6:8" x14ac:dyDescent="0.3">
      <c r="F5790"/>
      <c r="H5790"/>
    </row>
    <row r="5791" spans="6:8" x14ac:dyDescent="0.3">
      <c r="F5791"/>
      <c r="H5791"/>
    </row>
    <row r="5792" spans="6:8" x14ac:dyDescent="0.3">
      <c r="F5792"/>
      <c r="H5792"/>
    </row>
    <row r="5793" spans="6:8" x14ac:dyDescent="0.3">
      <c r="F5793"/>
      <c r="H5793"/>
    </row>
    <row r="5794" spans="6:8" x14ac:dyDescent="0.3">
      <c r="F5794"/>
      <c r="H5794"/>
    </row>
    <row r="5795" spans="6:8" x14ac:dyDescent="0.3">
      <c r="F5795"/>
      <c r="H5795"/>
    </row>
    <row r="5796" spans="6:8" x14ac:dyDescent="0.3">
      <c r="F5796"/>
      <c r="H5796"/>
    </row>
    <row r="5797" spans="6:8" x14ac:dyDescent="0.3">
      <c r="F5797"/>
      <c r="H5797"/>
    </row>
    <row r="5798" spans="6:8" x14ac:dyDescent="0.3">
      <c r="F5798"/>
      <c r="H5798"/>
    </row>
    <row r="5799" spans="6:8" x14ac:dyDescent="0.3">
      <c r="F5799"/>
      <c r="H5799"/>
    </row>
    <row r="5800" spans="6:8" x14ac:dyDescent="0.3">
      <c r="F5800"/>
      <c r="H5800"/>
    </row>
    <row r="5801" spans="6:8" x14ac:dyDescent="0.3">
      <c r="F5801"/>
      <c r="H5801"/>
    </row>
    <row r="5802" spans="6:8" x14ac:dyDescent="0.3">
      <c r="F5802"/>
      <c r="H5802"/>
    </row>
    <row r="5803" spans="6:8" x14ac:dyDescent="0.3">
      <c r="F5803"/>
      <c r="H5803"/>
    </row>
    <row r="5804" spans="6:8" x14ac:dyDescent="0.3">
      <c r="F5804"/>
      <c r="H5804"/>
    </row>
    <row r="5805" spans="6:8" x14ac:dyDescent="0.3">
      <c r="F5805"/>
      <c r="H5805"/>
    </row>
    <row r="5806" spans="6:8" x14ac:dyDescent="0.3">
      <c r="F5806"/>
      <c r="H5806"/>
    </row>
    <row r="5807" spans="6:8" x14ac:dyDescent="0.3">
      <c r="F5807"/>
      <c r="H5807"/>
    </row>
    <row r="5808" spans="6:8" x14ac:dyDescent="0.3">
      <c r="F5808"/>
      <c r="H5808"/>
    </row>
    <row r="5809" spans="6:8" x14ac:dyDescent="0.3">
      <c r="F5809"/>
      <c r="H5809"/>
    </row>
    <row r="5810" spans="6:8" x14ac:dyDescent="0.3">
      <c r="F5810"/>
      <c r="H5810"/>
    </row>
    <row r="5811" spans="6:8" x14ac:dyDescent="0.3">
      <c r="F5811"/>
      <c r="H5811"/>
    </row>
    <row r="5812" spans="6:8" x14ac:dyDescent="0.3">
      <c r="F5812"/>
      <c r="H5812"/>
    </row>
    <row r="5813" spans="6:8" x14ac:dyDescent="0.3">
      <c r="F5813"/>
      <c r="H5813"/>
    </row>
    <row r="5814" spans="6:8" x14ac:dyDescent="0.3">
      <c r="F5814"/>
      <c r="H5814"/>
    </row>
    <row r="5815" spans="6:8" x14ac:dyDescent="0.3">
      <c r="F5815"/>
      <c r="H5815"/>
    </row>
    <row r="5816" spans="6:8" x14ac:dyDescent="0.3">
      <c r="F5816"/>
      <c r="H5816"/>
    </row>
    <row r="5817" spans="6:8" x14ac:dyDescent="0.3">
      <c r="F5817"/>
      <c r="H5817"/>
    </row>
    <row r="5818" spans="6:8" x14ac:dyDescent="0.3">
      <c r="F5818"/>
      <c r="H5818"/>
    </row>
    <row r="5819" spans="6:8" x14ac:dyDescent="0.3">
      <c r="F5819"/>
      <c r="H5819"/>
    </row>
    <row r="5820" spans="6:8" x14ac:dyDescent="0.3">
      <c r="F5820"/>
      <c r="H5820"/>
    </row>
    <row r="5821" spans="6:8" x14ac:dyDescent="0.3">
      <c r="F5821"/>
      <c r="H5821"/>
    </row>
    <row r="5822" spans="6:8" x14ac:dyDescent="0.3">
      <c r="F5822"/>
      <c r="H5822"/>
    </row>
    <row r="5823" spans="6:8" x14ac:dyDescent="0.3">
      <c r="F5823"/>
      <c r="H5823"/>
    </row>
    <row r="5824" spans="6:8" x14ac:dyDescent="0.3">
      <c r="F5824"/>
      <c r="H5824"/>
    </row>
    <row r="5825" spans="6:8" x14ac:dyDescent="0.3">
      <c r="F5825"/>
      <c r="H5825"/>
    </row>
    <row r="5826" spans="6:8" x14ac:dyDescent="0.3">
      <c r="F5826"/>
      <c r="H5826"/>
    </row>
    <row r="5827" spans="6:8" x14ac:dyDescent="0.3">
      <c r="F5827"/>
      <c r="H5827"/>
    </row>
    <row r="5828" spans="6:8" x14ac:dyDescent="0.3">
      <c r="F5828"/>
      <c r="H5828"/>
    </row>
    <row r="5829" spans="6:8" x14ac:dyDescent="0.3">
      <c r="F5829"/>
      <c r="H5829"/>
    </row>
    <row r="5830" spans="6:8" x14ac:dyDescent="0.3">
      <c r="F5830"/>
      <c r="H5830"/>
    </row>
    <row r="5831" spans="6:8" x14ac:dyDescent="0.3">
      <c r="F5831"/>
      <c r="H5831"/>
    </row>
    <row r="5832" spans="6:8" x14ac:dyDescent="0.3">
      <c r="F5832"/>
      <c r="H5832"/>
    </row>
    <row r="5833" spans="6:8" x14ac:dyDescent="0.3">
      <c r="F5833"/>
      <c r="H5833"/>
    </row>
    <row r="5834" spans="6:8" x14ac:dyDescent="0.3">
      <c r="F5834"/>
      <c r="H5834"/>
    </row>
    <row r="5835" spans="6:8" x14ac:dyDescent="0.3">
      <c r="F5835"/>
      <c r="H5835"/>
    </row>
    <row r="5836" spans="6:8" x14ac:dyDescent="0.3">
      <c r="F5836"/>
      <c r="H5836"/>
    </row>
    <row r="5837" spans="6:8" x14ac:dyDescent="0.3">
      <c r="F5837"/>
      <c r="H5837"/>
    </row>
    <row r="5838" spans="6:8" x14ac:dyDescent="0.3">
      <c r="F5838"/>
      <c r="H5838"/>
    </row>
    <row r="5839" spans="6:8" x14ac:dyDescent="0.3">
      <c r="F5839"/>
      <c r="H5839"/>
    </row>
    <row r="5840" spans="6:8" x14ac:dyDescent="0.3">
      <c r="F5840"/>
      <c r="H5840"/>
    </row>
    <row r="5841" spans="6:8" x14ac:dyDescent="0.3">
      <c r="F5841"/>
      <c r="H5841"/>
    </row>
    <row r="5842" spans="6:8" x14ac:dyDescent="0.3">
      <c r="F5842"/>
      <c r="H5842"/>
    </row>
    <row r="5843" spans="6:8" x14ac:dyDescent="0.3">
      <c r="F5843"/>
      <c r="H5843"/>
    </row>
    <row r="5844" spans="6:8" x14ac:dyDescent="0.3">
      <c r="F5844"/>
      <c r="H5844"/>
    </row>
    <row r="5845" spans="6:8" x14ac:dyDescent="0.3">
      <c r="F5845"/>
      <c r="H5845"/>
    </row>
    <row r="5846" spans="6:8" x14ac:dyDescent="0.3">
      <c r="F5846"/>
      <c r="H5846"/>
    </row>
    <row r="5847" spans="6:8" x14ac:dyDescent="0.3">
      <c r="F5847"/>
      <c r="H5847"/>
    </row>
    <row r="5848" spans="6:8" x14ac:dyDescent="0.3">
      <c r="F5848"/>
      <c r="H5848"/>
    </row>
    <row r="5849" spans="6:8" x14ac:dyDescent="0.3">
      <c r="F5849"/>
      <c r="H5849"/>
    </row>
    <row r="5850" spans="6:8" x14ac:dyDescent="0.3">
      <c r="F5850"/>
      <c r="H5850"/>
    </row>
    <row r="5851" spans="6:8" x14ac:dyDescent="0.3">
      <c r="F5851"/>
      <c r="H5851"/>
    </row>
    <row r="5852" spans="6:8" x14ac:dyDescent="0.3">
      <c r="F5852"/>
      <c r="H5852"/>
    </row>
    <row r="5853" spans="6:8" x14ac:dyDescent="0.3">
      <c r="F5853"/>
      <c r="H5853"/>
    </row>
    <row r="5854" spans="6:8" x14ac:dyDescent="0.3">
      <c r="F5854"/>
      <c r="H5854"/>
    </row>
    <row r="5855" spans="6:8" x14ac:dyDescent="0.3">
      <c r="F5855"/>
      <c r="H5855"/>
    </row>
    <row r="5856" spans="6:8" x14ac:dyDescent="0.3">
      <c r="F5856"/>
      <c r="H5856"/>
    </row>
    <row r="5857" spans="6:8" x14ac:dyDescent="0.3">
      <c r="F5857"/>
      <c r="H5857"/>
    </row>
    <row r="5858" spans="6:8" x14ac:dyDescent="0.3">
      <c r="F5858"/>
      <c r="H5858"/>
    </row>
    <row r="5859" spans="6:8" x14ac:dyDescent="0.3">
      <c r="F5859"/>
      <c r="H5859"/>
    </row>
    <row r="5860" spans="6:8" x14ac:dyDescent="0.3">
      <c r="F5860"/>
      <c r="H5860"/>
    </row>
    <row r="5861" spans="6:8" x14ac:dyDescent="0.3">
      <c r="F5861"/>
      <c r="H5861"/>
    </row>
    <row r="5862" spans="6:8" x14ac:dyDescent="0.3">
      <c r="F5862"/>
      <c r="H5862"/>
    </row>
    <row r="5863" spans="6:8" x14ac:dyDescent="0.3">
      <c r="F5863"/>
      <c r="H5863"/>
    </row>
    <row r="5864" spans="6:8" x14ac:dyDescent="0.3">
      <c r="F5864"/>
      <c r="H5864"/>
    </row>
    <row r="5865" spans="6:8" x14ac:dyDescent="0.3">
      <c r="F5865"/>
      <c r="H5865"/>
    </row>
    <row r="5866" spans="6:8" x14ac:dyDescent="0.3">
      <c r="F5866"/>
      <c r="H5866"/>
    </row>
    <row r="5867" spans="6:8" x14ac:dyDescent="0.3">
      <c r="F5867"/>
      <c r="H5867"/>
    </row>
    <row r="5868" spans="6:8" x14ac:dyDescent="0.3">
      <c r="F5868"/>
      <c r="H5868"/>
    </row>
    <row r="5869" spans="6:8" x14ac:dyDescent="0.3">
      <c r="F5869"/>
      <c r="H5869"/>
    </row>
    <row r="5870" spans="6:8" x14ac:dyDescent="0.3">
      <c r="F5870"/>
      <c r="H5870"/>
    </row>
    <row r="5871" spans="6:8" x14ac:dyDescent="0.3">
      <c r="F5871"/>
      <c r="H5871"/>
    </row>
    <row r="5872" spans="6:8" x14ac:dyDescent="0.3">
      <c r="F5872"/>
      <c r="H5872"/>
    </row>
    <row r="5873" spans="6:8" x14ac:dyDescent="0.3">
      <c r="F5873"/>
      <c r="H5873"/>
    </row>
    <row r="5874" spans="6:8" x14ac:dyDescent="0.3">
      <c r="F5874"/>
      <c r="H5874"/>
    </row>
    <row r="5875" spans="6:8" x14ac:dyDescent="0.3">
      <c r="F5875"/>
      <c r="H5875"/>
    </row>
    <row r="5876" spans="6:8" x14ac:dyDescent="0.3">
      <c r="F5876"/>
      <c r="H5876"/>
    </row>
    <row r="5877" spans="6:8" x14ac:dyDescent="0.3">
      <c r="F5877"/>
      <c r="H5877"/>
    </row>
    <row r="5878" spans="6:8" x14ac:dyDescent="0.3">
      <c r="F5878"/>
      <c r="H5878"/>
    </row>
    <row r="5879" spans="6:8" x14ac:dyDescent="0.3">
      <c r="F5879"/>
      <c r="H5879"/>
    </row>
    <row r="5880" spans="6:8" x14ac:dyDescent="0.3">
      <c r="F5880"/>
      <c r="H5880"/>
    </row>
    <row r="5881" spans="6:8" x14ac:dyDescent="0.3">
      <c r="F5881"/>
      <c r="H5881"/>
    </row>
    <row r="5882" spans="6:8" x14ac:dyDescent="0.3">
      <c r="F5882"/>
      <c r="H5882"/>
    </row>
    <row r="5883" spans="6:8" x14ac:dyDescent="0.3">
      <c r="F5883"/>
      <c r="H5883"/>
    </row>
    <row r="5884" spans="6:8" x14ac:dyDescent="0.3">
      <c r="F5884"/>
      <c r="H5884"/>
    </row>
    <row r="5885" spans="6:8" x14ac:dyDescent="0.3">
      <c r="F5885"/>
      <c r="H5885"/>
    </row>
    <row r="5886" spans="6:8" x14ac:dyDescent="0.3">
      <c r="F5886"/>
      <c r="H5886"/>
    </row>
    <row r="5887" spans="6:8" x14ac:dyDescent="0.3">
      <c r="F5887"/>
      <c r="H5887"/>
    </row>
    <row r="5888" spans="6:8" x14ac:dyDescent="0.3">
      <c r="F5888"/>
      <c r="H5888"/>
    </row>
    <row r="5889" spans="6:8" x14ac:dyDescent="0.3">
      <c r="F5889"/>
      <c r="H5889"/>
    </row>
    <row r="5890" spans="6:8" x14ac:dyDescent="0.3">
      <c r="F5890"/>
      <c r="H5890"/>
    </row>
    <row r="5891" spans="6:8" x14ac:dyDescent="0.3">
      <c r="F5891"/>
      <c r="H5891"/>
    </row>
    <row r="5892" spans="6:8" x14ac:dyDescent="0.3">
      <c r="F5892"/>
      <c r="H5892"/>
    </row>
    <row r="5893" spans="6:8" x14ac:dyDescent="0.3">
      <c r="F5893"/>
      <c r="H5893"/>
    </row>
    <row r="5894" spans="6:8" x14ac:dyDescent="0.3">
      <c r="F5894"/>
      <c r="H5894"/>
    </row>
    <row r="5895" spans="6:8" x14ac:dyDescent="0.3">
      <c r="F5895"/>
      <c r="H5895"/>
    </row>
    <row r="5896" spans="6:8" x14ac:dyDescent="0.3">
      <c r="F5896"/>
      <c r="H5896"/>
    </row>
    <row r="5897" spans="6:8" x14ac:dyDescent="0.3">
      <c r="F5897"/>
      <c r="H5897"/>
    </row>
    <row r="5898" spans="6:8" x14ac:dyDescent="0.3">
      <c r="F5898"/>
      <c r="H5898"/>
    </row>
    <row r="5899" spans="6:8" x14ac:dyDescent="0.3">
      <c r="F5899"/>
      <c r="H5899"/>
    </row>
    <row r="5900" spans="6:8" x14ac:dyDescent="0.3">
      <c r="F5900"/>
      <c r="H5900"/>
    </row>
    <row r="5901" spans="6:8" x14ac:dyDescent="0.3">
      <c r="F5901"/>
      <c r="H5901"/>
    </row>
    <row r="5902" spans="6:8" x14ac:dyDescent="0.3">
      <c r="F5902"/>
      <c r="H5902"/>
    </row>
    <row r="5903" spans="6:8" x14ac:dyDescent="0.3">
      <c r="F5903"/>
      <c r="H5903"/>
    </row>
    <row r="5904" spans="6:8" x14ac:dyDescent="0.3">
      <c r="F5904"/>
      <c r="H5904"/>
    </row>
    <row r="5905" spans="6:8" x14ac:dyDescent="0.3">
      <c r="F5905"/>
      <c r="H5905"/>
    </row>
    <row r="5906" spans="6:8" x14ac:dyDescent="0.3">
      <c r="F5906"/>
      <c r="H5906"/>
    </row>
    <row r="5907" spans="6:8" x14ac:dyDescent="0.3">
      <c r="F5907"/>
      <c r="H5907"/>
    </row>
    <row r="5908" spans="6:8" x14ac:dyDescent="0.3">
      <c r="F5908"/>
      <c r="H5908"/>
    </row>
    <row r="5909" spans="6:8" x14ac:dyDescent="0.3">
      <c r="F5909"/>
      <c r="H5909"/>
    </row>
    <row r="5910" spans="6:8" x14ac:dyDescent="0.3">
      <c r="F5910"/>
      <c r="H5910"/>
    </row>
    <row r="5911" spans="6:8" x14ac:dyDescent="0.3">
      <c r="F5911"/>
      <c r="H5911"/>
    </row>
    <row r="5912" spans="6:8" x14ac:dyDescent="0.3">
      <c r="F5912"/>
      <c r="H5912"/>
    </row>
    <row r="5913" spans="6:8" x14ac:dyDescent="0.3">
      <c r="F5913"/>
      <c r="H5913"/>
    </row>
    <row r="5914" spans="6:8" x14ac:dyDescent="0.3">
      <c r="F5914"/>
      <c r="H5914"/>
    </row>
    <row r="5915" spans="6:8" x14ac:dyDescent="0.3">
      <c r="F5915"/>
      <c r="H5915"/>
    </row>
    <row r="5916" spans="6:8" x14ac:dyDescent="0.3">
      <c r="F5916"/>
      <c r="H5916"/>
    </row>
    <row r="5917" spans="6:8" x14ac:dyDescent="0.3">
      <c r="F5917"/>
      <c r="H5917"/>
    </row>
    <row r="5918" spans="6:8" x14ac:dyDescent="0.3">
      <c r="F5918"/>
      <c r="H5918"/>
    </row>
    <row r="5919" spans="6:8" x14ac:dyDescent="0.3">
      <c r="F5919"/>
      <c r="H5919"/>
    </row>
    <row r="5920" spans="6:8" x14ac:dyDescent="0.3">
      <c r="F5920"/>
      <c r="H5920"/>
    </row>
    <row r="5921" spans="6:8" x14ac:dyDescent="0.3">
      <c r="F5921"/>
      <c r="H5921"/>
    </row>
    <row r="5922" spans="6:8" x14ac:dyDescent="0.3">
      <c r="F5922"/>
      <c r="H5922"/>
    </row>
    <row r="5923" spans="6:8" x14ac:dyDescent="0.3">
      <c r="F5923"/>
      <c r="H5923"/>
    </row>
    <row r="5924" spans="6:8" x14ac:dyDescent="0.3">
      <c r="F5924"/>
      <c r="H5924"/>
    </row>
    <row r="5925" spans="6:8" x14ac:dyDescent="0.3">
      <c r="F5925"/>
      <c r="H5925"/>
    </row>
    <row r="5926" spans="6:8" x14ac:dyDescent="0.3">
      <c r="F5926"/>
      <c r="H5926"/>
    </row>
    <row r="5927" spans="6:8" x14ac:dyDescent="0.3">
      <c r="F5927"/>
      <c r="H5927"/>
    </row>
    <row r="5928" spans="6:8" x14ac:dyDescent="0.3">
      <c r="F5928"/>
      <c r="H5928"/>
    </row>
    <row r="5929" spans="6:8" x14ac:dyDescent="0.3">
      <c r="F5929"/>
      <c r="H5929"/>
    </row>
    <row r="5930" spans="6:8" x14ac:dyDescent="0.3">
      <c r="F5930"/>
      <c r="H5930"/>
    </row>
    <row r="5931" spans="6:8" x14ac:dyDescent="0.3">
      <c r="F5931"/>
      <c r="H5931"/>
    </row>
    <row r="5932" spans="6:8" x14ac:dyDescent="0.3">
      <c r="F5932"/>
      <c r="H5932"/>
    </row>
    <row r="5933" spans="6:8" x14ac:dyDescent="0.3">
      <c r="F5933"/>
      <c r="H5933"/>
    </row>
    <row r="5934" spans="6:8" x14ac:dyDescent="0.3">
      <c r="F5934"/>
      <c r="H5934"/>
    </row>
    <row r="5935" spans="6:8" x14ac:dyDescent="0.3">
      <c r="F5935"/>
      <c r="H5935"/>
    </row>
    <row r="5936" spans="6:8" x14ac:dyDescent="0.3">
      <c r="F5936"/>
      <c r="H5936"/>
    </row>
    <row r="5937" spans="6:8" x14ac:dyDescent="0.3">
      <c r="F5937"/>
      <c r="H5937"/>
    </row>
    <row r="5938" spans="6:8" x14ac:dyDescent="0.3">
      <c r="F5938"/>
      <c r="H5938"/>
    </row>
    <row r="5939" spans="6:8" x14ac:dyDescent="0.3">
      <c r="F5939"/>
      <c r="H5939"/>
    </row>
    <row r="5940" spans="6:8" x14ac:dyDescent="0.3">
      <c r="F5940"/>
      <c r="H5940"/>
    </row>
    <row r="5941" spans="6:8" x14ac:dyDescent="0.3">
      <c r="F5941"/>
      <c r="H5941"/>
    </row>
    <row r="5942" spans="6:8" x14ac:dyDescent="0.3">
      <c r="F5942"/>
      <c r="H5942"/>
    </row>
    <row r="5943" spans="6:8" x14ac:dyDescent="0.3">
      <c r="F5943"/>
      <c r="H5943"/>
    </row>
    <row r="5944" spans="6:8" x14ac:dyDescent="0.3">
      <c r="F5944"/>
      <c r="H5944"/>
    </row>
    <row r="5945" spans="6:8" x14ac:dyDescent="0.3">
      <c r="F5945"/>
      <c r="H5945"/>
    </row>
    <row r="5946" spans="6:8" x14ac:dyDescent="0.3">
      <c r="F5946"/>
      <c r="H5946"/>
    </row>
    <row r="5947" spans="6:8" x14ac:dyDescent="0.3">
      <c r="F5947"/>
      <c r="H5947"/>
    </row>
    <row r="5948" spans="6:8" x14ac:dyDescent="0.3">
      <c r="F5948"/>
      <c r="H5948"/>
    </row>
    <row r="5949" spans="6:8" x14ac:dyDescent="0.3">
      <c r="F5949"/>
      <c r="H5949"/>
    </row>
    <row r="5950" spans="6:8" x14ac:dyDescent="0.3">
      <c r="F5950"/>
      <c r="H5950"/>
    </row>
    <row r="5951" spans="6:8" x14ac:dyDescent="0.3">
      <c r="F5951"/>
      <c r="H5951"/>
    </row>
    <row r="5952" spans="6:8" x14ac:dyDescent="0.3">
      <c r="F5952"/>
      <c r="H5952"/>
    </row>
    <row r="5953" spans="6:8" x14ac:dyDescent="0.3">
      <c r="F5953"/>
      <c r="H5953"/>
    </row>
    <row r="5954" spans="6:8" x14ac:dyDescent="0.3">
      <c r="F5954"/>
      <c r="H5954"/>
    </row>
    <row r="5955" spans="6:8" x14ac:dyDescent="0.3">
      <c r="F5955"/>
      <c r="H5955"/>
    </row>
    <row r="5956" spans="6:8" x14ac:dyDescent="0.3">
      <c r="F5956"/>
      <c r="H5956"/>
    </row>
    <row r="5957" spans="6:8" x14ac:dyDescent="0.3">
      <c r="F5957"/>
      <c r="H5957"/>
    </row>
    <row r="5958" spans="6:8" x14ac:dyDescent="0.3">
      <c r="F5958"/>
      <c r="H5958"/>
    </row>
    <row r="5959" spans="6:8" x14ac:dyDescent="0.3">
      <c r="F5959"/>
      <c r="H5959"/>
    </row>
    <row r="5960" spans="6:8" x14ac:dyDescent="0.3">
      <c r="F5960"/>
      <c r="H5960"/>
    </row>
    <row r="5961" spans="6:8" x14ac:dyDescent="0.3">
      <c r="F5961"/>
      <c r="H5961"/>
    </row>
    <row r="5962" spans="6:8" x14ac:dyDescent="0.3">
      <c r="F5962"/>
      <c r="H5962"/>
    </row>
    <row r="5963" spans="6:8" x14ac:dyDescent="0.3">
      <c r="F5963"/>
      <c r="H5963"/>
    </row>
    <row r="5964" spans="6:8" x14ac:dyDescent="0.3">
      <c r="F5964"/>
      <c r="H5964"/>
    </row>
    <row r="5965" spans="6:8" x14ac:dyDescent="0.3">
      <c r="F5965"/>
      <c r="H5965"/>
    </row>
    <row r="5966" spans="6:8" x14ac:dyDescent="0.3">
      <c r="F5966"/>
      <c r="H5966"/>
    </row>
    <row r="5967" spans="6:8" x14ac:dyDescent="0.3">
      <c r="F5967"/>
      <c r="H5967"/>
    </row>
    <row r="5968" spans="6:8" x14ac:dyDescent="0.3">
      <c r="F5968"/>
      <c r="H5968"/>
    </row>
    <row r="5969" spans="6:8" x14ac:dyDescent="0.3">
      <c r="F5969"/>
      <c r="H5969"/>
    </row>
    <row r="5970" spans="6:8" x14ac:dyDescent="0.3">
      <c r="F5970"/>
      <c r="H5970"/>
    </row>
    <row r="5971" spans="6:8" x14ac:dyDescent="0.3">
      <c r="F5971"/>
      <c r="H5971"/>
    </row>
    <row r="5972" spans="6:8" x14ac:dyDescent="0.3">
      <c r="F5972"/>
      <c r="H5972"/>
    </row>
    <row r="5973" spans="6:8" x14ac:dyDescent="0.3">
      <c r="F5973"/>
      <c r="H5973"/>
    </row>
    <row r="5974" spans="6:8" x14ac:dyDescent="0.3">
      <c r="F5974"/>
      <c r="H5974"/>
    </row>
    <row r="5975" spans="6:8" x14ac:dyDescent="0.3">
      <c r="F5975"/>
      <c r="H5975"/>
    </row>
    <row r="5976" spans="6:8" x14ac:dyDescent="0.3">
      <c r="F5976"/>
      <c r="H5976"/>
    </row>
    <row r="5977" spans="6:8" x14ac:dyDescent="0.3">
      <c r="F5977"/>
      <c r="H5977"/>
    </row>
    <row r="5978" spans="6:8" x14ac:dyDescent="0.3">
      <c r="F5978"/>
      <c r="H5978"/>
    </row>
    <row r="5979" spans="6:8" x14ac:dyDescent="0.3">
      <c r="F5979"/>
      <c r="H5979"/>
    </row>
    <row r="5980" spans="6:8" x14ac:dyDescent="0.3">
      <c r="F5980"/>
      <c r="H5980"/>
    </row>
    <row r="5981" spans="6:8" x14ac:dyDescent="0.3">
      <c r="F5981"/>
      <c r="H5981"/>
    </row>
    <row r="5982" spans="6:8" x14ac:dyDescent="0.3">
      <c r="F5982"/>
      <c r="H5982"/>
    </row>
    <row r="5983" spans="6:8" x14ac:dyDescent="0.3">
      <c r="F5983"/>
      <c r="H5983"/>
    </row>
    <row r="5984" spans="6:8" x14ac:dyDescent="0.3">
      <c r="F5984"/>
      <c r="H5984"/>
    </row>
    <row r="5985" spans="6:8" x14ac:dyDescent="0.3">
      <c r="F5985"/>
      <c r="H5985"/>
    </row>
    <row r="5986" spans="6:8" x14ac:dyDescent="0.3">
      <c r="F5986"/>
      <c r="H5986"/>
    </row>
    <row r="5987" spans="6:8" x14ac:dyDescent="0.3">
      <c r="F5987"/>
      <c r="H5987"/>
    </row>
    <row r="5988" spans="6:8" x14ac:dyDescent="0.3">
      <c r="F5988"/>
      <c r="H5988"/>
    </row>
    <row r="5989" spans="6:8" x14ac:dyDescent="0.3">
      <c r="F5989"/>
      <c r="H5989"/>
    </row>
    <row r="5990" spans="6:8" x14ac:dyDescent="0.3">
      <c r="F5990"/>
      <c r="H5990"/>
    </row>
    <row r="5991" spans="6:8" x14ac:dyDescent="0.3">
      <c r="F5991"/>
      <c r="H5991"/>
    </row>
    <row r="5992" spans="6:8" x14ac:dyDescent="0.3">
      <c r="F5992"/>
      <c r="H5992"/>
    </row>
    <row r="5993" spans="6:8" x14ac:dyDescent="0.3">
      <c r="F5993"/>
      <c r="H5993"/>
    </row>
    <row r="5994" spans="6:8" x14ac:dyDescent="0.3">
      <c r="F5994"/>
      <c r="H5994"/>
    </row>
    <row r="5995" spans="6:8" x14ac:dyDescent="0.3">
      <c r="F5995"/>
      <c r="H5995"/>
    </row>
    <row r="5996" spans="6:8" x14ac:dyDescent="0.3">
      <c r="F5996"/>
      <c r="H5996"/>
    </row>
    <row r="5997" spans="6:8" x14ac:dyDescent="0.3">
      <c r="F5997"/>
      <c r="H5997"/>
    </row>
    <row r="5998" spans="6:8" x14ac:dyDescent="0.3">
      <c r="F5998"/>
      <c r="H5998"/>
    </row>
    <row r="5999" spans="6:8" x14ac:dyDescent="0.3">
      <c r="F5999"/>
      <c r="H5999"/>
    </row>
    <row r="6000" spans="6:8" x14ac:dyDescent="0.3">
      <c r="F6000"/>
      <c r="H6000"/>
    </row>
    <row r="6001" spans="6:8" x14ac:dyDescent="0.3">
      <c r="F6001"/>
      <c r="H6001"/>
    </row>
    <row r="6002" spans="6:8" x14ac:dyDescent="0.3">
      <c r="F6002"/>
      <c r="H6002"/>
    </row>
    <row r="6003" spans="6:8" x14ac:dyDescent="0.3">
      <c r="F6003"/>
      <c r="H6003"/>
    </row>
    <row r="6004" spans="6:8" x14ac:dyDescent="0.3">
      <c r="F6004"/>
      <c r="H6004"/>
    </row>
    <row r="6005" spans="6:8" x14ac:dyDescent="0.3">
      <c r="F6005"/>
      <c r="H6005"/>
    </row>
    <row r="6006" spans="6:8" x14ac:dyDescent="0.3">
      <c r="F6006"/>
      <c r="H6006"/>
    </row>
    <row r="6007" spans="6:8" x14ac:dyDescent="0.3">
      <c r="F6007"/>
      <c r="H6007"/>
    </row>
    <row r="6008" spans="6:8" x14ac:dyDescent="0.3">
      <c r="F6008"/>
      <c r="H6008"/>
    </row>
    <row r="6009" spans="6:8" x14ac:dyDescent="0.3">
      <c r="F6009"/>
      <c r="H6009"/>
    </row>
    <row r="6010" spans="6:8" x14ac:dyDescent="0.3">
      <c r="F6010"/>
      <c r="H6010"/>
    </row>
    <row r="6011" spans="6:8" x14ac:dyDescent="0.3">
      <c r="F6011"/>
      <c r="H6011"/>
    </row>
    <row r="6012" spans="6:8" x14ac:dyDescent="0.3">
      <c r="F6012"/>
      <c r="H6012"/>
    </row>
    <row r="6013" spans="6:8" x14ac:dyDescent="0.3">
      <c r="F6013"/>
      <c r="H6013"/>
    </row>
    <row r="6014" spans="6:8" x14ac:dyDescent="0.3">
      <c r="F6014"/>
      <c r="H6014"/>
    </row>
    <row r="6015" spans="6:8" x14ac:dyDescent="0.3">
      <c r="F6015"/>
      <c r="H6015"/>
    </row>
    <row r="6016" spans="6:8" x14ac:dyDescent="0.3">
      <c r="F6016"/>
      <c r="H6016"/>
    </row>
    <row r="6017" spans="6:8" x14ac:dyDescent="0.3">
      <c r="F6017"/>
      <c r="H6017"/>
    </row>
    <row r="6018" spans="6:8" x14ac:dyDescent="0.3">
      <c r="F6018"/>
      <c r="H6018"/>
    </row>
    <row r="6019" spans="6:8" x14ac:dyDescent="0.3">
      <c r="F6019"/>
      <c r="H6019"/>
    </row>
    <row r="6020" spans="6:8" x14ac:dyDescent="0.3">
      <c r="F6020"/>
      <c r="H6020"/>
    </row>
    <row r="6021" spans="6:8" x14ac:dyDescent="0.3">
      <c r="F6021"/>
      <c r="H6021"/>
    </row>
    <row r="6022" spans="6:8" x14ac:dyDescent="0.3">
      <c r="F6022"/>
      <c r="H6022"/>
    </row>
    <row r="6023" spans="6:8" x14ac:dyDescent="0.3">
      <c r="F6023"/>
      <c r="H6023"/>
    </row>
    <row r="6024" spans="6:8" x14ac:dyDescent="0.3">
      <c r="F6024"/>
      <c r="H6024"/>
    </row>
    <row r="6025" spans="6:8" x14ac:dyDescent="0.3">
      <c r="F6025"/>
      <c r="H6025"/>
    </row>
    <row r="6026" spans="6:8" x14ac:dyDescent="0.3">
      <c r="F6026"/>
      <c r="H6026"/>
    </row>
    <row r="6027" spans="6:8" x14ac:dyDescent="0.3">
      <c r="F6027"/>
      <c r="H6027"/>
    </row>
    <row r="6028" spans="6:8" x14ac:dyDescent="0.3">
      <c r="F6028"/>
      <c r="H6028"/>
    </row>
    <row r="6029" spans="6:8" x14ac:dyDescent="0.3">
      <c r="F6029"/>
      <c r="H6029"/>
    </row>
    <row r="6030" spans="6:8" x14ac:dyDescent="0.3">
      <c r="F6030"/>
      <c r="H6030"/>
    </row>
    <row r="6031" spans="6:8" x14ac:dyDescent="0.3">
      <c r="F6031"/>
      <c r="H6031"/>
    </row>
    <row r="6032" spans="6:8" x14ac:dyDescent="0.3">
      <c r="F6032"/>
      <c r="H6032"/>
    </row>
    <row r="6033" spans="6:8" x14ac:dyDescent="0.3">
      <c r="F6033"/>
      <c r="H6033"/>
    </row>
    <row r="6034" spans="6:8" x14ac:dyDescent="0.3">
      <c r="F6034"/>
      <c r="H6034"/>
    </row>
    <row r="6035" spans="6:8" x14ac:dyDescent="0.3">
      <c r="F6035"/>
      <c r="H6035"/>
    </row>
    <row r="6036" spans="6:8" x14ac:dyDescent="0.3">
      <c r="F6036"/>
      <c r="H6036"/>
    </row>
    <row r="6037" spans="6:8" x14ac:dyDescent="0.3">
      <c r="F6037"/>
      <c r="H6037"/>
    </row>
    <row r="6038" spans="6:8" x14ac:dyDescent="0.3">
      <c r="F6038"/>
      <c r="H6038"/>
    </row>
    <row r="6039" spans="6:8" x14ac:dyDescent="0.3">
      <c r="F6039"/>
      <c r="H6039"/>
    </row>
    <row r="6040" spans="6:8" x14ac:dyDescent="0.3">
      <c r="F6040"/>
      <c r="H6040"/>
    </row>
    <row r="6041" spans="6:8" x14ac:dyDescent="0.3">
      <c r="F6041"/>
      <c r="H6041"/>
    </row>
    <row r="6042" spans="6:8" x14ac:dyDescent="0.3">
      <c r="F6042"/>
      <c r="H6042"/>
    </row>
    <row r="6043" spans="6:8" x14ac:dyDescent="0.3">
      <c r="F6043"/>
      <c r="H6043"/>
    </row>
    <row r="6044" spans="6:8" x14ac:dyDescent="0.3">
      <c r="F6044"/>
      <c r="H6044"/>
    </row>
    <row r="6045" spans="6:8" x14ac:dyDescent="0.3">
      <c r="F6045"/>
      <c r="H6045"/>
    </row>
    <row r="6046" spans="6:8" x14ac:dyDescent="0.3">
      <c r="F6046"/>
      <c r="H6046"/>
    </row>
    <row r="6047" spans="6:8" x14ac:dyDescent="0.3">
      <c r="F6047"/>
      <c r="H6047"/>
    </row>
    <row r="6048" spans="6:8" x14ac:dyDescent="0.3">
      <c r="F6048"/>
      <c r="H6048"/>
    </row>
    <row r="6049" spans="6:8" x14ac:dyDescent="0.3">
      <c r="F6049"/>
      <c r="H6049"/>
    </row>
    <row r="6050" spans="6:8" x14ac:dyDescent="0.3">
      <c r="F6050"/>
      <c r="H6050"/>
    </row>
    <row r="6051" spans="6:8" x14ac:dyDescent="0.3">
      <c r="F6051"/>
      <c r="H6051"/>
    </row>
    <row r="6052" spans="6:8" x14ac:dyDescent="0.3">
      <c r="F6052"/>
      <c r="H6052"/>
    </row>
    <row r="6053" spans="6:8" x14ac:dyDescent="0.3">
      <c r="F6053"/>
      <c r="H6053"/>
    </row>
    <row r="6054" spans="6:8" x14ac:dyDescent="0.3">
      <c r="F6054"/>
      <c r="H6054"/>
    </row>
    <row r="6055" spans="6:8" x14ac:dyDescent="0.3">
      <c r="F6055"/>
      <c r="H6055"/>
    </row>
    <row r="6056" spans="6:8" x14ac:dyDescent="0.3">
      <c r="F6056"/>
      <c r="H6056"/>
    </row>
    <row r="6057" spans="6:8" x14ac:dyDescent="0.3">
      <c r="F6057"/>
      <c r="H6057"/>
    </row>
    <row r="6058" spans="6:8" x14ac:dyDescent="0.3">
      <c r="F6058"/>
      <c r="H6058"/>
    </row>
    <row r="6059" spans="6:8" x14ac:dyDescent="0.3">
      <c r="F6059"/>
      <c r="H6059"/>
    </row>
    <row r="6060" spans="6:8" x14ac:dyDescent="0.3">
      <c r="F6060"/>
      <c r="H6060"/>
    </row>
    <row r="6061" spans="6:8" x14ac:dyDescent="0.3">
      <c r="F6061"/>
      <c r="H6061"/>
    </row>
    <row r="6062" spans="6:8" x14ac:dyDescent="0.3">
      <c r="F6062"/>
      <c r="H6062"/>
    </row>
    <row r="6063" spans="6:8" x14ac:dyDescent="0.3">
      <c r="F6063"/>
      <c r="H6063"/>
    </row>
    <row r="6064" spans="6:8" x14ac:dyDescent="0.3">
      <c r="F6064"/>
      <c r="H6064"/>
    </row>
    <row r="6065" spans="6:8" x14ac:dyDescent="0.3">
      <c r="F6065"/>
      <c r="H6065"/>
    </row>
    <row r="6066" spans="6:8" x14ac:dyDescent="0.3">
      <c r="F6066"/>
      <c r="H6066"/>
    </row>
    <row r="6067" spans="6:8" x14ac:dyDescent="0.3">
      <c r="F6067"/>
      <c r="H6067"/>
    </row>
    <row r="6068" spans="6:8" x14ac:dyDescent="0.3">
      <c r="F6068"/>
      <c r="H6068"/>
    </row>
    <row r="6069" spans="6:8" x14ac:dyDescent="0.3">
      <c r="F6069"/>
      <c r="H6069"/>
    </row>
    <row r="6070" spans="6:8" x14ac:dyDescent="0.3">
      <c r="F6070"/>
      <c r="H6070"/>
    </row>
    <row r="6071" spans="6:8" x14ac:dyDescent="0.3">
      <c r="F6071"/>
      <c r="H6071"/>
    </row>
    <row r="6072" spans="6:8" x14ac:dyDescent="0.3">
      <c r="F6072"/>
      <c r="H6072"/>
    </row>
    <row r="6073" spans="6:8" x14ac:dyDescent="0.3">
      <c r="F6073"/>
      <c r="H6073"/>
    </row>
    <row r="6074" spans="6:8" x14ac:dyDescent="0.3">
      <c r="F6074"/>
      <c r="H6074"/>
    </row>
    <row r="6075" spans="6:8" x14ac:dyDescent="0.3">
      <c r="F6075"/>
      <c r="H6075"/>
    </row>
    <row r="6076" spans="6:8" x14ac:dyDescent="0.3">
      <c r="F6076"/>
      <c r="H6076"/>
    </row>
    <row r="6077" spans="6:8" x14ac:dyDescent="0.3">
      <c r="F6077"/>
      <c r="H6077"/>
    </row>
    <row r="6078" spans="6:8" x14ac:dyDescent="0.3">
      <c r="F6078"/>
      <c r="H6078"/>
    </row>
    <row r="6079" spans="6:8" x14ac:dyDescent="0.3">
      <c r="F6079"/>
      <c r="H6079"/>
    </row>
    <row r="6080" spans="6:8" x14ac:dyDescent="0.3">
      <c r="F6080"/>
      <c r="H6080"/>
    </row>
    <row r="6081" spans="6:8" x14ac:dyDescent="0.3">
      <c r="F6081"/>
      <c r="H6081"/>
    </row>
    <row r="6082" spans="6:8" x14ac:dyDescent="0.3">
      <c r="F6082"/>
      <c r="H6082"/>
    </row>
    <row r="6083" spans="6:8" x14ac:dyDescent="0.3">
      <c r="F6083"/>
      <c r="H6083"/>
    </row>
    <row r="6084" spans="6:8" x14ac:dyDescent="0.3">
      <c r="F6084"/>
      <c r="H6084"/>
    </row>
    <row r="6085" spans="6:8" x14ac:dyDescent="0.3">
      <c r="F6085"/>
      <c r="H6085"/>
    </row>
    <row r="6086" spans="6:8" x14ac:dyDescent="0.3">
      <c r="F6086"/>
      <c r="H6086"/>
    </row>
    <row r="6087" spans="6:8" x14ac:dyDescent="0.3">
      <c r="F6087"/>
      <c r="H6087"/>
    </row>
    <row r="6088" spans="6:8" x14ac:dyDescent="0.3">
      <c r="F6088"/>
      <c r="H6088"/>
    </row>
    <row r="6089" spans="6:8" x14ac:dyDescent="0.3">
      <c r="F6089"/>
      <c r="H6089"/>
    </row>
    <row r="6090" spans="6:8" x14ac:dyDescent="0.3">
      <c r="F6090"/>
      <c r="H6090"/>
    </row>
    <row r="6091" spans="6:8" x14ac:dyDescent="0.3">
      <c r="F6091"/>
      <c r="H6091"/>
    </row>
    <row r="6092" spans="6:8" x14ac:dyDescent="0.3">
      <c r="F6092"/>
      <c r="H6092"/>
    </row>
    <row r="6093" spans="6:8" x14ac:dyDescent="0.3">
      <c r="F6093"/>
      <c r="H6093"/>
    </row>
    <row r="6094" spans="6:8" x14ac:dyDescent="0.3">
      <c r="F6094"/>
      <c r="H6094"/>
    </row>
    <row r="6095" spans="6:8" x14ac:dyDescent="0.3">
      <c r="F6095"/>
      <c r="H6095"/>
    </row>
    <row r="6096" spans="6:8" x14ac:dyDescent="0.3">
      <c r="F6096"/>
      <c r="H6096"/>
    </row>
    <row r="6097" spans="6:8" x14ac:dyDescent="0.3">
      <c r="F6097"/>
      <c r="H6097"/>
    </row>
    <row r="6098" spans="6:8" x14ac:dyDescent="0.3">
      <c r="F6098"/>
      <c r="H6098"/>
    </row>
    <row r="6099" spans="6:8" x14ac:dyDescent="0.3">
      <c r="F6099"/>
      <c r="H6099"/>
    </row>
    <row r="6100" spans="6:8" x14ac:dyDescent="0.3">
      <c r="F6100"/>
      <c r="H6100"/>
    </row>
    <row r="6101" spans="6:8" x14ac:dyDescent="0.3">
      <c r="F6101"/>
      <c r="H6101"/>
    </row>
    <row r="6102" spans="6:8" x14ac:dyDescent="0.3">
      <c r="F6102"/>
      <c r="H6102"/>
    </row>
    <row r="6103" spans="6:8" x14ac:dyDescent="0.3">
      <c r="F6103"/>
      <c r="H6103"/>
    </row>
    <row r="6104" spans="6:8" x14ac:dyDescent="0.3">
      <c r="F6104"/>
      <c r="H6104"/>
    </row>
    <row r="6105" spans="6:8" x14ac:dyDescent="0.3">
      <c r="F6105"/>
      <c r="H6105"/>
    </row>
    <row r="6106" spans="6:8" x14ac:dyDescent="0.3">
      <c r="F6106"/>
      <c r="H6106"/>
    </row>
    <row r="6107" spans="6:8" x14ac:dyDescent="0.3">
      <c r="F6107"/>
      <c r="H6107"/>
    </row>
    <row r="6108" spans="6:8" x14ac:dyDescent="0.3">
      <c r="F6108"/>
      <c r="H6108"/>
    </row>
    <row r="6109" spans="6:8" x14ac:dyDescent="0.3">
      <c r="F6109"/>
      <c r="H6109"/>
    </row>
    <row r="6110" spans="6:8" x14ac:dyDescent="0.3">
      <c r="F6110"/>
      <c r="H6110"/>
    </row>
    <row r="6111" spans="6:8" x14ac:dyDescent="0.3">
      <c r="F6111"/>
      <c r="H6111"/>
    </row>
    <row r="6112" spans="6:8" x14ac:dyDescent="0.3">
      <c r="F6112"/>
      <c r="H6112"/>
    </row>
    <row r="6113" spans="6:8" x14ac:dyDescent="0.3">
      <c r="F6113"/>
      <c r="H6113"/>
    </row>
    <row r="6114" spans="6:8" x14ac:dyDescent="0.3">
      <c r="F6114"/>
      <c r="H6114"/>
    </row>
    <row r="6115" spans="6:8" x14ac:dyDescent="0.3">
      <c r="F6115"/>
      <c r="H6115"/>
    </row>
    <row r="6116" spans="6:8" x14ac:dyDescent="0.3">
      <c r="F6116"/>
      <c r="H6116"/>
    </row>
    <row r="6117" spans="6:8" x14ac:dyDescent="0.3">
      <c r="F6117"/>
      <c r="H6117"/>
    </row>
    <row r="6118" spans="6:8" x14ac:dyDescent="0.3">
      <c r="F6118"/>
      <c r="H6118"/>
    </row>
    <row r="6119" spans="6:8" x14ac:dyDescent="0.3">
      <c r="F6119"/>
      <c r="H6119"/>
    </row>
    <row r="6120" spans="6:8" x14ac:dyDescent="0.3">
      <c r="F6120"/>
      <c r="H6120"/>
    </row>
    <row r="6121" spans="6:8" x14ac:dyDescent="0.3">
      <c r="F6121"/>
      <c r="H6121"/>
    </row>
    <row r="6122" spans="6:8" x14ac:dyDescent="0.3">
      <c r="F6122"/>
      <c r="H6122"/>
    </row>
    <row r="6123" spans="6:8" x14ac:dyDescent="0.3">
      <c r="F6123"/>
      <c r="H6123"/>
    </row>
    <row r="6124" spans="6:8" x14ac:dyDescent="0.3">
      <c r="F6124"/>
      <c r="H6124"/>
    </row>
    <row r="6125" spans="6:8" x14ac:dyDescent="0.3">
      <c r="F6125"/>
      <c r="H6125"/>
    </row>
    <row r="6126" spans="6:8" x14ac:dyDescent="0.3">
      <c r="F6126"/>
      <c r="H6126"/>
    </row>
    <row r="6127" spans="6:8" x14ac:dyDescent="0.3">
      <c r="F6127"/>
      <c r="H6127"/>
    </row>
    <row r="6128" spans="6:8" x14ac:dyDescent="0.3">
      <c r="F6128"/>
      <c r="H6128"/>
    </row>
    <row r="6129" spans="6:8" x14ac:dyDescent="0.3">
      <c r="F6129"/>
      <c r="H6129"/>
    </row>
    <row r="6130" spans="6:8" x14ac:dyDescent="0.3">
      <c r="F6130"/>
      <c r="H6130"/>
    </row>
    <row r="6131" spans="6:8" x14ac:dyDescent="0.3">
      <c r="F6131"/>
      <c r="H6131"/>
    </row>
    <row r="6132" spans="6:8" x14ac:dyDescent="0.3">
      <c r="F6132"/>
      <c r="H6132"/>
    </row>
    <row r="6133" spans="6:8" x14ac:dyDescent="0.3">
      <c r="F6133"/>
      <c r="H6133"/>
    </row>
    <row r="6134" spans="6:8" x14ac:dyDescent="0.3">
      <c r="F6134"/>
      <c r="H6134"/>
    </row>
    <row r="6135" spans="6:8" x14ac:dyDescent="0.3">
      <c r="F6135"/>
      <c r="H6135"/>
    </row>
    <row r="6136" spans="6:8" x14ac:dyDescent="0.3">
      <c r="F6136"/>
      <c r="H6136"/>
    </row>
    <row r="6137" spans="6:8" x14ac:dyDescent="0.3">
      <c r="F6137"/>
      <c r="H6137"/>
    </row>
    <row r="6138" spans="6:8" x14ac:dyDescent="0.3">
      <c r="F6138"/>
      <c r="H6138"/>
    </row>
    <row r="6139" spans="6:8" x14ac:dyDescent="0.3">
      <c r="F6139"/>
      <c r="H6139"/>
    </row>
    <row r="6140" spans="6:8" x14ac:dyDescent="0.3">
      <c r="F6140"/>
      <c r="H6140"/>
    </row>
    <row r="6141" spans="6:8" x14ac:dyDescent="0.3">
      <c r="F6141"/>
      <c r="H6141"/>
    </row>
    <row r="6142" spans="6:8" x14ac:dyDescent="0.3">
      <c r="F6142"/>
      <c r="H6142"/>
    </row>
    <row r="6143" spans="6:8" x14ac:dyDescent="0.3">
      <c r="F6143"/>
      <c r="H6143"/>
    </row>
    <row r="6144" spans="6:8" x14ac:dyDescent="0.3">
      <c r="F6144"/>
      <c r="H6144"/>
    </row>
    <row r="6145" spans="6:8" x14ac:dyDescent="0.3">
      <c r="F6145"/>
      <c r="H6145"/>
    </row>
    <row r="6146" spans="6:8" x14ac:dyDescent="0.3">
      <c r="F6146"/>
      <c r="H6146"/>
    </row>
    <row r="6147" spans="6:8" x14ac:dyDescent="0.3">
      <c r="F6147"/>
      <c r="H6147"/>
    </row>
    <row r="6148" spans="6:8" x14ac:dyDescent="0.3">
      <c r="F6148"/>
      <c r="H6148"/>
    </row>
    <row r="6149" spans="6:8" x14ac:dyDescent="0.3">
      <c r="F6149"/>
      <c r="H6149"/>
    </row>
    <row r="6150" spans="6:8" x14ac:dyDescent="0.3">
      <c r="F6150"/>
      <c r="H6150"/>
    </row>
    <row r="6151" spans="6:8" x14ac:dyDescent="0.3">
      <c r="F6151"/>
      <c r="H6151"/>
    </row>
    <row r="6152" spans="6:8" x14ac:dyDescent="0.3">
      <c r="F6152"/>
      <c r="H6152"/>
    </row>
    <row r="6153" spans="6:8" x14ac:dyDescent="0.3">
      <c r="F6153"/>
      <c r="H6153"/>
    </row>
    <row r="6154" spans="6:8" x14ac:dyDescent="0.3">
      <c r="F6154"/>
      <c r="H6154"/>
    </row>
    <row r="6155" spans="6:8" x14ac:dyDescent="0.3">
      <c r="F6155"/>
      <c r="H6155"/>
    </row>
    <row r="6156" spans="6:8" x14ac:dyDescent="0.3">
      <c r="F6156"/>
      <c r="H6156"/>
    </row>
    <row r="6157" spans="6:8" x14ac:dyDescent="0.3">
      <c r="F6157"/>
      <c r="H6157"/>
    </row>
    <row r="6158" spans="6:8" x14ac:dyDescent="0.3">
      <c r="F6158"/>
      <c r="H6158"/>
    </row>
    <row r="6159" spans="6:8" x14ac:dyDescent="0.3">
      <c r="F6159"/>
      <c r="H6159"/>
    </row>
    <row r="6160" spans="6:8" x14ac:dyDescent="0.3">
      <c r="F6160"/>
      <c r="H6160"/>
    </row>
    <row r="6161" spans="6:8" x14ac:dyDescent="0.3">
      <c r="F6161"/>
      <c r="H6161"/>
    </row>
    <row r="6162" spans="6:8" x14ac:dyDescent="0.3">
      <c r="F6162"/>
      <c r="H6162"/>
    </row>
    <row r="6163" spans="6:8" x14ac:dyDescent="0.3">
      <c r="F6163"/>
      <c r="H6163"/>
    </row>
    <row r="6164" spans="6:8" x14ac:dyDescent="0.3">
      <c r="F6164"/>
      <c r="H6164"/>
    </row>
    <row r="6165" spans="6:8" x14ac:dyDescent="0.3">
      <c r="F6165"/>
      <c r="H6165"/>
    </row>
    <row r="6166" spans="6:8" x14ac:dyDescent="0.3">
      <c r="F6166"/>
      <c r="H6166"/>
    </row>
    <row r="6167" spans="6:8" x14ac:dyDescent="0.3">
      <c r="F6167"/>
      <c r="H6167"/>
    </row>
    <row r="6168" spans="6:8" x14ac:dyDescent="0.3">
      <c r="F6168"/>
      <c r="H6168"/>
    </row>
    <row r="6169" spans="6:8" x14ac:dyDescent="0.3">
      <c r="F6169"/>
      <c r="H6169"/>
    </row>
    <row r="6170" spans="6:8" x14ac:dyDescent="0.3">
      <c r="F6170"/>
      <c r="H6170"/>
    </row>
    <row r="6171" spans="6:8" x14ac:dyDescent="0.3">
      <c r="F6171"/>
      <c r="H6171"/>
    </row>
    <row r="6172" spans="6:8" x14ac:dyDescent="0.3">
      <c r="F6172"/>
      <c r="H6172"/>
    </row>
    <row r="6173" spans="6:8" x14ac:dyDescent="0.3">
      <c r="F6173"/>
      <c r="H6173"/>
    </row>
    <row r="6174" spans="6:8" x14ac:dyDescent="0.3">
      <c r="F6174"/>
      <c r="H6174"/>
    </row>
    <row r="6175" spans="6:8" x14ac:dyDescent="0.3">
      <c r="F6175"/>
      <c r="H6175"/>
    </row>
    <row r="6176" spans="6:8" x14ac:dyDescent="0.3">
      <c r="F6176"/>
      <c r="H6176"/>
    </row>
    <row r="6177" spans="6:8" x14ac:dyDescent="0.3">
      <c r="F6177"/>
      <c r="H6177"/>
    </row>
    <row r="6178" spans="6:8" x14ac:dyDescent="0.3">
      <c r="F6178"/>
      <c r="H6178"/>
    </row>
    <row r="6179" spans="6:8" x14ac:dyDescent="0.3">
      <c r="F6179"/>
      <c r="H6179"/>
    </row>
    <row r="6180" spans="6:8" x14ac:dyDescent="0.3">
      <c r="F6180"/>
      <c r="H6180"/>
    </row>
    <row r="6181" spans="6:8" x14ac:dyDescent="0.3">
      <c r="F6181"/>
      <c r="H6181"/>
    </row>
    <row r="6182" spans="6:8" x14ac:dyDescent="0.3">
      <c r="F6182"/>
      <c r="H6182"/>
    </row>
    <row r="6183" spans="6:8" x14ac:dyDescent="0.3">
      <c r="F6183"/>
      <c r="H6183"/>
    </row>
    <row r="6184" spans="6:8" x14ac:dyDescent="0.3">
      <c r="F6184"/>
      <c r="H6184"/>
    </row>
    <row r="6185" spans="6:8" x14ac:dyDescent="0.3">
      <c r="F6185"/>
      <c r="H6185"/>
    </row>
    <row r="6186" spans="6:8" x14ac:dyDescent="0.3">
      <c r="F6186"/>
      <c r="H6186"/>
    </row>
    <row r="6187" spans="6:8" x14ac:dyDescent="0.3">
      <c r="F6187"/>
      <c r="H6187"/>
    </row>
    <row r="6188" spans="6:8" x14ac:dyDescent="0.3">
      <c r="F6188"/>
      <c r="H6188"/>
    </row>
    <row r="6189" spans="6:8" x14ac:dyDescent="0.3">
      <c r="F6189"/>
      <c r="H6189"/>
    </row>
    <row r="6190" spans="6:8" x14ac:dyDescent="0.3">
      <c r="F6190"/>
      <c r="H6190"/>
    </row>
    <row r="6191" spans="6:8" x14ac:dyDescent="0.3">
      <c r="F6191"/>
      <c r="H6191"/>
    </row>
    <row r="6192" spans="6:8" x14ac:dyDescent="0.3">
      <c r="F6192"/>
      <c r="H6192"/>
    </row>
    <row r="6193" spans="6:8" x14ac:dyDescent="0.3">
      <c r="F6193"/>
      <c r="H6193"/>
    </row>
    <row r="6194" spans="6:8" x14ac:dyDescent="0.3">
      <c r="F6194"/>
      <c r="H6194"/>
    </row>
    <row r="6195" spans="6:8" x14ac:dyDescent="0.3">
      <c r="F6195"/>
      <c r="H6195"/>
    </row>
    <row r="6196" spans="6:8" x14ac:dyDescent="0.3">
      <c r="F6196"/>
      <c r="H6196"/>
    </row>
    <row r="6197" spans="6:8" x14ac:dyDescent="0.3">
      <c r="F6197"/>
      <c r="H6197"/>
    </row>
    <row r="6198" spans="6:8" x14ac:dyDescent="0.3">
      <c r="F6198"/>
      <c r="H6198"/>
    </row>
    <row r="6199" spans="6:8" x14ac:dyDescent="0.3">
      <c r="F6199"/>
      <c r="H6199"/>
    </row>
    <row r="6200" spans="6:8" x14ac:dyDescent="0.3">
      <c r="F6200"/>
      <c r="H6200"/>
    </row>
    <row r="6201" spans="6:8" x14ac:dyDescent="0.3">
      <c r="F6201"/>
      <c r="H6201"/>
    </row>
    <row r="6202" spans="6:8" x14ac:dyDescent="0.3">
      <c r="F6202"/>
      <c r="H6202"/>
    </row>
    <row r="6203" spans="6:8" x14ac:dyDescent="0.3">
      <c r="F6203"/>
      <c r="H6203"/>
    </row>
    <row r="6204" spans="6:8" x14ac:dyDescent="0.3">
      <c r="F6204"/>
      <c r="H6204"/>
    </row>
    <row r="6205" spans="6:8" x14ac:dyDescent="0.3">
      <c r="F6205"/>
      <c r="H6205"/>
    </row>
    <row r="6206" spans="6:8" x14ac:dyDescent="0.3">
      <c r="F6206"/>
      <c r="H6206"/>
    </row>
    <row r="6207" spans="6:8" x14ac:dyDescent="0.3">
      <c r="F6207"/>
      <c r="H6207"/>
    </row>
    <row r="6208" spans="6:8" x14ac:dyDescent="0.3">
      <c r="F6208"/>
      <c r="H6208"/>
    </row>
    <row r="6209" spans="6:8" x14ac:dyDescent="0.3">
      <c r="F6209"/>
      <c r="H6209"/>
    </row>
    <row r="6210" spans="6:8" x14ac:dyDescent="0.3">
      <c r="F6210"/>
      <c r="H6210"/>
    </row>
    <row r="6211" spans="6:8" x14ac:dyDescent="0.3">
      <c r="F6211"/>
      <c r="H6211"/>
    </row>
    <row r="6212" spans="6:8" x14ac:dyDescent="0.3">
      <c r="F6212"/>
      <c r="H6212"/>
    </row>
    <row r="6213" spans="6:8" x14ac:dyDescent="0.3">
      <c r="F6213"/>
      <c r="H6213"/>
    </row>
    <row r="6214" spans="6:8" x14ac:dyDescent="0.3">
      <c r="F6214"/>
      <c r="H6214"/>
    </row>
    <row r="6215" spans="6:8" x14ac:dyDescent="0.3">
      <c r="F6215"/>
      <c r="H6215"/>
    </row>
    <row r="6216" spans="6:8" x14ac:dyDescent="0.3">
      <c r="F6216"/>
      <c r="H6216"/>
    </row>
    <row r="6217" spans="6:8" x14ac:dyDescent="0.3">
      <c r="F6217"/>
      <c r="H6217"/>
    </row>
    <row r="6218" spans="6:8" x14ac:dyDescent="0.3">
      <c r="F6218"/>
      <c r="H6218"/>
    </row>
    <row r="6219" spans="6:8" x14ac:dyDescent="0.3">
      <c r="F6219"/>
      <c r="H6219"/>
    </row>
    <row r="6220" spans="6:8" x14ac:dyDescent="0.3">
      <c r="F6220"/>
      <c r="H6220"/>
    </row>
    <row r="6221" spans="6:8" x14ac:dyDescent="0.3">
      <c r="F6221"/>
      <c r="H6221"/>
    </row>
    <row r="6222" spans="6:8" x14ac:dyDescent="0.3">
      <c r="F6222"/>
      <c r="H6222"/>
    </row>
    <row r="6223" spans="6:8" x14ac:dyDescent="0.3">
      <c r="F6223"/>
      <c r="H6223"/>
    </row>
    <row r="6224" spans="6:8" x14ac:dyDescent="0.3">
      <c r="F6224"/>
      <c r="H6224"/>
    </row>
    <row r="6225" spans="6:8" x14ac:dyDescent="0.3">
      <c r="F6225"/>
      <c r="H6225"/>
    </row>
    <row r="6226" spans="6:8" x14ac:dyDescent="0.3">
      <c r="F6226"/>
      <c r="H6226"/>
    </row>
    <row r="6227" spans="6:8" x14ac:dyDescent="0.3">
      <c r="F6227"/>
      <c r="H6227"/>
    </row>
    <row r="6228" spans="6:8" x14ac:dyDescent="0.3">
      <c r="F6228"/>
      <c r="H6228"/>
    </row>
    <row r="6229" spans="6:8" x14ac:dyDescent="0.3">
      <c r="F6229"/>
      <c r="H6229"/>
    </row>
    <row r="6230" spans="6:8" x14ac:dyDescent="0.3">
      <c r="F6230"/>
      <c r="H6230"/>
    </row>
    <row r="6231" spans="6:8" x14ac:dyDescent="0.3">
      <c r="F6231"/>
      <c r="H6231"/>
    </row>
    <row r="6232" spans="6:8" x14ac:dyDescent="0.3">
      <c r="F6232"/>
      <c r="H6232"/>
    </row>
    <row r="6233" spans="6:8" x14ac:dyDescent="0.3">
      <c r="F6233"/>
      <c r="H6233"/>
    </row>
    <row r="6234" spans="6:8" x14ac:dyDescent="0.3">
      <c r="F6234"/>
      <c r="H6234"/>
    </row>
    <row r="6235" spans="6:8" x14ac:dyDescent="0.3">
      <c r="F6235"/>
      <c r="H6235"/>
    </row>
    <row r="6236" spans="6:8" x14ac:dyDescent="0.3">
      <c r="F6236"/>
      <c r="H6236"/>
    </row>
    <row r="6237" spans="6:8" x14ac:dyDescent="0.3">
      <c r="F6237"/>
      <c r="H6237"/>
    </row>
    <row r="6238" spans="6:8" x14ac:dyDescent="0.3">
      <c r="F6238"/>
      <c r="H6238"/>
    </row>
    <row r="6239" spans="6:8" x14ac:dyDescent="0.3">
      <c r="F6239"/>
      <c r="H6239"/>
    </row>
    <row r="6240" spans="6:8" x14ac:dyDescent="0.3">
      <c r="F6240"/>
      <c r="H6240"/>
    </row>
    <row r="6241" spans="6:8" x14ac:dyDescent="0.3">
      <c r="F6241"/>
      <c r="H6241"/>
    </row>
    <row r="6242" spans="6:8" x14ac:dyDescent="0.3">
      <c r="F6242"/>
      <c r="H6242"/>
    </row>
    <row r="6243" spans="6:8" x14ac:dyDescent="0.3">
      <c r="F6243"/>
      <c r="H6243"/>
    </row>
    <row r="6244" spans="6:8" x14ac:dyDescent="0.3">
      <c r="F6244"/>
      <c r="H6244"/>
    </row>
    <row r="6245" spans="6:8" x14ac:dyDescent="0.3">
      <c r="F6245"/>
      <c r="H6245"/>
    </row>
    <row r="6246" spans="6:8" x14ac:dyDescent="0.3">
      <c r="F6246"/>
      <c r="H6246"/>
    </row>
    <row r="6247" spans="6:8" x14ac:dyDescent="0.3">
      <c r="F6247"/>
      <c r="H6247"/>
    </row>
    <row r="6248" spans="6:8" x14ac:dyDescent="0.3">
      <c r="F6248"/>
      <c r="H6248"/>
    </row>
    <row r="6249" spans="6:8" x14ac:dyDescent="0.3">
      <c r="F6249"/>
      <c r="H6249"/>
    </row>
    <row r="6250" spans="6:8" x14ac:dyDescent="0.3">
      <c r="F6250"/>
      <c r="H6250"/>
    </row>
    <row r="6251" spans="6:8" x14ac:dyDescent="0.3">
      <c r="F6251"/>
      <c r="H6251"/>
    </row>
    <row r="6252" spans="6:8" x14ac:dyDescent="0.3">
      <c r="F6252"/>
      <c r="H6252"/>
    </row>
    <row r="6253" spans="6:8" x14ac:dyDescent="0.3">
      <c r="F6253"/>
      <c r="H6253"/>
    </row>
    <row r="6254" spans="6:8" x14ac:dyDescent="0.3">
      <c r="F6254"/>
      <c r="H6254"/>
    </row>
    <row r="6255" spans="6:8" x14ac:dyDescent="0.3">
      <c r="F6255"/>
      <c r="H6255"/>
    </row>
    <row r="6256" spans="6:8" x14ac:dyDescent="0.3">
      <c r="F6256"/>
      <c r="H6256"/>
    </row>
    <row r="6257" spans="6:8" x14ac:dyDescent="0.3">
      <c r="F6257"/>
      <c r="H6257"/>
    </row>
    <row r="6258" spans="6:8" x14ac:dyDescent="0.3">
      <c r="F6258"/>
      <c r="H6258"/>
    </row>
    <row r="6259" spans="6:8" x14ac:dyDescent="0.3">
      <c r="F6259"/>
      <c r="H6259"/>
    </row>
    <row r="6260" spans="6:8" x14ac:dyDescent="0.3">
      <c r="F6260"/>
      <c r="H6260"/>
    </row>
    <row r="6261" spans="6:8" x14ac:dyDescent="0.3">
      <c r="F6261"/>
      <c r="H6261"/>
    </row>
    <row r="6262" spans="6:8" x14ac:dyDescent="0.3">
      <c r="F6262"/>
      <c r="H6262"/>
    </row>
    <row r="6263" spans="6:8" x14ac:dyDescent="0.3">
      <c r="F6263"/>
      <c r="H6263"/>
    </row>
    <row r="6264" spans="6:8" x14ac:dyDescent="0.3">
      <c r="F6264"/>
      <c r="H6264"/>
    </row>
    <row r="6265" spans="6:8" x14ac:dyDescent="0.3">
      <c r="F6265"/>
      <c r="H6265"/>
    </row>
    <row r="6266" spans="6:8" x14ac:dyDescent="0.3">
      <c r="F6266"/>
      <c r="H6266"/>
    </row>
    <row r="6267" spans="6:8" x14ac:dyDescent="0.3">
      <c r="F6267"/>
      <c r="H6267"/>
    </row>
    <row r="6268" spans="6:8" x14ac:dyDescent="0.3">
      <c r="F6268"/>
      <c r="H6268"/>
    </row>
    <row r="6269" spans="6:8" x14ac:dyDescent="0.3">
      <c r="F6269"/>
      <c r="H6269"/>
    </row>
    <row r="6270" spans="6:8" x14ac:dyDescent="0.3">
      <c r="F6270"/>
      <c r="H6270"/>
    </row>
    <row r="6271" spans="6:8" x14ac:dyDescent="0.3">
      <c r="F6271"/>
      <c r="H6271"/>
    </row>
    <row r="6272" spans="6:8" x14ac:dyDescent="0.3">
      <c r="F6272"/>
      <c r="H6272"/>
    </row>
    <row r="6273" spans="6:8" x14ac:dyDescent="0.3">
      <c r="F6273"/>
      <c r="H6273"/>
    </row>
    <row r="6274" spans="6:8" x14ac:dyDescent="0.3">
      <c r="F6274"/>
      <c r="H6274"/>
    </row>
    <row r="6275" spans="6:8" x14ac:dyDescent="0.3">
      <c r="F6275"/>
      <c r="H6275"/>
    </row>
    <row r="6276" spans="6:8" x14ac:dyDescent="0.3">
      <c r="F6276"/>
      <c r="H6276"/>
    </row>
    <row r="6277" spans="6:8" x14ac:dyDescent="0.3">
      <c r="F6277"/>
      <c r="H6277"/>
    </row>
    <row r="6278" spans="6:8" x14ac:dyDescent="0.3">
      <c r="F6278"/>
      <c r="H6278"/>
    </row>
    <row r="6279" spans="6:8" x14ac:dyDescent="0.3">
      <c r="F6279"/>
      <c r="H6279"/>
    </row>
    <row r="6280" spans="6:8" x14ac:dyDescent="0.3">
      <c r="F6280"/>
      <c r="H6280"/>
    </row>
    <row r="6281" spans="6:8" x14ac:dyDescent="0.3">
      <c r="F6281"/>
      <c r="H6281"/>
    </row>
    <row r="6282" spans="6:8" x14ac:dyDescent="0.3">
      <c r="F6282"/>
      <c r="H6282"/>
    </row>
    <row r="6283" spans="6:8" x14ac:dyDescent="0.3">
      <c r="F6283"/>
      <c r="H6283"/>
    </row>
    <row r="6284" spans="6:8" x14ac:dyDescent="0.3">
      <c r="F6284"/>
      <c r="H6284"/>
    </row>
    <row r="6285" spans="6:8" x14ac:dyDescent="0.3">
      <c r="F6285"/>
      <c r="H6285"/>
    </row>
    <row r="6286" spans="6:8" x14ac:dyDescent="0.3">
      <c r="F6286"/>
      <c r="H6286"/>
    </row>
    <row r="6287" spans="6:8" x14ac:dyDescent="0.3">
      <c r="F6287"/>
      <c r="H6287"/>
    </row>
    <row r="6288" spans="6:8" x14ac:dyDescent="0.3">
      <c r="F6288"/>
      <c r="H6288"/>
    </row>
    <row r="6289" spans="6:8" x14ac:dyDescent="0.3">
      <c r="F6289"/>
      <c r="H6289"/>
    </row>
    <row r="6290" spans="6:8" x14ac:dyDescent="0.3">
      <c r="F6290"/>
      <c r="H6290"/>
    </row>
    <row r="6291" spans="6:8" x14ac:dyDescent="0.3">
      <c r="F6291"/>
      <c r="H6291"/>
    </row>
    <row r="6292" spans="6:8" x14ac:dyDescent="0.3">
      <c r="F6292"/>
      <c r="H6292"/>
    </row>
    <row r="6293" spans="6:8" x14ac:dyDescent="0.3">
      <c r="F6293"/>
      <c r="H6293"/>
    </row>
    <row r="6294" spans="6:8" x14ac:dyDescent="0.3">
      <c r="F6294"/>
      <c r="H6294"/>
    </row>
    <row r="6295" spans="6:8" x14ac:dyDescent="0.3">
      <c r="F6295"/>
      <c r="H6295"/>
    </row>
    <row r="6296" spans="6:8" x14ac:dyDescent="0.3">
      <c r="F6296"/>
      <c r="H6296"/>
    </row>
    <row r="6297" spans="6:8" x14ac:dyDescent="0.3">
      <c r="F6297"/>
      <c r="H6297"/>
    </row>
    <row r="6298" spans="6:8" x14ac:dyDescent="0.3">
      <c r="F6298"/>
      <c r="H6298"/>
    </row>
    <row r="6299" spans="6:8" x14ac:dyDescent="0.3">
      <c r="F6299"/>
      <c r="H6299"/>
    </row>
    <row r="6300" spans="6:8" x14ac:dyDescent="0.3">
      <c r="F6300"/>
      <c r="H6300"/>
    </row>
    <row r="6301" spans="6:8" x14ac:dyDescent="0.3">
      <c r="F6301"/>
      <c r="H6301"/>
    </row>
    <row r="6302" spans="6:8" x14ac:dyDescent="0.3">
      <c r="F6302"/>
      <c r="H6302"/>
    </row>
    <row r="6303" spans="6:8" x14ac:dyDescent="0.3">
      <c r="F6303"/>
      <c r="H6303"/>
    </row>
    <row r="6304" spans="6:8" x14ac:dyDescent="0.3">
      <c r="F6304"/>
      <c r="H6304"/>
    </row>
    <row r="6305" spans="6:8" x14ac:dyDescent="0.3">
      <c r="F6305"/>
      <c r="H6305"/>
    </row>
    <row r="6306" spans="6:8" x14ac:dyDescent="0.3">
      <c r="F6306"/>
      <c r="H6306"/>
    </row>
    <row r="6307" spans="6:8" x14ac:dyDescent="0.3">
      <c r="F6307"/>
      <c r="H6307"/>
    </row>
    <row r="6308" spans="6:8" x14ac:dyDescent="0.3">
      <c r="F6308"/>
      <c r="H6308"/>
    </row>
    <row r="6309" spans="6:8" x14ac:dyDescent="0.3">
      <c r="F6309"/>
      <c r="H6309"/>
    </row>
    <row r="6310" spans="6:8" x14ac:dyDescent="0.3">
      <c r="F6310"/>
      <c r="H6310"/>
    </row>
    <row r="6311" spans="6:8" x14ac:dyDescent="0.3">
      <c r="F6311"/>
      <c r="H6311"/>
    </row>
    <row r="6312" spans="6:8" x14ac:dyDescent="0.3">
      <c r="F6312"/>
      <c r="H6312"/>
    </row>
    <row r="6313" spans="6:8" x14ac:dyDescent="0.3">
      <c r="F6313"/>
      <c r="H6313"/>
    </row>
    <row r="6314" spans="6:8" x14ac:dyDescent="0.3">
      <c r="F6314"/>
      <c r="H6314"/>
    </row>
    <row r="6315" spans="6:8" x14ac:dyDescent="0.3">
      <c r="F6315"/>
      <c r="H6315"/>
    </row>
    <row r="6316" spans="6:8" x14ac:dyDescent="0.3">
      <c r="F6316"/>
      <c r="H6316"/>
    </row>
    <row r="6317" spans="6:8" x14ac:dyDescent="0.3">
      <c r="F6317"/>
      <c r="H6317"/>
    </row>
    <row r="6318" spans="6:8" x14ac:dyDescent="0.3">
      <c r="F6318"/>
      <c r="H6318"/>
    </row>
    <row r="6319" spans="6:8" x14ac:dyDescent="0.3">
      <c r="F6319"/>
      <c r="H6319"/>
    </row>
    <row r="6320" spans="6:8" x14ac:dyDescent="0.3">
      <c r="F6320"/>
      <c r="H6320"/>
    </row>
    <row r="6321" spans="6:8" x14ac:dyDescent="0.3">
      <c r="F6321"/>
      <c r="H6321"/>
    </row>
    <row r="6322" spans="6:8" x14ac:dyDescent="0.3">
      <c r="F6322"/>
      <c r="H6322"/>
    </row>
    <row r="6323" spans="6:8" x14ac:dyDescent="0.3">
      <c r="F6323"/>
      <c r="H6323"/>
    </row>
    <row r="6324" spans="6:8" x14ac:dyDescent="0.3">
      <c r="F6324"/>
      <c r="H6324"/>
    </row>
    <row r="6325" spans="6:8" x14ac:dyDescent="0.3">
      <c r="F6325"/>
      <c r="H6325"/>
    </row>
    <row r="6326" spans="6:8" x14ac:dyDescent="0.3">
      <c r="F6326"/>
      <c r="H6326"/>
    </row>
    <row r="6327" spans="6:8" x14ac:dyDescent="0.3">
      <c r="F6327"/>
      <c r="H6327"/>
    </row>
    <row r="6328" spans="6:8" x14ac:dyDescent="0.3">
      <c r="F6328"/>
      <c r="H6328"/>
    </row>
    <row r="6329" spans="6:8" x14ac:dyDescent="0.3">
      <c r="F6329"/>
      <c r="H6329"/>
    </row>
    <row r="6330" spans="6:8" x14ac:dyDescent="0.3">
      <c r="F6330"/>
      <c r="H6330"/>
    </row>
    <row r="6331" spans="6:8" x14ac:dyDescent="0.3">
      <c r="F6331"/>
      <c r="H6331"/>
    </row>
    <row r="6332" spans="6:8" x14ac:dyDescent="0.3">
      <c r="F6332"/>
      <c r="H6332"/>
    </row>
    <row r="6333" spans="6:8" x14ac:dyDescent="0.3">
      <c r="F6333"/>
      <c r="H6333"/>
    </row>
    <row r="6334" spans="6:8" x14ac:dyDescent="0.3">
      <c r="F6334"/>
      <c r="H6334"/>
    </row>
    <row r="6335" spans="6:8" x14ac:dyDescent="0.3">
      <c r="F6335"/>
      <c r="H6335"/>
    </row>
    <row r="6336" spans="6:8" x14ac:dyDescent="0.3">
      <c r="F6336"/>
      <c r="H6336"/>
    </row>
    <row r="6337" spans="6:8" x14ac:dyDescent="0.3">
      <c r="F6337"/>
      <c r="H6337"/>
    </row>
    <row r="6338" spans="6:8" x14ac:dyDescent="0.3">
      <c r="F6338"/>
      <c r="H6338"/>
    </row>
    <row r="6339" spans="6:8" x14ac:dyDescent="0.3">
      <c r="F6339"/>
      <c r="H6339"/>
    </row>
    <row r="6340" spans="6:8" x14ac:dyDescent="0.3">
      <c r="F6340"/>
      <c r="H6340"/>
    </row>
    <row r="6341" spans="6:8" x14ac:dyDescent="0.3">
      <c r="F6341"/>
      <c r="H6341"/>
    </row>
    <row r="6342" spans="6:8" x14ac:dyDescent="0.3">
      <c r="F6342"/>
      <c r="H6342"/>
    </row>
    <row r="6343" spans="6:8" x14ac:dyDescent="0.3">
      <c r="F6343"/>
      <c r="H6343"/>
    </row>
    <row r="6344" spans="6:8" x14ac:dyDescent="0.3">
      <c r="F6344"/>
      <c r="H6344"/>
    </row>
    <row r="6345" spans="6:8" x14ac:dyDescent="0.3">
      <c r="F6345"/>
      <c r="H6345"/>
    </row>
    <row r="6346" spans="6:8" x14ac:dyDescent="0.3">
      <c r="F6346"/>
      <c r="H6346"/>
    </row>
    <row r="6347" spans="6:8" x14ac:dyDescent="0.3">
      <c r="F6347"/>
      <c r="H6347"/>
    </row>
    <row r="6348" spans="6:8" x14ac:dyDescent="0.3">
      <c r="F6348"/>
      <c r="H6348"/>
    </row>
    <row r="6349" spans="6:8" x14ac:dyDescent="0.3">
      <c r="F6349"/>
      <c r="H6349"/>
    </row>
    <row r="6350" spans="6:8" x14ac:dyDescent="0.3">
      <c r="F6350"/>
      <c r="H6350"/>
    </row>
    <row r="6351" spans="6:8" x14ac:dyDescent="0.3">
      <c r="F6351"/>
      <c r="H6351"/>
    </row>
    <row r="6352" spans="6:8" x14ac:dyDescent="0.3">
      <c r="F6352"/>
      <c r="H6352"/>
    </row>
    <row r="6353" spans="6:8" x14ac:dyDescent="0.3">
      <c r="F6353"/>
      <c r="H6353"/>
    </row>
    <row r="6354" spans="6:8" x14ac:dyDescent="0.3">
      <c r="F6354"/>
      <c r="H6354"/>
    </row>
    <row r="6355" spans="6:8" x14ac:dyDescent="0.3">
      <c r="F6355"/>
      <c r="H6355"/>
    </row>
    <row r="6356" spans="6:8" x14ac:dyDescent="0.3">
      <c r="F6356"/>
      <c r="H6356"/>
    </row>
    <row r="6357" spans="6:8" x14ac:dyDescent="0.3">
      <c r="F6357"/>
      <c r="H6357"/>
    </row>
    <row r="6358" spans="6:8" x14ac:dyDescent="0.3">
      <c r="F6358"/>
      <c r="H6358"/>
    </row>
    <row r="6359" spans="6:8" x14ac:dyDescent="0.3">
      <c r="F6359"/>
      <c r="H6359"/>
    </row>
    <row r="6360" spans="6:8" x14ac:dyDescent="0.3">
      <c r="F6360"/>
      <c r="H6360"/>
    </row>
    <row r="6361" spans="6:8" x14ac:dyDescent="0.3">
      <c r="F6361"/>
      <c r="H6361"/>
    </row>
    <row r="6362" spans="6:8" x14ac:dyDescent="0.3">
      <c r="F6362"/>
      <c r="H6362"/>
    </row>
    <row r="6363" spans="6:8" x14ac:dyDescent="0.3">
      <c r="F6363"/>
      <c r="H6363"/>
    </row>
    <row r="6364" spans="6:8" x14ac:dyDescent="0.3">
      <c r="F6364"/>
      <c r="H6364"/>
    </row>
    <row r="6365" spans="6:8" x14ac:dyDescent="0.3">
      <c r="F6365"/>
      <c r="H6365"/>
    </row>
    <row r="6366" spans="6:8" x14ac:dyDescent="0.3">
      <c r="F6366"/>
      <c r="H6366"/>
    </row>
    <row r="6367" spans="6:8" x14ac:dyDescent="0.3">
      <c r="F6367"/>
      <c r="H6367"/>
    </row>
    <row r="6368" spans="6:8" x14ac:dyDescent="0.3">
      <c r="F6368"/>
      <c r="H6368"/>
    </row>
    <row r="6369" spans="6:8" x14ac:dyDescent="0.3">
      <c r="F6369"/>
      <c r="H6369"/>
    </row>
    <row r="6370" spans="6:8" x14ac:dyDescent="0.3">
      <c r="F6370"/>
      <c r="H6370"/>
    </row>
    <row r="6371" spans="6:8" x14ac:dyDescent="0.3">
      <c r="F6371"/>
      <c r="H6371"/>
    </row>
    <row r="6372" spans="6:8" x14ac:dyDescent="0.3">
      <c r="F6372"/>
      <c r="H6372"/>
    </row>
    <row r="6373" spans="6:8" x14ac:dyDescent="0.3">
      <c r="F6373"/>
      <c r="H6373"/>
    </row>
    <row r="6374" spans="6:8" x14ac:dyDescent="0.3">
      <c r="F6374"/>
      <c r="H6374"/>
    </row>
    <row r="6375" spans="6:8" x14ac:dyDescent="0.3">
      <c r="F6375"/>
      <c r="H6375"/>
    </row>
    <row r="6376" spans="6:8" x14ac:dyDescent="0.3">
      <c r="F6376"/>
      <c r="H6376"/>
    </row>
    <row r="6377" spans="6:8" x14ac:dyDescent="0.3">
      <c r="F6377"/>
      <c r="H6377"/>
    </row>
    <row r="6378" spans="6:8" x14ac:dyDescent="0.3">
      <c r="F6378"/>
      <c r="H6378"/>
    </row>
    <row r="6379" spans="6:8" x14ac:dyDescent="0.3">
      <c r="F6379"/>
      <c r="H6379"/>
    </row>
    <row r="6380" spans="6:8" x14ac:dyDescent="0.3">
      <c r="F6380"/>
      <c r="H6380"/>
    </row>
    <row r="6381" spans="6:8" x14ac:dyDescent="0.3">
      <c r="F6381"/>
      <c r="H6381"/>
    </row>
    <row r="6382" spans="6:8" x14ac:dyDescent="0.3">
      <c r="F6382"/>
      <c r="H6382"/>
    </row>
    <row r="6383" spans="6:8" x14ac:dyDescent="0.3">
      <c r="F6383"/>
      <c r="H6383"/>
    </row>
    <row r="6384" spans="6:8" x14ac:dyDescent="0.3">
      <c r="F6384"/>
      <c r="H6384"/>
    </row>
    <row r="6385" spans="6:8" x14ac:dyDescent="0.3">
      <c r="F6385"/>
      <c r="H6385"/>
    </row>
    <row r="6386" spans="6:8" x14ac:dyDescent="0.3">
      <c r="F6386"/>
      <c r="H6386"/>
    </row>
    <row r="6387" spans="6:8" x14ac:dyDescent="0.3">
      <c r="F6387"/>
      <c r="H6387"/>
    </row>
    <row r="6388" spans="6:8" x14ac:dyDescent="0.3">
      <c r="F6388"/>
      <c r="H6388"/>
    </row>
    <row r="6389" spans="6:8" x14ac:dyDescent="0.3">
      <c r="F6389"/>
      <c r="H6389"/>
    </row>
    <row r="6390" spans="6:8" x14ac:dyDescent="0.3">
      <c r="F6390"/>
      <c r="H6390"/>
    </row>
    <row r="6391" spans="6:8" x14ac:dyDescent="0.3">
      <c r="F6391"/>
      <c r="H6391"/>
    </row>
    <row r="6392" spans="6:8" x14ac:dyDescent="0.3">
      <c r="F6392"/>
      <c r="H6392"/>
    </row>
    <row r="6393" spans="6:8" x14ac:dyDescent="0.3">
      <c r="F6393"/>
      <c r="H6393"/>
    </row>
    <row r="6394" spans="6:8" x14ac:dyDescent="0.3">
      <c r="F6394"/>
      <c r="H6394"/>
    </row>
    <row r="6395" spans="6:8" x14ac:dyDescent="0.3">
      <c r="F6395"/>
      <c r="H6395"/>
    </row>
    <row r="6396" spans="6:8" x14ac:dyDescent="0.3">
      <c r="F6396"/>
      <c r="H6396"/>
    </row>
    <row r="6397" spans="6:8" x14ac:dyDescent="0.3">
      <c r="F6397"/>
      <c r="H6397"/>
    </row>
    <row r="6398" spans="6:8" x14ac:dyDescent="0.3">
      <c r="F6398"/>
      <c r="H6398"/>
    </row>
    <row r="6399" spans="6:8" x14ac:dyDescent="0.3">
      <c r="F6399"/>
      <c r="H6399"/>
    </row>
    <row r="6400" spans="6:8" x14ac:dyDescent="0.3">
      <c r="F6400"/>
      <c r="H6400"/>
    </row>
    <row r="6401" spans="6:8" x14ac:dyDescent="0.3">
      <c r="F6401"/>
      <c r="H6401"/>
    </row>
    <row r="6402" spans="6:8" x14ac:dyDescent="0.3">
      <c r="F6402"/>
      <c r="H6402"/>
    </row>
    <row r="6403" spans="6:8" x14ac:dyDescent="0.3">
      <c r="F6403"/>
      <c r="H6403"/>
    </row>
    <row r="6404" spans="6:8" x14ac:dyDescent="0.3">
      <c r="F6404"/>
      <c r="H6404"/>
    </row>
    <row r="6405" spans="6:8" x14ac:dyDescent="0.3">
      <c r="F6405"/>
      <c r="H6405"/>
    </row>
    <row r="6406" spans="6:8" x14ac:dyDescent="0.3">
      <c r="F6406"/>
      <c r="H6406"/>
    </row>
    <row r="6407" spans="6:8" x14ac:dyDescent="0.3">
      <c r="F6407"/>
      <c r="H6407"/>
    </row>
    <row r="6408" spans="6:8" x14ac:dyDescent="0.3">
      <c r="F6408"/>
      <c r="H6408"/>
    </row>
    <row r="6409" spans="6:8" x14ac:dyDescent="0.3">
      <c r="F6409"/>
      <c r="H6409"/>
    </row>
    <row r="6410" spans="6:8" x14ac:dyDescent="0.3">
      <c r="F6410"/>
      <c r="H6410"/>
    </row>
    <row r="6411" spans="6:8" x14ac:dyDescent="0.3">
      <c r="F6411"/>
      <c r="H6411"/>
    </row>
    <row r="6412" spans="6:8" x14ac:dyDescent="0.3">
      <c r="F6412"/>
      <c r="H6412"/>
    </row>
    <row r="6413" spans="6:8" x14ac:dyDescent="0.3">
      <c r="F6413"/>
      <c r="H6413"/>
    </row>
    <row r="6414" spans="6:8" x14ac:dyDescent="0.3">
      <c r="F6414"/>
      <c r="H6414"/>
    </row>
    <row r="6415" spans="6:8" x14ac:dyDescent="0.3">
      <c r="F6415"/>
      <c r="H6415"/>
    </row>
    <row r="6416" spans="6:8" x14ac:dyDescent="0.3">
      <c r="F6416"/>
      <c r="H6416"/>
    </row>
    <row r="6417" spans="6:8" x14ac:dyDescent="0.3">
      <c r="F6417"/>
      <c r="H6417"/>
    </row>
    <row r="6418" spans="6:8" x14ac:dyDescent="0.3">
      <c r="F6418"/>
      <c r="H6418"/>
    </row>
    <row r="6419" spans="6:8" x14ac:dyDescent="0.3">
      <c r="F6419"/>
      <c r="H6419"/>
    </row>
    <row r="6420" spans="6:8" x14ac:dyDescent="0.3">
      <c r="F6420"/>
      <c r="H6420"/>
    </row>
    <row r="6421" spans="6:8" x14ac:dyDescent="0.3">
      <c r="F6421"/>
      <c r="H6421"/>
    </row>
    <row r="6422" spans="6:8" x14ac:dyDescent="0.3">
      <c r="F6422"/>
      <c r="H6422"/>
    </row>
    <row r="6423" spans="6:8" x14ac:dyDescent="0.3">
      <c r="F6423"/>
      <c r="H6423"/>
    </row>
    <row r="6424" spans="6:8" x14ac:dyDescent="0.3">
      <c r="F6424"/>
      <c r="H6424"/>
    </row>
    <row r="6425" spans="6:8" x14ac:dyDescent="0.3">
      <c r="F6425"/>
      <c r="H6425"/>
    </row>
    <row r="6426" spans="6:8" x14ac:dyDescent="0.3">
      <c r="F6426"/>
      <c r="H6426"/>
    </row>
    <row r="6427" spans="6:8" x14ac:dyDescent="0.3">
      <c r="F6427"/>
      <c r="H6427"/>
    </row>
    <row r="6428" spans="6:8" x14ac:dyDescent="0.3">
      <c r="F6428"/>
      <c r="H6428"/>
    </row>
    <row r="6429" spans="6:8" x14ac:dyDescent="0.3">
      <c r="F6429"/>
      <c r="H6429"/>
    </row>
    <row r="6430" spans="6:8" x14ac:dyDescent="0.3">
      <c r="F6430"/>
      <c r="H6430"/>
    </row>
    <row r="6431" spans="6:8" x14ac:dyDescent="0.3">
      <c r="F6431"/>
      <c r="H6431"/>
    </row>
    <row r="6432" spans="6:8" x14ac:dyDescent="0.3">
      <c r="F6432"/>
      <c r="H6432"/>
    </row>
    <row r="6433" spans="6:8" x14ac:dyDescent="0.3">
      <c r="F6433"/>
      <c r="H6433"/>
    </row>
    <row r="6434" spans="6:8" x14ac:dyDescent="0.3">
      <c r="F6434"/>
      <c r="H6434"/>
    </row>
    <row r="6435" spans="6:8" x14ac:dyDescent="0.3">
      <c r="F6435"/>
      <c r="H6435"/>
    </row>
    <row r="6436" spans="6:8" x14ac:dyDescent="0.3">
      <c r="F6436"/>
      <c r="H6436"/>
    </row>
    <row r="6437" spans="6:8" x14ac:dyDescent="0.3">
      <c r="F6437"/>
      <c r="H6437"/>
    </row>
    <row r="6438" spans="6:8" x14ac:dyDescent="0.3">
      <c r="F6438"/>
      <c r="H6438"/>
    </row>
    <row r="6439" spans="6:8" x14ac:dyDescent="0.3">
      <c r="F6439"/>
      <c r="H6439"/>
    </row>
    <row r="6440" spans="6:8" x14ac:dyDescent="0.3">
      <c r="F6440"/>
      <c r="H6440"/>
    </row>
    <row r="6441" spans="6:8" x14ac:dyDescent="0.3">
      <c r="F6441"/>
      <c r="H6441"/>
    </row>
    <row r="6442" spans="6:8" x14ac:dyDescent="0.3">
      <c r="F6442"/>
      <c r="H6442"/>
    </row>
    <row r="6443" spans="6:8" x14ac:dyDescent="0.3">
      <c r="F6443"/>
      <c r="H6443"/>
    </row>
    <row r="6444" spans="6:8" x14ac:dyDescent="0.3">
      <c r="F6444"/>
      <c r="H6444"/>
    </row>
    <row r="6445" spans="6:8" x14ac:dyDescent="0.3">
      <c r="F6445"/>
      <c r="H6445"/>
    </row>
    <row r="6446" spans="6:8" x14ac:dyDescent="0.3">
      <c r="F6446"/>
      <c r="H6446"/>
    </row>
    <row r="6447" spans="6:8" x14ac:dyDescent="0.3">
      <c r="F6447"/>
      <c r="H6447"/>
    </row>
    <row r="6448" spans="6:8" x14ac:dyDescent="0.3">
      <c r="F6448"/>
      <c r="H6448"/>
    </row>
    <row r="6449" spans="6:8" x14ac:dyDescent="0.3">
      <c r="F6449"/>
      <c r="H6449"/>
    </row>
    <row r="6450" spans="6:8" x14ac:dyDescent="0.3">
      <c r="F6450"/>
      <c r="H6450"/>
    </row>
    <row r="6451" spans="6:8" x14ac:dyDescent="0.3">
      <c r="F6451"/>
      <c r="H6451"/>
    </row>
    <row r="6452" spans="6:8" x14ac:dyDescent="0.3">
      <c r="F6452"/>
      <c r="H6452"/>
    </row>
    <row r="6453" spans="6:8" x14ac:dyDescent="0.3">
      <c r="F6453"/>
      <c r="H6453"/>
    </row>
    <row r="6454" spans="6:8" x14ac:dyDescent="0.3">
      <c r="F6454"/>
      <c r="H6454"/>
    </row>
    <row r="6455" spans="6:8" x14ac:dyDescent="0.3">
      <c r="F6455"/>
      <c r="H6455"/>
    </row>
    <row r="6456" spans="6:8" x14ac:dyDescent="0.3">
      <c r="F6456"/>
      <c r="H6456"/>
    </row>
    <row r="6457" spans="6:8" x14ac:dyDescent="0.3">
      <c r="F6457"/>
      <c r="H6457"/>
    </row>
    <row r="6458" spans="6:8" x14ac:dyDescent="0.3">
      <c r="F6458"/>
      <c r="H6458"/>
    </row>
    <row r="6459" spans="6:8" x14ac:dyDescent="0.3">
      <c r="F6459"/>
      <c r="H6459"/>
    </row>
    <row r="6460" spans="6:8" x14ac:dyDescent="0.3">
      <c r="F6460"/>
      <c r="H6460"/>
    </row>
    <row r="6461" spans="6:8" x14ac:dyDescent="0.3">
      <c r="F6461"/>
      <c r="H6461"/>
    </row>
    <row r="6462" spans="6:8" x14ac:dyDescent="0.3">
      <c r="F6462"/>
      <c r="H6462"/>
    </row>
    <row r="6463" spans="6:8" x14ac:dyDescent="0.3">
      <c r="F6463"/>
      <c r="H6463"/>
    </row>
    <row r="6464" spans="6:8" x14ac:dyDescent="0.3">
      <c r="F6464"/>
      <c r="H6464"/>
    </row>
    <row r="6465" spans="6:8" x14ac:dyDescent="0.3">
      <c r="F6465"/>
      <c r="H6465"/>
    </row>
    <row r="6466" spans="6:8" x14ac:dyDescent="0.3">
      <c r="F6466"/>
      <c r="H6466"/>
    </row>
    <row r="6467" spans="6:8" x14ac:dyDescent="0.3">
      <c r="F6467"/>
      <c r="H6467"/>
    </row>
    <row r="6468" spans="6:8" x14ac:dyDescent="0.3">
      <c r="F6468"/>
      <c r="H6468"/>
    </row>
    <row r="6469" spans="6:8" x14ac:dyDescent="0.3">
      <c r="F6469"/>
      <c r="H6469"/>
    </row>
    <row r="6470" spans="6:8" x14ac:dyDescent="0.3">
      <c r="F6470"/>
      <c r="H6470"/>
    </row>
    <row r="6471" spans="6:8" x14ac:dyDescent="0.3">
      <c r="F6471"/>
      <c r="H6471"/>
    </row>
    <row r="6472" spans="6:8" x14ac:dyDescent="0.3">
      <c r="F6472"/>
      <c r="H6472"/>
    </row>
    <row r="6473" spans="6:8" x14ac:dyDescent="0.3">
      <c r="F6473"/>
      <c r="H6473"/>
    </row>
    <row r="6474" spans="6:8" x14ac:dyDescent="0.3">
      <c r="F6474"/>
      <c r="H6474"/>
    </row>
    <row r="6475" spans="6:8" x14ac:dyDescent="0.3">
      <c r="F6475"/>
      <c r="H6475"/>
    </row>
    <row r="6476" spans="6:8" x14ac:dyDescent="0.3">
      <c r="F6476"/>
      <c r="H6476"/>
    </row>
    <row r="6477" spans="6:8" x14ac:dyDescent="0.3">
      <c r="F6477"/>
      <c r="H6477"/>
    </row>
    <row r="6478" spans="6:8" x14ac:dyDescent="0.3">
      <c r="F6478"/>
      <c r="H6478"/>
    </row>
    <row r="6479" spans="6:8" x14ac:dyDescent="0.3">
      <c r="F6479"/>
      <c r="H6479"/>
    </row>
    <row r="6480" spans="6:8" x14ac:dyDescent="0.3">
      <c r="F6480"/>
      <c r="H6480"/>
    </row>
    <row r="6481" spans="6:8" x14ac:dyDescent="0.3">
      <c r="F6481"/>
      <c r="H6481"/>
    </row>
    <row r="6482" spans="6:8" x14ac:dyDescent="0.3">
      <c r="F6482"/>
      <c r="H6482"/>
    </row>
    <row r="6483" spans="6:8" x14ac:dyDescent="0.3">
      <c r="F6483"/>
      <c r="H6483"/>
    </row>
    <row r="6484" spans="6:8" x14ac:dyDescent="0.3">
      <c r="F6484"/>
      <c r="H6484"/>
    </row>
    <row r="6485" spans="6:8" x14ac:dyDescent="0.3">
      <c r="F6485"/>
      <c r="H6485"/>
    </row>
    <row r="6486" spans="6:8" x14ac:dyDescent="0.3">
      <c r="F6486"/>
      <c r="H6486"/>
    </row>
    <row r="6487" spans="6:8" x14ac:dyDescent="0.3">
      <c r="F6487"/>
      <c r="H6487"/>
    </row>
    <row r="6488" spans="6:8" x14ac:dyDescent="0.3">
      <c r="F6488"/>
      <c r="H6488"/>
    </row>
    <row r="6489" spans="6:8" x14ac:dyDescent="0.3">
      <c r="F6489"/>
      <c r="H6489"/>
    </row>
    <row r="6490" spans="6:8" x14ac:dyDescent="0.3">
      <c r="F6490"/>
      <c r="H6490"/>
    </row>
    <row r="6491" spans="6:8" x14ac:dyDescent="0.3">
      <c r="F6491"/>
      <c r="H6491"/>
    </row>
    <row r="6492" spans="6:8" x14ac:dyDescent="0.3">
      <c r="F6492"/>
      <c r="H6492"/>
    </row>
    <row r="6493" spans="6:8" x14ac:dyDescent="0.3">
      <c r="F6493"/>
      <c r="H6493"/>
    </row>
    <row r="6494" spans="6:8" x14ac:dyDescent="0.3">
      <c r="F6494"/>
      <c r="H6494"/>
    </row>
    <row r="6495" spans="6:8" x14ac:dyDescent="0.3">
      <c r="F6495"/>
      <c r="H6495"/>
    </row>
    <row r="6496" spans="6:8" x14ac:dyDescent="0.3">
      <c r="F6496"/>
      <c r="H6496"/>
    </row>
    <row r="6497" spans="6:8" x14ac:dyDescent="0.3">
      <c r="F6497"/>
      <c r="H6497"/>
    </row>
    <row r="6498" spans="6:8" x14ac:dyDescent="0.3">
      <c r="F6498"/>
      <c r="H6498"/>
    </row>
    <row r="6499" spans="6:8" x14ac:dyDescent="0.3">
      <c r="F6499"/>
      <c r="H6499"/>
    </row>
    <row r="6500" spans="6:8" x14ac:dyDescent="0.3">
      <c r="F6500"/>
      <c r="H6500"/>
    </row>
    <row r="6501" spans="6:8" x14ac:dyDescent="0.3">
      <c r="F6501"/>
      <c r="H6501"/>
    </row>
    <row r="6502" spans="6:8" x14ac:dyDescent="0.3">
      <c r="F6502"/>
      <c r="H6502"/>
    </row>
    <row r="6503" spans="6:8" x14ac:dyDescent="0.3">
      <c r="F6503"/>
      <c r="H6503"/>
    </row>
    <row r="6504" spans="6:8" x14ac:dyDescent="0.3">
      <c r="F6504"/>
      <c r="H6504"/>
    </row>
    <row r="6505" spans="6:8" x14ac:dyDescent="0.3">
      <c r="F6505"/>
      <c r="H6505"/>
    </row>
    <row r="6506" spans="6:8" x14ac:dyDescent="0.3">
      <c r="F6506"/>
      <c r="H6506"/>
    </row>
    <row r="6507" spans="6:8" x14ac:dyDescent="0.3">
      <c r="F6507"/>
      <c r="H6507"/>
    </row>
    <row r="6508" spans="6:8" x14ac:dyDescent="0.3">
      <c r="F6508"/>
      <c r="H6508"/>
    </row>
    <row r="6509" spans="6:8" x14ac:dyDescent="0.3">
      <c r="F6509"/>
      <c r="H6509"/>
    </row>
    <row r="6510" spans="6:8" x14ac:dyDescent="0.3">
      <c r="F6510"/>
      <c r="H6510"/>
    </row>
    <row r="6511" spans="6:8" x14ac:dyDescent="0.3">
      <c r="F6511"/>
      <c r="H6511"/>
    </row>
    <row r="6512" spans="6:8" x14ac:dyDescent="0.3">
      <c r="F6512"/>
      <c r="H6512"/>
    </row>
    <row r="6513" spans="6:8" x14ac:dyDescent="0.3">
      <c r="F6513"/>
      <c r="H6513"/>
    </row>
    <row r="6514" spans="6:8" x14ac:dyDescent="0.3">
      <c r="F6514"/>
      <c r="H6514"/>
    </row>
    <row r="6515" spans="6:8" x14ac:dyDescent="0.3">
      <c r="F6515"/>
      <c r="H6515"/>
    </row>
    <row r="6516" spans="6:8" x14ac:dyDescent="0.3">
      <c r="F6516"/>
      <c r="H6516"/>
    </row>
    <row r="6517" spans="6:8" x14ac:dyDescent="0.3">
      <c r="F6517"/>
      <c r="H6517"/>
    </row>
    <row r="6518" spans="6:8" x14ac:dyDescent="0.3">
      <c r="F6518"/>
      <c r="H6518"/>
    </row>
    <row r="6519" spans="6:8" x14ac:dyDescent="0.3">
      <c r="F6519"/>
      <c r="H6519"/>
    </row>
    <row r="6520" spans="6:8" x14ac:dyDescent="0.3">
      <c r="F6520"/>
      <c r="H6520"/>
    </row>
    <row r="6521" spans="6:8" x14ac:dyDescent="0.3">
      <c r="F6521"/>
      <c r="H6521"/>
    </row>
    <row r="6522" spans="6:8" x14ac:dyDescent="0.3">
      <c r="F6522"/>
      <c r="H6522"/>
    </row>
    <row r="6523" spans="6:8" x14ac:dyDescent="0.3">
      <c r="F6523"/>
      <c r="H6523"/>
    </row>
    <row r="6524" spans="6:8" x14ac:dyDescent="0.3">
      <c r="F6524"/>
      <c r="H6524"/>
    </row>
    <row r="6525" spans="6:8" x14ac:dyDescent="0.3">
      <c r="F6525"/>
      <c r="H6525"/>
    </row>
    <row r="6526" spans="6:8" x14ac:dyDescent="0.3">
      <c r="F6526"/>
      <c r="H6526"/>
    </row>
    <row r="6527" spans="6:8" x14ac:dyDescent="0.3">
      <c r="F6527"/>
      <c r="H6527"/>
    </row>
    <row r="6528" spans="6:8" x14ac:dyDescent="0.3">
      <c r="F6528"/>
      <c r="H6528"/>
    </row>
    <row r="6529" spans="6:8" x14ac:dyDescent="0.3">
      <c r="F6529"/>
      <c r="H6529"/>
    </row>
    <row r="6530" spans="6:8" x14ac:dyDescent="0.3">
      <c r="F6530"/>
      <c r="H6530"/>
    </row>
    <row r="6531" spans="6:8" x14ac:dyDescent="0.3">
      <c r="F6531"/>
      <c r="H6531"/>
    </row>
    <row r="6532" spans="6:8" x14ac:dyDescent="0.3">
      <c r="F6532"/>
      <c r="H6532"/>
    </row>
    <row r="6533" spans="6:8" x14ac:dyDescent="0.3">
      <c r="F6533"/>
      <c r="H6533"/>
    </row>
    <row r="6534" spans="6:8" x14ac:dyDescent="0.3">
      <c r="F6534"/>
      <c r="H6534"/>
    </row>
    <row r="6535" spans="6:8" x14ac:dyDescent="0.3">
      <c r="F6535"/>
      <c r="H6535"/>
    </row>
    <row r="6536" spans="6:8" x14ac:dyDescent="0.3">
      <c r="F6536"/>
      <c r="H6536"/>
    </row>
    <row r="6537" spans="6:8" x14ac:dyDescent="0.3">
      <c r="F6537"/>
      <c r="H6537"/>
    </row>
    <row r="6538" spans="6:8" x14ac:dyDescent="0.3">
      <c r="F6538"/>
      <c r="H6538"/>
    </row>
    <row r="6539" spans="6:8" x14ac:dyDescent="0.3">
      <c r="F6539"/>
      <c r="H6539"/>
    </row>
    <row r="6540" spans="6:8" x14ac:dyDescent="0.3">
      <c r="F6540"/>
      <c r="H6540"/>
    </row>
    <row r="6541" spans="6:8" x14ac:dyDescent="0.3">
      <c r="F6541"/>
      <c r="H6541"/>
    </row>
    <row r="6542" spans="6:8" x14ac:dyDescent="0.3">
      <c r="F6542"/>
      <c r="H6542"/>
    </row>
    <row r="6543" spans="6:8" x14ac:dyDescent="0.3">
      <c r="F6543"/>
      <c r="H6543"/>
    </row>
    <row r="6544" spans="6:8" x14ac:dyDescent="0.3">
      <c r="F6544"/>
      <c r="H6544"/>
    </row>
    <row r="6545" spans="6:8" x14ac:dyDescent="0.3">
      <c r="F6545"/>
      <c r="H6545"/>
    </row>
    <row r="6546" spans="6:8" x14ac:dyDescent="0.3">
      <c r="F6546"/>
      <c r="H6546"/>
    </row>
    <row r="6547" spans="6:8" x14ac:dyDescent="0.3">
      <c r="F6547"/>
      <c r="H6547"/>
    </row>
    <row r="6548" spans="6:8" x14ac:dyDescent="0.3">
      <c r="F6548"/>
      <c r="H6548"/>
    </row>
    <row r="6549" spans="6:8" x14ac:dyDescent="0.3">
      <c r="F6549"/>
      <c r="H6549"/>
    </row>
    <row r="6550" spans="6:8" x14ac:dyDescent="0.3">
      <c r="F6550"/>
      <c r="H6550"/>
    </row>
    <row r="6551" spans="6:8" x14ac:dyDescent="0.3">
      <c r="F6551"/>
      <c r="H6551"/>
    </row>
    <row r="6552" spans="6:8" x14ac:dyDescent="0.3">
      <c r="F6552"/>
      <c r="H6552"/>
    </row>
    <row r="6553" spans="6:8" x14ac:dyDescent="0.3">
      <c r="F6553"/>
      <c r="H6553"/>
    </row>
    <row r="6554" spans="6:8" x14ac:dyDescent="0.3">
      <c r="F6554"/>
      <c r="H6554"/>
    </row>
    <row r="6555" spans="6:8" x14ac:dyDescent="0.3">
      <c r="F6555"/>
      <c r="H6555"/>
    </row>
    <row r="6556" spans="6:8" x14ac:dyDescent="0.3">
      <c r="F6556"/>
      <c r="H6556"/>
    </row>
    <row r="6557" spans="6:8" x14ac:dyDescent="0.3">
      <c r="F6557"/>
      <c r="H6557"/>
    </row>
    <row r="6558" spans="6:8" x14ac:dyDescent="0.3">
      <c r="F6558"/>
      <c r="H6558"/>
    </row>
    <row r="6559" spans="6:8" x14ac:dyDescent="0.3">
      <c r="F6559"/>
      <c r="H6559"/>
    </row>
    <row r="6560" spans="6:8" x14ac:dyDescent="0.3">
      <c r="F6560"/>
      <c r="H6560"/>
    </row>
    <row r="6561" spans="6:8" x14ac:dyDescent="0.3">
      <c r="F6561"/>
      <c r="H6561"/>
    </row>
    <row r="6562" spans="6:8" x14ac:dyDescent="0.3">
      <c r="F6562"/>
      <c r="H6562"/>
    </row>
    <row r="6563" spans="6:8" x14ac:dyDescent="0.3">
      <c r="F6563"/>
      <c r="H6563"/>
    </row>
    <row r="6564" spans="6:8" x14ac:dyDescent="0.3">
      <c r="F6564"/>
      <c r="H6564"/>
    </row>
    <row r="6565" spans="6:8" x14ac:dyDescent="0.3">
      <c r="F6565"/>
      <c r="H6565"/>
    </row>
    <row r="6566" spans="6:8" x14ac:dyDescent="0.3">
      <c r="F6566"/>
      <c r="H6566"/>
    </row>
    <row r="6567" spans="6:8" x14ac:dyDescent="0.3">
      <c r="F6567"/>
      <c r="H6567"/>
    </row>
    <row r="6568" spans="6:8" x14ac:dyDescent="0.3">
      <c r="F6568"/>
      <c r="H6568"/>
    </row>
    <row r="6569" spans="6:8" x14ac:dyDescent="0.3">
      <c r="F6569"/>
      <c r="H6569"/>
    </row>
    <row r="6570" spans="6:8" x14ac:dyDescent="0.3">
      <c r="F6570"/>
      <c r="H6570"/>
    </row>
    <row r="6571" spans="6:8" x14ac:dyDescent="0.3">
      <c r="F6571"/>
      <c r="H6571"/>
    </row>
    <row r="6572" spans="6:8" x14ac:dyDescent="0.3">
      <c r="F6572"/>
      <c r="H6572"/>
    </row>
    <row r="6573" spans="6:8" x14ac:dyDescent="0.3">
      <c r="F6573"/>
      <c r="H6573"/>
    </row>
    <row r="6574" spans="6:8" x14ac:dyDescent="0.3">
      <c r="F6574"/>
      <c r="H6574"/>
    </row>
    <row r="6575" spans="6:8" x14ac:dyDescent="0.3">
      <c r="F6575"/>
      <c r="H6575"/>
    </row>
    <row r="6576" spans="6:8" x14ac:dyDescent="0.3">
      <c r="F6576"/>
      <c r="H6576"/>
    </row>
    <row r="6577" spans="6:8" x14ac:dyDescent="0.3">
      <c r="F6577"/>
      <c r="H6577"/>
    </row>
    <row r="6578" spans="6:8" x14ac:dyDescent="0.3">
      <c r="F6578"/>
      <c r="H6578"/>
    </row>
    <row r="6579" spans="6:8" x14ac:dyDescent="0.3">
      <c r="F6579"/>
      <c r="H6579"/>
    </row>
    <row r="6580" spans="6:8" x14ac:dyDescent="0.3">
      <c r="F6580"/>
      <c r="H6580"/>
    </row>
    <row r="6581" spans="6:8" x14ac:dyDescent="0.3">
      <c r="F6581"/>
      <c r="H6581"/>
    </row>
    <row r="6582" spans="6:8" x14ac:dyDescent="0.3">
      <c r="F6582"/>
      <c r="H6582"/>
    </row>
    <row r="6583" spans="6:8" x14ac:dyDescent="0.3">
      <c r="F6583"/>
      <c r="H6583"/>
    </row>
    <row r="6584" spans="6:8" x14ac:dyDescent="0.3">
      <c r="F6584"/>
      <c r="H6584"/>
    </row>
    <row r="6585" spans="6:8" x14ac:dyDescent="0.3">
      <c r="F6585"/>
      <c r="H6585"/>
    </row>
    <row r="6586" spans="6:8" x14ac:dyDescent="0.3">
      <c r="F6586"/>
      <c r="H6586"/>
    </row>
    <row r="6587" spans="6:8" x14ac:dyDescent="0.3">
      <c r="F6587"/>
      <c r="H6587"/>
    </row>
    <row r="6588" spans="6:8" x14ac:dyDescent="0.3">
      <c r="F6588"/>
      <c r="H6588"/>
    </row>
    <row r="6589" spans="6:8" x14ac:dyDescent="0.3">
      <c r="F6589"/>
      <c r="H6589"/>
    </row>
    <row r="6590" spans="6:8" x14ac:dyDescent="0.3">
      <c r="F6590"/>
      <c r="H6590"/>
    </row>
    <row r="6591" spans="6:8" x14ac:dyDescent="0.3">
      <c r="F6591"/>
      <c r="H6591"/>
    </row>
    <row r="6592" spans="6:8" x14ac:dyDescent="0.3">
      <c r="F6592"/>
      <c r="H6592"/>
    </row>
    <row r="6593" spans="6:8" x14ac:dyDescent="0.3">
      <c r="F6593"/>
      <c r="H6593"/>
    </row>
    <row r="6594" spans="6:8" x14ac:dyDescent="0.3">
      <c r="F6594"/>
      <c r="H6594"/>
    </row>
    <row r="6595" spans="6:8" x14ac:dyDescent="0.3">
      <c r="F6595"/>
      <c r="H6595"/>
    </row>
    <row r="6596" spans="6:8" x14ac:dyDescent="0.3">
      <c r="F6596"/>
      <c r="H6596"/>
    </row>
    <row r="6597" spans="6:8" x14ac:dyDescent="0.3">
      <c r="F6597"/>
      <c r="H6597"/>
    </row>
    <row r="6598" spans="6:8" x14ac:dyDescent="0.3">
      <c r="F6598"/>
      <c r="H6598"/>
    </row>
    <row r="6599" spans="6:8" x14ac:dyDescent="0.3">
      <c r="F6599"/>
      <c r="H6599"/>
    </row>
    <row r="6600" spans="6:8" x14ac:dyDescent="0.3">
      <c r="F6600"/>
      <c r="H6600"/>
    </row>
    <row r="6601" spans="6:8" x14ac:dyDescent="0.3">
      <c r="F6601"/>
      <c r="H6601"/>
    </row>
    <row r="6602" spans="6:8" x14ac:dyDescent="0.3">
      <c r="F6602"/>
      <c r="H6602"/>
    </row>
    <row r="6603" spans="6:8" x14ac:dyDescent="0.3">
      <c r="F6603"/>
      <c r="H6603"/>
    </row>
    <row r="6604" spans="6:8" x14ac:dyDescent="0.3">
      <c r="F6604"/>
      <c r="H6604"/>
    </row>
    <row r="6605" spans="6:8" x14ac:dyDescent="0.3">
      <c r="F6605"/>
      <c r="H6605"/>
    </row>
    <row r="6606" spans="6:8" x14ac:dyDescent="0.3">
      <c r="F6606"/>
      <c r="H6606"/>
    </row>
    <row r="6607" spans="6:8" x14ac:dyDescent="0.3">
      <c r="F6607"/>
      <c r="H6607"/>
    </row>
    <row r="6608" spans="6:8" x14ac:dyDescent="0.3">
      <c r="F6608"/>
      <c r="H6608"/>
    </row>
    <row r="6609" spans="6:8" x14ac:dyDescent="0.3">
      <c r="F6609"/>
      <c r="H6609"/>
    </row>
    <row r="6610" spans="6:8" x14ac:dyDescent="0.3">
      <c r="F6610"/>
      <c r="H6610"/>
    </row>
    <row r="6611" spans="6:8" x14ac:dyDescent="0.3">
      <c r="F6611"/>
      <c r="H6611"/>
    </row>
    <row r="6612" spans="6:8" x14ac:dyDescent="0.3">
      <c r="F6612"/>
      <c r="H6612"/>
    </row>
    <row r="6613" spans="6:8" x14ac:dyDescent="0.3">
      <c r="F6613"/>
      <c r="H6613"/>
    </row>
    <row r="6614" spans="6:8" x14ac:dyDescent="0.3">
      <c r="F6614"/>
      <c r="H6614"/>
    </row>
    <row r="6615" spans="6:8" x14ac:dyDescent="0.3">
      <c r="F6615"/>
      <c r="H6615"/>
    </row>
    <row r="6616" spans="6:8" x14ac:dyDescent="0.3">
      <c r="F6616"/>
      <c r="H6616"/>
    </row>
    <row r="6617" spans="6:8" x14ac:dyDescent="0.3">
      <c r="F6617"/>
      <c r="H6617"/>
    </row>
    <row r="6618" spans="6:8" x14ac:dyDescent="0.3">
      <c r="F6618"/>
      <c r="H6618"/>
    </row>
    <row r="6619" spans="6:8" x14ac:dyDescent="0.3">
      <c r="F6619"/>
      <c r="H6619"/>
    </row>
    <row r="6620" spans="6:8" x14ac:dyDescent="0.3">
      <c r="F6620"/>
      <c r="H6620"/>
    </row>
    <row r="6621" spans="6:8" x14ac:dyDescent="0.3">
      <c r="F6621"/>
      <c r="H6621"/>
    </row>
    <row r="6622" spans="6:8" x14ac:dyDescent="0.3">
      <c r="F6622"/>
      <c r="H6622"/>
    </row>
    <row r="6623" spans="6:8" x14ac:dyDescent="0.3">
      <c r="F6623"/>
      <c r="H6623"/>
    </row>
    <row r="6624" spans="6:8" x14ac:dyDescent="0.3">
      <c r="F6624"/>
      <c r="H6624"/>
    </row>
    <row r="6625" spans="6:8" x14ac:dyDescent="0.3">
      <c r="F6625"/>
      <c r="H6625"/>
    </row>
    <row r="6626" spans="6:8" x14ac:dyDescent="0.3">
      <c r="F6626"/>
      <c r="H6626"/>
    </row>
    <row r="6627" spans="6:8" x14ac:dyDescent="0.3">
      <c r="F6627"/>
      <c r="H6627"/>
    </row>
    <row r="6628" spans="6:8" x14ac:dyDescent="0.3">
      <c r="F6628"/>
      <c r="H6628"/>
    </row>
    <row r="6629" spans="6:8" x14ac:dyDescent="0.3">
      <c r="F6629"/>
      <c r="H6629"/>
    </row>
    <row r="6630" spans="6:8" x14ac:dyDescent="0.3">
      <c r="F6630"/>
      <c r="H6630"/>
    </row>
    <row r="6631" spans="6:8" x14ac:dyDescent="0.3">
      <c r="F6631"/>
      <c r="H6631"/>
    </row>
    <row r="6632" spans="6:8" x14ac:dyDescent="0.3">
      <c r="F6632"/>
      <c r="H6632"/>
    </row>
    <row r="6633" spans="6:8" x14ac:dyDescent="0.3">
      <c r="F6633"/>
      <c r="H6633"/>
    </row>
    <row r="6634" spans="6:8" x14ac:dyDescent="0.3">
      <c r="F6634"/>
      <c r="H6634"/>
    </row>
    <row r="6635" spans="6:8" x14ac:dyDescent="0.3">
      <c r="F6635"/>
      <c r="H6635"/>
    </row>
    <row r="6636" spans="6:8" x14ac:dyDescent="0.3">
      <c r="F6636"/>
      <c r="H6636"/>
    </row>
    <row r="6637" spans="6:8" x14ac:dyDescent="0.3">
      <c r="F6637"/>
      <c r="H6637"/>
    </row>
    <row r="6638" spans="6:8" x14ac:dyDescent="0.3">
      <c r="F6638"/>
      <c r="H6638"/>
    </row>
    <row r="6639" spans="6:8" x14ac:dyDescent="0.3">
      <c r="F6639"/>
      <c r="H6639"/>
    </row>
    <row r="6640" spans="6:8" x14ac:dyDescent="0.3">
      <c r="F6640"/>
      <c r="H6640"/>
    </row>
    <row r="6641" spans="6:8" x14ac:dyDescent="0.3">
      <c r="F6641"/>
      <c r="H6641"/>
    </row>
    <row r="6642" spans="6:8" x14ac:dyDescent="0.3">
      <c r="F6642"/>
      <c r="H6642"/>
    </row>
    <row r="6643" spans="6:8" x14ac:dyDescent="0.3">
      <c r="F6643"/>
      <c r="H6643"/>
    </row>
    <row r="6644" spans="6:8" x14ac:dyDescent="0.3">
      <c r="F6644"/>
      <c r="H6644"/>
    </row>
    <row r="6645" spans="6:8" x14ac:dyDescent="0.3">
      <c r="F6645"/>
      <c r="H6645"/>
    </row>
    <row r="6646" spans="6:8" x14ac:dyDescent="0.3">
      <c r="F6646"/>
      <c r="H6646"/>
    </row>
    <row r="6647" spans="6:8" x14ac:dyDescent="0.3">
      <c r="F6647"/>
      <c r="H6647"/>
    </row>
    <row r="6648" spans="6:8" x14ac:dyDescent="0.3">
      <c r="F6648"/>
      <c r="H6648"/>
    </row>
    <row r="6649" spans="6:8" x14ac:dyDescent="0.3">
      <c r="F6649"/>
      <c r="H6649"/>
    </row>
    <row r="6650" spans="6:8" x14ac:dyDescent="0.3">
      <c r="F6650"/>
      <c r="H6650"/>
    </row>
    <row r="6651" spans="6:8" x14ac:dyDescent="0.3">
      <c r="F6651"/>
      <c r="H6651"/>
    </row>
    <row r="6652" spans="6:8" x14ac:dyDescent="0.3">
      <c r="F6652"/>
      <c r="H6652"/>
    </row>
    <row r="6653" spans="6:8" x14ac:dyDescent="0.3">
      <c r="F6653"/>
      <c r="H6653"/>
    </row>
    <row r="6654" spans="6:8" x14ac:dyDescent="0.3">
      <c r="F6654"/>
      <c r="H6654"/>
    </row>
    <row r="6655" spans="6:8" x14ac:dyDescent="0.3">
      <c r="F6655"/>
      <c r="H6655"/>
    </row>
    <row r="6656" spans="6:8" x14ac:dyDescent="0.3">
      <c r="F6656"/>
      <c r="H6656"/>
    </row>
    <row r="6657" spans="6:8" x14ac:dyDescent="0.3">
      <c r="F6657"/>
      <c r="H6657"/>
    </row>
    <row r="6658" spans="6:8" x14ac:dyDescent="0.3">
      <c r="F6658"/>
      <c r="H6658"/>
    </row>
    <row r="6659" spans="6:8" x14ac:dyDescent="0.3">
      <c r="F6659"/>
      <c r="H6659"/>
    </row>
    <row r="6660" spans="6:8" x14ac:dyDescent="0.3">
      <c r="F6660"/>
      <c r="H6660"/>
    </row>
    <row r="6661" spans="6:8" x14ac:dyDescent="0.3">
      <c r="F6661"/>
      <c r="H6661"/>
    </row>
    <row r="6662" spans="6:8" x14ac:dyDescent="0.3">
      <c r="F6662"/>
      <c r="H6662"/>
    </row>
    <row r="6663" spans="6:8" x14ac:dyDescent="0.3">
      <c r="F6663"/>
      <c r="H6663"/>
    </row>
    <row r="6664" spans="6:8" x14ac:dyDescent="0.3">
      <c r="F6664"/>
      <c r="H6664"/>
    </row>
    <row r="6665" spans="6:8" x14ac:dyDescent="0.3">
      <c r="F6665"/>
      <c r="H6665"/>
    </row>
    <row r="6666" spans="6:8" x14ac:dyDescent="0.3">
      <c r="F6666"/>
      <c r="H6666"/>
    </row>
    <row r="6667" spans="6:8" x14ac:dyDescent="0.3">
      <c r="F6667"/>
      <c r="H6667"/>
    </row>
    <row r="6668" spans="6:8" x14ac:dyDescent="0.3">
      <c r="F6668"/>
      <c r="H6668"/>
    </row>
    <row r="6669" spans="6:8" x14ac:dyDescent="0.3">
      <c r="F6669"/>
      <c r="H6669"/>
    </row>
    <row r="6670" spans="6:8" x14ac:dyDescent="0.3">
      <c r="F6670"/>
      <c r="H6670"/>
    </row>
    <row r="6671" spans="6:8" x14ac:dyDescent="0.3">
      <c r="F6671"/>
      <c r="H6671"/>
    </row>
    <row r="6672" spans="6:8" x14ac:dyDescent="0.3">
      <c r="F6672"/>
      <c r="H6672"/>
    </row>
    <row r="6673" spans="6:8" x14ac:dyDescent="0.3">
      <c r="F6673"/>
      <c r="H6673"/>
    </row>
    <row r="6674" spans="6:8" x14ac:dyDescent="0.3">
      <c r="F6674"/>
      <c r="H6674"/>
    </row>
    <row r="6675" spans="6:8" x14ac:dyDescent="0.3">
      <c r="F6675"/>
      <c r="H6675"/>
    </row>
    <row r="6676" spans="6:8" x14ac:dyDescent="0.3">
      <c r="F6676"/>
      <c r="H6676"/>
    </row>
    <row r="6677" spans="6:8" x14ac:dyDescent="0.3">
      <c r="F6677"/>
      <c r="H6677"/>
    </row>
    <row r="6678" spans="6:8" x14ac:dyDescent="0.3">
      <c r="F6678"/>
      <c r="H6678"/>
    </row>
    <row r="6679" spans="6:8" x14ac:dyDescent="0.3">
      <c r="F6679"/>
      <c r="H6679"/>
    </row>
    <row r="6680" spans="6:8" x14ac:dyDescent="0.3">
      <c r="F6680"/>
      <c r="H6680"/>
    </row>
    <row r="6681" spans="6:8" x14ac:dyDescent="0.3">
      <c r="F6681"/>
      <c r="H6681"/>
    </row>
    <row r="6682" spans="6:8" x14ac:dyDescent="0.3">
      <c r="F6682"/>
      <c r="H6682"/>
    </row>
    <row r="6683" spans="6:8" x14ac:dyDescent="0.3">
      <c r="F6683"/>
      <c r="H6683"/>
    </row>
    <row r="6684" spans="6:8" x14ac:dyDescent="0.3">
      <c r="F6684"/>
      <c r="H6684"/>
    </row>
    <row r="6685" spans="6:8" x14ac:dyDescent="0.3">
      <c r="F6685"/>
      <c r="H6685"/>
    </row>
    <row r="6686" spans="6:8" x14ac:dyDescent="0.3">
      <c r="F6686"/>
      <c r="H6686"/>
    </row>
    <row r="6687" spans="6:8" x14ac:dyDescent="0.3">
      <c r="F6687"/>
      <c r="H6687"/>
    </row>
    <row r="6688" spans="6:8" x14ac:dyDescent="0.3">
      <c r="F6688"/>
      <c r="H6688"/>
    </row>
    <row r="6689" spans="6:8" x14ac:dyDescent="0.3">
      <c r="F6689"/>
      <c r="H6689"/>
    </row>
    <row r="6690" spans="6:8" x14ac:dyDescent="0.3">
      <c r="F6690"/>
      <c r="H6690"/>
    </row>
    <row r="6691" spans="6:8" x14ac:dyDescent="0.3">
      <c r="F6691"/>
      <c r="H6691"/>
    </row>
    <row r="6692" spans="6:8" x14ac:dyDescent="0.3">
      <c r="F6692"/>
      <c r="H6692"/>
    </row>
    <row r="6693" spans="6:8" x14ac:dyDescent="0.3">
      <c r="F6693"/>
      <c r="H6693"/>
    </row>
    <row r="6694" spans="6:8" x14ac:dyDescent="0.3">
      <c r="F6694"/>
      <c r="H6694"/>
    </row>
    <row r="6695" spans="6:8" x14ac:dyDescent="0.3">
      <c r="F6695"/>
      <c r="H6695"/>
    </row>
    <row r="6696" spans="6:8" x14ac:dyDescent="0.3">
      <c r="F6696"/>
      <c r="H6696"/>
    </row>
    <row r="6697" spans="6:8" x14ac:dyDescent="0.3">
      <c r="F6697"/>
      <c r="H6697"/>
    </row>
    <row r="6698" spans="6:8" x14ac:dyDescent="0.3">
      <c r="F6698"/>
      <c r="H6698"/>
    </row>
    <row r="6699" spans="6:8" x14ac:dyDescent="0.3">
      <c r="F6699"/>
      <c r="H6699"/>
    </row>
    <row r="6700" spans="6:8" x14ac:dyDescent="0.3">
      <c r="F6700"/>
      <c r="H6700"/>
    </row>
    <row r="6701" spans="6:8" x14ac:dyDescent="0.3">
      <c r="F6701"/>
      <c r="H6701"/>
    </row>
    <row r="6702" spans="6:8" x14ac:dyDescent="0.3">
      <c r="F6702"/>
      <c r="H6702"/>
    </row>
    <row r="6703" spans="6:8" x14ac:dyDescent="0.3">
      <c r="F6703"/>
      <c r="H6703"/>
    </row>
    <row r="6704" spans="6:8" x14ac:dyDescent="0.3">
      <c r="F6704"/>
      <c r="H6704"/>
    </row>
    <row r="6705" spans="6:8" x14ac:dyDescent="0.3">
      <c r="F6705"/>
      <c r="H6705"/>
    </row>
    <row r="6706" spans="6:8" x14ac:dyDescent="0.3">
      <c r="F6706"/>
      <c r="H6706"/>
    </row>
    <row r="6707" spans="6:8" x14ac:dyDescent="0.3">
      <c r="F6707"/>
      <c r="H6707"/>
    </row>
    <row r="6708" spans="6:8" x14ac:dyDescent="0.3">
      <c r="F6708"/>
      <c r="H6708"/>
    </row>
    <row r="6709" spans="6:8" x14ac:dyDescent="0.3">
      <c r="F6709"/>
      <c r="H6709"/>
    </row>
    <row r="6710" spans="6:8" x14ac:dyDescent="0.3">
      <c r="F6710"/>
      <c r="H6710"/>
    </row>
    <row r="6711" spans="6:8" x14ac:dyDescent="0.3">
      <c r="F6711"/>
      <c r="H6711"/>
    </row>
    <row r="6712" spans="6:8" x14ac:dyDescent="0.3">
      <c r="F6712"/>
      <c r="H6712"/>
    </row>
    <row r="6713" spans="6:8" x14ac:dyDescent="0.3">
      <c r="F6713"/>
      <c r="H6713"/>
    </row>
    <row r="6714" spans="6:8" x14ac:dyDescent="0.3">
      <c r="F6714"/>
      <c r="H6714"/>
    </row>
    <row r="6715" spans="6:8" x14ac:dyDescent="0.3">
      <c r="F6715"/>
      <c r="H6715"/>
    </row>
    <row r="6716" spans="6:8" x14ac:dyDescent="0.3">
      <c r="F6716"/>
      <c r="H6716"/>
    </row>
    <row r="6717" spans="6:8" x14ac:dyDescent="0.3">
      <c r="F6717"/>
      <c r="H6717"/>
    </row>
    <row r="6718" spans="6:8" x14ac:dyDescent="0.3">
      <c r="F6718"/>
      <c r="H6718"/>
    </row>
    <row r="6719" spans="6:8" x14ac:dyDescent="0.3">
      <c r="F6719"/>
      <c r="H6719"/>
    </row>
    <row r="6720" spans="6:8" x14ac:dyDescent="0.3">
      <c r="F6720"/>
      <c r="H6720"/>
    </row>
    <row r="6721" spans="6:8" x14ac:dyDescent="0.3">
      <c r="F6721"/>
      <c r="H6721"/>
    </row>
    <row r="6722" spans="6:8" x14ac:dyDescent="0.3">
      <c r="F6722"/>
      <c r="H6722"/>
    </row>
    <row r="6723" spans="6:8" x14ac:dyDescent="0.3">
      <c r="F6723"/>
      <c r="H6723"/>
    </row>
    <row r="6724" spans="6:8" x14ac:dyDescent="0.3">
      <c r="F6724"/>
      <c r="H6724"/>
    </row>
    <row r="6725" spans="6:8" x14ac:dyDescent="0.3">
      <c r="F6725"/>
      <c r="H6725"/>
    </row>
    <row r="6726" spans="6:8" x14ac:dyDescent="0.3">
      <c r="F6726"/>
      <c r="H6726"/>
    </row>
    <row r="6727" spans="6:8" x14ac:dyDescent="0.3">
      <c r="F6727"/>
      <c r="H6727"/>
    </row>
    <row r="6728" spans="6:8" x14ac:dyDescent="0.3">
      <c r="F6728"/>
      <c r="H6728"/>
    </row>
    <row r="6729" spans="6:8" x14ac:dyDescent="0.3">
      <c r="F6729"/>
      <c r="H6729"/>
    </row>
    <row r="6730" spans="6:8" x14ac:dyDescent="0.3">
      <c r="F6730"/>
      <c r="H6730"/>
    </row>
    <row r="6731" spans="6:8" x14ac:dyDescent="0.3">
      <c r="F6731"/>
      <c r="H6731"/>
    </row>
    <row r="6732" spans="6:8" x14ac:dyDescent="0.3">
      <c r="F6732"/>
      <c r="H6732"/>
    </row>
    <row r="6733" spans="6:8" x14ac:dyDescent="0.3">
      <c r="F6733"/>
      <c r="H6733"/>
    </row>
    <row r="6734" spans="6:8" x14ac:dyDescent="0.3">
      <c r="F6734"/>
      <c r="H6734"/>
    </row>
    <row r="6735" spans="6:8" x14ac:dyDescent="0.3">
      <c r="F6735"/>
      <c r="H6735"/>
    </row>
    <row r="6736" spans="6:8" x14ac:dyDescent="0.3">
      <c r="F6736"/>
      <c r="H6736"/>
    </row>
    <row r="6737" spans="6:8" x14ac:dyDescent="0.3">
      <c r="F6737"/>
      <c r="H6737"/>
    </row>
    <row r="6738" spans="6:8" x14ac:dyDescent="0.3">
      <c r="F6738"/>
      <c r="H6738"/>
    </row>
    <row r="6739" spans="6:8" x14ac:dyDescent="0.3">
      <c r="F6739"/>
      <c r="H6739"/>
    </row>
    <row r="6740" spans="6:8" x14ac:dyDescent="0.3">
      <c r="F6740"/>
      <c r="H6740"/>
    </row>
    <row r="6741" spans="6:8" x14ac:dyDescent="0.3">
      <c r="F6741"/>
      <c r="H6741"/>
    </row>
    <row r="6742" spans="6:8" x14ac:dyDescent="0.3">
      <c r="F6742"/>
      <c r="H6742"/>
    </row>
    <row r="6743" spans="6:8" x14ac:dyDescent="0.3">
      <c r="F6743"/>
      <c r="H6743"/>
    </row>
    <row r="6744" spans="6:8" x14ac:dyDescent="0.3">
      <c r="F6744"/>
      <c r="H6744"/>
    </row>
    <row r="6745" spans="6:8" x14ac:dyDescent="0.3">
      <c r="F6745"/>
      <c r="H6745"/>
    </row>
    <row r="6746" spans="6:8" x14ac:dyDescent="0.3">
      <c r="F6746"/>
      <c r="H6746"/>
    </row>
    <row r="6747" spans="6:8" x14ac:dyDescent="0.3">
      <c r="F6747"/>
      <c r="H6747"/>
    </row>
    <row r="6748" spans="6:8" x14ac:dyDescent="0.3">
      <c r="F6748"/>
      <c r="H6748"/>
    </row>
    <row r="6749" spans="6:8" x14ac:dyDescent="0.3">
      <c r="F6749"/>
      <c r="H6749"/>
    </row>
    <row r="6750" spans="6:8" x14ac:dyDescent="0.3">
      <c r="F6750"/>
      <c r="H6750"/>
    </row>
    <row r="6751" spans="6:8" x14ac:dyDescent="0.3">
      <c r="F6751"/>
      <c r="H6751"/>
    </row>
    <row r="6752" spans="6:8" x14ac:dyDescent="0.3">
      <c r="F6752"/>
      <c r="H6752"/>
    </row>
    <row r="6753" spans="6:8" x14ac:dyDescent="0.3">
      <c r="F6753"/>
      <c r="H6753"/>
    </row>
    <row r="6754" spans="6:8" x14ac:dyDescent="0.3">
      <c r="F6754"/>
      <c r="H6754"/>
    </row>
    <row r="6755" spans="6:8" x14ac:dyDescent="0.3">
      <c r="F6755"/>
      <c r="H6755"/>
    </row>
    <row r="6756" spans="6:8" x14ac:dyDescent="0.3">
      <c r="F6756"/>
      <c r="H6756"/>
    </row>
    <row r="6757" spans="6:8" x14ac:dyDescent="0.3">
      <c r="F6757"/>
      <c r="H6757"/>
    </row>
    <row r="6758" spans="6:8" x14ac:dyDescent="0.3">
      <c r="F6758"/>
      <c r="H6758"/>
    </row>
    <row r="6759" spans="6:8" x14ac:dyDescent="0.3">
      <c r="F6759"/>
      <c r="H6759"/>
    </row>
    <row r="6760" spans="6:8" x14ac:dyDescent="0.3">
      <c r="F6760"/>
      <c r="H6760"/>
    </row>
    <row r="6761" spans="6:8" x14ac:dyDescent="0.3">
      <c r="F6761"/>
      <c r="H6761"/>
    </row>
    <row r="6762" spans="6:8" x14ac:dyDescent="0.3">
      <c r="F6762"/>
      <c r="H6762"/>
    </row>
    <row r="6763" spans="6:8" x14ac:dyDescent="0.3">
      <c r="F6763"/>
      <c r="H6763"/>
    </row>
    <row r="6764" spans="6:8" x14ac:dyDescent="0.3">
      <c r="F6764"/>
      <c r="H6764"/>
    </row>
    <row r="6765" spans="6:8" x14ac:dyDescent="0.3">
      <c r="F6765"/>
      <c r="H6765"/>
    </row>
    <row r="6766" spans="6:8" x14ac:dyDescent="0.3">
      <c r="F6766"/>
      <c r="H6766"/>
    </row>
    <row r="6767" spans="6:8" x14ac:dyDescent="0.3">
      <c r="F6767"/>
      <c r="H6767"/>
    </row>
    <row r="6768" spans="6:8" x14ac:dyDescent="0.3">
      <c r="F6768"/>
      <c r="H6768"/>
    </row>
    <row r="6769" spans="6:8" x14ac:dyDescent="0.3">
      <c r="F6769"/>
      <c r="H6769"/>
    </row>
    <row r="6770" spans="6:8" x14ac:dyDescent="0.3">
      <c r="F6770"/>
      <c r="H6770"/>
    </row>
    <row r="6771" spans="6:8" x14ac:dyDescent="0.3">
      <c r="F6771"/>
      <c r="H6771"/>
    </row>
    <row r="6772" spans="6:8" x14ac:dyDescent="0.3">
      <c r="F6772"/>
      <c r="H6772"/>
    </row>
    <row r="6773" spans="6:8" x14ac:dyDescent="0.3">
      <c r="F6773"/>
      <c r="H6773"/>
    </row>
    <row r="6774" spans="6:8" x14ac:dyDescent="0.3">
      <c r="F6774"/>
      <c r="H6774"/>
    </row>
    <row r="6775" spans="6:8" x14ac:dyDescent="0.3">
      <c r="F6775"/>
      <c r="H6775"/>
    </row>
    <row r="6776" spans="6:8" x14ac:dyDescent="0.3">
      <c r="F6776"/>
      <c r="H6776"/>
    </row>
    <row r="6777" spans="6:8" x14ac:dyDescent="0.3">
      <c r="F6777"/>
      <c r="H6777"/>
    </row>
    <row r="6778" spans="6:8" x14ac:dyDescent="0.3">
      <c r="F6778"/>
      <c r="H6778"/>
    </row>
    <row r="6779" spans="6:8" x14ac:dyDescent="0.3">
      <c r="F6779"/>
      <c r="H6779"/>
    </row>
    <row r="6780" spans="6:8" x14ac:dyDescent="0.3">
      <c r="F6780"/>
      <c r="H6780"/>
    </row>
    <row r="6781" spans="6:8" x14ac:dyDescent="0.3">
      <c r="F6781"/>
      <c r="H6781"/>
    </row>
    <row r="6782" spans="6:8" x14ac:dyDescent="0.3">
      <c r="F6782"/>
      <c r="H6782"/>
    </row>
    <row r="6783" spans="6:8" x14ac:dyDescent="0.3">
      <c r="F6783"/>
      <c r="H6783"/>
    </row>
    <row r="6784" spans="6:8" x14ac:dyDescent="0.3">
      <c r="F6784"/>
      <c r="H6784"/>
    </row>
    <row r="6785" spans="6:8" x14ac:dyDescent="0.3">
      <c r="F6785"/>
      <c r="H6785"/>
    </row>
    <row r="6786" spans="6:8" x14ac:dyDescent="0.3">
      <c r="F6786"/>
      <c r="H6786"/>
    </row>
    <row r="6787" spans="6:8" x14ac:dyDescent="0.3">
      <c r="F6787"/>
      <c r="H6787"/>
    </row>
    <row r="6788" spans="6:8" x14ac:dyDescent="0.3">
      <c r="F6788"/>
      <c r="H6788"/>
    </row>
    <row r="6789" spans="6:8" x14ac:dyDescent="0.3">
      <c r="F6789"/>
      <c r="H6789"/>
    </row>
    <row r="6790" spans="6:8" x14ac:dyDescent="0.3">
      <c r="F6790"/>
      <c r="H6790"/>
    </row>
    <row r="6791" spans="6:8" x14ac:dyDescent="0.3">
      <c r="F6791"/>
      <c r="H6791"/>
    </row>
    <row r="6792" spans="6:8" x14ac:dyDescent="0.3">
      <c r="F6792"/>
      <c r="H6792"/>
    </row>
    <row r="6793" spans="6:8" x14ac:dyDescent="0.3">
      <c r="F6793"/>
      <c r="H6793"/>
    </row>
    <row r="6794" spans="6:8" x14ac:dyDescent="0.3">
      <c r="F6794"/>
      <c r="H6794"/>
    </row>
    <row r="6795" spans="6:8" x14ac:dyDescent="0.3">
      <c r="F6795"/>
      <c r="H6795"/>
    </row>
    <row r="6796" spans="6:8" x14ac:dyDescent="0.3">
      <c r="F6796"/>
      <c r="H6796"/>
    </row>
    <row r="6797" spans="6:8" x14ac:dyDescent="0.3">
      <c r="F6797"/>
      <c r="H6797"/>
    </row>
    <row r="6798" spans="6:8" x14ac:dyDescent="0.3">
      <c r="F6798"/>
      <c r="H6798"/>
    </row>
    <row r="6799" spans="6:8" x14ac:dyDescent="0.3">
      <c r="F6799"/>
      <c r="H6799"/>
    </row>
    <row r="6800" spans="6:8" x14ac:dyDescent="0.3">
      <c r="F6800"/>
      <c r="H6800"/>
    </row>
    <row r="6801" spans="6:8" x14ac:dyDescent="0.3">
      <c r="F6801"/>
      <c r="H6801"/>
    </row>
    <row r="6802" spans="6:8" x14ac:dyDescent="0.3">
      <c r="F6802"/>
      <c r="H6802"/>
    </row>
    <row r="6803" spans="6:8" x14ac:dyDescent="0.3">
      <c r="F6803"/>
      <c r="H6803"/>
    </row>
    <row r="6804" spans="6:8" x14ac:dyDescent="0.3">
      <c r="F6804"/>
      <c r="H6804"/>
    </row>
    <row r="6805" spans="6:8" x14ac:dyDescent="0.3">
      <c r="F6805"/>
      <c r="H6805"/>
    </row>
    <row r="6806" spans="6:8" x14ac:dyDescent="0.3">
      <c r="F6806"/>
      <c r="H6806"/>
    </row>
    <row r="6807" spans="6:8" x14ac:dyDescent="0.3">
      <c r="F6807"/>
      <c r="H6807"/>
    </row>
    <row r="6808" spans="6:8" x14ac:dyDescent="0.3">
      <c r="F6808"/>
      <c r="H6808"/>
    </row>
    <row r="6809" spans="6:8" x14ac:dyDescent="0.3">
      <c r="F6809"/>
      <c r="H6809"/>
    </row>
    <row r="6810" spans="6:8" x14ac:dyDescent="0.3">
      <c r="F6810"/>
      <c r="H6810"/>
    </row>
    <row r="6811" spans="6:8" x14ac:dyDescent="0.3">
      <c r="F6811"/>
      <c r="H6811"/>
    </row>
    <row r="6812" spans="6:8" x14ac:dyDescent="0.3">
      <c r="F6812"/>
      <c r="H6812"/>
    </row>
    <row r="6813" spans="6:8" x14ac:dyDescent="0.3">
      <c r="F6813"/>
      <c r="H6813"/>
    </row>
    <row r="6814" spans="6:8" x14ac:dyDescent="0.3">
      <c r="F6814"/>
      <c r="H6814"/>
    </row>
    <row r="6815" spans="6:8" x14ac:dyDescent="0.3">
      <c r="F6815"/>
      <c r="H6815"/>
    </row>
    <row r="6816" spans="6:8" x14ac:dyDescent="0.3">
      <c r="F6816"/>
      <c r="H6816"/>
    </row>
    <row r="6817" spans="6:8" x14ac:dyDescent="0.3">
      <c r="F6817"/>
      <c r="H6817"/>
    </row>
    <row r="6818" spans="6:8" x14ac:dyDescent="0.3">
      <c r="F6818"/>
      <c r="H6818"/>
    </row>
    <row r="6819" spans="6:8" x14ac:dyDescent="0.3">
      <c r="F6819"/>
      <c r="H6819"/>
    </row>
    <row r="6820" spans="6:8" x14ac:dyDescent="0.3">
      <c r="F6820"/>
      <c r="H6820"/>
    </row>
    <row r="6821" spans="6:8" x14ac:dyDescent="0.3">
      <c r="F6821"/>
      <c r="H6821"/>
    </row>
    <row r="6822" spans="6:8" x14ac:dyDescent="0.3">
      <c r="F6822"/>
      <c r="H6822"/>
    </row>
    <row r="6823" spans="6:8" x14ac:dyDescent="0.3">
      <c r="F6823"/>
      <c r="H6823"/>
    </row>
    <row r="6824" spans="6:8" x14ac:dyDescent="0.3">
      <c r="F6824"/>
      <c r="H6824"/>
    </row>
    <row r="6825" spans="6:8" x14ac:dyDescent="0.3">
      <c r="F6825"/>
      <c r="H6825"/>
    </row>
    <row r="6826" spans="6:8" x14ac:dyDescent="0.3">
      <c r="F6826"/>
      <c r="H6826"/>
    </row>
    <row r="6827" spans="6:8" x14ac:dyDescent="0.3">
      <c r="F6827"/>
      <c r="H6827"/>
    </row>
    <row r="6828" spans="6:8" x14ac:dyDescent="0.3">
      <c r="F6828"/>
      <c r="H6828"/>
    </row>
    <row r="6829" spans="6:8" x14ac:dyDescent="0.3">
      <c r="F6829"/>
      <c r="H6829"/>
    </row>
    <row r="6830" spans="6:8" x14ac:dyDescent="0.3">
      <c r="F6830"/>
      <c r="H6830"/>
    </row>
    <row r="6831" spans="6:8" x14ac:dyDescent="0.3">
      <c r="F6831"/>
      <c r="H6831"/>
    </row>
    <row r="6832" spans="6:8" x14ac:dyDescent="0.3">
      <c r="F6832"/>
      <c r="H6832"/>
    </row>
    <row r="6833" spans="6:8" x14ac:dyDescent="0.3">
      <c r="F6833"/>
      <c r="H6833"/>
    </row>
    <row r="6834" spans="6:8" x14ac:dyDescent="0.3">
      <c r="F6834"/>
      <c r="H6834"/>
    </row>
    <row r="6835" spans="6:8" x14ac:dyDescent="0.3">
      <c r="F6835"/>
      <c r="H6835"/>
    </row>
    <row r="6836" spans="6:8" x14ac:dyDescent="0.3">
      <c r="F6836"/>
      <c r="H6836"/>
    </row>
    <row r="6837" spans="6:8" x14ac:dyDescent="0.3">
      <c r="F6837"/>
      <c r="H6837"/>
    </row>
    <row r="6838" spans="6:8" x14ac:dyDescent="0.3">
      <c r="F6838"/>
      <c r="H6838"/>
    </row>
    <row r="6839" spans="6:8" x14ac:dyDescent="0.3">
      <c r="F6839"/>
      <c r="H6839"/>
    </row>
    <row r="6840" spans="6:8" x14ac:dyDescent="0.3">
      <c r="F6840"/>
      <c r="H6840"/>
    </row>
    <row r="6841" spans="6:8" x14ac:dyDescent="0.3">
      <c r="F6841"/>
      <c r="H6841"/>
    </row>
    <row r="6842" spans="6:8" x14ac:dyDescent="0.3">
      <c r="F6842"/>
      <c r="H6842"/>
    </row>
    <row r="6843" spans="6:8" x14ac:dyDescent="0.3">
      <c r="F6843"/>
      <c r="H6843"/>
    </row>
    <row r="6844" spans="6:8" x14ac:dyDescent="0.3">
      <c r="F6844"/>
      <c r="H6844"/>
    </row>
    <row r="6845" spans="6:8" x14ac:dyDescent="0.3">
      <c r="F6845"/>
      <c r="H6845"/>
    </row>
    <row r="6846" spans="6:8" x14ac:dyDescent="0.3">
      <c r="F6846"/>
      <c r="H6846"/>
    </row>
    <row r="6847" spans="6:8" x14ac:dyDescent="0.3">
      <c r="F6847"/>
      <c r="H6847"/>
    </row>
    <row r="6848" spans="6:8" x14ac:dyDescent="0.3">
      <c r="F6848"/>
      <c r="H6848"/>
    </row>
    <row r="6849" spans="6:8" x14ac:dyDescent="0.3">
      <c r="F6849"/>
      <c r="H6849"/>
    </row>
    <row r="6850" spans="6:8" x14ac:dyDescent="0.3">
      <c r="F6850"/>
      <c r="H6850"/>
    </row>
    <row r="6851" spans="6:8" x14ac:dyDescent="0.3">
      <c r="F6851"/>
      <c r="H6851"/>
    </row>
    <row r="6852" spans="6:8" x14ac:dyDescent="0.3">
      <c r="F6852"/>
      <c r="H6852"/>
    </row>
    <row r="6853" spans="6:8" x14ac:dyDescent="0.3">
      <c r="F6853"/>
      <c r="H6853"/>
    </row>
    <row r="6854" spans="6:8" x14ac:dyDescent="0.3">
      <c r="F6854"/>
      <c r="H6854"/>
    </row>
    <row r="6855" spans="6:8" x14ac:dyDescent="0.3">
      <c r="F6855"/>
      <c r="H6855"/>
    </row>
    <row r="6856" spans="6:8" x14ac:dyDescent="0.3">
      <c r="F6856"/>
      <c r="H6856"/>
    </row>
    <row r="6857" spans="6:8" x14ac:dyDescent="0.3">
      <c r="F6857"/>
      <c r="H6857"/>
    </row>
    <row r="6858" spans="6:8" x14ac:dyDescent="0.3">
      <c r="F6858"/>
      <c r="H6858"/>
    </row>
    <row r="6859" spans="6:8" x14ac:dyDescent="0.3">
      <c r="F6859"/>
      <c r="H6859"/>
    </row>
    <row r="6860" spans="6:8" x14ac:dyDescent="0.3">
      <c r="F6860"/>
      <c r="H6860"/>
    </row>
    <row r="6861" spans="6:8" x14ac:dyDescent="0.3">
      <c r="F6861"/>
      <c r="H6861"/>
    </row>
    <row r="6862" spans="6:8" x14ac:dyDescent="0.3">
      <c r="F6862"/>
      <c r="H6862"/>
    </row>
    <row r="6863" spans="6:8" x14ac:dyDescent="0.3">
      <c r="F6863"/>
      <c r="H6863"/>
    </row>
    <row r="6864" spans="6:8" x14ac:dyDescent="0.3">
      <c r="F6864"/>
      <c r="H6864"/>
    </row>
    <row r="6865" spans="6:8" x14ac:dyDescent="0.3">
      <c r="F6865"/>
      <c r="H6865"/>
    </row>
    <row r="6866" spans="6:8" x14ac:dyDescent="0.3">
      <c r="F6866"/>
      <c r="H6866"/>
    </row>
    <row r="6867" spans="6:8" x14ac:dyDescent="0.3">
      <c r="F6867"/>
      <c r="H6867"/>
    </row>
    <row r="6868" spans="6:8" x14ac:dyDescent="0.3">
      <c r="F6868"/>
      <c r="H6868"/>
    </row>
    <row r="6869" spans="6:8" x14ac:dyDescent="0.3">
      <c r="F6869"/>
      <c r="H6869"/>
    </row>
    <row r="6870" spans="6:8" x14ac:dyDescent="0.3">
      <c r="F6870"/>
      <c r="H6870"/>
    </row>
    <row r="6871" spans="6:8" x14ac:dyDescent="0.3">
      <c r="F6871"/>
      <c r="H6871"/>
    </row>
    <row r="6872" spans="6:8" x14ac:dyDescent="0.3">
      <c r="F6872"/>
      <c r="H6872"/>
    </row>
    <row r="6873" spans="6:8" x14ac:dyDescent="0.3">
      <c r="F6873"/>
      <c r="H6873"/>
    </row>
    <row r="6874" spans="6:8" x14ac:dyDescent="0.3">
      <c r="F6874"/>
      <c r="H6874"/>
    </row>
    <row r="6875" spans="6:8" x14ac:dyDescent="0.3">
      <c r="F6875"/>
      <c r="H6875"/>
    </row>
    <row r="6876" spans="6:8" x14ac:dyDescent="0.3">
      <c r="F6876"/>
      <c r="H6876"/>
    </row>
    <row r="6877" spans="6:8" x14ac:dyDescent="0.3">
      <c r="F6877"/>
      <c r="H6877"/>
    </row>
    <row r="6878" spans="6:8" x14ac:dyDescent="0.3">
      <c r="F6878"/>
      <c r="H6878"/>
    </row>
    <row r="6879" spans="6:8" x14ac:dyDescent="0.3">
      <c r="F6879"/>
      <c r="H6879"/>
    </row>
    <row r="6880" spans="6:8" x14ac:dyDescent="0.3">
      <c r="F6880"/>
      <c r="H6880"/>
    </row>
    <row r="6881" spans="6:8" x14ac:dyDescent="0.3">
      <c r="F6881"/>
      <c r="H6881"/>
    </row>
    <row r="6882" spans="6:8" x14ac:dyDescent="0.3">
      <c r="F6882"/>
      <c r="H6882"/>
    </row>
    <row r="6883" spans="6:8" x14ac:dyDescent="0.3">
      <c r="F6883"/>
      <c r="H6883"/>
    </row>
    <row r="6884" spans="6:8" x14ac:dyDescent="0.3">
      <c r="F6884"/>
      <c r="H6884"/>
    </row>
    <row r="6885" spans="6:8" x14ac:dyDescent="0.3">
      <c r="F6885"/>
      <c r="H6885"/>
    </row>
    <row r="6886" spans="6:8" x14ac:dyDescent="0.3">
      <c r="F6886"/>
      <c r="H6886"/>
    </row>
    <row r="6887" spans="6:8" x14ac:dyDescent="0.3">
      <c r="F6887"/>
      <c r="H6887"/>
    </row>
    <row r="6888" spans="6:8" x14ac:dyDescent="0.3">
      <c r="F6888"/>
      <c r="H6888"/>
    </row>
    <row r="6889" spans="6:8" x14ac:dyDescent="0.3">
      <c r="F6889"/>
      <c r="H6889"/>
    </row>
    <row r="6890" spans="6:8" x14ac:dyDescent="0.3">
      <c r="F6890"/>
      <c r="H6890"/>
    </row>
    <row r="6891" spans="6:8" x14ac:dyDescent="0.3">
      <c r="F6891"/>
      <c r="H6891"/>
    </row>
    <row r="6892" spans="6:8" x14ac:dyDescent="0.3">
      <c r="F6892"/>
      <c r="H6892"/>
    </row>
    <row r="6893" spans="6:8" x14ac:dyDescent="0.3">
      <c r="F6893"/>
      <c r="H6893"/>
    </row>
    <row r="6894" spans="6:8" x14ac:dyDescent="0.3">
      <c r="F6894"/>
      <c r="H6894"/>
    </row>
    <row r="6895" spans="6:8" x14ac:dyDescent="0.3">
      <c r="F6895"/>
      <c r="H6895"/>
    </row>
    <row r="6896" spans="6:8" x14ac:dyDescent="0.3">
      <c r="F6896"/>
      <c r="H6896"/>
    </row>
    <row r="6897" spans="6:8" x14ac:dyDescent="0.3">
      <c r="F6897"/>
      <c r="H6897"/>
    </row>
    <row r="6898" spans="6:8" x14ac:dyDescent="0.3">
      <c r="F6898"/>
      <c r="H6898"/>
    </row>
    <row r="6899" spans="6:8" x14ac:dyDescent="0.3">
      <c r="F6899"/>
      <c r="H6899"/>
    </row>
    <row r="6900" spans="6:8" x14ac:dyDescent="0.3">
      <c r="F6900"/>
      <c r="H6900"/>
    </row>
    <row r="6901" spans="6:8" x14ac:dyDescent="0.3">
      <c r="F6901"/>
      <c r="H6901"/>
    </row>
    <row r="6902" spans="6:8" x14ac:dyDescent="0.3">
      <c r="F6902"/>
      <c r="H6902"/>
    </row>
    <row r="6903" spans="6:8" x14ac:dyDescent="0.3">
      <c r="F6903"/>
      <c r="H6903"/>
    </row>
    <row r="6904" spans="6:8" x14ac:dyDescent="0.3">
      <c r="F6904"/>
      <c r="H6904"/>
    </row>
    <row r="6905" spans="6:8" x14ac:dyDescent="0.3">
      <c r="F6905"/>
      <c r="H6905"/>
    </row>
    <row r="6906" spans="6:8" x14ac:dyDescent="0.3">
      <c r="F6906"/>
      <c r="H6906"/>
    </row>
    <row r="6907" spans="6:8" x14ac:dyDescent="0.3">
      <c r="F6907"/>
      <c r="H6907"/>
    </row>
    <row r="6908" spans="6:8" x14ac:dyDescent="0.3">
      <c r="F6908"/>
      <c r="H6908"/>
    </row>
    <row r="6909" spans="6:8" x14ac:dyDescent="0.3">
      <c r="F6909"/>
      <c r="H6909"/>
    </row>
    <row r="6910" spans="6:8" x14ac:dyDescent="0.3">
      <c r="F6910"/>
      <c r="H6910"/>
    </row>
    <row r="6911" spans="6:8" x14ac:dyDescent="0.3">
      <c r="F6911"/>
      <c r="H6911"/>
    </row>
    <row r="6912" spans="6:8" x14ac:dyDescent="0.3">
      <c r="F6912"/>
      <c r="H6912"/>
    </row>
    <row r="6913" spans="6:8" x14ac:dyDescent="0.3">
      <c r="F6913"/>
      <c r="H6913"/>
    </row>
    <row r="6914" spans="6:8" x14ac:dyDescent="0.3">
      <c r="F6914"/>
      <c r="H6914"/>
    </row>
    <row r="6915" spans="6:8" x14ac:dyDescent="0.3">
      <c r="F6915"/>
      <c r="H6915"/>
    </row>
    <row r="6916" spans="6:8" x14ac:dyDescent="0.3">
      <c r="F6916"/>
      <c r="H6916"/>
    </row>
    <row r="6917" spans="6:8" x14ac:dyDescent="0.3">
      <c r="F6917"/>
      <c r="H6917"/>
    </row>
    <row r="6918" spans="6:8" x14ac:dyDescent="0.3">
      <c r="F6918"/>
      <c r="H6918"/>
    </row>
    <row r="6919" spans="6:8" x14ac:dyDescent="0.3">
      <c r="F6919"/>
      <c r="H6919"/>
    </row>
    <row r="6920" spans="6:8" x14ac:dyDescent="0.3">
      <c r="F6920"/>
      <c r="H6920"/>
    </row>
    <row r="6921" spans="6:8" x14ac:dyDescent="0.3">
      <c r="F6921"/>
      <c r="H6921"/>
    </row>
    <row r="6922" spans="6:8" x14ac:dyDescent="0.3">
      <c r="F6922"/>
      <c r="H6922"/>
    </row>
    <row r="6923" spans="6:8" x14ac:dyDescent="0.3">
      <c r="F6923"/>
      <c r="H6923"/>
    </row>
    <row r="6924" spans="6:8" x14ac:dyDescent="0.3">
      <c r="F6924"/>
      <c r="H6924"/>
    </row>
    <row r="6925" spans="6:8" x14ac:dyDescent="0.3">
      <c r="F6925"/>
      <c r="H6925"/>
    </row>
    <row r="6926" spans="6:8" x14ac:dyDescent="0.3">
      <c r="F6926"/>
      <c r="H6926"/>
    </row>
    <row r="6927" spans="6:8" x14ac:dyDescent="0.3">
      <c r="F6927"/>
      <c r="H6927"/>
    </row>
    <row r="6928" spans="6:8" x14ac:dyDescent="0.3">
      <c r="F6928"/>
      <c r="H6928"/>
    </row>
    <row r="6929" spans="6:8" x14ac:dyDescent="0.3">
      <c r="F6929"/>
      <c r="H6929"/>
    </row>
    <row r="6930" spans="6:8" x14ac:dyDescent="0.3">
      <c r="F6930"/>
      <c r="H6930"/>
    </row>
    <row r="6931" spans="6:8" x14ac:dyDescent="0.3">
      <c r="F6931"/>
      <c r="H6931"/>
    </row>
    <row r="6932" spans="6:8" x14ac:dyDescent="0.3">
      <c r="F6932"/>
      <c r="H6932"/>
    </row>
    <row r="6933" spans="6:8" x14ac:dyDescent="0.3">
      <c r="F6933"/>
      <c r="H6933"/>
    </row>
    <row r="6934" spans="6:8" x14ac:dyDescent="0.3">
      <c r="F6934"/>
      <c r="H6934"/>
    </row>
    <row r="6935" spans="6:8" x14ac:dyDescent="0.3">
      <c r="F6935"/>
      <c r="H6935"/>
    </row>
    <row r="6936" spans="6:8" x14ac:dyDescent="0.3">
      <c r="F6936"/>
      <c r="H6936"/>
    </row>
    <row r="6937" spans="6:8" x14ac:dyDescent="0.3">
      <c r="F6937"/>
      <c r="H6937"/>
    </row>
    <row r="6938" spans="6:8" x14ac:dyDescent="0.3">
      <c r="F6938"/>
      <c r="H6938"/>
    </row>
    <row r="6939" spans="6:8" x14ac:dyDescent="0.3">
      <c r="F6939"/>
      <c r="H6939"/>
    </row>
    <row r="6940" spans="6:8" x14ac:dyDescent="0.3">
      <c r="F6940"/>
      <c r="H6940"/>
    </row>
    <row r="6941" spans="6:8" x14ac:dyDescent="0.3">
      <c r="F6941"/>
      <c r="H6941"/>
    </row>
    <row r="6942" spans="6:8" x14ac:dyDescent="0.3">
      <c r="F6942"/>
      <c r="H6942"/>
    </row>
    <row r="6943" spans="6:8" x14ac:dyDescent="0.3">
      <c r="F6943"/>
      <c r="H6943"/>
    </row>
    <row r="6944" spans="6:8" x14ac:dyDescent="0.3">
      <c r="F6944"/>
      <c r="H6944"/>
    </row>
    <row r="6945" spans="6:8" x14ac:dyDescent="0.3">
      <c r="F6945"/>
      <c r="H6945"/>
    </row>
    <row r="6946" spans="6:8" x14ac:dyDescent="0.3">
      <c r="F6946"/>
      <c r="H6946"/>
    </row>
    <row r="6947" spans="6:8" x14ac:dyDescent="0.3">
      <c r="F6947"/>
      <c r="H6947"/>
    </row>
    <row r="6948" spans="6:8" x14ac:dyDescent="0.3">
      <c r="F6948"/>
      <c r="H6948"/>
    </row>
    <row r="6949" spans="6:8" x14ac:dyDescent="0.3">
      <c r="F6949"/>
      <c r="H6949"/>
    </row>
    <row r="6950" spans="6:8" x14ac:dyDescent="0.3">
      <c r="F6950"/>
      <c r="H6950"/>
    </row>
    <row r="6951" spans="6:8" x14ac:dyDescent="0.3">
      <c r="F6951"/>
      <c r="H6951"/>
    </row>
    <row r="6952" spans="6:8" x14ac:dyDescent="0.3">
      <c r="F6952"/>
      <c r="H6952"/>
    </row>
    <row r="6953" spans="6:8" x14ac:dyDescent="0.3">
      <c r="F6953"/>
      <c r="H6953"/>
    </row>
    <row r="6954" spans="6:8" x14ac:dyDescent="0.3">
      <c r="F6954"/>
      <c r="H6954"/>
    </row>
    <row r="6955" spans="6:8" x14ac:dyDescent="0.3">
      <c r="F6955"/>
      <c r="H6955"/>
    </row>
    <row r="6956" spans="6:8" x14ac:dyDescent="0.3">
      <c r="F6956"/>
      <c r="H6956"/>
    </row>
    <row r="6957" spans="6:8" x14ac:dyDescent="0.3">
      <c r="F6957"/>
      <c r="H6957"/>
    </row>
    <row r="6958" spans="6:8" x14ac:dyDescent="0.3">
      <c r="F6958"/>
      <c r="H6958"/>
    </row>
    <row r="6959" spans="6:8" x14ac:dyDescent="0.3">
      <c r="F6959"/>
      <c r="H6959"/>
    </row>
    <row r="6960" spans="6:8" x14ac:dyDescent="0.3">
      <c r="F6960"/>
      <c r="H6960"/>
    </row>
    <row r="6961" spans="6:8" x14ac:dyDescent="0.3">
      <c r="F6961"/>
      <c r="H6961"/>
    </row>
    <row r="6962" spans="6:8" x14ac:dyDescent="0.3">
      <c r="F6962"/>
      <c r="H6962"/>
    </row>
    <row r="6963" spans="6:8" x14ac:dyDescent="0.3">
      <c r="F6963"/>
      <c r="H6963"/>
    </row>
    <row r="6964" spans="6:8" x14ac:dyDescent="0.3">
      <c r="F6964"/>
      <c r="H6964"/>
    </row>
    <row r="6965" spans="6:8" x14ac:dyDescent="0.3">
      <c r="F6965"/>
      <c r="H6965"/>
    </row>
    <row r="6966" spans="6:8" x14ac:dyDescent="0.3">
      <c r="F6966"/>
      <c r="H6966"/>
    </row>
    <row r="6967" spans="6:8" x14ac:dyDescent="0.3">
      <c r="F6967"/>
      <c r="H6967"/>
    </row>
    <row r="6968" spans="6:8" x14ac:dyDescent="0.3">
      <c r="F6968"/>
      <c r="H6968"/>
    </row>
    <row r="6969" spans="6:8" x14ac:dyDescent="0.3">
      <c r="F6969"/>
      <c r="H6969"/>
    </row>
    <row r="6970" spans="6:8" x14ac:dyDescent="0.3">
      <c r="F6970"/>
      <c r="H6970"/>
    </row>
    <row r="6971" spans="6:8" x14ac:dyDescent="0.3">
      <c r="F6971"/>
      <c r="H6971"/>
    </row>
    <row r="6972" spans="6:8" x14ac:dyDescent="0.3">
      <c r="F6972"/>
      <c r="H6972"/>
    </row>
    <row r="6973" spans="6:8" x14ac:dyDescent="0.3">
      <c r="F6973"/>
      <c r="H6973"/>
    </row>
    <row r="6974" spans="6:8" x14ac:dyDescent="0.3">
      <c r="F6974"/>
      <c r="H6974"/>
    </row>
    <row r="6975" spans="6:8" x14ac:dyDescent="0.3">
      <c r="F6975"/>
      <c r="H6975"/>
    </row>
    <row r="6976" spans="6:8" x14ac:dyDescent="0.3">
      <c r="F6976"/>
      <c r="H6976"/>
    </row>
    <row r="6977" spans="6:8" x14ac:dyDescent="0.3">
      <c r="F6977"/>
      <c r="H6977"/>
    </row>
    <row r="6978" spans="6:8" x14ac:dyDescent="0.3">
      <c r="F6978"/>
      <c r="H6978"/>
    </row>
    <row r="6979" spans="6:8" x14ac:dyDescent="0.3">
      <c r="F6979"/>
      <c r="H6979"/>
    </row>
    <row r="6980" spans="6:8" x14ac:dyDescent="0.3">
      <c r="F6980"/>
      <c r="H6980"/>
    </row>
    <row r="6981" spans="6:8" x14ac:dyDescent="0.3">
      <c r="F6981"/>
      <c r="H6981"/>
    </row>
    <row r="6982" spans="6:8" x14ac:dyDescent="0.3">
      <c r="F6982"/>
      <c r="H6982"/>
    </row>
    <row r="6983" spans="6:8" x14ac:dyDescent="0.3">
      <c r="F6983"/>
      <c r="H6983"/>
    </row>
    <row r="6984" spans="6:8" x14ac:dyDescent="0.3">
      <c r="F6984"/>
      <c r="H6984"/>
    </row>
    <row r="6985" spans="6:8" x14ac:dyDescent="0.3">
      <c r="F6985"/>
      <c r="H6985"/>
    </row>
    <row r="6986" spans="6:8" x14ac:dyDescent="0.3">
      <c r="F6986"/>
      <c r="H6986"/>
    </row>
    <row r="6987" spans="6:8" x14ac:dyDescent="0.3">
      <c r="F6987"/>
      <c r="H6987"/>
    </row>
    <row r="6988" spans="6:8" x14ac:dyDescent="0.3">
      <c r="F6988"/>
      <c r="H6988"/>
    </row>
    <row r="6989" spans="6:8" x14ac:dyDescent="0.3">
      <c r="F6989"/>
      <c r="H6989"/>
    </row>
    <row r="6990" spans="6:8" x14ac:dyDescent="0.3">
      <c r="F6990"/>
      <c r="H6990"/>
    </row>
    <row r="6991" spans="6:8" x14ac:dyDescent="0.3">
      <c r="F6991"/>
      <c r="H6991"/>
    </row>
    <row r="6992" spans="6:8" x14ac:dyDescent="0.3">
      <c r="F6992"/>
      <c r="H6992"/>
    </row>
    <row r="6993" spans="6:8" x14ac:dyDescent="0.3">
      <c r="F6993"/>
      <c r="H6993"/>
    </row>
    <row r="6994" spans="6:8" x14ac:dyDescent="0.3">
      <c r="F6994"/>
      <c r="H6994"/>
    </row>
    <row r="6995" spans="6:8" x14ac:dyDescent="0.3">
      <c r="F6995"/>
      <c r="H6995"/>
    </row>
    <row r="6996" spans="6:8" x14ac:dyDescent="0.3">
      <c r="F6996"/>
      <c r="H6996"/>
    </row>
    <row r="6997" spans="6:8" x14ac:dyDescent="0.3">
      <c r="F6997"/>
      <c r="H6997"/>
    </row>
    <row r="6998" spans="6:8" x14ac:dyDescent="0.3">
      <c r="F6998"/>
      <c r="H6998"/>
    </row>
    <row r="6999" spans="6:8" x14ac:dyDescent="0.3">
      <c r="F6999"/>
      <c r="H6999"/>
    </row>
    <row r="7000" spans="6:8" x14ac:dyDescent="0.3">
      <c r="F7000"/>
      <c r="H7000"/>
    </row>
    <row r="7001" spans="6:8" x14ac:dyDescent="0.3">
      <c r="F7001"/>
      <c r="H7001"/>
    </row>
    <row r="7002" spans="6:8" x14ac:dyDescent="0.3">
      <c r="F7002"/>
      <c r="H7002"/>
    </row>
    <row r="7003" spans="6:8" x14ac:dyDescent="0.3">
      <c r="F7003"/>
      <c r="H7003"/>
    </row>
    <row r="7004" spans="6:8" x14ac:dyDescent="0.3">
      <c r="F7004"/>
      <c r="H7004"/>
    </row>
    <row r="7005" spans="6:8" x14ac:dyDescent="0.3">
      <c r="F7005"/>
      <c r="H7005"/>
    </row>
    <row r="7006" spans="6:8" x14ac:dyDescent="0.3">
      <c r="F7006"/>
      <c r="H7006"/>
    </row>
    <row r="7007" spans="6:8" x14ac:dyDescent="0.3">
      <c r="F7007"/>
      <c r="H7007"/>
    </row>
    <row r="7008" spans="6:8" x14ac:dyDescent="0.3">
      <c r="F7008"/>
      <c r="H7008"/>
    </row>
    <row r="7009" spans="6:8" x14ac:dyDescent="0.3">
      <c r="F7009"/>
      <c r="H7009"/>
    </row>
    <row r="7010" spans="6:8" x14ac:dyDescent="0.3">
      <c r="F7010"/>
      <c r="H7010"/>
    </row>
    <row r="7011" spans="6:8" x14ac:dyDescent="0.3">
      <c r="F7011"/>
      <c r="H7011"/>
    </row>
    <row r="7012" spans="6:8" x14ac:dyDescent="0.3">
      <c r="F7012"/>
      <c r="H7012"/>
    </row>
    <row r="7013" spans="6:8" x14ac:dyDescent="0.3">
      <c r="F7013"/>
      <c r="H7013"/>
    </row>
    <row r="7014" spans="6:8" x14ac:dyDescent="0.3">
      <c r="F7014"/>
      <c r="H7014"/>
    </row>
    <row r="7015" spans="6:8" x14ac:dyDescent="0.3">
      <c r="F7015"/>
      <c r="H7015"/>
    </row>
    <row r="7016" spans="6:8" x14ac:dyDescent="0.3">
      <c r="F7016"/>
      <c r="H7016"/>
    </row>
    <row r="7017" spans="6:8" x14ac:dyDescent="0.3">
      <c r="F7017"/>
      <c r="H7017"/>
    </row>
    <row r="7018" spans="6:8" x14ac:dyDescent="0.3">
      <c r="F7018"/>
      <c r="H7018"/>
    </row>
    <row r="7019" spans="6:8" x14ac:dyDescent="0.3">
      <c r="F7019"/>
      <c r="H7019"/>
    </row>
    <row r="7020" spans="6:8" x14ac:dyDescent="0.3">
      <c r="F7020"/>
      <c r="H7020"/>
    </row>
    <row r="7021" spans="6:8" x14ac:dyDescent="0.3">
      <c r="F7021"/>
      <c r="H7021"/>
    </row>
    <row r="7022" spans="6:8" x14ac:dyDescent="0.3">
      <c r="F7022"/>
      <c r="H7022"/>
    </row>
    <row r="7023" spans="6:8" x14ac:dyDescent="0.3">
      <c r="F7023"/>
      <c r="H7023"/>
    </row>
    <row r="7024" spans="6:8" x14ac:dyDescent="0.3">
      <c r="F7024"/>
      <c r="H7024"/>
    </row>
    <row r="7025" spans="6:8" x14ac:dyDescent="0.3">
      <c r="F7025"/>
      <c r="H7025"/>
    </row>
    <row r="7026" spans="6:8" x14ac:dyDescent="0.3">
      <c r="F7026"/>
      <c r="H7026"/>
    </row>
    <row r="7027" spans="6:8" x14ac:dyDescent="0.3">
      <c r="F7027"/>
      <c r="H7027"/>
    </row>
    <row r="7028" spans="6:8" x14ac:dyDescent="0.3">
      <c r="F7028"/>
      <c r="H7028"/>
    </row>
    <row r="7029" spans="6:8" x14ac:dyDescent="0.3">
      <c r="F7029"/>
      <c r="H7029"/>
    </row>
    <row r="7030" spans="6:8" x14ac:dyDescent="0.3">
      <c r="F7030"/>
      <c r="H7030"/>
    </row>
    <row r="7031" spans="6:8" x14ac:dyDescent="0.3">
      <c r="F7031"/>
      <c r="H7031"/>
    </row>
    <row r="7032" spans="6:8" x14ac:dyDescent="0.3">
      <c r="F7032"/>
      <c r="H7032"/>
    </row>
    <row r="7033" spans="6:8" x14ac:dyDescent="0.3">
      <c r="F7033"/>
      <c r="H7033"/>
    </row>
    <row r="7034" spans="6:8" x14ac:dyDescent="0.3">
      <c r="F7034"/>
      <c r="H7034"/>
    </row>
    <row r="7035" spans="6:8" x14ac:dyDescent="0.3">
      <c r="F7035"/>
      <c r="H7035"/>
    </row>
    <row r="7036" spans="6:8" x14ac:dyDescent="0.3">
      <c r="F7036"/>
      <c r="H7036"/>
    </row>
    <row r="7037" spans="6:8" x14ac:dyDescent="0.3">
      <c r="F7037"/>
      <c r="H7037"/>
    </row>
    <row r="7038" spans="6:8" x14ac:dyDescent="0.3">
      <c r="F7038"/>
      <c r="H7038"/>
    </row>
    <row r="7039" spans="6:8" x14ac:dyDescent="0.3">
      <c r="F7039"/>
      <c r="H7039"/>
    </row>
    <row r="7040" spans="6:8" x14ac:dyDescent="0.3">
      <c r="F7040"/>
      <c r="H7040"/>
    </row>
    <row r="7041" spans="6:8" x14ac:dyDescent="0.3">
      <c r="F7041"/>
      <c r="H7041"/>
    </row>
    <row r="7042" spans="6:8" x14ac:dyDescent="0.3">
      <c r="F7042"/>
      <c r="H7042"/>
    </row>
    <row r="7043" spans="6:8" x14ac:dyDescent="0.3">
      <c r="F7043"/>
      <c r="H7043"/>
    </row>
    <row r="7044" spans="6:8" x14ac:dyDescent="0.3">
      <c r="F7044"/>
      <c r="H7044"/>
    </row>
    <row r="7045" spans="6:8" x14ac:dyDescent="0.3">
      <c r="F7045"/>
      <c r="H7045"/>
    </row>
    <row r="7046" spans="6:8" x14ac:dyDescent="0.3">
      <c r="F7046"/>
      <c r="H7046"/>
    </row>
    <row r="7047" spans="6:8" x14ac:dyDescent="0.3">
      <c r="F7047"/>
      <c r="H7047"/>
    </row>
    <row r="7048" spans="6:8" x14ac:dyDescent="0.3">
      <c r="F7048"/>
      <c r="H7048"/>
    </row>
    <row r="7049" spans="6:8" x14ac:dyDescent="0.3">
      <c r="F7049"/>
      <c r="H7049"/>
    </row>
    <row r="7050" spans="6:8" x14ac:dyDescent="0.3">
      <c r="F7050"/>
      <c r="H7050"/>
    </row>
    <row r="7051" spans="6:8" x14ac:dyDescent="0.3">
      <c r="F7051"/>
      <c r="H7051"/>
    </row>
    <row r="7052" spans="6:8" x14ac:dyDescent="0.3">
      <c r="F7052"/>
      <c r="H7052"/>
    </row>
    <row r="7053" spans="6:8" x14ac:dyDescent="0.3">
      <c r="F7053"/>
      <c r="H7053"/>
    </row>
    <row r="7054" spans="6:8" x14ac:dyDescent="0.3">
      <c r="F7054"/>
      <c r="H7054"/>
    </row>
    <row r="7055" spans="6:8" x14ac:dyDescent="0.3">
      <c r="F7055"/>
      <c r="H7055"/>
    </row>
    <row r="7056" spans="6:8" x14ac:dyDescent="0.3">
      <c r="F7056"/>
      <c r="H7056"/>
    </row>
    <row r="7057" spans="6:8" x14ac:dyDescent="0.3">
      <c r="F7057"/>
      <c r="H7057"/>
    </row>
    <row r="7058" spans="6:8" x14ac:dyDescent="0.3">
      <c r="F7058"/>
      <c r="H7058"/>
    </row>
    <row r="7059" spans="6:8" x14ac:dyDescent="0.3">
      <c r="F7059"/>
      <c r="H7059"/>
    </row>
    <row r="7060" spans="6:8" x14ac:dyDescent="0.3">
      <c r="F7060"/>
      <c r="H7060"/>
    </row>
    <row r="7061" spans="6:8" x14ac:dyDescent="0.3">
      <c r="F7061"/>
      <c r="H7061"/>
    </row>
    <row r="7062" spans="6:8" x14ac:dyDescent="0.3">
      <c r="F7062"/>
      <c r="H7062"/>
    </row>
    <row r="7063" spans="6:8" x14ac:dyDescent="0.3">
      <c r="F7063"/>
      <c r="H7063"/>
    </row>
    <row r="7064" spans="6:8" x14ac:dyDescent="0.3">
      <c r="F7064"/>
      <c r="H7064"/>
    </row>
    <row r="7065" spans="6:8" x14ac:dyDescent="0.3">
      <c r="F7065"/>
      <c r="H7065"/>
    </row>
    <row r="7066" spans="6:8" x14ac:dyDescent="0.3">
      <c r="F7066"/>
      <c r="H7066"/>
    </row>
    <row r="7067" spans="6:8" x14ac:dyDescent="0.3">
      <c r="F7067"/>
      <c r="H7067"/>
    </row>
    <row r="7068" spans="6:8" x14ac:dyDescent="0.3">
      <c r="F7068"/>
      <c r="H7068"/>
    </row>
    <row r="7069" spans="6:8" x14ac:dyDescent="0.3">
      <c r="F7069"/>
      <c r="H7069"/>
    </row>
    <row r="7070" spans="6:8" x14ac:dyDescent="0.3">
      <c r="F7070"/>
      <c r="H7070"/>
    </row>
    <row r="7071" spans="6:8" x14ac:dyDescent="0.3">
      <c r="F7071"/>
      <c r="H7071"/>
    </row>
    <row r="7072" spans="6:8" x14ac:dyDescent="0.3">
      <c r="F7072"/>
      <c r="H7072"/>
    </row>
    <row r="7073" spans="6:8" x14ac:dyDescent="0.3">
      <c r="F7073"/>
      <c r="H7073"/>
    </row>
    <row r="7074" spans="6:8" x14ac:dyDescent="0.3">
      <c r="F7074"/>
      <c r="H7074"/>
    </row>
    <row r="7075" spans="6:8" x14ac:dyDescent="0.3">
      <c r="F7075"/>
      <c r="H7075"/>
    </row>
    <row r="7076" spans="6:8" x14ac:dyDescent="0.3">
      <c r="F7076"/>
      <c r="H7076"/>
    </row>
    <row r="7077" spans="6:8" x14ac:dyDescent="0.3">
      <c r="F7077"/>
      <c r="H7077"/>
    </row>
    <row r="7078" spans="6:8" x14ac:dyDescent="0.3">
      <c r="F7078"/>
      <c r="H7078"/>
    </row>
    <row r="7079" spans="6:8" x14ac:dyDescent="0.3">
      <c r="F7079"/>
      <c r="H7079"/>
    </row>
    <row r="7080" spans="6:8" x14ac:dyDescent="0.3">
      <c r="F7080"/>
      <c r="H7080"/>
    </row>
    <row r="7081" spans="6:8" x14ac:dyDescent="0.3">
      <c r="F7081"/>
      <c r="H7081"/>
    </row>
    <row r="7082" spans="6:8" x14ac:dyDescent="0.3">
      <c r="F7082"/>
      <c r="H7082"/>
    </row>
    <row r="7083" spans="6:8" x14ac:dyDescent="0.3">
      <c r="F7083"/>
      <c r="H7083"/>
    </row>
    <row r="7084" spans="6:8" x14ac:dyDescent="0.3">
      <c r="F7084"/>
      <c r="H7084"/>
    </row>
    <row r="7085" spans="6:8" x14ac:dyDescent="0.3">
      <c r="F7085"/>
      <c r="H7085"/>
    </row>
    <row r="7086" spans="6:8" x14ac:dyDescent="0.3">
      <c r="F7086"/>
      <c r="H7086"/>
    </row>
    <row r="7087" spans="6:8" x14ac:dyDescent="0.3">
      <c r="F7087"/>
      <c r="H7087"/>
    </row>
    <row r="7088" spans="6:8" x14ac:dyDescent="0.3">
      <c r="F7088"/>
      <c r="H7088"/>
    </row>
    <row r="7089" spans="6:8" x14ac:dyDescent="0.3">
      <c r="F7089"/>
      <c r="H7089"/>
    </row>
    <row r="7090" spans="6:8" x14ac:dyDescent="0.3">
      <c r="F7090"/>
      <c r="H7090"/>
    </row>
    <row r="7091" spans="6:8" x14ac:dyDescent="0.3">
      <c r="F7091"/>
      <c r="H7091"/>
    </row>
    <row r="7092" spans="6:8" x14ac:dyDescent="0.3">
      <c r="F7092"/>
      <c r="H7092"/>
    </row>
    <row r="7093" spans="6:8" x14ac:dyDescent="0.3">
      <c r="F7093"/>
      <c r="H7093"/>
    </row>
    <row r="7094" spans="6:8" x14ac:dyDescent="0.3">
      <c r="F7094"/>
      <c r="H7094"/>
    </row>
    <row r="7095" spans="6:8" x14ac:dyDescent="0.3">
      <c r="F7095"/>
      <c r="H7095"/>
    </row>
    <row r="7096" spans="6:8" x14ac:dyDescent="0.3">
      <c r="F7096"/>
      <c r="H7096"/>
    </row>
    <row r="7097" spans="6:8" x14ac:dyDescent="0.3">
      <c r="F7097"/>
      <c r="H7097"/>
    </row>
    <row r="7098" spans="6:8" x14ac:dyDescent="0.3">
      <c r="F7098"/>
      <c r="H7098"/>
    </row>
    <row r="7099" spans="6:8" x14ac:dyDescent="0.3">
      <c r="F7099"/>
      <c r="H7099"/>
    </row>
    <row r="7100" spans="6:8" x14ac:dyDescent="0.3">
      <c r="F7100"/>
      <c r="H7100"/>
    </row>
    <row r="7101" spans="6:8" x14ac:dyDescent="0.3">
      <c r="F7101"/>
      <c r="H7101"/>
    </row>
    <row r="7102" spans="6:8" x14ac:dyDescent="0.3">
      <c r="F7102"/>
      <c r="H7102"/>
    </row>
    <row r="7103" spans="6:8" x14ac:dyDescent="0.3">
      <c r="F7103"/>
      <c r="H7103"/>
    </row>
    <row r="7104" spans="6:8" x14ac:dyDescent="0.3">
      <c r="F7104"/>
      <c r="H7104"/>
    </row>
    <row r="7105" spans="6:8" x14ac:dyDescent="0.3">
      <c r="F7105"/>
      <c r="H7105"/>
    </row>
    <row r="7106" spans="6:8" x14ac:dyDescent="0.3">
      <c r="F7106"/>
      <c r="H7106"/>
    </row>
    <row r="7107" spans="6:8" x14ac:dyDescent="0.3">
      <c r="F7107"/>
      <c r="H7107"/>
    </row>
    <row r="7108" spans="6:8" x14ac:dyDescent="0.3">
      <c r="F7108"/>
      <c r="H7108"/>
    </row>
    <row r="7109" spans="6:8" x14ac:dyDescent="0.3">
      <c r="F7109"/>
      <c r="H7109"/>
    </row>
    <row r="7110" spans="6:8" x14ac:dyDescent="0.3">
      <c r="F7110"/>
      <c r="H7110"/>
    </row>
    <row r="7111" spans="6:8" x14ac:dyDescent="0.3">
      <c r="F7111"/>
      <c r="H7111"/>
    </row>
    <row r="7112" spans="6:8" x14ac:dyDescent="0.3">
      <c r="F7112"/>
      <c r="H7112"/>
    </row>
    <row r="7113" spans="6:8" x14ac:dyDescent="0.3">
      <c r="F7113"/>
      <c r="H7113"/>
    </row>
    <row r="7114" spans="6:8" x14ac:dyDescent="0.3">
      <c r="F7114"/>
      <c r="H7114"/>
    </row>
    <row r="7115" spans="6:8" x14ac:dyDescent="0.3">
      <c r="F7115"/>
      <c r="H7115"/>
    </row>
    <row r="7116" spans="6:8" x14ac:dyDescent="0.3">
      <c r="F7116"/>
      <c r="H7116"/>
    </row>
    <row r="7117" spans="6:8" x14ac:dyDescent="0.3">
      <c r="F7117"/>
      <c r="H7117"/>
    </row>
    <row r="7118" spans="6:8" x14ac:dyDescent="0.3">
      <c r="F7118"/>
      <c r="H7118"/>
    </row>
    <row r="7119" spans="6:8" x14ac:dyDescent="0.3">
      <c r="F7119"/>
      <c r="H7119"/>
    </row>
    <row r="7120" spans="6:8" x14ac:dyDescent="0.3">
      <c r="F7120"/>
      <c r="H7120"/>
    </row>
    <row r="7121" spans="6:8" x14ac:dyDescent="0.3">
      <c r="F7121"/>
      <c r="H7121"/>
    </row>
    <row r="7122" spans="6:8" x14ac:dyDescent="0.3">
      <c r="F7122"/>
      <c r="H7122"/>
    </row>
    <row r="7123" spans="6:8" x14ac:dyDescent="0.3">
      <c r="F7123"/>
      <c r="H7123"/>
    </row>
    <row r="7124" spans="6:8" x14ac:dyDescent="0.3">
      <c r="F7124"/>
      <c r="H7124"/>
    </row>
    <row r="7125" spans="6:8" x14ac:dyDescent="0.3">
      <c r="F7125"/>
      <c r="H7125"/>
    </row>
    <row r="7126" spans="6:8" x14ac:dyDescent="0.3">
      <c r="F7126"/>
      <c r="H7126"/>
    </row>
    <row r="7127" spans="6:8" x14ac:dyDescent="0.3">
      <c r="F7127"/>
      <c r="H7127"/>
    </row>
    <row r="7128" spans="6:8" x14ac:dyDescent="0.3">
      <c r="F7128"/>
      <c r="H7128"/>
    </row>
    <row r="7129" spans="6:8" x14ac:dyDescent="0.3">
      <c r="F7129"/>
      <c r="H7129"/>
    </row>
    <row r="7130" spans="6:8" x14ac:dyDescent="0.3">
      <c r="F7130"/>
      <c r="H7130"/>
    </row>
    <row r="7131" spans="6:8" x14ac:dyDescent="0.3">
      <c r="F7131"/>
      <c r="H7131"/>
    </row>
    <row r="7132" spans="6:8" x14ac:dyDescent="0.3">
      <c r="F7132"/>
      <c r="H7132"/>
    </row>
    <row r="7133" spans="6:8" x14ac:dyDescent="0.3">
      <c r="F7133"/>
      <c r="H7133"/>
    </row>
    <row r="7134" spans="6:8" x14ac:dyDescent="0.3">
      <c r="F7134"/>
      <c r="H7134"/>
    </row>
    <row r="7135" spans="6:8" x14ac:dyDescent="0.3">
      <c r="F7135"/>
      <c r="H7135"/>
    </row>
    <row r="7136" spans="6:8" x14ac:dyDescent="0.3">
      <c r="F7136"/>
      <c r="H7136"/>
    </row>
    <row r="7137" spans="6:8" x14ac:dyDescent="0.3">
      <c r="F7137"/>
      <c r="H7137"/>
    </row>
    <row r="7138" spans="6:8" x14ac:dyDescent="0.3">
      <c r="F7138"/>
      <c r="H7138"/>
    </row>
    <row r="7139" spans="6:8" x14ac:dyDescent="0.3">
      <c r="F7139"/>
      <c r="H7139"/>
    </row>
    <row r="7140" spans="6:8" x14ac:dyDescent="0.3">
      <c r="F7140"/>
      <c r="H7140"/>
    </row>
    <row r="7141" spans="6:8" x14ac:dyDescent="0.3">
      <c r="F7141"/>
      <c r="H7141"/>
    </row>
    <row r="7142" spans="6:8" x14ac:dyDescent="0.3">
      <c r="F7142"/>
      <c r="H7142"/>
    </row>
    <row r="7143" spans="6:8" x14ac:dyDescent="0.3">
      <c r="F7143"/>
      <c r="H7143"/>
    </row>
    <row r="7144" spans="6:8" x14ac:dyDescent="0.3">
      <c r="F7144"/>
      <c r="H7144"/>
    </row>
    <row r="7145" spans="6:8" x14ac:dyDescent="0.3">
      <c r="F7145"/>
      <c r="H7145"/>
    </row>
    <row r="7146" spans="6:8" x14ac:dyDescent="0.3">
      <c r="F7146"/>
      <c r="H7146"/>
    </row>
    <row r="7147" spans="6:8" x14ac:dyDescent="0.3">
      <c r="F7147"/>
      <c r="H7147"/>
    </row>
    <row r="7148" spans="6:8" x14ac:dyDescent="0.3">
      <c r="F7148"/>
      <c r="H7148"/>
    </row>
    <row r="7149" spans="6:8" x14ac:dyDescent="0.3">
      <c r="F7149"/>
      <c r="H7149"/>
    </row>
    <row r="7150" spans="6:8" x14ac:dyDescent="0.3">
      <c r="F7150"/>
      <c r="H7150"/>
    </row>
    <row r="7151" spans="6:8" x14ac:dyDescent="0.3">
      <c r="F7151"/>
      <c r="H7151"/>
    </row>
    <row r="7152" spans="6:8" x14ac:dyDescent="0.3">
      <c r="F7152"/>
      <c r="H7152"/>
    </row>
    <row r="7153" spans="6:8" x14ac:dyDescent="0.3">
      <c r="F7153"/>
      <c r="H7153"/>
    </row>
    <row r="7154" spans="6:8" x14ac:dyDescent="0.3">
      <c r="F7154"/>
      <c r="H7154"/>
    </row>
    <row r="7155" spans="6:8" x14ac:dyDescent="0.3">
      <c r="F7155"/>
      <c r="H7155"/>
    </row>
    <row r="7156" spans="6:8" x14ac:dyDescent="0.3">
      <c r="F7156"/>
      <c r="H7156"/>
    </row>
    <row r="7157" spans="6:8" x14ac:dyDescent="0.3">
      <c r="F7157"/>
      <c r="H7157"/>
    </row>
    <row r="7158" spans="6:8" x14ac:dyDescent="0.3">
      <c r="F7158"/>
      <c r="H7158"/>
    </row>
    <row r="7159" spans="6:8" x14ac:dyDescent="0.3">
      <c r="F7159"/>
      <c r="H7159"/>
    </row>
    <row r="7160" spans="6:8" x14ac:dyDescent="0.3">
      <c r="F7160"/>
      <c r="H7160"/>
    </row>
    <row r="7161" spans="6:8" x14ac:dyDescent="0.3">
      <c r="F7161"/>
      <c r="H7161"/>
    </row>
    <row r="7162" spans="6:8" x14ac:dyDescent="0.3">
      <c r="F7162"/>
      <c r="H7162"/>
    </row>
    <row r="7163" spans="6:8" x14ac:dyDescent="0.3">
      <c r="F7163"/>
      <c r="H7163"/>
    </row>
    <row r="7164" spans="6:8" x14ac:dyDescent="0.3">
      <c r="F7164"/>
      <c r="H7164"/>
    </row>
    <row r="7165" spans="6:8" x14ac:dyDescent="0.3">
      <c r="F7165"/>
      <c r="H7165"/>
    </row>
    <row r="7166" spans="6:8" x14ac:dyDescent="0.3">
      <c r="F7166"/>
      <c r="H7166"/>
    </row>
    <row r="7167" spans="6:8" x14ac:dyDescent="0.3">
      <c r="F7167"/>
      <c r="H7167"/>
    </row>
    <row r="7168" spans="6:8" x14ac:dyDescent="0.3">
      <c r="F7168"/>
      <c r="H7168"/>
    </row>
    <row r="7169" spans="6:8" x14ac:dyDescent="0.3">
      <c r="F7169"/>
      <c r="H7169"/>
    </row>
    <row r="7170" spans="6:8" x14ac:dyDescent="0.3">
      <c r="F7170"/>
      <c r="H7170"/>
    </row>
    <row r="7171" spans="6:8" x14ac:dyDescent="0.3">
      <c r="F7171"/>
      <c r="H7171"/>
    </row>
    <row r="7172" spans="6:8" x14ac:dyDescent="0.3">
      <c r="F7172"/>
      <c r="H7172"/>
    </row>
    <row r="7173" spans="6:8" x14ac:dyDescent="0.3">
      <c r="F7173"/>
      <c r="H7173"/>
    </row>
    <row r="7174" spans="6:8" x14ac:dyDescent="0.3">
      <c r="F7174"/>
      <c r="H7174"/>
    </row>
    <row r="7175" spans="6:8" x14ac:dyDescent="0.3">
      <c r="F7175"/>
      <c r="H7175"/>
    </row>
    <row r="7176" spans="6:8" x14ac:dyDescent="0.3">
      <c r="F7176"/>
      <c r="H7176"/>
    </row>
    <row r="7177" spans="6:8" x14ac:dyDescent="0.3">
      <c r="F7177"/>
      <c r="H7177"/>
    </row>
    <row r="7178" spans="6:8" x14ac:dyDescent="0.3">
      <c r="F7178"/>
      <c r="H7178"/>
    </row>
    <row r="7179" spans="6:8" x14ac:dyDescent="0.3">
      <c r="F7179"/>
      <c r="H7179"/>
    </row>
    <row r="7180" spans="6:8" x14ac:dyDescent="0.3">
      <c r="F7180"/>
      <c r="H7180"/>
    </row>
    <row r="7181" spans="6:8" x14ac:dyDescent="0.3">
      <c r="F7181"/>
      <c r="H7181"/>
    </row>
    <row r="7182" spans="6:8" x14ac:dyDescent="0.3">
      <c r="F7182"/>
      <c r="H7182"/>
    </row>
    <row r="7183" spans="6:8" x14ac:dyDescent="0.3">
      <c r="F7183"/>
      <c r="H7183"/>
    </row>
    <row r="7184" spans="6:8" x14ac:dyDescent="0.3">
      <c r="F7184"/>
      <c r="H7184"/>
    </row>
    <row r="7185" spans="6:8" x14ac:dyDescent="0.3">
      <c r="F7185"/>
      <c r="H7185"/>
    </row>
    <row r="7186" spans="6:8" x14ac:dyDescent="0.3">
      <c r="F7186"/>
      <c r="H7186"/>
    </row>
    <row r="7187" spans="6:8" x14ac:dyDescent="0.3">
      <c r="F7187"/>
      <c r="H7187"/>
    </row>
    <row r="7188" spans="6:8" x14ac:dyDescent="0.3">
      <c r="F7188"/>
      <c r="H7188"/>
    </row>
    <row r="7189" spans="6:8" x14ac:dyDescent="0.3">
      <c r="F7189"/>
      <c r="H7189"/>
    </row>
    <row r="7190" spans="6:8" x14ac:dyDescent="0.3">
      <c r="F7190"/>
      <c r="H7190"/>
    </row>
    <row r="7191" spans="6:8" x14ac:dyDescent="0.3">
      <c r="F7191"/>
      <c r="H7191"/>
    </row>
    <row r="7192" spans="6:8" x14ac:dyDescent="0.3">
      <c r="F7192"/>
      <c r="H7192"/>
    </row>
    <row r="7193" spans="6:8" x14ac:dyDescent="0.3">
      <c r="F7193"/>
      <c r="H7193"/>
    </row>
    <row r="7194" spans="6:8" x14ac:dyDescent="0.3">
      <c r="F7194"/>
      <c r="H7194"/>
    </row>
    <row r="7195" spans="6:8" x14ac:dyDescent="0.3">
      <c r="F7195"/>
      <c r="H7195"/>
    </row>
    <row r="7196" spans="6:8" x14ac:dyDescent="0.3">
      <c r="F7196"/>
      <c r="H7196"/>
    </row>
    <row r="7197" spans="6:8" x14ac:dyDescent="0.3">
      <c r="F7197"/>
      <c r="H7197"/>
    </row>
    <row r="7198" spans="6:8" x14ac:dyDescent="0.3">
      <c r="F7198"/>
      <c r="H7198"/>
    </row>
    <row r="7199" spans="6:8" x14ac:dyDescent="0.3">
      <c r="F7199"/>
      <c r="H7199"/>
    </row>
    <row r="7200" spans="6:8" x14ac:dyDescent="0.3">
      <c r="F7200"/>
      <c r="H7200"/>
    </row>
    <row r="7201" spans="6:8" x14ac:dyDescent="0.3">
      <c r="F7201"/>
      <c r="H7201"/>
    </row>
    <row r="7202" spans="6:8" x14ac:dyDescent="0.3">
      <c r="F7202"/>
      <c r="H7202"/>
    </row>
    <row r="7203" spans="6:8" x14ac:dyDescent="0.3">
      <c r="F7203"/>
      <c r="H7203"/>
    </row>
    <row r="7204" spans="6:8" x14ac:dyDescent="0.3">
      <c r="F7204"/>
      <c r="H7204"/>
    </row>
    <row r="7205" spans="6:8" x14ac:dyDescent="0.3">
      <c r="F7205"/>
      <c r="H7205"/>
    </row>
    <row r="7206" spans="6:8" x14ac:dyDescent="0.3">
      <c r="F7206"/>
      <c r="H7206"/>
    </row>
    <row r="7207" spans="6:8" x14ac:dyDescent="0.3">
      <c r="F7207"/>
      <c r="H7207"/>
    </row>
    <row r="7208" spans="6:8" x14ac:dyDescent="0.3">
      <c r="F7208"/>
      <c r="H7208"/>
    </row>
    <row r="7209" spans="6:8" x14ac:dyDescent="0.3">
      <c r="F7209"/>
      <c r="H7209"/>
    </row>
    <row r="7210" spans="6:8" x14ac:dyDescent="0.3">
      <c r="F7210"/>
      <c r="H7210"/>
    </row>
    <row r="7211" spans="6:8" x14ac:dyDescent="0.3">
      <c r="F7211"/>
      <c r="H7211"/>
    </row>
    <row r="7212" spans="6:8" x14ac:dyDescent="0.3">
      <c r="F7212"/>
      <c r="H7212"/>
    </row>
    <row r="7213" spans="6:8" x14ac:dyDescent="0.3">
      <c r="F7213"/>
      <c r="H7213"/>
    </row>
    <row r="7214" spans="6:8" x14ac:dyDescent="0.3">
      <c r="F7214"/>
      <c r="H7214"/>
    </row>
    <row r="7215" spans="6:8" x14ac:dyDescent="0.3">
      <c r="F7215"/>
      <c r="H7215"/>
    </row>
    <row r="7216" spans="6:8" x14ac:dyDescent="0.3">
      <c r="F7216"/>
      <c r="H7216"/>
    </row>
    <row r="7217" spans="6:8" x14ac:dyDescent="0.3">
      <c r="F7217"/>
      <c r="H7217"/>
    </row>
    <row r="7218" spans="6:8" x14ac:dyDescent="0.3">
      <c r="F7218"/>
      <c r="H7218"/>
    </row>
    <row r="7219" spans="6:8" x14ac:dyDescent="0.3">
      <c r="F7219"/>
      <c r="H7219"/>
    </row>
    <row r="7220" spans="6:8" x14ac:dyDescent="0.3">
      <c r="F7220"/>
      <c r="H7220"/>
    </row>
    <row r="7221" spans="6:8" x14ac:dyDescent="0.3">
      <c r="F7221"/>
      <c r="H7221"/>
    </row>
    <row r="7222" spans="6:8" x14ac:dyDescent="0.3">
      <c r="F7222"/>
      <c r="H7222"/>
    </row>
    <row r="7223" spans="6:8" x14ac:dyDescent="0.3">
      <c r="F7223"/>
      <c r="H7223"/>
    </row>
    <row r="7224" spans="6:8" x14ac:dyDescent="0.3">
      <c r="F7224"/>
      <c r="H7224"/>
    </row>
    <row r="7225" spans="6:8" x14ac:dyDescent="0.3">
      <c r="F7225"/>
      <c r="H7225"/>
    </row>
    <row r="7226" spans="6:8" x14ac:dyDescent="0.3">
      <c r="F7226"/>
      <c r="H7226"/>
    </row>
    <row r="7227" spans="6:8" x14ac:dyDescent="0.3">
      <c r="F7227"/>
      <c r="H7227"/>
    </row>
    <row r="7228" spans="6:8" x14ac:dyDescent="0.3">
      <c r="F7228"/>
      <c r="H7228"/>
    </row>
    <row r="7229" spans="6:8" x14ac:dyDescent="0.3">
      <c r="F7229"/>
      <c r="H7229"/>
    </row>
    <row r="7230" spans="6:8" x14ac:dyDescent="0.3">
      <c r="F7230"/>
      <c r="H7230"/>
    </row>
    <row r="7231" spans="6:8" x14ac:dyDescent="0.3">
      <c r="F7231"/>
      <c r="H7231"/>
    </row>
    <row r="7232" spans="6:8" x14ac:dyDescent="0.3">
      <c r="F7232"/>
      <c r="H7232"/>
    </row>
    <row r="7233" spans="6:8" x14ac:dyDescent="0.3">
      <c r="F7233"/>
      <c r="H7233"/>
    </row>
    <row r="7234" spans="6:8" x14ac:dyDescent="0.3">
      <c r="F7234"/>
      <c r="H7234"/>
    </row>
    <row r="7235" spans="6:8" x14ac:dyDescent="0.3">
      <c r="F7235"/>
      <c r="H7235"/>
    </row>
    <row r="7236" spans="6:8" x14ac:dyDescent="0.3">
      <c r="F7236"/>
      <c r="H7236"/>
    </row>
    <row r="7237" spans="6:8" x14ac:dyDescent="0.3">
      <c r="F7237"/>
      <c r="H7237"/>
    </row>
    <row r="7238" spans="6:8" x14ac:dyDescent="0.3">
      <c r="F7238"/>
      <c r="H7238"/>
    </row>
    <row r="7239" spans="6:8" x14ac:dyDescent="0.3">
      <c r="F7239"/>
      <c r="H7239"/>
    </row>
    <row r="7240" spans="6:8" x14ac:dyDescent="0.3">
      <c r="F7240"/>
      <c r="H7240"/>
    </row>
    <row r="7241" spans="6:8" x14ac:dyDescent="0.3">
      <c r="F7241"/>
      <c r="H7241"/>
    </row>
    <row r="7242" spans="6:8" x14ac:dyDescent="0.3">
      <c r="F7242"/>
      <c r="H7242"/>
    </row>
    <row r="7243" spans="6:8" x14ac:dyDescent="0.3">
      <c r="F7243"/>
      <c r="H7243"/>
    </row>
    <row r="7244" spans="6:8" x14ac:dyDescent="0.3">
      <c r="F7244"/>
      <c r="H7244"/>
    </row>
    <row r="7245" spans="6:8" x14ac:dyDescent="0.3">
      <c r="F7245"/>
      <c r="H7245"/>
    </row>
    <row r="7246" spans="6:8" x14ac:dyDescent="0.3">
      <c r="F7246"/>
      <c r="H7246"/>
    </row>
    <row r="7247" spans="6:8" x14ac:dyDescent="0.3">
      <c r="F7247"/>
      <c r="H7247"/>
    </row>
    <row r="7248" spans="6:8" x14ac:dyDescent="0.3">
      <c r="F7248"/>
      <c r="H7248"/>
    </row>
    <row r="7249" spans="6:8" x14ac:dyDescent="0.3">
      <c r="F7249"/>
      <c r="H7249"/>
    </row>
    <row r="7250" spans="6:8" x14ac:dyDescent="0.3">
      <c r="F7250"/>
      <c r="H7250"/>
    </row>
    <row r="7251" spans="6:8" x14ac:dyDescent="0.3">
      <c r="F7251"/>
      <c r="H7251"/>
    </row>
    <row r="7252" spans="6:8" x14ac:dyDescent="0.3">
      <c r="F7252"/>
      <c r="H7252"/>
    </row>
    <row r="7253" spans="6:8" x14ac:dyDescent="0.3">
      <c r="F7253"/>
      <c r="H7253"/>
    </row>
    <row r="7254" spans="6:8" x14ac:dyDescent="0.3">
      <c r="F7254"/>
      <c r="H7254"/>
    </row>
    <row r="7255" spans="6:8" x14ac:dyDescent="0.3">
      <c r="F7255"/>
      <c r="H7255"/>
    </row>
    <row r="7256" spans="6:8" x14ac:dyDescent="0.3">
      <c r="F7256"/>
      <c r="H7256"/>
    </row>
    <row r="7257" spans="6:8" x14ac:dyDescent="0.3">
      <c r="F7257"/>
      <c r="H7257"/>
    </row>
    <row r="7258" spans="6:8" x14ac:dyDescent="0.3">
      <c r="F7258"/>
      <c r="H7258"/>
    </row>
    <row r="7259" spans="6:8" x14ac:dyDescent="0.3">
      <c r="F7259"/>
      <c r="H7259"/>
    </row>
    <row r="7260" spans="6:8" x14ac:dyDescent="0.3">
      <c r="F7260"/>
      <c r="H7260"/>
    </row>
    <row r="7261" spans="6:8" x14ac:dyDescent="0.3">
      <c r="F7261"/>
      <c r="H7261"/>
    </row>
    <row r="7262" spans="6:8" x14ac:dyDescent="0.3">
      <c r="F7262"/>
      <c r="H7262"/>
    </row>
    <row r="7263" spans="6:8" x14ac:dyDescent="0.3">
      <c r="F7263"/>
      <c r="H7263"/>
    </row>
    <row r="7264" spans="6:8" x14ac:dyDescent="0.3">
      <c r="F7264"/>
      <c r="H7264"/>
    </row>
    <row r="7265" spans="6:8" x14ac:dyDescent="0.3">
      <c r="F7265"/>
      <c r="H7265"/>
    </row>
    <row r="7266" spans="6:8" x14ac:dyDescent="0.3">
      <c r="F7266"/>
      <c r="H7266"/>
    </row>
    <row r="7267" spans="6:8" x14ac:dyDescent="0.3">
      <c r="F7267"/>
      <c r="H7267"/>
    </row>
    <row r="7268" spans="6:8" x14ac:dyDescent="0.3">
      <c r="F7268"/>
      <c r="H7268"/>
    </row>
    <row r="7269" spans="6:8" x14ac:dyDescent="0.3">
      <c r="F7269"/>
      <c r="H7269"/>
    </row>
    <row r="7270" spans="6:8" x14ac:dyDescent="0.3">
      <c r="F7270"/>
      <c r="H7270"/>
    </row>
    <row r="7271" spans="6:8" x14ac:dyDescent="0.3">
      <c r="F7271"/>
      <c r="H7271"/>
    </row>
    <row r="7272" spans="6:8" x14ac:dyDescent="0.3">
      <c r="F7272"/>
      <c r="H7272"/>
    </row>
    <row r="7273" spans="6:8" x14ac:dyDescent="0.3">
      <c r="F7273"/>
      <c r="H7273"/>
    </row>
    <row r="7274" spans="6:8" x14ac:dyDescent="0.3">
      <c r="F7274"/>
      <c r="H7274"/>
    </row>
    <row r="7275" spans="6:8" x14ac:dyDescent="0.3">
      <c r="F7275"/>
      <c r="H7275"/>
    </row>
    <row r="7276" spans="6:8" x14ac:dyDescent="0.3">
      <c r="F7276"/>
      <c r="H7276"/>
    </row>
    <row r="7277" spans="6:8" x14ac:dyDescent="0.3">
      <c r="F7277"/>
      <c r="H7277"/>
    </row>
    <row r="7278" spans="6:8" x14ac:dyDescent="0.3">
      <c r="F7278"/>
      <c r="H7278"/>
    </row>
    <row r="7279" spans="6:8" x14ac:dyDescent="0.3">
      <c r="F7279"/>
      <c r="H7279"/>
    </row>
    <row r="7280" spans="6:8" x14ac:dyDescent="0.3">
      <c r="F7280"/>
      <c r="H7280"/>
    </row>
    <row r="7281" spans="6:8" x14ac:dyDescent="0.3">
      <c r="F7281"/>
      <c r="H7281"/>
    </row>
    <row r="7282" spans="6:8" x14ac:dyDescent="0.3">
      <c r="F7282"/>
      <c r="H7282"/>
    </row>
    <row r="7283" spans="6:8" x14ac:dyDescent="0.3">
      <c r="F7283"/>
      <c r="H7283"/>
    </row>
    <row r="7284" spans="6:8" x14ac:dyDescent="0.3">
      <c r="F7284"/>
      <c r="H7284"/>
    </row>
    <row r="7285" spans="6:8" x14ac:dyDescent="0.3">
      <c r="F7285"/>
      <c r="H7285"/>
    </row>
    <row r="7286" spans="6:8" x14ac:dyDescent="0.3">
      <c r="F7286"/>
      <c r="H7286"/>
    </row>
    <row r="7287" spans="6:8" x14ac:dyDescent="0.3">
      <c r="F7287"/>
      <c r="H7287"/>
    </row>
    <row r="7288" spans="6:8" x14ac:dyDescent="0.3">
      <c r="F7288"/>
      <c r="H7288"/>
    </row>
    <row r="7289" spans="6:8" x14ac:dyDescent="0.3">
      <c r="F7289"/>
      <c r="H7289"/>
    </row>
    <row r="7290" spans="6:8" x14ac:dyDescent="0.3">
      <c r="F7290"/>
      <c r="H7290"/>
    </row>
    <row r="7291" spans="6:8" x14ac:dyDescent="0.3">
      <c r="F7291"/>
      <c r="H7291"/>
    </row>
    <row r="7292" spans="6:8" x14ac:dyDescent="0.3">
      <c r="F7292"/>
      <c r="H7292"/>
    </row>
    <row r="7293" spans="6:8" x14ac:dyDescent="0.3">
      <c r="F7293"/>
      <c r="H7293"/>
    </row>
    <row r="7294" spans="6:8" x14ac:dyDescent="0.3">
      <c r="F7294"/>
      <c r="H7294"/>
    </row>
    <row r="7295" spans="6:8" x14ac:dyDescent="0.3">
      <c r="F7295"/>
      <c r="H7295"/>
    </row>
    <row r="7296" spans="6:8" x14ac:dyDescent="0.3">
      <c r="F7296"/>
      <c r="H7296"/>
    </row>
    <row r="7297" spans="6:8" x14ac:dyDescent="0.3">
      <c r="F7297"/>
      <c r="H7297"/>
    </row>
    <row r="7298" spans="6:8" x14ac:dyDescent="0.3">
      <c r="F7298"/>
      <c r="H7298"/>
    </row>
    <row r="7299" spans="6:8" x14ac:dyDescent="0.3">
      <c r="F7299"/>
      <c r="H7299"/>
    </row>
    <row r="7300" spans="6:8" x14ac:dyDescent="0.3">
      <c r="F7300"/>
      <c r="H7300"/>
    </row>
    <row r="7301" spans="6:8" x14ac:dyDescent="0.3">
      <c r="F7301"/>
      <c r="H7301"/>
    </row>
    <row r="7302" spans="6:8" x14ac:dyDescent="0.3">
      <c r="F7302"/>
      <c r="H7302"/>
    </row>
    <row r="7303" spans="6:8" x14ac:dyDescent="0.3">
      <c r="F7303"/>
      <c r="H7303"/>
    </row>
    <row r="7304" spans="6:8" x14ac:dyDescent="0.3">
      <c r="F7304"/>
      <c r="H7304"/>
    </row>
    <row r="7305" spans="6:8" x14ac:dyDescent="0.3">
      <c r="F7305"/>
      <c r="H7305"/>
    </row>
    <row r="7306" spans="6:8" x14ac:dyDescent="0.3">
      <c r="F7306"/>
      <c r="H7306"/>
    </row>
    <row r="7307" spans="6:8" x14ac:dyDescent="0.3">
      <c r="F7307"/>
      <c r="H7307"/>
    </row>
    <row r="7308" spans="6:8" x14ac:dyDescent="0.3">
      <c r="F7308"/>
      <c r="H7308"/>
    </row>
    <row r="7309" spans="6:8" x14ac:dyDescent="0.3">
      <c r="F7309"/>
      <c r="H7309"/>
    </row>
    <row r="7310" spans="6:8" x14ac:dyDescent="0.3">
      <c r="F7310"/>
      <c r="H7310"/>
    </row>
    <row r="7311" spans="6:8" x14ac:dyDescent="0.3">
      <c r="F7311"/>
      <c r="H7311"/>
    </row>
    <row r="7312" spans="6:8" x14ac:dyDescent="0.3">
      <c r="F7312"/>
      <c r="H7312"/>
    </row>
    <row r="7313" spans="6:8" x14ac:dyDescent="0.3">
      <c r="F7313"/>
      <c r="H7313"/>
    </row>
    <row r="7314" spans="6:8" x14ac:dyDescent="0.3">
      <c r="F7314"/>
      <c r="H7314"/>
    </row>
    <row r="7315" spans="6:8" x14ac:dyDescent="0.3">
      <c r="F7315"/>
      <c r="H7315"/>
    </row>
    <row r="7316" spans="6:8" x14ac:dyDescent="0.3">
      <c r="F7316"/>
      <c r="H7316"/>
    </row>
    <row r="7317" spans="6:8" x14ac:dyDescent="0.3">
      <c r="F7317"/>
      <c r="H7317"/>
    </row>
    <row r="7318" spans="6:8" x14ac:dyDescent="0.3">
      <c r="F7318"/>
      <c r="H7318"/>
    </row>
    <row r="7319" spans="6:8" x14ac:dyDescent="0.3">
      <c r="F7319"/>
      <c r="H7319"/>
    </row>
    <row r="7320" spans="6:8" x14ac:dyDescent="0.3">
      <c r="F7320"/>
      <c r="H7320"/>
    </row>
    <row r="7321" spans="6:8" x14ac:dyDescent="0.3">
      <c r="F7321"/>
      <c r="H7321"/>
    </row>
    <row r="7322" spans="6:8" x14ac:dyDescent="0.3">
      <c r="F7322"/>
      <c r="H7322"/>
    </row>
    <row r="7323" spans="6:8" x14ac:dyDescent="0.3">
      <c r="F7323"/>
      <c r="H7323"/>
    </row>
    <row r="7324" spans="6:8" x14ac:dyDescent="0.3">
      <c r="F7324"/>
      <c r="H7324"/>
    </row>
    <row r="7325" spans="6:8" x14ac:dyDescent="0.3">
      <c r="F7325"/>
      <c r="H7325"/>
    </row>
    <row r="7326" spans="6:8" x14ac:dyDescent="0.3">
      <c r="F7326"/>
      <c r="H7326"/>
    </row>
    <row r="7327" spans="6:8" x14ac:dyDescent="0.3">
      <c r="F7327"/>
      <c r="H7327"/>
    </row>
    <row r="7328" spans="6:8" x14ac:dyDescent="0.3">
      <c r="F7328"/>
      <c r="H7328"/>
    </row>
    <row r="7329" spans="6:8" x14ac:dyDescent="0.3">
      <c r="F7329"/>
      <c r="H7329"/>
    </row>
    <row r="7330" spans="6:8" x14ac:dyDescent="0.3">
      <c r="F7330"/>
      <c r="H7330"/>
    </row>
    <row r="7331" spans="6:8" x14ac:dyDescent="0.3">
      <c r="F7331"/>
      <c r="H7331"/>
    </row>
    <row r="7332" spans="6:8" x14ac:dyDescent="0.3">
      <c r="F7332"/>
      <c r="H7332"/>
    </row>
    <row r="7333" spans="6:8" x14ac:dyDescent="0.3">
      <c r="F7333"/>
      <c r="H7333"/>
    </row>
    <row r="7334" spans="6:8" x14ac:dyDescent="0.3">
      <c r="F7334"/>
      <c r="H7334"/>
    </row>
    <row r="7335" spans="6:8" x14ac:dyDescent="0.3">
      <c r="F7335"/>
      <c r="H7335"/>
    </row>
    <row r="7336" spans="6:8" x14ac:dyDescent="0.3">
      <c r="F7336"/>
      <c r="H7336"/>
    </row>
    <row r="7337" spans="6:8" x14ac:dyDescent="0.3">
      <c r="F7337"/>
      <c r="H7337"/>
    </row>
    <row r="7338" spans="6:8" x14ac:dyDescent="0.3">
      <c r="F7338"/>
      <c r="H7338"/>
    </row>
    <row r="7339" spans="6:8" x14ac:dyDescent="0.3">
      <c r="F7339"/>
      <c r="H7339"/>
    </row>
    <row r="7340" spans="6:8" x14ac:dyDescent="0.3">
      <c r="F7340"/>
      <c r="H7340"/>
    </row>
    <row r="7341" spans="6:8" x14ac:dyDescent="0.3">
      <c r="F7341"/>
      <c r="H7341"/>
    </row>
    <row r="7342" spans="6:8" x14ac:dyDescent="0.3">
      <c r="F7342"/>
      <c r="H7342"/>
    </row>
    <row r="7343" spans="6:8" x14ac:dyDescent="0.3">
      <c r="F7343"/>
      <c r="H7343"/>
    </row>
    <row r="7344" spans="6:8" x14ac:dyDescent="0.3">
      <c r="F7344"/>
      <c r="H7344"/>
    </row>
    <row r="7345" spans="6:8" x14ac:dyDescent="0.3">
      <c r="F7345"/>
      <c r="H7345"/>
    </row>
    <row r="7346" spans="6:8" x14ac:dyDescent="0.3">
      <c r="F7346"/>
      <c r="H7346"/>
    </row>
    <row r="7347" spans="6:8" x14ac:dyDescent="0.3">
      <c r="F7347"/>
      <c r="H7347"/>
    </row>
    <row r="7348" spans="6:8" x14ac:dyDescent="0.3">
      <c r="F7348"/>
      <c r="H7348"/>
    </row>
    <row r="7349" spans="6:8" x14ac:dyDescent="0.3">
      <c r="F7349"/>
      <c r="H7349"/>
    </row>
    <row r="7350" spans="6:8" x14ac:dyDescent="0.3">
      <c r="F7350"/>
      <c r="H7350"/>
    </row>
    <row r="7351" spans="6:8" x14ac:dyDescent="0.3">
      <c r="F7351"/>
      <c r="H7351"/>
    </row>
    <row r="7352" spans="6:8" x14ac:dyDescent="0.3">
      <c r="F7352"/>
      <c r="H7352"/>
    </row>
    <row r="7353" spans="6:8" x14ac:dyDescent="0.3">
      <c r="F7353"/>
      <c r="H7353"/>
    </row>
    <row r="7354" spans="6:8" x14ac:dyDescent="0.3">
      <c r="F7354"/>
      <c r="H7354"/>
    </row>
    <row r="7355" spans="6:8" x14ac:dyDescent="0.3">
      <c r="F7355"/>
      <c r="H7355"/>
    </row>
    <row r="7356" spans="6:8" x14ac:dyDescent="0.3">
      <c r="F7356"/>
      <c r="H7356"/>
    </row>
    <row r="7357" spans="6:8" x14ac:dyDescent="0.3">
      <c r="F7357"/>
      <c r="H7357"/>
    </row>
    <row r="7358" spans="6:8" x14ac:dyDescent="0.3">
      <c r="F7358"/>
      <c r="H7358"/>
    </row>
    <row r="7359" spans="6:8" x14ac:dyDescent="0.3">
      <c r="F7359"/>
      <c r="H7359"/>
    </row>
    <row r="7360" spans="6:8" x14ac:dyDescent="0.3">
      <c r="F7360"/>
      <c r="H7360"/>
    </row>
    <row r="7361" spans="6:8" x14ac:dyDescent="0.3">
      <c r="F7361"/>
      <c r="H7361"/>
    </row>
    <row r="7362" spans="6:8" x14ac:dyDescent="0.3">
      <c r="F7362"/>
      <c r="H7362"/>
    </row>
    <row r="7363" spans="6:8" x14ac:dyDescent="0.3">
      <c r="F7363"/>
      <c r="H7363"/>
    </row>
    <row r="7364" spans="6:8" x14ac:dyDescent="0.3">
      <c r="F7364"/>
      <c r="H7364"/>
    </row>
    <row r="7365" spans="6:8" x14ac:dyDescent="0.3">
      <c r="F7365"/>
      <c r="H7365"/>
    </row>
    <row r="7366" spans="6:8" x14ac:dyDescent="0.3">
      <c r="F7366"/>
      <c r="H7366"/>
    </row>
    <row r="7367" spans="6:8" x14ac:dyDescent="0.3">
      <c r="F7367"/>
      <c r="H7367"/>
    </row>
    <row r="7368" spans="6:8" x14ac:dyDescent="0.3">
      <c r="F7368"/>
      <c r="H7368"/>
    </row>
    <row r="7369" spans="6:8" x14ac:dyDescent="0.3">
      <c r="F7369"/>
      <c r="H7369"/>
    </row>
    <row r="7370" spans="6:8" x14ac:dyDescent="0.3">
      <c r="F7370"/>
      <c r="H7370"/>
    </row>
    <row r="7371" spans="6:8" x14ac:dyDescent="0.3">
      <c r="F7371"/>
      <c r="H7371"/>
    </row>
    <row r="7372" spans="6:8" x14ac:dyDescent="0.3">
      <c r="F7372"/>
      <c r="H7372"/>
    </row>
    <row r="7373" spans="6:8" x14ac:dyDescent="0.3">
      <c r="F7373"/>
      <c r="H7373"/>
    </row>
    <row r="7374" spans="6:8" x14ac:dyDescent="0.3">
      <c r="F7374"/>
      <c r="H7374"/>
    </row>
    <row r="7375" spans="6:8" x14ac:dyDescent="0.3">
      <c r="F7375"/>
      <c r="H7375"/>
    </row>
    <row r="7376" spans="6:8" x14ac:dyDescent="0.3">
      <c r="F7376"/>
      <c r="H7376"/>
    </row>
    <row r="7377" spans="6:8" x14ac:dyDescent="0.3">
      <c r="F7377"/>
      <c r="H7377"/>
    </row>
    <row r="7378" spans="6:8" x14ac:dyDescent="0.3">
      <c r="F7378"/>
      <c r="H7378"/>
    </row>
    <row r="7379" spans="6:8" x14ac:dyDescent="0.3">
      <c r="F7379"/>
      <c r="H7379"/>
    </row>
    <row r="7380" spans="6:8" x14ac:dyDescent="0.3">
      <c r="F7380"/>
      <c r="H7380"/>
    </row>
    <row r="7381" spans="6:8" x14ac:dyDescent="0.3">
      <c r="F7381"/>
      <c r="H7381"/>
    </row>
    <row r="7382" spans="6:8" x14ac:dyDescent="0.3">
      <c r="F7382"/>
      <c r="H7382"/>
    </row>
    <row r="7383" spans="6:8" x14ac:dyDescent="0.3">
      <c r="F7383"/>
      <c r="H7383"/>
    </row>
    <row r="7384" spans="6:8" x14ac:dyDescent="0.3">
      <c r="F7384"/>
      <c r="H7384"/>
    </row>
    <row r="7385" spans="6:8" x14ac:dyDescent="0.3">
      <c r="F7385"/>
      <c r="H7385"/>
    </row>
    <row r="7386" spans="6:8" x14ac:dyDescent="0.3">
      <c r="F7386"/>
      <c r="H7386"/>
    </row>
    <row r="7387" spans="6:8" x14ac:dyDescent="0.3">
      <c r="F7387"/>
      <c r="H7387"/>
    </row>
    <row r="7388" spans="6:8" x14ac:dyDescent="0.3">
      <c r="F7388"/>
      <c r="H7388"/>
    </row>
    <row r="7389" spans="6:8" x14ac:dyDescent="0.3">
      <c r="F7389"/>
      <c r="H7389"/>
    </row>
    <row r="7390" spans="6:8" x14ac:dyDescent="0.3">
      <c r="F7390"/>
      <c r="H7390"/>
    </row>
    <row r="7391" spans="6:8" x14ac:dyDescent="0.3">
      <c r="F7391"/>
      <c r="H7391"/>
    </row>
    <row r="7392" spans="6:8" x14ac:dyDescent="0.3">
      <c r="F7392"/>
      <c r="H7392"/>
    </row>
    <row r="7393" spans="6:8" x14ac:dyDescent="0.3">
      <c r="F7393"/>
      <c r="H7393"/>
    </row>
    <row r="7394" spans="6:8" x14ac:dyDescent="0.3">
      <c r="F7394"/>
      <c r="H7394"/>
    </row>
    <row r="7395" spans="6:8" x14ac:dyDescent="0.3">
      <c r="F7395"/>
      <c r="H7395"/>
    </row>
    <row r="7396" spans="6:8" x14ac:dyDescent="0.3">
      <c r="F7396"/>
      <c r="H7396"/>
    </row>
    <row r="7397" spans="6:8" x14ac:dyDescent="0.3">
      <c r="F7397"/>
      <c r="H7397"/>
    </row>
    <row r="7398" spans="6:8" x14ac:dyDescent="0.3">
      <c r="F7398"/>
      <c r="H7398"/>
    </row>
    <row r="7399" spans="6:8" x14ac:dyDescent="0.3">
      <c r="F7399"/>
      <c r="H7399"/>
    </row>
    <row r="7400" spans="6:8" x14ac:dyDescent="0.3">
      <c r="F7400"/>
      <c r="H7400"/>
    </row>
    <row r="7401" spans="6:8" x14ac:dyDescent="0.3">
      <c r="F7401"/>
      <c r="H7401"/>
    </row>
    <row r="7402" spans="6:8" x14ac:dyDescent="0.3">
      <c r="F7402"/>
      <c r="H7402"/>
    </row>
    <row r="7403" spans="6:8" x14ac:dyDescent="0.3">
      <c r="F7403"/>
      <c r="H7403"/>
    </row>
    <row r="7404" spans="6:8" x14ac:dyDescent="0.3">
      <c r="F7404"/>
      <c r="H7404"/>
    </row>
    <row r="7405" spans="6:8" x14ac:dyDescent="0.3">
      <c r="F7405"/>
      <c r="H7405"/>
    </row>
    <row r="7406" spans="6:8" x14ac:dyDescent="0.3">
      <c r="F7406"/>
      <c r="H7406"/>
    </row>
    <row r="7407" spans="6:8" x14ac:dyDescent="0.3">
      <c r="F7407"/>
      <c r="H7407"/>
    </row>
    <row r="7408" spans="6:8" x14ac:dyDescent="0.3">
      <c r="F7408"/>
      <c r="H7408"/>
    </row>
    <row r="7409" spans="6:8" x14ac:dyDescent="0.3">
      <c r="F7409"/>
      <c r="H7409"/>
    </row>
    <row r="7410" spans="6:8" x14ac:dyDescent="0.3">
      <c r="F7410"/>
      <c r="H7410"/>
    </row>
    <row r="7411" spans="6:8" x14ac:dyDescent="0.3">
      <c r="F7411"/>
      <c r="H7411"/>
    </row>
    <row r="7412" spans="6:8" x14ac:dyDescent="0.3">
      <c r="F7412"/>
      <c r="H7412"/>
    </row>
    <row r="7413" spans="6:8" x14ac:dyDescent="0.3">
      <c r="F7413"/>
      <c r="H7413"/>
    </row>
    <row r="7414" spans="6:8" x14ac:dyDescent="0.3">
      <c r="F7414"/>
      <c r="H7414"/>
    </row>
    <row r="7415" spans="6:8" x14ac:dyDescent="0.3">
      <c r="F7415"/>
      <c r="H7415"/>
    </row>
    <row r="7416" spans="6:8" x14ac:dyDescent="0.3">
      <c r="F7416"/>
      <c r="H7416"/>
    </row>
    <row r="7417" spans="6:8" x14ac:dyDescent="0.3">
      <c r="F7417"/>
      <c r="H7417"/>
    </row>
    <row r="7418" spans="6:8" x14ac:dyDescent="0.3">
      <c r="F7418"/>
      <c r="H7418"/>
    </row>
    <row r="7419" spans="6:8" x14ac:dyDescent="0.3">
      <c r="F7419"/>
      <c r="H7419"/>
    </row>
    <row r="7420" spans="6:8" x14ac:dyDescent="0.3">
      <c r="F7420"/>
      <c r="H7420"/>
    </row>
    <row r="7421" spans="6:8" x14ac:dyDescent="0.3">
      <c r="F7421"/>
      <c r="H7421"/>
    </row>
    <row r="7422" spans="6:8" x14ac:dyDescent="0.3">
      <c r="F7422"/>
      <c r="H7422"/>
    </row>
    <row r="7423" spans="6:8" x14ac:dyDescent="0.3">
      <c r="F7423"/>
      <c r="H7423"/>
    </row>
    <row r="7424" spans="6:8" x14ac:dyDescent="0.3">
      <c r="F7424"/>
      <c r="H7424"/>
    </row>
    <row r="7425" spans="6:8" x14ac:dyDescent="0.3">
      <c r="F7425"/>
      <c r="H7425"/>
    </row>
    <row r="7426" spans="6:8" x14ac:dyDescent="0.3">
      <c r="F7426"/>
      <c r="H7426"/>
    </row>
    <row r="7427" spans="6:8" x14ac:dyDescent="0.3">
      <c r="F7427"/>
      <c r="H7427"/>
    </row>
    <row r="7428" spans="6:8" x14ac:dyDescent="0.3">
      <c r="F7428"/>
      <c r="H7428"/>
    </row>
    <row r="7429" spans="6:8" x14ac:dyDescent="0.3">
      <c r="F7429"/>
      <c r="H7429"/>
    </row>
    <row r="7430" spans="6:8" x14ac:dyDescent="0.3">
      <c r="F7430"/>
      <c r="H7430"/>
    </row>
    <row r="7431" spans="6:8" x14ac:dyDescent="0.3">
      <c r="F7431"/>
      <c r="H7431"/>
    </row>
    <row r="7432" spans="6:8" x14ac:dyDescent="0.3">
      <c r="F7432"/>
      <c r="H7432"/>
    </row>
    <row r="7433" spans="6:8" x14ac:dyDescent="0.3">
      <c r="F7433"/>
      <c r="H7433"/>
    </row>
    <row r="7434" spans="6:8" x14ac:dyDescent="0.3">
      <c r="F7434"/>
      <c r="H7434"/>
    </row>
    <row r="7435" spans="6:8" x14ac:dyDescent="0.3">
      <c r="F7435"/>
      <c r="H7435"/>
    </row>
    <row r="7436" spans="6:8" x14ac:dyDescent="0.3">
      <c r="F7436"/>
      <c r="H7436"/>
    </row>
    <row r="7437" spans="6:8" x14ac:dyDescent="0.3">
      <c r="F7437"/>
      <c r="H7437"/>
    </row>
    <row r="7438" spans="6:8" x14ac:dyDescent="0.3">
      <c r="F7438"/>
      <c r="H7438"/>
    </row>
    <row r="7439" spans="6:8" x14ac:dyDescent="0.3">
      <c r="F7439"/>
      <c r="H7439"/>
    </row>
    <row r="7440" spans="6:8" x14ac:dyDescent="0.3">
      <c r="F7440"/>
      <c r="H7440"/>
    </row>
    <row r="7441" spans="6:8" x14ac:dyDescent="0.3">
      <c r="F7441"/>
      <c r="H7441"/>
    </row>
    <row r="7442" spans="6:8" x14ac:dyDescent="0.3">
      <c r="F7442"/>
      <c r="H7442"/>
    </row>
    <row r="7443" spans="6:8" x14ac:dyDescent="0.3">
      <c r="F7443"/>
      <c r="H7443"/>
    </row>
    <row r="7444" spans="6:8" x14ac:dyDescent="0.3">
      <c r="F7444"/>
      <c r="H7444"/>
    </row>
    <row r="7445" spans="6:8" x14ac:dyDescent="0.3">
      <c r="F7445"/>
      <c r="H7445"/>
    </row>
    <row r="7446" spans="6:8" x14ac:dyDescent="0.3">
      <c r="F7446"/>
      <c r="H7446"/>
    </row>
    <row r="7447" spans="6:8" x14ac:dyDescent="0.3">
      <c r="F7447"/>
      <c r="H7447"/>
    </row>
    <row r="7448" spans="6:8" x14ac:dyDescent="0.3">
      <c r="F7448"/>
      <c r="H7448"/>
    </row>
    <row r="7449" spans="6:8" x14ac:dyDescent="0.3">
      <c r="F7449"/>
      <c r="H7449"/>
    </row>
    <row r="7450" spans="6:8" x14ac:dyDescent="0.3">
      <c r="F7450"/>
      <c r="H7450"/>
    </row>
    <row r="7451" spans="6:8" x14ac:dyDescent="0.3">
      <c r="F7451"/>
      <c r="H7451"/>
    </row>
    <row r="7452" spans="6:8" x14ac:dyDescent="0.3">
      <c r="F7452"/>
      <c r="H7452"/>
    </row>
    <row r="7453" spans="6:8" x14ac:dyDescent="0.3">
      <c r="F7453"/>
      <c r="H7453"/>
    </row>
    <row r="7454" spans="6:8" x14ac:dyDescent="0.3">
      <c r="F7454"/>
      <c r="H7454"/>
    </row>
    <row r="7455" spans="6:8" x14ac:dyDescent="0.3">
      <c r="F7455"/>
      <c r="H7455"/>
    </row>
    <row r="7456" spans="6:8" x14ac:dyDescent="0.3">
      <c r="F7456"/>
      <c r="H7456"/>
    </row>
    <row r="7457" spans="6:8" x14ac:dyDescent="0.3">
      <c r="F7457"/>
      <c r="H7457"/>
    </row>
    <row r="7458" spans="6:8" x14ac:dyDescent="0.3">
      <c r="F7458"/>
      <c r="H7458"/>
    </row>
    <row r="7459" spans="6:8" x14ac:dyDescent="0.3">
      <c r="F7459"/>
      <c r="H7459"/>
    </row>
    <row r="7460" spans="6:8" x14ac:dyDescent="0.3">
      <c r="F7460"/>
      <c r="H7460"/>
    </row>
    <row r="7461" spans="6:8" x14ac:dyDescent="0.3">
      <c r="F7461"/>
      <c r="H7461"/>
    </row>
    <row r="7462" spans="6:8" x14ac:dyDescent="0.3">
      <c r="F7462"/>
      <c r="H7462"/>
    </row>
    <row r="7463" spans="6:8" x14ac:dyDescent="0.3">
      <c r="F7463"/>
      <c r="H7463"/>
    </row>
    <row r="7464" spans="6:8" x14ac:dyDescent="0.3">
      <c r="F7464"/>
      <c r="H7464"/>
    </row>
    <row r="7465" spans="6:8" x14ac:dyDescent="0.3">
      <c r="F7465"/>
      <c r="H7465"/>
    </row>
    <row r="7466" spans="6:8" x14ac:dyDescent="0.3">
      <c r="F7466"/>
      <c r="H7466"/>
    </row>
    <row r="7467" spans="6:8" x14ac:dyDescent="0.3">
      <c r="F7467"/>
      <c r="H7467"/>
    </row>
    <row r="7468" spans="6:8" x14ac:dyDescent="0.3">
      <c r="F7468"/>
      <c r="H7468"/>
    </row>
    <row r="7469" spans="6:8" x14ac:dyDescent="0.3">
      <c r="F7469"/>
      <c r="H7469"/>
    </row>
    <row r="7470" spans="6:8" x14ac:dyDescent="0.3">
      <c r="F7470"/>
      <c r="H7470"/>
    </row>
    <row r="7471" spans="6:8" x14ac:dyDescent="0.3">
      <c r="F7471"/>
      <c r="H7471"/>
    </row>
    <row r="7472" spans="6:8" x14ac:dyDescent="0.3">
      <c r="F7472"/>
      <c r="H7472"/>
    </row>
    <row r="7473" spans="6:8" x14ac:dyDescent="0.3">
      <c r="F7473"/>
      <c r="H7473"/>
    </row>
    <row r="7474" spans="6:8" x14ac:dyDescent="0.3">
      <c r="F7474"/>
      <c r="H7474"/>
    </row>
    <row r="7475" spans="6:8" x14ac:dyDescent="0.3">
      <c r="F7475"/>
      <c r="H7475"/>
    </row>
    <row r="7476" spans="6:8" x14ac:dyDescent="0.3">
      <c r="F7476"/>
      <c r="H7476"/>
    </row>
    <row r="7477" spans="6:8" x14ac:dyDescent="0.3">
      <c r="F7477"/>
      <c r="H7477"/>
    </row>
    <row r="7478" spans="6:8" x14ac:dyDescent="0.3">
      <c r="F7478"/>
      <c r="H7478"/>
    </row>
    <row r="7479" spans="6:8" x14ac:dyDescent="0.3">
      <c r="F7479"/>
      <c r="H7479"/>
    </row>
    <row r="7480" spans="6:8" x14ac:dyDescent="0.3">
      <c r="F7480"/>
      <c r="H7480"/>
    </row>
    <row r="7481" spans="6:8" x14ac:dyDescent="0.3">
      <c r="F7481"/>
      <c r="H7481"/>
    </row>
    <row r="7482" spans="6:8" x14ac:dyDescent="0.3">
      <c r="F7482"/>
      <c r="H7482"/>
    </row>
    <row r="7483" spans="6:8" x14ac:dyDescent="0.3">
      <c r="F7483"/>
      <c r="H7483"/>
    </row>
    <row r="7484" spans="6:8" x14ac:dyDescent="0.3">
      <c r="F7484"/>
      <c r="H7484"/>
    </row>
    <row r="7485" spans="6:8" x14ac:dyDescent="0.3">
      <c r="F7485"/>
      <c r="H7485"/>
    </row>
    <row r="7486" spans="6:8" x14ac:dyDescent="0.3">
      <c r="F7486"/>
      <c r="H7486"/>
    </row>
    <row r="7487" spans="6:8" x14ac:dyDescent="0.3">
      <c r="F7487"/>
      <c r="H7487"/>
    </row>
    <row r="7488" spans="6:8" x14ac:dyDescent="0.3">
      <c r="F7488"/>
      <c r="H7488"/>
    </row>
    <row r="7489" spans="6:8" x14ac:dyDescent="0.3">
      <c r="F7489"/>
      <c r="H7489"/>
    </row>
    <row r="7490" spans="6:8" x14ac:dyDescent="0.3">
      <c r="F7490"/>
      <c r="H7490"/>
    </row>
    <row r="7491" spans="6:8" x14ac:dyDescent="0.3">
      <c r="F7491"/>
      <c r="H7491"/>
    </row>
    <row r="7492" spans="6:8" x14ac:dyDescent="0.3">
      <c r="F7492"/>
      <c r="H7492"/>
    </row>
    <row r="7493" spans="6:8" x14ac:dyDescent="0.3">
      <c r="F7493"/>
      <c r="H7493"/>
    </row>
    <row r="7494" spans="6:8" x14ac:dyDescent="0.3">
      <c r="F7494"/>
      <c r="H7494"/>
    </row>
    <row r="7495" spans="6:8" x14ac:dyDescent="0.3">
      <c r="F7495"/>
      <c r="H7495"/>
    </row>
    <row r="7496" spans="6:8" x14ac:dyDescent="0.3">
      <c r="F7496"/>
      <c r="H7496"/>
    </row>
    <row r="7497" spans="6:8" x14ac:dyDescent="0.3">
      <c r="F7497"/>
      <c r="H7497"/>
    </row>
    <row r="7498" spans="6:8" x14ac:dyDescent="0.3">
      <c r="F7498"/>
      <c r="H7498"/>
    </row>
    <row r="7499" spans="6:8" x14ac:dyDescent="0.3">
      <c r="F7499"/>
      <c r="H7499"/>
    </row>
    <row r="7500" spans="6:8" x14ac:dyDescent="0.3">
      <c r="F7500"/>
      <c r="H7500"/>
    </row>
    <row r="7501" spans="6:8" x14ac:dyDescent="0.3">
      <c r="F7501"/>
      <c r="H7501"/>
    </row>
    <row r="7502" spans="6:8" x14ac:dyDescent="0.3">
      <c r="F7502"/>
      <c r="H7502"/>
    </row>
    <row r="7503" spans="6:8" x14ac:dyDescent="0.3">
      <c r="F7503"/>
      <c r="H7503"/>
    </row>
    <row r="7504" spans="6:8" x14ac:dyDescent="0.3">
      <c r="F7504"/>
      <c r="H7504"/>
    </row>
    <row r="7505" spans="6:8" x14ac:dyDescent="0.3">
      <c r="F7505"/>
      <c r="H7505"/>
    </row>
    <row r="7506" spans="6:8" x14ac:dyDescent="0.3">
      <c r="F7506"/>
      <c r="H7506"/>
    </row>
    <row r="7507" spans="6:8" x14ac:dyDescent="0.3">
      <c r="F7507"/>
      <c r="H7507"/>
    </row>
    <row r="7508" spans="6:8" x14ac:dyDescent="0.3">
      <c r="F7508"/>
      <c r="H7508"/>
    </row>
    <row r="7509" spans="6:8" x14ac:dyDescent="0.3">
      <c r="F7509"/>
      <c r="H7509"/>
    </row>
    <row r="7510" spans="6:8" x14ac:dyDescent="0.3">
      <c r="F7510"/>
      <c r="H7510"/>
    </row>
    <row r="7511" spans="6:8" x14ac:dyDescent="0.3">
      <c r="F7511"/>
      <c r="H7511"/>
    </row>
    <row r="7512" spans="6:8" x14ac:dyDescent="0.3">
      <c r="F7512"/>
      <c r="H7512"/>
    </row>
    <row r="7513" spans="6:8" x14ac:dyDescent="0.3">
      <c r="F7513"/>
      <c r="H7513"/>
    </row>
    <row r="7514" spans="6:8" x14ac:dyDescent="0.3">
      <c r="F7514"/>
      <c r="H7514"/>
    </row>
    <row r="7515" spans="6:8" x14ac:dyDescent="0.3">
      <c r="F7515"/>
      <c r="H7515"/>
    </row>
    <row r="7516" spans="6:8" x14ac:dyDescent="0.3">
      <c r="F7516"/>
      <c r="H7516"/>
    </row>
    <row r="7517" spans="6:8" x14ac:dyDescent="0.3">
      <c r="F7517"/>
      <c r="H7517"/>
    </row>
    <row r="7518" spans="6:8" x14ac:dyDescent="0.3">
      <c r="F7518"/>
      <c r="H7518"/>
    </row>
    <row r="7519" spans="6:8" x14ac:dyDescent="0.3">
      <c r="F7519"/>
      <c r="H7519"/>
    </row>
    <row r="7520" spans="6:8" x14ac:dyDescent="0.3">
      <c r="F7520"/>
      <c r="H7520"/>
    </row>
    <row r="7521" spans="6:8" x14ac:dyDescent="0.3">
      <c r="F7521"/>
      <c r="H7521"/>
    </row>
    <row r="7522" spans="6:8" x14ac:dyDescent="0.3">
      <c r="F7522"/>
      <c r="H7522"/>
    </row>
    <row r="7523" spans="6:8" x14ac:dyDescent="0.3">
      <c r="F7523"/>
      <c r="H7523"/>
    </row>
    <row r="7524" spans="6:8" x14ac:dyDescent="0.3">
      <c r="F7524"/>
      <c r="H7524"/>
    </row>
    <row r="7525" spans="6:8" x14ac:dyDescent="0.3">
      <c r="F7525"/>
      <c r="H7525"/>
    </row>
    <row r="7526" spans="6:8" x14ac:dyDescent="0.3">
      <c r="F7526"/>
      <c r="H7526"/>
    </row>
    <row r="7527" spans="6:8" x14ac:dyDescent="0.3">
      <c r="F7527"/>
      <c r="H7527"/>
    </row>
    <row r="7528" spans="6:8" x14ac:dyDescent="0.3">
      <c r="F7528"/>
      <c r="H7528"/>
    </row>
    <row r="7529" spans="6:8" x14ac:dyDescent="0.3">
      <c r="F7529"/>
      <c r="H7529"/>
    </row>
    <row r="7530" spans="6:8" x14ac:dyDescent="0.3">
      <c r="F7530"/>
      <c r="H7530"/>
    </row>
    <row r="7531" spans="6:8" x14ac:dyDescent="0.3">
      <c r="F7531"/>
      <c r="H7531"/>
    </row>
    <row r="7532" spans="6:8" x14ac:dyDescent="0.3">
      <c r="F7532"/>
      <c r="H7532"/>
    </row>
    <row r="7533" spans="6:8" x14ac:dyDescent="0.3">
      <c r="F7533"/>
      <c r="H7533"/>
    </row>
    <row r="7534" spans="6:8" x14ac:dyDescent="0.3">
      <c r="F7534"/>
      <c r="H7534"/>
    </row>
    <row r="7535" spans="6:8" x14ac:dyDescent="0.3">
      <c r="F7535"/>
      <c r="H7535"/>
    </row>
    <row r="7536" spans="6:8" x14ac:dyDescent="0.3">
      <c r="F7536"/>
      <c r="H7536"/>
    </row>
    <row r="7537" spans="6:8" x14ac:dyDescent="0.3">
      <c r="F7537"/>
      <c r="H7537"/>
    </row>
    <row r="7538" spans="6:8" x14ac:dyDescent="0.3">
      <c r="F7538"/>
      <c r="H7538"/>
    </row>
    <row r="7539" spans="6:8" x14ac:dyDescent="0.3">
      <c r="F7539"/>
      <c r="H7539"/>
    </row>
    <row r="7540" spans="6:8" x14ac:dyDescent="0.3">
      <c r="F7540"/>
      <c r="H7540"/>
    </row>
    <row r="7541" spans="6:8" x14ac:dyDescent="0.3">
      <c r="F7541"/>
      <c r="H7541"/>
    </row>
    <row r="7542" spans="6:8" x14ac:dyDescent="0.3">
      <c r="F7542"/>
      <c r="H7542"/>
    </row>
    <row r="7543" spans="6:8" x14ac:dyDescent="0.3">
      <c r="F7543"/>
      <c r="H7543"/>
    </row>
    <row r="7544" spans="6:8" x14ac:dyDescent="0.3">
      <c r="F7544"/>
      <c r="H7544"/>
    </row>
    <row r="7545" spans="6:8" x14ac:dyDescent="0.3">
      <c r="F7545"/>
      <c r="H7545"/>
    </row>
    <row r="7546" spans="6:8" x14ac:dyDescent="0.3">
      <c r="F7546"/>
      <c r="H7546"/>
    </row>
    <row r="7547" spans="6:8" x14ac:dyDescent="0.3">
      <c r="F7547"/>
      <c r="H7547"/>
    </row>
    <row r="7548" spans="6:8" x14ac:dyDescent="0.3">
      <c r="F7548"/>
      <c r="H7548"/>
    </row>
    <row r="7549" spans="6:8" x14ac:dyDescent="0.3">
      <c r="F7549"/>
      <c r="H7549"/>
    </row>
    <row r="7550" spans="6:8" x14ac:dyDescent="0.3">
      <c r="F7550"/>
      <c r="H7550"/>
    </row>
    <row r="7551" spans="6:8" x14ac:dyDescent="0.3">
      <c r="F7551"/>
      <c r="H7551"/>
    </row>
    <row r="7552" spans="6:8" x14ac:dyDescent="0.3">
      <c r="F7552"/>
      <c r="H7552"/>
    </row>
    <row r="7553" spans="6:8" x14ac:dyDescent="0.3">
      <c r="F7553"/>
      <c r="H7553"/>
    </row>
    <row r="7554" spans="6:8" x14ac:dyDescent="0.3">
      <c r="F7554"/>
      <c r="H7554"/>
    </row>
    <row r="7555" spans="6:8" x14ac:dyDescent="0.3">
      <c r="F7555"/>
      <c r="H7555"/>
    </row>
    <row r="7556" spans="6:8" x14ac:dyDescent="0.3">
      <c r="F7556"/>
      <c r="H7556"/>
    </row>
    <row r="7557" spans="6:8" x14ac:dyDescent="0.3">
      <c r="F7557"/>
      <c r="H7557"/>
    </row>
    <row r="7558" spans="6:8" x14ac:dyDescent="0.3">
      <c r="F7558"/>
      <c r="H7558"/>
    </row>
    <row r="7559" spans="6:8" x14ac:dyDescent="0.3">
      <c r="F7559"/>
      <c r="H7559"/>
    </row>
    <row r="7560" spans="6:8" x14ac:dyDescent="0.3">
      <c r="F7560"/>
      <c r="H7560"/>
    </row>
    <row r="7561" spans="6:8" x14ac:dyDescent="0.3">
      <c r="F7561"/>
      <c r="H7561"/>
    </row>
    <row r="7562" spans="6:8" x14ac:dyDescent="0.3">
      <c r="F7562"/>
      <c r="H7562"/>
    </row>
    <row r="7563" spans="6:8" x14ac:dyDescent="0.3">
      <c r="F7563"/>
      <c r="H7563"/>
    </row>
    <row r="7564" spans="6:8" x14ac:dyDescent="0.3">
      <c r="F7564"/>
      <c r="H7564"/>
    </row>
    <row r="7565" spans="6:8" x14ac:dyDescent="0.3">
      <c r="F7565"/>
      <c r="H7565"/>
    </row>
    <row r="7566" spans="6:8" x14ac:dyDescent="0.3">
      <c r="F7566"/>
      <c r="H7566"/>
    </row>
    <row r="7567" spans="6:8" x14ac:dyDescent="0.3">
      <c r="F7567"/>
      <c r="H7567"/>
    </row>
    <row r="7568" spans="6:8" x14ac:dyDescent="0.3">
      <c r="F7568"/>
      <c r="H7568"/>
    </row>
    <row r="7569" spans="6:8" x14ac:dyDescent="0.3">
      <c r="F7569"/>
      <c r="H7569"/>
    </row>
    <row r="7570" spans="6:8" x14ac:dyDescent="0.3">
      <c r="F7570"/>
      <c r="H7570"/>
    </row>
    <row r="7571" spans="6:8" x14ac:dyDescent="0.3">
      <c r="F7571"/>
      <c r="H7571"/>
    </row>
    <row r="7572" spans="6:8" x14ac:dyDescent="0.3">
      <c r="F7572"/>
      <c r="H7572"/>
    </row>
    <row r="7573" spans="6:8" x14ac:dyDescent="0.3">
      <c r="F7573"/>
      <c r="H7573"/>
    </row>
    <row r="7574" spans="6:8" x14ac:dyDescent="0.3">
      <c r="F7574"/>
      <c r="H7574"/>
    </row>
    <row r="7575" spans="6:8" x14ac:dyDescent="0.3">
      <c r="F7575"/>
      <c r="H7575"/>
    </row>
    <row r="7576" spans="6:8" x14ac:dyDescent="0.3">
      <c r="F7576"/>
      <c r="H7576"/>
    </row>
    <row r="7577" spans="6:8" x14ac:dyDescent="0.3">
      <c r="F7577"/>
      <c r="H7577"/>
    </row>
    <row r="7578" spans="6:8" x14ac:dyDescent="0.3">
      <c r="F7578"/>
      <c r="H7578"/>
    </row>
    <row r="7579" spans="6:8" x14ac:dyDescent="0.3">
      <c r="F7579"/>
      <c r="H7579"/>
    </row>
    <row r="7580" spans="6:8" x14ac:dyDescent="0.3">
      <c r="F7580"/>
      <c r="H7580"/>
    </row>
    <row r="7581" spans="6:8" x14ac:dyDescent="0.3">
      <c r="F7581"/>
      <c r="H7581"/>
    </row>
    <row r="7582" spans="6:8" x14ac:dyDescent="0.3">
      <c r="F7582"/>
      <c r="H7582"/>
    </row>
    <row r="7583" spans="6:8" x14ac:dyDescent="0.3">
      <c r="F7583"/>
      <c r="H7583"/>
    </row>
    <row r="7584" spans="6:8" x14ac:dyDescent="0.3">
      <c r="F7584"/>
      <c r="H7584"/>
    </row>
    <row r="7585" spans="6:8" x14ac:dyDescent="0.3">
      <c r="F7585"/>
      <c r="H7585"/>
    </row>
    <row r="7586" spans="6:8" x14ac:dyDescent="0.3">
      <c r="F7586"/>
      <c r="H7586"/>
    </row>
    <row r="7587" spans="6:8" x14ac:dyDescent="0.3">
      <c r="F7587"/>
      <c r="H7587"/>
    </row>
    <row r="7588" spans="6:8" x14ac:dyDescent="0.3">
      <c r="F7588"/>
      <c r="H7588"/>
    </row>
    <row r="7589" spans="6:8" x14ac:dyDescent="0.3">
      <c r="F7589"/>
      <c r="H7589"/>
    </row>
    <row r="7590" spans="6:8" x14ac:dyDescent="0.3">
      <c r="F7590"/>
      <c r="H7590"/>
    </row>
    <row r="7591" spans="6:8" x14ac:dyDescent="0.3">
      <c r="F7591"/>
      <c r="H7591"/>
    </row>
    <row r="7592" spans="6:8" x14ac:dyDescent="0.3">
      <c r="F7592"/>
      <c r="H7592"/>
    </row>
    <row r="7593" spans="6:8" x14ac:dyDescent="0.3">
      <c r="F7593"/>
      <c r="H7593"/>
    </row>
    <row r="7594" spans="6:8" x14ac:dyDescent="0.3">
      <c r="F7594"/>
      <c r="H7594"/>
    </row>
    <row r="7595" spans="6:8" x14ac:dyDescent="0.3">
      <c r="F7595"/>
      <c r="H7595"/>
    </row>
    <row r="7596" spans="6:8" x14ac:dyDescent="0.3">
      <c r="F7596"/>
      <c r="H7596"/>
    </row>
    <row r="7597" spans="6:8" x14ac:dyDescent="0.3">
      <c r="F7597"/>
      <c r="H7597"/>
    </row>
    <row r="7598" spans="6:8" x14ac:dyDescent="0.3">
      <c r="F7598"/>
      <c r="H7598"/>
    </row>
    <row r="7599" spans="6:8" x14ac:dyDescent="0.3">
      <c r="F7599"/>
      <c r="H7599"/>
    </row>
    <row r="7600" spans="6:8" x14ac:dyDescent="0.3">
      <c r="F7600"/>
      <c r="H7600"/>
    </row>
    <row r="7601" spans="6:8" x14ac:dyDescent="0.3">
      <c r="F7601"/>
      <c r="H7601"/>
    </row>
    <row r="7602" spans="6:8" x14ac:dyDescent="0.3">
      <c r="F7602"/>
      <c r="H7602"/>
    </row>
    <row r="7603" spans="6:8" x14ac:dyDescent="0.3">
      <c r="F7603"/>
      <c r="H7603"/>
    </row>
    <row r="7604" spans="6:8" x14ac:dyDescent="0.3">
      <c r="F7604"/>
      <c r="H7604"/>
    </row>
    <row r="7605" spans="6:8" x14ac:dyDescent="0.3">
      <c r="F7605"/>
      <c r="H7605"/>
    </row>
    <row r="7606" spans="6:8" x14ac:dyDescent="0.3">
      <c r="F7606"/>
      <c r="H7606"/>
    </row>
    <row r="7607" spans="6:8" x14ac:dyDescent="0.3">
      <c r="F7607"/>
      <c r="H7607"/>
    </row>
    <row r="7608" spans="6:8" x14ac:dyDescent="0.3">
      <c r="F7608"/>
      <c r="H7608"/>
    </row>
    <row r="7609" spans="6:8" x14ac:dyDescent="0.3">
      <c r="F7609"/>
      <c r="H7609"/>
    </row>
    <row r="7610" spans="6:8" x14ac:dyDescent="0.3">
      <c r="F7610"/>
      <c r="H7610"/>
    </row>
    <row r="7611" spans="6:8" x14ac:dyDescent="0.3">
      <c r="F7611"/>
      <c r="H7611"/>
    </row>
    <row r="7612" spans="6:8" x14ac:dyDescent="0.3">
      <c r="F7612"/>
      <c r="H7612"/>
    </row>
    <row r="7613" spans="6:8" x14ac:dyDescent="0.3">
      <c r="F7613"/>
      <c r="H7613"/>
    </row>
    <row r="7614" spans="6:8" x14ac:dyDescent="0.3">
      <c r="F7614"/>
      <c r="H7614"/>
    </row>
    <row r="7615" spans="6:8" x14ac:dyDescent="0.3">
      <c r="F7615"/>
      <c r="H7615"/>
    </row>
    <row r="7616" spans="6:8" x14ac:dyDescent="0.3">
      <c r="F7616"/>
      <c r="H7616"/>
    </row>
    <row r="7617" spans="6:8" x14ac:dyDescent="0.3">
      <c r="F7617"/>
      <c r="H7617"/>
    </row>
    <row r="7618" spans="6:8" x14ac:dyDescent="0.3">
      <c r="F7618"/>
      <c r="H7618"/>
    </row>
    <row r="7619" spans="6:8" x14ac:dyDescent="0.3">
      <c r="F7619"/>
      <c r="H7619"/>
    </row>
    <row r="7620" spans="6:8" x14ac:dyDescent="0.3">
      <c r="F7620"/>
      <c r="H7620"/>
    </row>
    <row r="7621" spans="6:8" x14ac:dyDescent="0.3">
      <c r="F7621"/>
      <c r="H7621"/>
    </row>
    <row r="7622" spans="6:8" x14ac:dyDescent="0.3">
      <c r="F7622"/>
      <c r="H7622"/>
    </row>
    <row r="7623" spans="6:8" x14ac:dyDescent="0.3">
      <c r="F7623"/>
      <c r="H7623"/>
    </row>
    <row r="7624" spans="6:8" x14ac:dyDescent="0.3">
      <c r="F7624"/>
      <c r="H7624"/>
    </row>
    <row r="7625" spans="6:8" x14ac:dyDescent="0.3">
      <c r="F7625"/>
      <c r="H7625"/>
    </row>
    <row r="7626" spans="6:8" x14ac:dyDescent="0.3">
      <c r="F7626"/>
      <c r="H7626"/>
    </row>
    <row r="7627" spans="6:8" x14ac:dyDescent="0.3">
      <c r="F7627"/>
      <c r="H7627"/>
    </row>
    <row r="7628" spans="6:8" x14ac:dyDescent="0.3">
      <c r="F7628"/>
      <c r="H7628"/>
    </row>
    <row r="7629" spans="6:8" x14ac:dyDescent="0.3">
      <c r="F7629"/>
      <c r="H7629"/>
    </row>
    <row r="7630" spans="6:8" x14ac:dyDescent="0.3">
      <c r="F7630"/>
      <c r="H7630"/>
    </row>
    <row r="7631" spans="6:8" x14ac:dyDescent="0.3">
      <c r="F7631"/>
      <c r="H7631"/>
    </row>
    <row r="7632" spans="6:8" x14ac:dyDescent="0.3">
      <c r="F7632"/>
      <c r="H7632"/>
    </row>
    <row r="7633" spans="6:8" x14ac:dyDescent="0.3">
      <c r="F7633"/>
      <c r="H7633"/>
    </row>
    <row r="7634" spans="6:8" x14ac:dyDescent="0.3">
      <c r="F7634"/>
      <c r="H7634"/>
    </row>
    <row r="7635" spans="6:8" x14ac:dyDescent="0.3">
      <c r="F7635"/>
      <c r="H7635"/>
    </row>
    <row r="7636" spans="6:8" x14ac:dyDescent="0.3">
      <c r="F7636"/>
      <c r="H7636"/>
    </row>
    <row r="7637" spans="6:8" x14ac:dyDescent="0.3">
      <c r="F7637"/>
      <c r="H7637"/>
    </row>
    <row r="7638" spans="6:8" x14ac:dyDescent="0.3">
      <c r="F7638"/>
      <c r="H7638"/>
    </row>
    <row r="7639" spans="6:8" x14ac:dyDescent="0.3">
      <c r="F7639"/>
      <c r="H7639"/>
    </row>
    <row r="7640" spans="6:8" x14ac:dyDescent="0.3">
      <c r="F7640"/>
      <c r="H7640"/>
    </row>
    <row r="7641" spans="6:8" x14ac:dyDescent="0.3">
      <c r="F7641"/>
      <c r="H7641"/>
    </row>
    <row r="7642" spans="6:8" x14ac:dyDescent="0.3">
      <c r="F7642"/>
      <c r="H7642"/>
    </row>
    <row r="7643" spans="6:8" x14ac:dyDescent="0.3">
      <c r="F7643"/>
      <c r="H7643"/>
    </row>
    <row r="7644" spans="6:8" x14ac:dyDescent="0.3">
      <c r="F7644"/>
      <c r="H7644"/>
    </row>
    <row r="7645" spans="6:8" x14ac:dyDescent="0.3">
      <c r="F7645"/>
      <c r="H7645"/>
    </row>
    <row r="7646" spans="6:8" x14ac:dyDescent="0.3">
      <c r="F7646"/>
      <c r="H7646"/>
    </row>
    <row r="7647" spans="6:8" x14ac:dyDescent="0.3">
      <c r="F7647"/>
      <c r="H7647"/>
    </row>
    <row r="7648" spans="6:8" x14ac:dyDescent="0.3">
      <c r="F7648"/>
      <c r="H7648"/>
    </row>
    <row r="7649" spans="6:8" x14ac:dyDescent="0.3">
      <c r="F7649"/>
      <c r="H7649"/>
    </row>
    <row r="7650" spans="6:8" x14ac:dyDescent="0.3">
      <c r="F7650"/>
      <c r="H7650"/>
    </row>
    <row r="7651" spans="6:8" x14ac:dyDescent="0.3">
      <c r="F7651"/>
      <c r="H7651"/>
    </row>
    <row r="7652" spans="6:8" x14ac:dyDescent="0.3">
      <c r="F7652"/>
      <c r="H7652"/>
    </row>
    <row r="7653" spans="6:8" x14ac:dyDescent="0.3">
      <c r="F7653"/>
      <c r="H7653"/>
    </row>
    <row r="7654" spans="6:8" x14ac:dyDescent="0.3">
      <c r="F7654"/>
      <c r="H7654"/>
    </row>
    <row r="7655" spans="6:8" x14ac:dyDescent="0.3">
      <c r="F7655"/>
      <c r="H7655"/>
    </row>
    <row r="7656" spans="6:8" x14ac:dyDescent="0.3">
      <c r="F7656"/>
      <c r="H7656"/>
    </row>
    <row r="7657" spans="6:8" x14ac:dyDescent="0.3">
      <c r="F7657"/>
      <c r="H7657"/>
    </row>
    <row r="7658" spans="6:8" x14ac:dyDescent="0.3">
      <c r="F7658"/>
      <c r="H7658"/>
    </row>
    <row r="7659" spans="6:8" x14ac:dyDescent="0.3">
      <c r="F7659"/>
      <c r="H7659"/>
    </row>
    <row r="7660" spans="6:8" x14ac:dyDescent="0.3">
      <c r="F7660"/>
      <c r="H7660"/>
    </row>
    <row r="7661" spans="6:8" x14ac:dyDescent="0.3">
      <c r="F7661"/>
      <c r="H7661"/>
    </row>
    <row r="7662" spans="6:8" x14ac:dyDescent="0.3">
      <c r="F7662"/>
      <c r="H7662"/>
    </row>
    <row r="7663" spans="6:8" x14ac:dyDescent="0.3">
      <c r="F7663"/>
      <c r="H7663"/>
    </row>
    <row r="7664" spans="6:8" x14ac:dyDescent="0.3">
      <c r="F7664"/>
      <c r="H7664"/>
    </row>
    <row r="7665" spans="6:8" x14ac:dyDescent="0.3">
      <c r="F7665"/>
      <c r="H7665"/>
    </row>
    <row r="7666" spans="6:8" x14ac:dyDescent="0.3">
      <c r="F7666"/>
      <c r="H7666"/>
    </row>
    <row r="7667" spans="6:8" x14ac:dyDescent="0.3">
      <c r="F7667"/>
      <c r="H7667"/>
    </row>
    <row r="7668" spans="6:8" x14ac:dyDescent="0.3">
      <c r="F7668"/>
      <c r="H7668"/>
    </row>
    <row r="7669" spans="6:8" x14ac:dyDescent="0.3">
      <c r="F7669"/>
      <c r="H7669"/>
    </row>
    <row r="7670" spans="6:8" x14ac:dyDescent="0.3">
      <c r="F7670"/>
      <c r="H7670"/>
    </row>
    <row r="7671" spans="6:8" x14ac:dyDescent="0.3">
      <c r="F7671"/>
      <c r="H7671"/>
    </row>
    <row r="7672" spans="6:8" x14ac:dyDescent="0.3">
      <c r="F7672"/>
      <c r="H7672"/>
    </row>
    <row r="7673" spans="6:8" x14ac:dyDescent="0.3">
      <c r="F7673"/>
      <c r="H7673"/>
    </row>
    <row r="7674" spans="6:8" x14ac:dyDescent="0.3">
      <c r="F7674"/>
      <c r="H7674"/>
    </row>
    <row r="7675" spans="6:8" x14ac:dyDescent="0.3">
      <c r="F7675"/>
      <c r="H7675"/>
    </row>
    <row r="7676" spans="6:8" x14ac:dyDescent="0.3">
      <c r="F7676"/>
      <c r="H7676"/>
    </row>
    <row r="7677" spans="6:8" x14ac:dyDescent="0.3">
      <c r="F7677"/>
      <c r="H7677"/>
    </row>
    <row r="7678" spans="6:8" x14ac:dyDescent="0.3">
      <c r="F7678"/>
      <c r="H7678"/>
    </row>
    <row r="7679" spans="6:8" x14ac:dyDescent="0.3">
      <c r="F7679"/>
      <c r="H7679"/>
    </row>
    <row r="7680" spans="6:8" x14ac:dyDescent="0.3">
      <c r="F7680"/>
      <c r="H7680"/>
    </row>
    <row r="7681" spans="6:8" x14ac:dyDescent="0.3">
      <c r="F7681"/>
      <c r="H7681"/>
    </row>
    <row r="7682" spans="6:8" x14ac:dyDescent="0.3">
      <c r="F7682"/>
      <c r="H7682"/>
    </row>
    <row r="7683" spans="6:8" x14ac:dyDescent="0.3">
      <c r="F7683"/>
      <c r="H7683"/>
    </row>
    <row r="7684" spans="6:8" x14ac:dyDescent="0.3">
      <c r="F7684"/>
      <c r="H7684"/>
    </row>
    <row r="7685" spans="6:8" x14ac:dyDescent="0.3">
      <c r="F7685"/>
      <c r="H7685"/>
    </row>
    <row r="7686" spans="6:8" x14ac:dyDescent="0.3">
      <c r="F7686"/>
      <c r="H7686"/>
    </row>
    <row r="7687" spans="6:8" x14ac:dyDescent="0.3">
      <c r="F7687"/>
      <c r="H7687"/>
    </row>
    <row r="7688" spans="6:8" x14ac:dyDescent="0.3">
      <c r="F7688"/>
      <c r="H7688"/>
    </row>
    <row r="7689" spans="6:8" x14ac:dyDescent="0.3">
      <c r="F7689"/>
      <c r="H7689"/>
    </row>
    <row r="7690" spans="6:8" x14ac:dyDescent="0.3">
      <c r="F7690"/>
      <c r="H7690"/>
    </row>
    <row r="7691" spans="6:8" x14ac:dyDescent="0.3">
      <c r="F7691"/>
      <c r="H7691"/>
    </row>
    <row r="7692" spans="6:8" x14ac:dyDescent="0.3">
      <c r="F7692"/>
      <c r="H7692"/>
    </row>
    <row r="7693" spans="6:8" x14ac:dyDescent="0.3">
      <c r="F7693"/>
      <c r="H7693"/>
    </row>
    <row r="7694" spans="6:8" x14ac:dyDescent="0.3">
      <c r="F7694"/>
      <c r="H7694"/>
    </row>
    <row r="7695" spans="6:8" x14ac:dyDescent="0.3">
      <c r="F7695"/>
      <c r="H7695"/>
    </row>
    <row r="7696" spans="6:8" x14ac:dyDescent="0.3">
      <c r="F7696"/>
      <c r="H7696"/>
    </row>
    <row r="7697" spans="6:8" x14ac:dyDescent="0.3">
      <c r="F7697"/>
      <c r="H7697"/>
    </row>
    <row r="7698" spans="6:8" x14ac:dyDescent="0.3">
      <c r="F7698"/>
      <c r="H7698"/>
    </row>
    <row r="7699" spans="6:8" x14ac:dyDescent="0.3">
      <c r="F7699"/>
      <c r="H7699"/>
    </row>
    <row r="7700" spans="6:8" x14ac:dyDescent="0.3">
      <c r="F7700"/>
      <c r="H7700"/>
    </row>
    <row r="7701" spans="6:8" x14ac:dyDescent="0.3">
      <c r="F7701"/>
      <c r="H7701"/>
    </row>
    <row r="7702" spans="6:8" x14ac:dyDescent="0.3">
      <c r="F7702"/>
      <c r="H7702"/>
    </row>
    <row r="7703" spans="6:8" x14ac:dyDescent="0.3">
      <c r="F7703"/>
      <c r="H7703"/>
    </row>
    <row r="7704" spans="6:8" x14ac:dyDescent="0.3">
      <c r="F7704"/>
      <c r="H7704"/>
    </row>
    <row r="7705" spans="6:8" x14ac:dyDescent="0.3">
      <c r="F7705"/>
      <c r="H7705"/>
    </row>
    <row r="7706" spans="6:8" x14ac:dyDescent="0.3">
      <c r="F7706"/>
      <c r="H7706"/>
    </row>
    <row r="7707" spans="6:8" x14ac:dyDescent="0.3">
      <c r="F7707"/>
      <c r="H7707"/>
    </row>
    <row r="7708" spans="6:8" x14ac:dyDescent="0.3">
      <c r="F7708"/>
      <c r="H7708"/>
    </row>
    <row r="7709" spans="6:8" x14ac:dyDescent="0.3">
      <c r="F7709"/>
      <c r="H7709"/>
    </row>
    <row r="7710" spans="6:8" x14ac:dyDescent="0.3">
      <c r="F7710"/>
      <c r="H7710"/>
    </row>
    <row r="7711" spans="6:8" x14ac:dyDescent="0.3">
      <c r="F7711"/>
      <c r="H7711"/>
    </row>
    <row r="7712" spans="6:8" x14ac:dyDescent="0.3">
      <c r="F7712"/>
      <c r="H7712"/>
    </row>
    <row r="7713" spans="6:8" x14ac:dyDescent="0.3">
      <c r="F7713"/>
      <c r="H7713"/>
    </row>
    <row r="7714" spans="6:8" x14ac:dyDescent="0.3">
      <c r="F7714"/>
      <c r="H7714"/>
    </row>
    <row r="7715" spans="6:8" x14ac:dyDescent="0.3">
      <c r="F7715"/>
      <c r="H7715"/>
    </row>
    <row r="7716" spans="6:8" x14ac:dyDescent="0.3">
      <c r="F7716"/>
      <c r="H7716"/>
    </row>
    <row r="7717" spans="6:8" x14ac:dyDescent="0.3">
      <c r="F7717"/>
      <c r="H7717"/>
    </row>
    <row r="7718" spans="6:8" x14ac:dyDescent="0.3">
      <c r="F7718"/>
      <c r="H7718"/>
    </row>
    <row r="7719" spans="6:8" x14ac:dyDescent="0.3">
      <c r="F7719"/>
      <c r="H7719"/>
    </row>
    <row r="7720" spans="6:8" x14ac:dyDescent="0.3">
      <c r="F7720"/>
      <c r="H7720"/>
    </row>
    <row r="7721" spans="6:8" x14ac:dyDescent="0.3">
      <c r="F7721"/>
      <c r="H7721"/>
    </row>
    <row r="7722" spans="6:8" x14ac:dyDescent="0.3">
      <c r="F7722"/>
      <c r="H7722"/>
    </row>
    <row r="7723" spans="6:8" x14ac:dyDescent="0.3">
      <c r="F7723"/>
      <c r="H7723"/>
    </row>
    <row r="7724" spans="6:8" x14ac:dyDescent="0.3">
      <c r="F7724"/>
      <c r="H7724"/>
    </row>
    <row r="7725" spans="6:8" x14ac:dyDescent="0.3">
      <c r="F7725"/>
      <c r="H7725"/>
    </row>
    <row r="7726" spans="6:8" x14ac:dyDescent="0.3">
      <c r="F7726"/>
      <c r="H7726"/>
    </row>
    <row r="7727" spans="6:8" x14ac:dyDescent="0.3">
      <c r="F7727"/>
      <c r="H7727"/>
    </row>
    <row r="7728" spans="6:8" x14ac:dyDescent="0.3">
      <c r="F7728"/>
      <c r="H7728"/>
    </row>
    <row r="7729" spans="6:8" x14ac:dyDescent="0.3">
      <c r="F7729"/>
      <c r="H7729"/>
    </row>
    <row r="7730" spans="6:8" x14ac:dyDescent="0.3">
      <c r="F7730"/>
      <c r="H7730"/>
    </row>
    <row r="7731" spans="6:8" x14ac:dyDescent="0.3">
      <c r="F7731"/>
      <c r="H7731"/>
    </row>
    <row r="7732" spans="6:8" x14ac:dyDescent="0.3">
      <c r="F7732"/>
      <c r="H7732"/>
    </row>
    <row r="7733" spans="6:8" x14ac:dyDescent="0.3">
      <c r="F7733"/>
      <c r="H7733"/>
    </row>
    <row r="7734" spans="6:8" x14ac:dyDescent="0.3">
      <c r="F7734"/>
      <c r="H7734"/>
    </row>
    <row r="7735" spans="6:8" x14ac:dyDescent="0.3">
      <c r="F7735"/>
      <c r="H7735"/>
    </row>
    <row r="7736" spans="6:8" x14ac:dyDescent="0.3">
      <c r="F7736"/>
      <c r="H7736"/>
    </row>
    <row r="7737" spans="6:8" x14ac:dyDescent="0.3">
      <c r="F7737"/>
      <c r="H7737"/>
    </row>
    <row r="7738" spans="6:8" x14ac:dyDescent="0.3">
      <c r="F7738"/>
      <c r="H7738"/>
    </row>
    <row r="7739" spans="6:8" x14ac:dyDescent="0.3">
      <c r="F7739"/>
      <c r="H7739"/>
    </row>
    <row r="7740" spans="6:8" x14ac:dyDescent="0.3">
      <c r="F7740"/>
      <c r="H7740"/>
    </row>
    <row r="7741" spans="6:8" x14ac:dyDescent="0.3">
      <c r="F7741"/>
      <c r="H7741"/>
    </row>
    <row r="7742" spans="6:8" x14ac:dyDescent="0.3">
      <c r="F7742"/>
      <c r="H7742"/>
    </row>
    <row r="7743" spans="6:8" x14ac:dyDescent="0.3">
      <c r="F7743"/>
      <c r="H7743"/>
    </row>
    <row r="7744" spans="6:8" x14ac:dyDescent="0.3">
      <c r="F7744"/>
      <c r="H7744"/>
    </row>
    <row r="7745" spans="6:8" x14ac:dyDescent="0.3">
      <c r="F7745"/>
      <c r="H7745"/>
    </row>
    <row r="7746" spans="6:8" x14ac:dyDescent="0.3">
      <c r="F7746"/>
      <c r="H7746"/>
    </row>
    <row r="7747" spans="6:8" x14ac:dyDescent="0.3">
      <c r="F7747"/>
      <c r="H7747"/>
    </row>
    <row r="7748" spans="6:8" x14ac:dyDescent="0.3">
      <c r="F7748"/>
      <c r="H7748"/>
    </row>
    <row r="7749" spans="6:8" x14ac:dyDescent="0.3">
      <c r="F7749"/>
      <c r="H7749"/>
    </row>
    <row r="7750" spans="6:8" x14ac:dyDescent="0.3">
      <c r="F7750"/>
      <c r="H7750"/>
    </row>
    <row r="7751" spans="6:8" x14ac:dyDescent="0.3">
      <c r="F7751"/>
      <c r="H7751"/>
    </row>
    <row r="7752" spans="6:8" x14ac:dyDescent="0.3">
      <c r="F7752"/>
      <c r="H7752"/>
    </row>
    <row r="7753" spans="6:8" x14ac:dyDescent="0.3">
      <c r="F7753"/>
      <c r="H7753"/>
    </row>
    <row r="7754" spans="6:8" x14ac:dyDescent="0.3">
      <c r="F7754"/>
      <c r="H7754"/>
    </row>
    <row r="7755" spans="6:8" x14ac:dyDescent="0.3">
      <c r="F7755"/>
      <c r="H7755"/>
    </row>
    <row r="7756" spans="6:8" x14ac:dyDescent="0.3">
      <c r="F7756"/>
      <c r="H7756"/>
    </row>
    <row r="7757" spans="6:8" x14ac:dyDescent="0.3">
      <c r="F7757"/>
      <c r="H7757"/>
    </row>
    <row r="7758" spans="6:8" x14ac:dyDescent="0.3">
      <c r="F7758"/>
      <c r="H7758"/>
    </row>
    <row r="7759" spans="6:8" x14ac:dyDescent="0.3">
      <c r="F7759"/>
      <c r="H7759"/>
    </row>
    <row r="7760" spans="6:8" x14ac:dyDescent="0.3">
      <c r="F7760"/>
      <c r="H7760"/>
    </row>
    <row r="7761" spans="6:8" x14ac:dyDescent="0.3">
      <c r="F7761"/>
      <c r="H7761"/>
    </row>
    <row r="7762" spans="6:8" x14ac:dyDescent="0.3">
      <c r="F7762"/>
      <c r="H7762"/>
    </row>
    <row r="7763" spans="6:8" x14ac:dyDescent="0.3">
      <c r="F7763"/>
      <c r="H7763"/>
    </row>
    <row r="7764" spans="6:8" x14ac:dyDescent="0.3">
      <c r="F7764"/>
      <c r="H7764"/>
    </row>
    <row r="7765" spans="6:8" x14ac:dyDescent="0.3">
      <c r="F7765"/>
      <c r="H7765"/>
    </row>
    <row r="7766" spans="6:8" x14ac:dyDescent="0.3">
      <c r="F7766"/>
      <c r="H7766"/>
    </row>
    <row r="7767" spans="6:8" x14ac:dyDescent="0.3">
      <c r="F7767"/>
      <c r="H7767"/>
    </row>
    <row r="7768" spans="6:8" x14ac:dyDescent="0.3">
      <c r="F7768"/>
      <c r="H7768"/>
    </row>
    <row r="7769" spans="6:8" x14ac:dyDescent="0.3">
      <c r="F7769"/>
      <c r="H7769"/>
    </row>
    <row r="7770" spans="6:8" x14ac:dyDescent="0.3">
      <c r="F7770"/>
      <c r="H7770"/>
    </row>
    <row r="7771" spans="6:8" x14ac:dyDescent="0.3">
      <c r="F7771"/>
      <c r="H7771"/>
    </row>
    <row r="7772" spans="6:8" x14ac:dyDescent="0.3">
      <c r="F7772"/>
      <c r="H7772"/>
    </row>
    <row r="7773" spans="6:8" x14ac:dyDescent="0.3">
      <c r="F7773"/>
      <c r="H7773"/>
    </row>
    <row r="7774" spans="6:8" x14ac:dyDescent="0.3">
      <c r="F7774"/>
      <c r="H7774"/>
    </row>
    <row r="7775" spans="6:8" x14ac:dyDescent="0.3">
      <c r="F7775"/>
      <c r="H7775"/>
    </row>
    <row r="7776" spans="6:8" x14ac:dyDescent="0.3">
      <c r="F7776"/>
      <c r="H7776"/>
    </row>
    <row r="7777" spans="6:8" x14ac:dyDescent="0.3">
      <c r="F7777"/>
      <c r="H7777"/>
    </row>
    <row r="7778" spans="6:8" x14ac:dyDescent="0.3">
      <c r="F7778"/>
      <c r="H7778"/>
    </row>
    <row r="7779" spans="6:8" x14ac:dyDescent="0.3">
      <c r="F7779"/>
      <c r="H7779"/>
    </row>
    <row r="7780" spans="6:8" x14ac:dyDescent="0.3">
      <c r="F7780"/>
      <c r="H7780"/>
    </row>
    <row r="7781" spans="6:8" x14ac:dyDescent="0.3">
      <c r="F7781"/>
      <c r="H7781"/>
    </row>
    <row r="7782" spans="6:8" x14ac:dyDescent="0.3">
      <c r="F7782"/>
      <c r="H7782"/>
    </row>
    <row r="7783" spans="6:8" x14ac:dyDescent="0.3">
      <c r="F7783"/>
      <c r="H7783"/>
    </row>
    <row r="7784" spans="6:8" x14ac:dyDescent="0.3">
      <c r="F7784"/>
      <c r="H7784"/>
    </row>
    <row r="7785" spans="6:8" x14ac:dyDescent="0.3">
      <c r="F7785"/>
      <c r="H7785"/>
    </row>
    <row r="7786" spans="6:8" x14ac:dyDescent="0.3">
      <c r="F7786"/>
      <c r="H7786"/>
    </row>
    <row r="7787" spans="6:8" x14ac:dyDescent="0.3">
      <c r="F7787"/>
      <c r="H7787"/>
    </row>
    <row r="7788" spans="6:8" x14ac:dyDescent="0.3">
      <c r="F7788"/>
      <c r="H7788"/>
    </row>
    <row r="7789" spans="6:8" x14ac:dyDescent="0.3">
      <c r="F7789"/>
      <c r="H7789"/>
    </row>
    <row r="7790" spans="6:8" x14ac:dyDescent="0.3">
      <c r="F7790"/>
      <c r="H7790"/>
    </row>
    <row r="7791" spans="6:8" x14ac:dyDescent="0.3">
      <c r="F7791"/>
      <c r="H7791"/>
    </row>
    <row r="7792" spans="6:8" x14ac:dyDescent="0.3">
      <c r="F7792"/>
      <c r="H7792"/>
    </row>
    <row r="7793" spans="6:8" x14ac:dyDescent="0.3">
      <c r="F7793"/>
      <c r="H7793"/>
    </row>
    <row r="7794" spans="6:8" x14ac:dyDescent="0.3">
      <c r="F7794"/>
      <c r="H7794"/>
    </row>
    <row r="7795" spans="6:8" x14ac:dyDescent="0.3">
      <c r="F7795"/>
      <c r="H7795"/>
    </row>
    <row r="7796" spans="6:8" x14ac:dyDescent="0.3">
      <c r="F7796"/>
      <c r="H7796"/>
    </row>
    <row r="7797" spans="6:8" x14ac:dyDescent="0.3">
      <c r="F7797"/>
      <c r="H7797"/>
    </row>
    <row r="7798" spans="6:8" x14ac:dyDescent="0.3">
      <c r="F7798"/>
      <c r="H7798"/>
    </row>
    <row r="7799" spans="6:8" x14ac:dyDescent="0.3">
      <c r="F7799"/>
      <c r="H7799"/>
    </row>
    <row r="7800" spans="6:8" x14ac:dyDescent="0.3">
      <c r="F7800"/>
      <c r="H7800"/>
    </row>
    <row r="7801" spans="6:8" x14ac:dyDescent="0.3">
      <c r="F7801"/>
      <c r="H7801"/>
    </row>
    <row r="7802" spans="6:8" x14ac:dyDescent="0.3">
      <c r="F7802"/>
      <c r="H7802"/>
    </row>
    <row r="7803" spans="6:8" x14ac:dyDescent="0.3">
      <c r="F7803"/>
      <c r="H7803"/>
    </row>
    <row r="7804" spans="6:8" x14ac:dyDescent="0.3">
      <c r="F7804"/>
      <c r="H7804"/>
    </row>
    <row r="7805" spans="6:8" x14ac:dyDescent="0.3">
      <c r="F7805"/>
      <c r="H7805"/>
    </row>
    <row r="7806" spans="6:8" x14ac:dyDescent="0.3">
      <c r="F7806"/>
      <c r="H7806"/>
    </row>
    <row r="7807" spans="6:8" x14ac:dyDescent="0.3">
      <c r="F7807"/>
      <c r="H7807"/>
    </row>
    <row r="7808" spans="6:8" x14ac:dyDescent="0.3">
      <c r="F7808"/>
      <c r="H7808"/>
    </row>
    <row r="7809" spans="6:8" x14ac:dyDescent="0.3">
      <c r="F7809"/>
      <c r="H7809"/>
    </row>
    <row r="7810" spans="6:8" x14ac:dyDescent="0.3">
      <c r="F7810"/>
      <c r="H7810"/>
    </row>
    <row r="7811" spans="6:8" x14ac:dyDescent="0.3">
      <c r="F7811"/>
      <c r="H7811"/>
    </row>
    <row r="7812" spans="6:8" x14ac:dyDescent="0.3">
      <c r="F7812"/>
      <c r="H7812"/>
    </row>
    <row r="7813" spans="6:8" x14ac:dyDescent="0.3">
      <c r="F7813"/>
      <c r="H7813"/>
    </row>
    <row r="7814" spans="6:8" x14ac:dyDescent="0.3">
      <c r="F7814"/>
      <c r="H7814"/>
    </row>
    <row r="7815" spans="6:8" x14ac:dyDescent="0.3">
      <c r="F7815"/>
      <c r="H7815"/>
    </row>
    <row r="7816" spans="6:8" x14ac:dyDescent="0.3">
      <c r="F7816"/>
      <c r="H7816"/>
    </row>
    <row r="7817" spans="6:8" x14ac:dyDescent="0.3">
      <c r="F7817"/>
      <c r="H7817"/>
    </row>
    <row r="7818" spans="6:8" x14ac:dyDescent="0.3">
      <c r="F7818"/>
      <c r="H7818"/>
    </row>
    <row r="7819" spans="6:8" x14ac:dyDescent="0.3">
      <c r="F7819"/>
      <c r="H7819"/>
    </row>
    <row r="7820" spans="6:8" x14ac:dyDescent="0.3">
      <c r="F7820"/>
      <c r="H7820"/>
    </row>
    <row r="7821" spans="6:8" x14ac:dyDescent="0.3">
      <c r="F7821"/>
      <c r="H7821"/>
    </row>
    <row r="7822" spans="6:8" x14ac:dyDescent="0.3">
      <c r="F7822"/>
      <c r="H7822"/>
    </row>
    <row r="7823" spans="6:8" x14ac:dyDescent="0.3">
      <c r="F7823"/>
      <c r="H7823"/>
    </row>
    <row r="7824" spans="6:8" x14ac:dyDescent="0.3">
      <c r="F7824"/>
      <c r="H7824"/>
    </row>
    <row r="7825" spans="6:8" x14ac:dyDescent="0.3">
      <c r="F7825"/>
      <c r="H7825"/>
    </row>
    <row r="7826" spans="6:8" x14ac:dyDescent="0.3">
      <c r="F7826"/>
      <c r="H7826"/>
    </row>
    <row r="7827" spans="6:8" x14ac:dyDescent="0.3">
      <c r="F7827"/>
      <c r="H7827"/>
    </row>
    <row r="7828" spans="6:8" x14ac:dyDescent="0.3">
      <c r="F7828"/>
      <c r="H7828"/>
    </row>
    <row r="7829" spans="6:8" x14ac:dyDescent="0.3">
      <c r="F7829"/>
      <c r="H7829"/>
    </row>
    <row r="7830" spans="6:8" x14ac:dyDescent="0.3">
      <c r="F7830"/>
      <c r="H7830"/>
    </row>
    <row r="7831" spans="6:8" x14ac:dyDescent="0.3">
      <c r="F7831"/>
      <c r="H7831"/>
    </row>
    <row r="7832" spans="6:8" x14ac:dyDescent="0.3">
      <c r="F7832"/>
      <c r="H7832"/>
    </row>
    <row r="7833" spans="6:8" x14ac:dyDescent="0.3">
      <c r="F7833"/>
      <c r="H7833"/>
    </row>
    <row r="7834" spans="6:8" x14ac:dyDescent="0.3">
      <c r="F7834"/>
      <c r="H7834"/>
    </row>
    <row r="7835" spans="6:8" x14ac:dyDescent="0.3">
      <c r="F7835"/>
      <c r="H7835"/>
    </row>
    <row r="7836" spans="6:8" x14ac:dyDescent="0.3">
      <c r="F7836"/>
      <c r="H7836"/>
    </row>
    <row r="7837" spans="6:8" x14ac:dyDescent="0.3">
      <c r="F7837"/>
      <c r="H7837"/>
    </row>
    <row r="7838" spans="6:8" x14ac:dyDescent="0.3">
      <c r="F7838"/>
      <c r="H7838"/>
    </row>
    <row r="7839" spans="6:8" x14ac:dyDescent="0.3">
      <c r="F7839"/>
      <c r="H7839"/>
    </row>
    <row r="7840" spans="6:8" x14ac:dyDescent="0.3">
      <c r="F7840"/>
      <c r="H7840"/>
    </row>
    <row r="7841" spans="6:8" x14ac:dyDescent="0.3">
      <c r="F7841"/>
      <c r="H7841"/>
    </row>
    <row r="7842" spans="6:8" x14ac:dyDescent="0.3">
      <c r="F7842"/>
      <c r="H7842"/>
    </row>
    <row r="7843" spans="6:8" x14ac:dyDescent="0.3">
      <c r="F7843"/>
      <c r="H7843"/>
    </row>
    <row r="7844" spans="6:8" x14ac:dyDescent="0.3">
      <c r="F7844"/>
      <c r="H7844"/>
    </row>
    <row r="7845" spans="6:8" x14ac:dyDescent="0.3">
      <c r="F7845"/>
      <c r="H7845"/>
    </row>
    <row r="7846" spans="6:8" x14ac:dyDescent="0.3">
      <c r="F7846"/>
      <c r="H7846"/>
    </row>
    <row r="7847" spans="6:8" x14ac:dyDescent="0.3">
      <c r="F7847"/>
      <c r="H7847"/>
    </row>
    <row r="7848" spans="6:8" x14ac:dyDescent="0.3">
      <c r="F7848"/>
      <c r="H7848"/>
    </row>
    <row r="7849" spans="6:8" x14ac:dyDescent="0.3">
      <c r="F7849"/>
      <c r="H7849"/>
    </row>
    <row r="7850" spans="6:8" x14ac:dyDescent="0.3">
      <c r="F7850"/>
      <c r="H7850"/>
    </row>
    <row r="7851" spans="6:8" x14ac:dyDescent="0.3">
      <c r="F7851"/>
      <c r="H7851"/>
    </row>
    <row r="7852" spans="6:8" x14ac:dyDescent="0.3">
      <c r="F7852"/>
      <c r="H7852"/>
    </row>
    <row r="7853" spans="6:8" x14ac:dyDescent="0.3">
      <c r="F7853"/>
      <c r="H7853"/>
    </row>
    <row r="7854" spans="6:8" x14ac:dyDescent="0.3">
      <c r="F7854"/>
      <c r="H7854"/>
    </row>
    <row r="7855" spans="6:8" x14ac:dyDescent="0.3">
      <c r="F7855"/>
      <c r="H7855"/>
    </row>
    <row r="7856" spans="6:8" x14ac:dyDescent="0.3">
      <c r="F7856"/>
      <c r="H7856"/>
    </row>
    <row r="7857" spans="6:8" x14ac:dyDescent="0.3">
      <c r="F7857"/>
      <c r="H7857"/>
    </row>
    <row r="7858" spans="6:8" x14ac:dyDescent="0.3">
      <c r="F7858"/>
      <c r="H7858"/>
    </row>
    <row r="7859" spans="6:8" x14ac:dyDescent="0.3">
      <c r="F7859"/>
      <c r="H7859"/>
    </row>
    <row r="7860" spans="6:8" x14ac:dyDescent="0.3">
      <c r="F7860"/>
      <c r="H7860"/>
    </row>
    <row r="7861" spans="6:8" x14ac:dyDescent="0.3">
      <c r="F7861"/>
      <c r="H7861"/>
    </row>
    <row r="7862" spans="6:8" x14ac:dyDescent="0.3">
      <c r="F7862"/>
      <c r="H7862"/>
    </row>
    <row r="7863" spans="6:8" x14ac:dyDescent="0.3">
      <c r="F7863"/>
      <c r="H7863"/>
    </row>
    <row r="7864" spans="6:8" x14ac:dyDescent="0.3">
      <c r="F7864"/>
      <c r="H7864"/>
    </row>
    <row r="7865" spans="6:8" x14ac:dyDescent="0.3">
      <c r="F7865"/>
      <c r="H7865"/>
    </row>
    <row r="7866" spans="6:8" x14ac:dyDescent="0.3">
      <c r="F7866"/>
      <c r="H7866"/>
    </row>
    <row r="7867" spans="6:8" x14ac:dyDescent="0.3">
      <c r="F7867"/>
      <c r="H7867"/>
    </row>
    <row r="7868" spans="6:8" x14ac:dyDescent="0.3">
      <c r="F7868"/>
      <c r="H7868"/>
    </row>
    <row r="7869" spans="6:8" x14ac:dyDescent="0.3">
      <c r="F7869"/>
      <c r="H7869"/>
    </row>
    <row r="7870" spans="6:8" x14ac:dyDescent="0.3">
      <c r="F7870"/>
      <c r="H7870"/>
    </row>
    <row r="7871" spans="6:8" x14ac:dyDescent="0.3">
      <c r="F7871"/>
      <c r="H7871"/>
    </row>
    <row r="7872" spans="6:8" x14ac:dyDescent="0.3">
      <c r="F7872"/>
      <c r="H7872"/>
    </row>
    <row r="7873" spans="6:8" x14ac:dyDescent="0.3">
      <c r="F7873"/>
      <c r="H7873"/>
    </row>
    <row r="7874" spans="6:8" x14ac:dyDescent="0.3">
      <c r="F7874"/>
      <c r="H7874"/>
    </row>
    <row r="7875" spans="6:8" x14ac:dyDescent="0.3">
      <c r="F7875"/>
      <c r="H7875"/>
    </row>
    <row r="7876" spans="6:8" x14ac:dyDescent="0.3">
      <c r="F7876"/>
      <c r="H7876"/>
    </row>
    <row r="7877" spans="6:8" x14ac:dyDescent="0.3">
      <c r="F7877"/>
      <c r="H7877"/>
    </row>
    <row r="7878" spans="6:8" x14ac:dyDescent="0.3">
      <c r="F7878"/>
      <c r="H7878"/>
    </row>
    <row r="7879" spans="6:8" x14ac:dyDescent="0.3">
      <c r="F7879"/>
      <c r="H7879"/>
    </row>
    <row r="7880" spans="6:8" x14ac:dyDescent="0.3">
      <c r="F7880"/>
      <c r="H7880"/>
    </row>
    <row r="7881" spans="6:8" x14ac:dyDescent="0.3">
      <c r="F7881"/>
      <c r="H7881"/>
    </row>
    <row r="7882" spans="6:8" x14ac:dyDescent="0.3">
      <c r="F7882"/>
      <c r="H7882"/>
    </row>
    <row r="7883" spans="6:8" x14ac:dyDescent="0.3">
      <c r="F7883"/>
      <c r="H7883"/>
    </row>
    <row r="7884" spans="6:8" x14ac:dyDescent="0.3">
      <c r="F7884"/>
      <c r="H7884"/>
    </row>
    <row r="7885" spans="6:8" x14ac:dyDescent="0.3">
      <c r="F7885"/>
      <c r="H7885"/>
    </row>
    <row r="7886" spans="6:8" x14ac:dyDescent="0.3">
      <c r="F7886"/>
      <c r="H7886"/>
    </row>
    <row r="7887" spans="6:8" x14ac:dyDescent="0.3">
      <c r="F7887"/>
      <c r="H7887"/>
    </row>
    <row r="7888" spans="6:8" x14ac:dyDescent="0.3">
      <c r="F7888"/>
      <c r="H7888"/>
    </row>
    <row r="7889" spans="6:8" x14ac:dyDescent="0.3">
      <c r="F7889"/>
      <c r="H7889"/>
    </row>
    <row r="7890" spans="6:8" x14ac:dyDescent="0.3">
      <c r="F7890"/>
      <c r="H7890"/>
    </row>
    <row r="7891" spans="6:8" x14ac:dyDescent="0.3">
      <c r="F7891"/>
      <c r="H7891"/>
    </row>
    <row r="7892" spans="6:8" x14ac:dyDescent="0.3">
      <c r="F7892"/>
      <c r="H7892"/>
    </row>
    <row r="7893" spans="6:8" x14ac:dyDescent="0.3">
      <c r="F7893"/>
      <c r="H7893"/>
    </row>
    <row r="7894" spans="6:8" x14ac:dyDescent="0.3">
      <c r="F7894"/>
      <c r="H7894"/>
    </row>
    <row r="7895" spans="6:8" x14ac:dyDescent="0.3">
      <c r="F7895"/>
      <c r="H7895"/>
    </row>
    <row r="7896" spans="6:8" x14ac:dyDescent="0.3">
      <c r="F7896"/>
      <c r="H7896"/>
    </row>
    <row r="7897" spans="6:8" x14ac:dyDescent="0.3">
      <c r="F7897"/>
      <c r="H7897"/>
    </row>
    <row r="7898" spans="6:8" x14ac:dyDescent="0.3">
      <c r="F7898"/>
      <c r="H7898"/>
    </row>
    <row r="7899" spans="6:8" x14ac:dyDescent="0.3">
      <c r="F7899"/>
      <c r="H7899"/>
    </row>
    <row r="7900" spans="6:8" x14ac:dyDescent="0.3">
      <c r="F7900"/>
      <c r="H7900"/>
    </row>
    <row r="7901" spans="6:8" x14ac:dyDescent="0.3">
      <c r="F7901"/>
      <c r="H7901"/>
    </row>
    <row r="7902" spans="6:8" x14ac:dyDescent="0.3">
      <c r="F7902"/>
      <c r="H7902"/>
    </row>
    <row r="7903" spans="6:8" x14ac:dyDescent="0.3">
      <c r="F7903"/>
      <c r="H7903"/>
    </row>
    <row r="7904" spans="6:8" x14ac:dyDescent="0.3">
      <c r="F7904"/>
      <c r="H7904"/>
    </row>
    <row r="7905" spans="6:8" x14ac:dyDescent="0.3">
      <c r="F7905"/>
      <c r="H7905"/>
    </row>
    <row r="7906" spans="6:8" x14ac:dyDescent="0.3">
      <c r="F7906"/>
      <c r="H7906"/>
    </row>
    <row r="7907" spans="6:8" x14ac:dyDescent="0.3">
      <c r="F7907"/>
      <c r="H7907"/>
    </row>
    <row r="7908" spans="6:8" x14ac:dyDescent="0.3">
      <c r="F7908"/>
      <c r="H7908"/>
    </row>
    <row r="7909" spans="6:8" x14ac:dyDescent="0.3">
      <c r="F7909"/>
      <c r="H7909"/>
    </row>
    <row r="7910" spans="6:8" x14ac:dyDescent="0.3">
      <c r="F7910"/>
      <c r="H7910"/>
    </row>
    <row r="7911" spans="6:8" x14ac:dyDescent="0.3">
      <c r="F7911"/>
      <c r="H7911"/>
    </row>
    <row r="7912" spans="6:8" x14ac:dyDescent="0.3">
      <c r="F7912"/>
      <c r="H7912"/>
    </row>
    <row r="7913" spans="6:8" x14ac:dyDescent="0.3">
      <c r="F7913"/>
      <c r="H7913"/>
    </row>
    <row r="7914" spans="6:8" x14ac:dyDescent="0.3">
      <c r="F7914"/>
      <c r="H7914"/>
    </row>
    <row r="7915" spans="6:8" x14ac:dyDescent="0.3">
      <c r="F7915"/>
      <c r="H7915"/>
    </row>
    <row r="7916" spans="6:8" x14ac:dyDescent="0.3">
      <c r="F7916"/>
      <c r="H7916"/>
    </row>
    <row r="7917" spans="6:8" x14ac:dyDescent="0.3">
      <c r="F7917"/>
      <c r="H7917"/>
    </row>
    <row r="7918" spans="6:8" x14ac:dyDescent="0.3">
      <c r="F7918"/>
      <c r="H7918"/>
    </row>
    <row r="7919" spans="6:8" x14ac:dyDescent="0.3">
      <c r="F7919"/>
      <c r="H7919"/>
    </row>
    <row r="7920" spans="6:8" x14ac:dyDescent="0.3">
      <c r="F7920"/>
      <c r="H7920"/>
    </row>
    <row r="7921" spans="6:8" x14ac:dyDescent="0.3">
      <c r="F7921"/>
      <c r="H7921"/>
    </row>
    <row r="7922" spans="6:8" x14ac:dyDescent="0.3">
      <c r="F7922"/>
      <c r="H7922"/>
    </row>
    <row r="7923" spans="6:8" x14ac:dyDescent="0.3">
      <c r="F7923"/>
      <c r="H7923"/>
    </row>
    <row r="7924" spans="6:8" x14ac:dyDescent="0.3">
      <c r="F7924"/>
      <c r="H7924"/>
    </row>
    <row r="7925" spans="6:8" x14ac:dyDescent="0.3">
      <c r="F7925"/>
      <c r="H7925"/>
    </row>
    <row r="7926" spans="6:8" x14ac:dyDescent="0.3">
      <c r="F7926"/>
      <c r="H7926"/>
    </row>
    <row r="7927" spans="6:8" x14ac:dyDescent="0.3">
      <c r="F7927"/>
      <c r="H7927"/>
    </row>
    <row r="7928" spans="6:8" x14ac:dyDescent="0.3">
      <c r="F7928"/>
      <c r="H7928"/>
    </row>
    <row r="7929" spans="6:8" x14ac:dyDescent="0.3">
      <c r="F7929"/>
      <c r="H7929"/>
    </row>
    <row r="7930" spans="6:8" x14ac:dyDescent="0.3">
      <c r="F7930"/>
      <c r="H7930"/>
    </row>
    <row r="7931" spans="6:8" x14ac:dyDescent="0.3">
      <c r="F7931"/>
      <c r="H7931"/>
    </row>
    <row r="7932" spans="6:8" x14ac:dyDescent="0.3">
      <c r="F7932"/>
      <c r="H7932"/>
    </row>
    <row r="7933" spans="6:8" x14ac:dyDescent="0.3">
      <c r="F7933"/>
      <c r="H7933"/>
    </row>
    <row r="7934" spans="6:8" x14ac:dyDescent="0.3">
      <c r="F7934"/>
      <c r="H7934"/>
    </row>
    <row r="7935" spans="6:8" x14ac:dyDescent="0.3">
      <c r="F7935"/>
      <c r="H7935"/>
    </row>
    <row r="7936" spans="6:8" x14ac:dyDescent="0.3">
      <c r="F7936"/>
      <c r="H7936"/>
    </row>
    <row r="7937" spans="6:8" x14ac:dyDescent="0.3">
      <c r="F7937"/>
      <c r="H7937"/>
    </row>
    <row r="7938" spans="6:8" x14ac:dyDescent="0.3">
      <c r="F7938"/>
      <c r="H7938"/>
    </row>
    <row r="7939" spans="6:8" x14ac:dyDescent="0.3">
      <c r="F7939"/>
      <c r="H7939"/>
    </row>
    <row r="7940" spans="6:8" x14ac:dyDescent="0.3">
      <c r="F7940"/>
      <c r="H7940"/>
    </row>
    <row r="7941" spans="6:8" x14ac:dyDescent="0.3">
      <c r="F7941"/>
      <c r="H7941"/>
    </row>
    <row r="7942" spans="6:8" x14ac:dyDescent="0.3">
      <c r="F7942"/>
      <c r="H7942"/>
    </row>
    <row r="7943" spans="6:8" x14ac:dyDescent="0.3">
      <c r="F7943"/>
      <c r="H7943"/>
    </row>
    <row r="7944" spans="6:8" x14ac:dyDescent="0.3">
      <c r="F7944"/>
      <c r="H7944"/>
    </row>
    <row r="7945" spans="6:8" x14ac:dyDescent="0.3">
      <c r="F7945"/>
      <c r="H7945"/>
    </row>
    <row r="7946" spans="6:8" x14ac:dyDescent="0.3">
      <c r="F7946"/>
      <c r="H7946"/>
    </row>
    <row r="7947" spans="6:8" x14ac:dyDescent="0.3">
      <c r="F7947"/>
      <c r="H7947"/>
    </row>
    <row r="7948" spans="6:8" x14ac:dyDescent="0.3">
      <c r="F7948"/>
      <c r="H7948"/>
    </row>
    <row r="7949" spans="6:8" x14ac:dyDescent="0.3">
      <c r="F7949"/>
      <c r="H7949"/>
    </row>
    <row r="7950" spans="6:8" x14ac:dyDescent="0.3">
      <c r="F7950"/>
      <c r="H7950"/>
    </row>
    <row r="7951" spans="6:8" x14ac:dyDescent="0.3">
      <c r="F7951"/>
      <c r="H7951"/>
    </row>
    <row r="7952" spans="6:8" x14ac:dyDescent="0.3">
      <c r="F7952"/>
      <c r="H7952"/>
    </row>
    <row r="7953" spans="6:8" x14ac:dyDescent="0.3">
      <c r="F7953"/>
      <c r="H7953"/>
    </row>
    <row r="7954" spans="6:8" x14ac:dyDescent="0.3">
      <c r="F7954"/>
      <c r="H7954"/>
    </row>
    <row r="7955" spans="6:8" x14ac:dyDescent="0.3">
      <c r="F7955"/>
      <c r="H7955"/>
    </row>
    <row r="7956" spans="6:8" x14ac:dyDescent="0.3">
      <c r="F7956"/>
      <c r="H7956"/>
    </row>
    <row r="7957" spans="6:8" x14ac:dyDescent="0.3">
      <c r="F7957"/>
      <c r="H7957"/>
    </row>
    <row r="7958" spans="6:8" x14ac:dyDescent="0.3">
      <c r="F7958"/>
      <c r="H7958"/>
    </row>
    <row r="7959" spans="6:8" x14ac:dyDescent="0.3">
      <c r="F7959"/>
      <c r="H7959"/>
    </row>
    <row r="7960" spans="6:8" x14ac:dyDescent="0.3">
      <c r="F7960"/>
      <c r="H7960"/>
    </row>
    <row r="7961" spans="6:8" x14ac:dyDescent="0.3">
      <c r="F7961"/>
      <c r="H7961"/>
    </row>
    <row r="7962" spans="6:8" x14ac:dyDescent="0.3">
      <c r="F7962"/>
      <c r="H7962"/>
    </row>
    <row r="7963" spans="6:8" x14ac:dyDescent="0.3">
      <c r="F7963"/>
      <c r="H7963"/>
    </row>
    <row r="7964" spans="6:8" x14ac:dyDescent="0.3">
      <c r="F7964"/>
      <c r="H7964"/>
    </row>
    <row r="7965" spans="6:8" x14ac:dyDescent="0.3">
      <c r="F7965"/>
      <c r="H7965"/>
    </row>
    <row r="7966" spans="6:8" x14ac:dyDescent="0.3">
      <c r="F7966"/>
      <c r="H7966"/>
    </row>
    <row r="7967" spans="6:8" x14ac:dyDescent="0.3">
      <c r="F7967"/>
      <c r="H7967"/>
    </row>
    <row r="7968" spans="6:8" x14ac:dyDescent="0.3">
      <c r="F7968"/>
      <c r="H7968"/>
    </row>
    <row r="7969" spans="6:8" x14ac:dyDescent="0.3">
      <c r="F7969"/>
      <c r="H7969"/>
    </row>
    <row r="7970" spans="6:8" x14ac:dyDescent="0.3">
      <c r="F7970"/>
      <c r="H7970"/>
    </row>
    <row r="7971" spans="6:8" x14ac:dyDescent="0.3">
      <c r="F7971"/>
      <c r="H7971"/>
    </row>
    <row r="7972" spans="6:8" x14ac:dyDescent="0.3">
      <c r="F7972"/>
      <c r="H7972"/>
    </row>
    <row r="7973" spans="6:8" x14ac:dyDescent="0.3">
      <c r="F7973"/>
      <c r="H7973"/>
    </row>
    <row r="7974" spans="6:8" x14ac:dyDescent="0.3">
      <c r="F7974"/>
      <c r="H7974"/>
    </row>
    <row r="7975" spans="6:8" x14ac:dyDescent="0.3">
      <c r="F7975"/>
      <c r="H7975"/>
    </row>
    <row r="7976" spans="6:8" x14ac:dyDescent="0.3">
      <c r="F7976"/>
      <c r="H7976"/>
    </row>
    <row r="7977" spans="6:8" x14ac:dyDescent="0.3">
      <c r="F7977"/>
      <c r="H7977"/>
    </row>
    <row r="7978" spans="6:8" x14ac:dyDescent="0.3">
      <c r="F7978"/>
      <c r="H7978"/>
    </row>
    <row r="7979" spans="6:8" x14ac:dyDescent="0.3">
      <c r="F7979"/>
      <c r="H7979"/>
    </row>
    <row r="7980" spans="6:8" x14ac:dyDescent="0.3">
      <c r="F7980"/>
      <c r="H7980"/>
    </row>
    <row r="7981" spans="6:8" x14ac:dyDescent="0.3">
      <c r="F7981"/>
      <c r="H7981"/>
    </row>
    <row r="7982" spans="6:8" x14ac:dyDescent="0.3">
      <c r="F7982"/>
      <c r="H7982"/>
    </row>
    <row r="7983" spans="6:8" x14ac:dyDescent="0.3">
      <c r="F7983"/>
      <c r="H7983"/>
    </row>
    <row r="7984" spans="6:8" x14ac:dyDescent="0.3">
      <c r="F7984"/>
      <c r="H7984"/>
    </row>
    <row r="7985" spans="6:8" x14ac:dyDescent="0.3">
      <c r="F7985"/>
      <c r="H7985"/>
    </row>
    <row r="7986" spans="6:8" x14ac:dyDescent="0.3">
      <c r="F7986"/>
      <c r="H7986"/>
    </row>
    <row r="7987" spans="6:8" x14ac:dyDescent="0.3">
      <c r="F7987"/>
      <c r="H7987"/>
    </row>
    <row r="7988" spans="6:8" x14ac:dyDescent="0.3">
      <c r="F7988"/>
      <c r="H7988"/>
    </row>
    <row r="7989" spans="6:8" x14ac:dyDescent="0.3">
      <c r="F7989"/>
      <c r="H7989"/>
    </row>
    <row r="7990" spans="6:8" x14ac:dyDescent="0.3">
      <c r="F7990"/>
      <c r="H7990"/>
    </row>
    <row r="7991" spans="6:8" x14ac:dyDescent="0.3">
      <c r="F7991"/>
      <c r="H7991"/>
    </row>
    <row r="7992" spans="6:8" x14ac:dyDescent="0.3">
      <c r="F7992"/>
      <c r="H7992"/>
    </row>
    <row r="7993" spans="6:8" x14ac:dyDescent="0.3">
      <c r="F7993"/>
      <c r="H7993"/>
    </row>
    <row r="7994" spans="6:8" x14ac:dyDescent="0.3">
      <c r="F7994"/>
      <c r="H7994"/>
    </row>
    <row r="7995" spans="6:8" x14ac:dyDescent="0.3">
      <c r="F7995"/>
      <c r="H7995"/>
    </row>
    <row r="7996" spans="6:8" x14ac:dyDescent="0.3">
      <c r="F7996"/>
      <c r="H7996"/>
    </row>
    <row r="7997" spans="6:8" x14ac:dyDescent="0.3">
      <c r="F7997"/>
      <c r="H7997"/>
    </row>
    <row r="7998" spans="6:8" x14ac:dyDescent="0.3">
      <c r="F7998"/>
      <c r="H7998"/>
    </row>
    <row r="7999" spans="6:8" x14ac:dyDescent="0.3">
      <c r="F7999"/>
      <c r="H7999"/>
    </row>
    <row r="8000" spans="6:8" x14ac:dyDescent="0.3">
      <c r="F8000"/>
      <c r="H8000"/>
    </row>
    <row r="8001" spans="6:8" x14ac:dyDescent="0.3">
      <c r="F8001"/>
      <c r="H8001"/>
    </row>
    <row r="8002" spans="6:8" x14ac:dyDescent="0.3">
      <c r="F8002"/>
      <c r="H8002"/>
    </row>
    <row r="8003" spans="6:8" x14ac:dyDescent="0.3">
      <c r="F8003"/>
      <c r="H8003"/>
    </row>
    <row r="8004" spans="6:8" x14ac:dyDescent="0.3">
      <c r="F8004"/>
      <c r="H8004"/>
    </row>
    <row r="8005" spans="6:8" x14ac:dyDescent="0.3">
      <c r="F8005"/>
      <c r="H8005"/>
    </row>
    <row r="8006" spans="6:8" x14ac:dyDescent="0.3">
      <c r="F8006"/>
      <c r="H8006"/>
    </row>
    <row r="8007" spans="6:8" x14ac:dyDescent="0.3">
      <c r="F8007"/>
      <c r="H8007"/>
    </row>
    <row r="8008" spans="6:8" x14ac:dyDescent="0.3">
      <c r="F8008"/>
      <c r="H8008"/>
    </row>
    <row r="8009" spans="6:8" x14ac:dyDescent="0.3">
      <c r="F8009"/>
      <c r="H8009"/>
    </row>
    <row r="8010" spans="6:8" x14ac:dyDescent="0.3">
      <c r="F8010"/>
      <c r="H8010"/>
    </row>
    <row r="8011" spans="6:8" x14ac:dyDescent="0.3">
      <c r="F8011"/>
      <c r="H8011"/>
    </row>
    <row r="8012" spans="6:8" x14ac:dyDescent="0.3">
      <c r="F8012"/>
      <c r="H8012"/>
    </row>
    <row r="8013" spans="6:8" x14ac:dyDescent="0.3">
      <c r="F8013"/>
      <c r="H8013"/>
    </row>
    <row r="8014" spans="6:8" x14ac:dyDescent="0.3">
      <c r="F8014"/>
      <c r="H8014"/>
    </row>
    <row r="8015" spans="6:8" x14ac:dyDescent="0.3">
      <c r="F8015"/>
      <c r="H8015"/>
    </row>
    <row r="8016" spans="6:8" x14ac:dyDescent="0.3">
      <c r="F8016"/>
      <c r="H8016"/>
    </row>
    <row r="8017" spans="6:8" x14ac:dyDescent="0.3">
      <c r="F8017"/>
      <c r="H8017"/>
    </row>
    <row r="8018" spans="6:8" x14ac:dyDescent="0.3">
      <c r="F8018"/>
      <c r="H8018"/>
    </row>
    <row r="8019" spans="6:8" x14ac:dyDescent="0.3">
      <c r="F8019"/>
      <c r="H8019"/>
    </row>
    <row r="8020" spans="6:8" x14ac:dyDescent="0.3">
      <c r="F8020"/>
      <c r="H8020"/>
    </row>
    <row r="8021" spans="6:8" x14ac:dyDescent="0.3">
      <c r="F8021"/>
      <c r="H8021"/>
    </row>
    <row r="8022" spans="6:8" x14ac:dyDescent="0.3">
      <c r="F8022"/>
      <c r="H8022"/>
    </row>
    <row r="8023" spans="6:8" x14ac:dyDescent="0.3">
      <c r="F8023"/>
      <c r="H8023"/>
    </row>
    <row r="8024" spans="6:8" x14ac:dyDescent="0.3">
      <c r="F8024"/>
      <c r="H8024"/>
    </row>
    <row r="8025" spans="6:8" x14ac:dyDescent="0.3">
      <c r="F8025"/>
      <c r="H8025"/>
    </row>
    <row r="8026" spans="6:8" x14ac:dyDescent="0.3">
      <c r="F8026"/>
      <c r="H8026"/>
    </row>
    <row r="8027" spans="6:8" x14ac:dyDescent="0.3">
      <c r="F8027"/>
      <c r="H8027"/>
    </row>
    <row r="8028" spans="6:8" x14ac:dyDescent="0.3">
      <c r="F8028"/>
      <c r="H8028"/>
    </row>
    <row r="8029" spans="6:8" x14ac:dyDescent="0.3">
      <c r="F8029"/>
      <c r="H8029"/>
    </row>
    <row r="8030" spans="6:8" x14ac:dyDescent="0.3">
      <c r="F8030"/>
      <c r="H8030"/>
    </row>
    <row r="8031" spans="6:8" x14ac:dyDescent="0.3">
      <c r="F8031"/>
      <c r="H8031"/>
    </row>
    <row r="8032" spans="6:8" x14ac:dyDescent="0.3">
      <c r="F8032"/>
      <c r="H8032"/>
    </row>
    <row r="8033" spans="6:8" x14ac:dyDescent="0.3">
      <c r="F8033"/>
      <c r="H8033"/>
    </row>
    <row r="8034" spans="6:8" x14ac:dyDescent="0.3">
      <c r="F8034"/>
      <c r="H8034"/>
    </row>
    <row r="8035" spans="6:8" x14ac:dyDescent="0.3">
      <c r="F8035"/>
      <c r="H8035"/>
    </row>
    <row r="8036" spans="6:8" x14ac:dyDescent="0.3">
      <c r="F8036"/>
      <c r="H8036"/>
    </row>
    <row r="8037" spans="6:8" x14ac:dyDescent="0.3">
      <c r="F8037"/>
      <c r="H8037"/>
    </row>
    <row r="8038" spans="6:8" x14ac:dyDescent="0.3">
      <c r="F8038"/>
      <c r="H8038"/>
    </row>
    <row r="8039" spans="6:8" x14ac:dyDescent="0.3">
      <c r="F8039"/>
      <c r="H8039"/>
    </row>
    <row r="8040" spans="6:8" x14ac:dyDescent="0.3">
      <c r="F8040"/>
      <c r="H8040"/>
    </row>
    <row r="8041" spans="6:8" x14ac:dyDescent="0.3">
      <c r="F8041"/>
      <c r="H8041"/>
    </row>
    <row r="8042" spans="6:8" x14ac:dyDescent="0.3">
      <c r="F8042"/>
      <c r="H8042"/>
    </row>
    <row r="8043" spans="6:8" x14ac:dyDescent="0.3">
      <c r="F8043"/>
      <c r="H8043"/>
    </row>
    <row r="8044" spans="6:8" x14ac:dyDescent="0.3">
      <c r="F8044"/>
      <c r="H8044"/>
    </row>
    <row r="8045" spans="6:8" x14ac:dyDescent="0.3">
      <c r="F8045"/>
      <c r="H8045"/>
    </row>
    <row r="8046" spans="6:8" x14ac:dyDescent="0.3">
      <c r="F8046"/>
      <c r="H8046"/>
    </row>
    <row r="8047" spans="6:8" x14ac:dyDescent="0.3">
      <c r="F8047"/>
      <c r="H8047"/>
    </row>
    <row r="8048" spans="6:8" x14ac:dyDescent="0.3">
      <c r="F8048"/>
      <c r="H8048"/>
    </row>
    <row r="8049" spans="6:8" x14ac:dyDescent="0.3">
      <c r="F8049"/>
      <c r="H8049"/>
    </row>
    <row r="8050" spans="6:8" x14ac:dyDescent="0.3">
      <c r="F8050"/>
      <c r="H8050"/>
    </row>
    <row r="8051" spans="6:8" x14ac:dyDescent="0.3">
      <c r="F8051"/>
      <c r="H8051"/>
    </row>
    <row r="8052" spans="6:8" x14ac:dyDescent="0.3">
      <c r="F8052"/>
      <c r="H8052"/>
    </row>
    <row r="8053" spans="6:8" x14ac:dyDescent="0.3">
      <c r="F8053"/>
      <c r="H8053"/>
    </row>
    <row r="8054" spans="6:8" x14ac:dyDescent="0.3">
      <c r="F8054"/>
      <c r="H8054"/>
    </row>
    <row r="8055" spans="6:8" x14ac:dyDescent="0.3">
      <c r="F8055"/>
      <c r="H8055"/>
    </row>
    <row r="8056" spans="6:8" x14ac:dyDescent="0.3">
      <c r="F8056"/>
      <c r="H8056"/>
    </row>
    <row r="8057" spans="6:8" x14ac:dyDescent="0.3">
      <c r="F8057"/>
      <c r="H8057"/>
    </row>
    <row r="8058" spans="6:8" x14ac:dyDescent="0.3">
      <c r="F8058"/>
      <c r="H8058"/>
    </row>
    <row r="8059" spans="6:8" x14ac:dyDescent="0.3">
      <c r="F8059"/>
      <c r="H8059"/>
    </row>
    <row r="8060" spans="6:8" x14ac:dyDescent="0.3">
      <c r="F8060"/>
      <c r="H8060"/>
    </row>
    <row r="8061" spans="6:8" x14ac:dyDescent="0.3">
      <c r="F8061"/>
      <c r="H8061"/>
    </row>
    <row r="8062" spans="6:8" x14ac:dyDescent="0.3">
      <c r="F8062"/>
      <c r="H8062"/>
    </row>
    <row r="8063" spans="6:8" x14ac:dyDescent="0.3">
      <c r="F8063"/>
      <c r="H8063"/>
    </row>
    <row r="8064" spans="6:8" x14ac:dyDescent="0.3">
      <c r="F8064"/>
      <c r="H8064"/>
    </row>
    <row r="8065" spans="6:8" x14ac:dyDescent="0.3">
      <c r="F8065"/>
      <c r="H8065"/>
    </row>
    <row r="8066" spans="6:8" x14ac:dyDescent="0.3">
      <c r="F8066"/>
      <c r="H8066"/>
    </row>
    <row r="8067" spans="6:8" x14ac:dyDescent="0.3">
      <c r="F8067"/>
      <c r="H8067"/>
    </row>
    <row r="8068" spans="6:8" x14ac:dyDescent="0.3">
      <c r="F8068"/>
      <c r="H8068"/>
    </row>
    <row r="8069" spans="6:8" x14ac:dyDescent="0.3">
      <c r="F8069"/>
      <c r="H8069"/>
    </row>
    <row r="8070" spans="6:8" x14ac:dyDescent="0.3">
      <c r="F8070"/>
      <c r="H8070"/>
    </row>
    <row r="8071" spans="6:8" x14ac:dyDescent="0.3">
      <c r="F8071"/>
      <c r="H8071"/>
    </row>
    <row r="8072" spans="6:8" x14ac:dyDescent="0.3">
      <c r="F8072"/>
      <c r="H8072"/>
    </row>
    <row r="8073" spans="6:8" x14ac:dyDescent="0.3">
      <c r="F8073"/>
      <c r="H8073"/>
    </row>
    <row r="8074" spans="6:8" x14ac:dyDescent="0.3">
      <c r="F8074"/>
      <c r="H8074"/>
    </row>
    <row r="8075" spans="6:8" x14ac:dyDescent="0.3">
      <c r="F8075"/>
      <c r="H8075"/>
    </row>
    <row r="8076" spans="6:8" x14ac:dyDescent="0.3">
      <c r="F8076"/>
      <c r="H8076"/>
    </row>
    <row r="8077" spans="6:8" x14ac:dyDescent="0.3">
      <c r="F8077"/>
      <c r="H8077"/>
    </row>
    <row r="8078" spans="6:8" x14ac:dyDescent="0.3">
      <c r="F8078"/>
      <c r="H8078"/>
    </row>
    <row r="8079" spans="6:8" x14ac:dyDescent="0.3">
      <c r="F8079"/>
      <c r="H8079"/>
    </row>
    <row r="8080" spans="6:8" x14ac:dyDescent="0.3">
      <c r="F8080"/>
      <c r="H8080"/>
    </row>
    <row r="8081" spans="6:8" x14ac:dyDescent="0.3">
      <c r="F8081"/>
      <c r="H8081"/>
    </row>
    <row r="8082" spans="6:8" x14ac:dyDescent="0.3">
      <c r="F8082"/>
      <c r="H8082"/>
    </row>
    <row r="8083" spans="6:8" x14ac:dyDescent="0.3">
      <c r="F8083"/>
      <c r="H8083"/>
    </row>
    <row r="8084" spans="6:8" x14ac:dyDescent="0.3">
      <c r="F8084"/>
      <c r="H8084"/>
    </row>
    <row r="8085" spans="6:8" x14ac:dyDescent="0.3">
      <c r="F8085"/>
      <c r="H8085"/>
    </row>
    <row r="8086" spans="6:8" x14ac:dyDescent="0.3">
      <c r="F8086"/>
      <c r="H8086"/>
    </row>
    <row r="8087" spans="6:8" x14ac:dyDescent="0.3">
      <c r="F8087"/>
      <c r="H8087"/>
    </row>
    <row r="8088" spans="6:8" x14ac:dyDescent="0.3">
      <c r="F8088"/>
      <c r="H8088"/>
    </row>
    <row r="8089" spans="6:8" x14ac:dyDescent="0.3">
      <c r="F8089"/>
      <c r="H8089"/>
    </row>
    <row r="8090" spans="6:8" x14ac:dyDescent="0.3">
      <c r="F8090"/>
      <c r="H8090"/>
    </row>
    <row r="8091" spans="6:8" x14ac:dyDescent="0.3">
      <c r="F8091"/>
      <c r="H8091"/>
    </row>
    <row r="8092" spans="6:8" x14ac:dyDescent="0.3">
      <c r="F8092"/>
      <c r="H8092"/>
    </row>
    <row r="8093" spans="6:8" x14ac:dyDescent="0.3">
      <c r="F8093"/>
      <c r="H8093"/>
    </row>
    <row r="8094" spans="6:8" x14ac:dyDescent="0.3">
      <c r="F8094"/>
      <c r="H8094"/>
    </row>
    <row r="8095" spans="6:8" x14ac:dyDescent="0.3">
      <c r="F8095"/>
      <c r="H8095"/>
    </row>
    <row r="8096" spans="6:8" x14ac:dyDescent="0.3">
      <c r="F8096"/>
      <c r="H8096"/>
    </row>
    <row r="8097" spans="6:8" x14ac:dyDescent="0.3">
      <c r="F8097"/>
      <c r="H8097"/>
    </row>
    <row r="8098" spans="6:8" x14ac:dyDescent="0.3">
      <c r="F8098"/>
      <c r="H8098"/>
    </row>
    <row r="8099" spans="6:8" x14ac:dyDescent="0.3">
      <c r="F8099"/>
      <c r="H8099"/>
    </row>
    <row r="8100" spans="6:8" x14ac:dyDescent="0.3">
      <c r="F8100"/>
      <c r="H8100"/>
    </row>
    <row r="8101" spans="6:8" x14ac:dyDescent="0.3">
      <c r="F8101"/>
      <c r="H8101"/>
    </row>
    <row r="8102" spans="6:8" x14ac:dyDescent="0.3">
      <c r="F8102"/>
      <c r="H8102"/>
    </row>
    <row r="8103" spans="6:8" x14ac:dyDescent="0.3">
      <c r="F8103"/>
      <c r="H8103"/>
    </row>
    <row r="8104" spans="6:8" x14ac:dyDescent="0.3">
      <c r="F8104"/>
      <c r="H8104"/>
    </row>
    <row r="8105" spans="6:8" x14ac:dyDescent="0.3">
      <c r="F8105"/>
      <c r="H8105"/>
    </row>
    <row r="8106" spans="6:8" x14ac:dyDescent="0.3">
      <c r="F8106"/>
      <c r="H8106"/>
    </row>
    <row r="8107" spans="6:8" x14ac:dyDescent="0.3">
      <c r="F8107"/>
      <c r="H8107"/>
    </row>
    <row r="8108" spans="6:8" x14ac:dyDescent="0.3">
      <c r="F8108"/>
      <c r="H8108"/>
    </row>
    <row r="8109" spans="6:8" x14ac:dyDescent="0.3">
      <c r="F8109"/>
      <c r="H8109"/>
    </row>
    <row r="8110" spans="6:8" x14ac:dyDescent="0.3">
      <c r="F8110"/>
      <c r="H8110"/>
    </row>
    <row r="8111" spans="6:8" x14ac:dyDescent="0.3">
      <c r="F8111"/>
      <c r="H8111"/>
    </row>
    <row r="8112" spans="6:8" x14ac:dyDescent="0.3">
      <c r="F8112"/>
      <c r="H8112"/>
    </row>
    <row r="8113" spans="6:8" x14ac:dyDescent="0.3">
      <c r="F8113"/>
      <c r="H8113"/>
    </row>
    <row r="8114" spans="6:8" x14ac:dyDescent="0.3">
      <c r="F8114"/>
      <c r="H8114"/>
    </row>
    <row r="8115" spans="6:8" x14ac:dyDescent="0.3">
      <c r="F8115"/>
      <c r="H8115"/>
    </row>
    <row r="8116" spans="6:8" x14ac:dyDescent="0.3">
      <c r="F8116"/>
      <c r="H8116"/>
    </row>
    <row r="8117" spans="6:8" x14ac:dyDescent="0.3">
      <c r="F8117"/>
      <c r="H8117"/>
    </row>
    <row r="8118" spans="6:8" x14ac:dyDescent="0.3">
      <c r="F8118"/>
      <c r="H8118"/>
    </row>
    <row r="8119" spans="6:8" x14ac:dyDescent="0.3">
      <c r="F8119"/>
      <c r="H8119"/>
    </row>
    <row r="8120" spans="6:8" x14ac:dyDescent="0.3">
      <c r="F8120"/>
      <c r="H8120"/>
    </row>
    <row r="8121" spans="6:8" x14ac:dyDescent="0.3">
      <c r="F8121"/>
      <c r="H8121"/>
    </row>
    <row r="8122" spans="6:8" x14ac:dyDescent="0.3">
      <c r="F8122"/>
      <c r="H8122"/>
    </row>
    <row r="8123" spans="6:8" x14ac:dyDescent="0.3">
      <c r="F8123"/>
      <c r="H8123"/>
    </row>
    <row r="8124" spans="6:8" x14ac:dyDescent="0.3">
      <c r="F8124"/>
      <c r="H8124"/>
    </row>
    <row r="8125" spans="6:8" x14ac:dyDescent="0.3">
      <c r="F8125"/>
      <c r="H8125"/>
    </row>
    <row r="8126" spans="6:8" x14ac:dyDescent="0.3">
      <c r="F8126"/>
      <c r="H8126"/>
    </row>
    <row r="8127" spans="6:8" x14ac:dyDescent="0.3">
      <c r="F8127"/>
      <c r="H8127"/>
    </row>
    <row r="8128" spans="6:8" x14ac:dyDescent="0.3">
      <c r="F8128"/>
      <c r="H8128"/>
    </row>
    <row r="8129" spans="6:8" x14ac:dyDescent="0.3">
      <c r="F8129"/>
      <c r="H8129"/>
    </row>
    <row r="8130" spans="6:8" x14ac:dyDescent="0.3">
      <c r="F8130"/>
      <c r="H8130"/>
    </row>
    <row r="8131" spans="6:8" x14ac:dyDescent="0.3">
      <c r="F8131"/>
      <c r="H8131"/>
    </row>
    <row r="8132" spans="6:8" x14ac:dyDescent="0.3">
      <c r="F8132"/>
      <c r="H8132"/>
    </row>
    <row r="8133" spans="6:8" x14ac:dyDescent="0.3">
      <c r="F8133"/>
      <c r="H8133"/>
    </row>
    <row r="8134" spans="6:8" x14ac:dyDescent="0.3">
      <c r="F8134"/>
      <c r="H8134"/>
    </row>
    <row r="8135" spans="6:8" x14ac:dyDescent="0.3">
      <c r="F8135"/>
      <c r="H8135"/>
    </row>
    <row r="8136" spans="6:8" x14ac:dyDescent="0.3">
      <c r="F8136"/>
      <c r="H8136"/>
    </row>
    <row r="8137" spans="6:8" x14ac:dyDescent="0.3">
      <c r="F8137"/>
      <c r="H8137"/>
    </row>
    <row r="8138" spans="6:8" x14ac:dyDescent="0.3">
      <c r="F8138"/>
      <c r="H8138"/>
    </row>
    <row r="8139" spans="6:8" x14ac:dyDescent="0.3">
      <c r="F8139"/>
      <c r="H8139"/>
    </row>
    <row r="8140" spans="6:8" x14ac:dyDescent="0.3">
      <c r="F8140"/>
      <c r="H8140"/>
    </row>
    <row r="8141" spans="6:8" x14ac:dyDescent="0.3">
      <c r="F8141"/>
      <c r="H8141"/>
    </row>
    <row r="8142" spans="6:8" x14ac:dyDescent="0.3">
      <c r="F8142"/>
      <c r="H8142"/>
    </row>
    <row r="8143" spans="6:8" x14ac:dyDescent="0.3">
      <c r="F8143"/>
      <c r="H8143"/>
    </row>
    <row r="8144" spans="6:8" x14ac:dyDescent="0.3">
      <c r="F8144"/>
      <c r="H8144"/>
    </row>
    <row r="8145" spans="6:8" x14ac:dyDescent="0.3">
      <c r="F8145"/>
      <c r="H8145"/>
    </row>
    <row r="8146" spans="6:8" x14ac:dyDescent="0.3">
      <c r="F8146"/>
      <c r="H8146"/>
    </row>
    <row r="8147" spans="6:8" x14ac:dyDescent="0.3">
      <c r="F8147"/>
      <c r="H8147"/>
    </row>
    <row r="8148" spans="6:8" x14ac:dyDescent="0.3">
      <c r="F8148"/>
      <c r="H8148"/>
    </row>
    <row r="8149" spans="6:8" x14ac:dyDescent="0.3">
      <c r="F8149"/>
      <c r="H8149"/>
    </row>
    <row r="8150" spans="6:8" x14ac:dyDescent="0.3">
      <c r="F8150"/>
      <c r="H8150"/>
    </row>
    <row r="8151" spans="6:8" x14ac:dyDescent="0.3">
      <c r="F8151"/>
      <c r="H8151"/>
    </row>
    <row r="8152" spans="6:8" x14ac:dyDescent="0.3">
      <c r="F8152"/>
      <c r="H8152"/>
    </row>
    <row r="8153" spans="6:8" x14ac:dyDescent="0.3">
      <c r="F8153"/>
      <c r="H8153"/>
    </row>
    <row r="8154" spans="6:8" x14ac:dyDescent="0.3">
      <c r="F8154"/>
      <c r="H8154"/>
    </row>
    <row r="8155" spans="6:8" x14ac:dyDescent="0.3">
      <c r="F8155"/>
      <c r="H8155"/>
    </row>
    <row r="8156" spans="6:8" x14ac:dyDescent="0.3">
      <c r="F8156"/>
      <c r="H8156"/>
    </row>
    <row r="8157" spans="6:8" x14ac:dyDescent="0.3">
      <c r="F8157"/>
      <c r="H8157"/>
    </row>
    <row r="8158" spans="6:8" x14ac:dyDescent="0.3">
      <c r="F8158"/>
      <c r="H8158"/>
    </row>
    <row r="8159" spans="6:8" x14ac:dyDescent="0.3">
      <c r="F8159"/>
      <c r="H8159"/>
    </row>
    <row r="8160" spans="6:8" x14ac:dyDescent="0.3">
      <c r="F8160"/>
      <c r="H8160"/>
    </row>
    <row r="8161" spans="6:8" x14ac:dyDescent="0.3">
      <c r="F8161"/>
      <c r="H8161"/>
    </row>
    <row r="8162" spans="6:8" x14ac:dyDescent="0.3">
      <c r="F8162"/>
      <c r="H8162"/>
    </row>
    <row r="8163" spans="6:8" x14ac:dyDescent="0.3">
      <c r="F8163"/>
      <c r="H8163"/>
    </row>
    <row r="8164" spans="6:8" x14ac:dyDescent="0.3">
      <c r="F8164"/>
      <c r="H8164"/>
    </row>
    <row r="8165" spans="6:8" x14ac:dyDescent="0.3">
      <c r="F8165"/>
      <c r="H8165"/>
    </row>
    <row r="8166" spans="6:8" x14ac:dyDescent="0.3">
      <c r="F8166"/>
      <c r="H8166"/>
    </row>
    <row r="8167" spans="6:8" x14ac:dyDescent="0.3">
      <c r="F8167"/>
      <c r="H8167"/>
    </row>
    <row r="8168" spans="6:8" x14ac:dyDescent="0.3">
      <c r="F8168"/>
      <c r="H8168"/>
    </row>
    <row r="8169" spans="6:8" x14ac:dyDescent="0.3">
      <c r="F8169"/>
      <c r="H8169"/>
    </row>
    <row r="8170" spans="6:8" x14ac:dyDescent="0.3">
      <c r="F8170"/>
      <c r="H8170"/>
    </row>
    <row r="8171" spans="6:8" x14ac:dyDescent="0.3">
      <c r="F8171"/>
      <c r="H8171"/>
    </row>
    <row r="8172" spans="6:8" x14ac:dyDescent="0.3">
      <c r="F8172"/>
      <c r="H8172"/>
    </row>
    <row r="8173" spans="6:8" x14ac:dyDescent="0.3">
      <c r="F8173"/>
      <c r="H8173"/>
    </row>
    <row r="8174" spans="6:8" x14ac:dyDescent="0.3">
      <c r="F8174"/>
      <c r="H8174"/>
    </row>
    <row r="8175" spans="6:8" x14ac:dyDescent="0.3">
      <c r="F8175"/>
      <c r="H8175"/>
    </row>
    <row r="8176" spans="6:8" x14ac:dyDescent="0.3">
      <c r="F8176"/>
      <c r="H8176"/>
    </row>
    <row r="8177" spans="6:8" x14ac:dyDescent="0.3">
      <c r="F8177"/>
      <c r="H8177"/>
    </row>
    <row r="8178" spans="6:8" x14ac:dyDescent="0.3">
      <c r="F8178"/>
      <c r="H8178"/>
    </row>
    <row r="8179" spans="6:8" x14ac:dyDescent="0.3">
      <c r="F8179"/>
      <c r="H8179"/>
    </row>
    <row r="8180" spans="6:8" x14ac:dyDescent="0.3">
      <c r="F8180"/>
      <c r="H8180"/>
    </row>
    <row r="8181" spans="6:8" x14ac:dyDescent="0.3">
      <c r="F8181"/>
      <c r="H8181"/>
    </row>
    <row r="8182" spans="6:8" x14ac:dyDescent="0.3">
      <c r="F8182"/>
      <c r="H8182"/>
    </row>
    <row r="8183" spans="6:8" x14ac:dyDescent="0.3">
      <c r="F8183"/>
      <c r="H8183"/>
    </row>
    <row r="8184" spans="6:8" x14ac:dyDescent="0.3">
      <c r="F8184"/>
      <c r="H8184"/>
    </row>
    <row r="8185" spans="6:8" x14ac:dyDescent="0.3">
      <c r="F8185"/>
      <c r="H8185"/>
    </row>
    <row r="8186" spans="6:8" x14ac:dyDescent="0.3">
      <c r="F8186"/>
      <c r="H8186"/>
    </row>
    <row r="8187" spans="6:8" x14ac:dyDescent="0.3">
      <c r="F8187"/>
      <c r="H8187"/>
    </row>
    <row r="8188" spans="6:8" x14ac:dyDescent="0.3">
      <c r="F8188"/>
      <c r="H8188"/>
    </row>
    <row r="8189" spans="6:8" x14ac:dyDescent="0.3">
      <c r="F8189"/>
      <c r="H8189"/>
    </row>
    <row r="8190" spans="6:8" x14ac:dyDescent="0.3">
      <c r="F8190"/>
      <c r="H8190"/>
    </row>
    <row r="8191" spans="6:8" x14ac:dyDescent="0.3">
      <c r="F8191"/>
      <c r="H8191"/>
    </row>
    <row r="8192" spans="6:8" x14ac:dyDescent="0.3">
      <c r="F8192"/>
      <c r="H8192"/>
    </row>
    <row r="8193" spans="6:8" x14ac:dyDescent="0.3">
      <c r="F8193"/>
      <c r="H8193"/>
    </row>
    <row r="8194" spans="6:8" x14ac:dyDescent="0.3">
      <c r="F8194"/>
      <c r="H8194"/>
    </row>
    <row r="8195" spans="6:8" x14ac:dyDescent="0.3">
      <c r="F8195"/>
      <c r="H8195"/>
    </row>
    <row r="8196" spans="6:8" x14ac:dyDescent="0.3">
      <c r="F8196"/>
      <c r="H8196"/>
    </row>
    <row r="8197" spans="6:8" x14ac:dyDescent="0.3">
      <c r="F8197"/>
      <c r="H8197"/>
    </row>
    <row r="8198" spans="6:8" x14ac:dyDescent="0.3">
      <c r="F8198"/>
      <c r="H8198"/>
    </row>
    <row r="8199" spans="6:8" x14ac:dyDescent="0.3">
      <c r="F8199"/>
      <c r="H8199"/>
    </row>
    <row r="8200" spans="6:8" x14ac:dyDescent="0.3">
      <c r="F8200"/>
      <c r="H8200"/>
    </row>
    <row r="8201" spans="6:8" x14ac:dyDescent="0.3">
      <c r="F8201"/>
      <c r="H8201"/>
    </row>
    <row r="8202" spans="6:8" x14ac:dyDescent="0.3">
      <c r="F8202"/>
      <c r="H8202"/>
    </row>
    <row r="8203" spans="6:8" x14ac:dyDescent="0.3">
      <c r="F8203"/>
      <c r="H8203"/>
    </row>
    <row r="8204" spans="6:8" x14ac:dyDescent="0.3">
      <c r="F8204"/>
      <c r="H8204"/>
    </row>
    <row r="8205" spans="6:8" x14ac:dyDescent="0.3">
      <c r="F8205"/>
      <c r="H8205"/>
    </row>
    <row r="8206" spans="6:8" x14ac:dyDescent="0.3">
      <c r="F8206"/>
      <c r="H8206"/>
    </row>
    <row r="8207" spans="6:8" x14ac:dyDescent="0.3">
      <c r="F8207"/>
      <c r="H8207"/>
    </row>
    <row r="8208" spans="6:8" x14ac:dyDescent="0.3">
      <c r="F8208"/>
      <c r="H8208"/>
    </row>
    <row r="8209" spans="6:8" x14ac:dyDescent="0.3">
      <c r="F8209"/>
      <c r="H8209"/>
    </row>
    <row r="8210" spans="6:8" x14ac:dyDescent="0.3">
      <c r="F8210"/>
      <c r="H8210"/>
    </row>
    <row r="8211" spans="6:8" x14ac:dyDescent="0.3">
      <c r="F8211"/>
      <c r="H8211"/>
    </row>
    <row r="8212" spans="6:8" x14ac:dyDescent="0.3">
      <c r="F8212"/>
      <c r="H8212"/>
    </row>
    <row r="8213" spans="6:8" x14ac:dyDescent="0.3">
      <c r="F8213"/>
      <c r="H8213"/>
    </row>
    <row r="8214" spans="6:8" x14ac:dyDescent="0.3">
      <c r="F8214"/>
      <c r="H8214"/>
    </row>
    <row r="8215" spans="6:8" x14ac:dyDescent="0.3">
      <c r="F8215"/>
      <c r="H8215"/>
    </row>
    <row r="8216" spans="6:8" x14ac:dyDescent="0.3">
      <c r="F8216"/>
      <c r="H8216"/>
    </row>
    <row r="8217" spans="6:8" x14ac:dyDescent="0.3">
      <c r="F8217"/>
      <c r="H8217"/>
    </row>
    <row r="8218" spans="6:8" x14ac:dyDescent="0.3">
      <c r="F8218"/>
      <c r="H8218"/>
    </row>
    <row r="8219" spans="6:8" x14ac:dyDescent="0.3">
      <c r="F8219"/>
      <c r="H8219"/>
    </row>
    <row r="8220" spans="6:8" x14ac:dyDescent="0.3">
      <c r="F8220"/>
      <c r="H8220"/>
    </row>
    <row r="8221" spans="6:8" x14ac:dyDescent="0.3">
      <c r="F8221"/>
      <c r="H8221"/>
    </row>
    <row r="8222" spans="6:8" x14ac:dyDescent="0.3">
      <c r="F8222"/>
      <c r="H8222"/>
    </row>
    <row r="8223" spans="6:8" x14ac:dyDescent="0.3">
      <c r="F8223"/>
      <c r="H8223"/>
    </row>
    <row r="8224" spans="6:8" x14ac:dyDescent="0.3">
      <c r="F8224"/>
      <c r="H8224"/>
    </row>
    <row r="8225" spans="6:8" x14ac:dyDescent="0.3">
      <c r="F8225"/>
      <c r="H8225"/>
    </row>
    <row r="8226" spans="6:8" x14ac:dyDescent="0.3">
      <c r="F8226"/>
      <c r="H8226"/>
    </row>
    <row r="8227" spans="6:8" x14ac:dyDescent="0.3">
      <c r="F8227"/>
      <c r="H8227"/>
    </row>
    <row r="8228" spans="6:8" x14ac:dyDescent="0.3">
      <c r="F8228"/>
      <c r="H8228"/>
    </row>
    <row r="8229" spans="6:8" x14ac:dyDescent="0.3">
      <c r="F8229"/>
      <c r="H8229"/>
    </row>
    <row r="8230" spans="6:8" x14ac:dyDescent="0.3">
      <c r="F8230"/>
      <c r="H8230"/>
    </row>
    <row r="8231" spans="6:8" x14ac:dyDescent="0.3">
      <c r="F8231"/>
      <c r="H8231"/>
    </row>
    <row r="8232" spans="6:8" x14ac:dyDescent="0.3">
      <c r="F8232"/>
      <c r="H8232"/>
    </row>
    <row r="8233" spans="6:8" x14ac:dyDescent="0.3">
      <c r="F8233"/>
      <c r="H8233"/>
    </row>
    <row r="8234" spans="6:8" x14ac:dyDescent="0.3">
      <c r="F8234"/>
      <c r="H8234"/>
    </row>
    <row r="8235" spans="6:8" x14ac:dyDescent="0.3">
      <c r="F8235"/>
      <c r="H8235"/>
    </row>
    <row r="8236" spans="6:8" x14ac:dyDescent="0.3">
      <c r="F8236"/>
      <c r="H8236"/>
    </row>
    <row r="8237" spans="6:8" x14ac:dyDescent="0.3">
      <c r="F8237"/>
      <c r="H8237"/>
    </row>
    <row r="8238" spans="6:8" x14ac:dyDescent="0.3">
      <c r="F8238"/>
      <c r="H8238"/>
    </row>
    <row r="8239" spans="6:8" x14ac:dyDescent="0.3">
      <c r="F8239"/>
      <c r="H8239"/>
    </row>
    <row r="8240" spans="6:8" x14ac:dyDescent="0.3">
      <c r="F8240"/>
      <c r="H8240"/>
    </row>
    <row r="8241" spans="6:8" x14ac:dyDescent="0.3">
      <c r="F8241"/>
      <c r="H8241"/>
    </row>
    <row r="8242" spans="6:8" x14ac:dyDescent="0.3">
      <c r="F8242"/>
      <c r="H8242"/>
    </row>
    <row r="8243" spans="6:8" x14ac:dyDescent="0.3">
      <c r="F8243"/>
      <c r="H8243"/>
    </row>
    <row r="8244" spans="6:8" x14ac:dyDescent="0.3">
      <c r="F8244"/>
      <c r="H8244"/>
    </row>
    <row r="8245" spans="6:8" x14ac:dyDescent="0.3">
      <c r="F8245"/>
      <c r="H8245"/>
    </row>
    <row r="8246" spans="6:8" x14ac:dyDescent="0.3">
      <c r="F8246"/>
      <c r="H8246"/>
    </row>
    <row r="8247" spans="6:8" x14ac:dyDescent="0.3">
      <c r="F8247"/>
      <c r="H8247"/>
    </row>
    <row r="8248" spans="6:8" x14ac:dyDescent="0.3">
      <c r="F8248"/>
      <c r="H8248"/>
    </row>
    <row r="8249" spans="6:8" x14ac:dyDescent="0.3">
      <c r="F8249"/>
      <c r="H8249"/>
    </row>
    <row r="8250" spans="6:8" x14ac:dyDescent="0.3">
      <c r="F8250"/>
      <c r="H8250"/>
    </row>
    <row r="8251" spans="6:8" x14ac:dyDescent="0.3">
      <c r="F8251"/>
      <c r="H8251"/>
    </row>
    <row r="8252" spans="6:8" x14ac:dyDescent="0.3">
      <c r="F8252"/>
      <c r="H8252"/>
    </row>
    <row r="8253" spans="6:8" x14ac:dyDescent="0.3">
      <c r="F8253"/>
      <c r="H8253"/>
    </row>
    <row r="8254" spans="6:8" x14ac:dyDescent="0.3">
      <c r="F8254"/>
      <c r="H8254"/>
    </row>
    <row r="8255" spans="6:8" x14ac:dyDescent="0.3">
      <c r="F8255"/>
      <c r="H8255"/>
    </row>
    <row r="8256" spans="6:8" x14ac:dyDescent="0.3">
      <c r="F8256"/>
      <c r="H8256"/>
    </row>
    <row r="8257" spans="6:8" x14ac:dyDescent="0.3">
      <c r="F8257"/>
      <c r="H8257"/>
    </row>
    <row r="8258" spans="6:8" x14ac:dyDescent="0.3">
      <c r="F8258"/>
      <c r="H8258"/>
    </row>
    <row r="8259" spans="6:8" x14ac:dyDescent="0.3">
      <c r="F8259"/>
      <c r="H8259"/>
    </row>
    <row r="8260" spans="6:8" x14ac:dyDescent="0.3">
      <c r="F8260"/>
      <c r="H8260"/>
    </row>
    <row r="8261" spans="6:8" x14ac:dyDescent="0.3">
      <c r="F8261"/>
      <c r="H8261"/>
    </row>
    <row r="8262" spans="6:8" x14ac:dyDescent="0.3">
      <c r="F8262"/>
      <c r="H8262"/>
    </row>
    <row r="8263" spans="6:8" x14ac:dyDescent="0.3">
      <c r="F8263"/>
      <c r="H8263"/>
    </row>
    <row r="8264" spans="6:8" x14ac:dyDescent="0.3">
      <c r="F8264"/>
      <c r="H8264"/>
    </row>
    <row r="8265" spans="6:8" x14ac:dyDescent="0.3">
      <c r="F8265"/>
      <c r="H8265"/>
    </row>
    <row r="8266" spans="6:8" x14ac:dyDescent="0.3">
      <c r="F8266"/>
      <c r="H8266"/>
    </row>
    <row r="8267" spans="6:8" x14ac:dyDescent="0.3">
      <c r="F8267"/>
      <c r="H8267"/>
    </row>
    <row r="8268" spans="6:8" x14ac:dyDescent="0.3">
      <c r="F8268"/>
      <c r="H8268"/>
    </row>
    <row r="8269" spans="6:8" x14ac:dyDescent="0.3">
      <c r="F8269"/>
      <c r="H8269"/>
    </row>
    <row r="8270" spans="6:8" x14ac:dyDescent="0.3">
      <c r="F8270"/>
      <c r="H8270"/>
    </row>
    <row r="8271" spans="6:8" x14ac:dyDescent="0.3">
      <c r="F8271"/>
      <c r="H8271"/>
    </row>
    <row r="8272" spans="6:8" x14ac:dyDescent="0.3">
      <c r="F8272"/>
      <c r="H8272"/>
    </row>
    <row r="8273" spans="6:8" x14ac:dyDescent="0.3">
      <c r="F8273"/>
      <c r="H8273"/>
    </row>
    <row r="8274" spans="6:8" x14ac:dyDescent="0.3">
      <c r="F8274"/>
      <c r="H8274"/>
    </row>
    <row r="8275" spans="6:8" x14ac:dyDescent="0.3">
      <c r="F8275"/>
      <c r="H8275"/>
    </row>
    <row r="8276" spans="6:8" x14ac:dyDescent="0.3">
      <c r="F8276"/>
      <c r="H8276"/>
    </row>
    <row r="8277" spans="6:8" x14ac:dyDescent="0.3">
      <c r="F8277"/>
      <c r="H8277"/>
    </row>
    <row r="8278" spans="6:8" x14ac:dyDescent="0.3">
      <c r="F8278"/>
      <c r="H8278"/>
    </row>
    <row r="8279" spans="6:8" x14ac:dyDescent="0.3">
      <c r="F8279"/>
      <c r="H8279"/>
    </row>
    <row r="8280" spans="6:8" x14ac:dyDescent="0.3">
      <c r="F8280"/>
      <c r="H8280"/>
    </row>
    <row r="8281" spans="6:8" x14ac:dyDescent="0.3">
      <c r="F8281"/>
      <c r="H8281"/>
    </row>
    <row r="8282" spans="6:8" x14ac:dyDescent="0.3">
      <c r="F8282"/>
      <c r="H8282"/>
    </row>
    <row r="8283" spans="6:8" x14ac:dyDescent="0.3">
      <c r="F8283"/>
      <c r="H8283"/>
    </row>
    <row r="8284" spans="6:8" x14ac:dyDescent="0.3">
      <c r="F8284"/>
      <c r="H8284"/>
    </row>
    <row r="8285" spans="6:8" x14ac:dyDescent="0.3">
      <c r="F8285"/>
      <c r="H8285"/>
    </row>
    <row r="8286" spans="6:8" x14ac:dyDescent="0.3">
      <c r="F8286"/>
      <c r="H8286"/>
    </row>
    <row r="8287" spans="6:8" x14ac:dyDescent="0.3">
      <c r="F8287"/>
      <c r="H8287"/>
    </row>
    <row r="8288" spans="6:8" x14ac:dyDescent="0.3">
      <c r="F8288"/>
      <c r="H8288"/>
    </row>
    <row r="8289" spans="6:8" x14ac:dyDescent="0.3">
      <c r="F8289"/>
      <c r="H8289"/>
    </row>
    <row r="8290" spans="6:8" x14ac:dyDescent="0.3">
      <c r="F8290"/>
      <c r="H8290"/>
    </row>
    <row r="8291" spans="6:8" x14ac:dyDescent="0.3">
      <c r="F8291"/>
      <c r="H8291"/>
    </row>
    <row r="8292" spans="6:8" x14ac:dyDescent="0.3">
      <c r="F8292"/>
      <c r="H8292"/>
    </row>
    <row r="8293" spans="6:8" x14ac:dyDescent="0.3">
      <c r="F8293"/>
      <c r="H8293"/>
    </row>
    <row r="8294" spans="6:8" x14ac:dyDescent="0.3">
      <c r="F8294"/>
      <c r="H8294"/>
    </row>
    <row r="8295" spans="6:8" x14ac:dyDescent="0.3">
      <c r="F8295"/>
      <c r="H8295"/>
    </row>
    <row r="8296" spans="6:8" x14ac:dyDescent="0.3">
      <c r="F8296"/>
      <c r="H8296"/>
    </row>
    <row r="8297" spans="6:8" x14ac:dyDescent="0.3">
      <c r="F8297"/>
      <c r="H8297"/>
    </row>
    <row r="8298" spans="6:8" x14ac:dyDescent="0.3">
      <c r="F8298"/>
      <c r="H8298"/>
    </row>
    <row r="8299" spans="6:8" x14ac:dyDescent="0.3">
      <c r="F8299"/>
      <c r="H8299"/>
    </row>
    <row r="8300" spans="6:8" x14ac:dyDescent="0.3">
      <c r="F8300"/>
      <c r="H8300"/>
    </row>
    <row r="8301" spans="6:8" x14ac:dyDescent="0.3">
      <c r="F8301"/>
      <c r="H8301"/>
    </row>
    <row r="8302" spans="6:8" x14ac:dyDescent="0.3">
      <c r="F8302"/>
      <c r="H8302"/>
    </row>
    <row r="8303" spans="6:8" x14ac:dyDescent="0.3">
      <c r="F8303"/>
      <c r="H8303"/>
    </row>
    <row r="8304" spans="6:8" x14ac:dyDescent="0.3">
      <c r="F8304"/>
      <c r="H8304"/>
    </row>
    <row r="8305" spans="6:8" x14ac:dyDescent="0.3">
      <c r="F8305"/>
      <c r="H8305"/>
    </row>
    <row r="8306" spans="6:8" x14ac:dyDescent="0.3">
      <c r="F8306"/>
      <c r="H8306"/>
    </row>
    <row r="8307" spans="6:8" x14ac:dyDescent="0.3">
      <c r="F8307"/>
      <c r="H8307"/>
    </row>
    <row r="8308" spans="6:8" x14ac:dyDescent="0.3">
      <c r="F8308"/>
      <c r="H8308"/>
    </row>
    <row r="8309" spans="6:8" x14ac:dyDescent="0.3">
      <c r="F8309"/>
      <c r="H8309"/>
    </row>
    <row r="8310" spans="6:8" x14ac:dyDescent="0.3">
      <c r="F8310"/>
      <c r="H8310"/>
    </row>
    <row r="8311" spans="6:8" x14ac:dyDescent="0.3">
      <c r="F8311"/>
      <c r="H8311"/>
    </row>
    <row r="8312" spans="6:8" x14ac:dyDescent="0.3">
      <c r="F8312"/>
      <c r="H8312"/>
    </row>
    <row r="8313" spans="6:8" x14ac:dyDescent="0.3">
      <c r="F8313"/>
      <c r="H8313"/>
    </row>
    <row r="8314" spans="6:8" x14ac:dyDescent="0.3">
      <c r="F8314"/>
      <c r="H8314"/>
    </row>
    <row r="8315" spans="6:8" x14ac:dyDescent="0.3">
      <c r="F8315"/>
      <c r="H8315"/>
    </row>
    <row r="8316" spans="6:8" x14ac:dyDescent="0.3">
      <c r="F8316"/>
      <c r="H8316"/>
    </row>
    <row r="8317" spans="6:8" x14ac:dyDescent="0.3">
      <c r="F8317"/>
      <c r="H8317"/>
    </row>
    <row r="8318" spans="6:8" x14ac:dyDescent="0.3">
      <c r="F8318"/>
      <c r="H8318"/>
    </row>
    <row r="8319" spans="6:8" x14ac:dyDescent="0.3">
      <c r="F8319"/>
      <c r="H8319"/>
    </row>
    <row r="8320" spans="6:8" x14ac:dyDescent="0.3">
      <c r="F8320"/>
      <c r="H8320"/>
    </row>
    <row r="8321" spans="6:8" x14ac:dyDescent="0.3">
      <c r="F8321"/>
      <c r="H8321"/>
    </row>
    <row r="8322" spans="6:8" x14ac:dyDescent="0.3">
      <c r="F8322"/>
      <c r="H8322"/>
    </row>
    <row r="8323" spans="6:8" x14ac:dyDescent="0.3">
      <c r="F8323"/>
      <c r="H8323"/>
    </row>
    <row r="8324" spans="6:8" x14ac:dyDescent="0.3">
      <c r="F8324"/>
      <c r="H8324"/>
    </row>
    <row r="8325" spans="6:8" x14ac:dyDescent="0.3">
      <c r="F8325"/>
      <c r="H8325"/>
    </row>
    <row r="8326" spans="6:8" x14ac:dyDescent="0.3">
      <c r="F8326"/>
      <c r="H8326"/>
    </row>
    <row r="8327" spans="6:8" x14ac:dyDescent="0.3">
      <c r="F8327"/>
      <c r="H8327"/>
    </row>
    <row r="8328" spans="6:8" x14ac:dyDescent="0.3">
      <c r="F8328"/>
      <c r="H8328"/>
    </row>
    <row r="8329" spans="6:8" x14ac:dyDescent="0.3">
      <c r="F8329"/>
      <c r="H8329"/>
    </row>
    <row r="8330" spans="6:8" x14ac:dyDescent="0.3">
      <c r="F8330"/>
      <c r="H8330"/>
    </row>
    <row r="8331" spans="6:8" x14ac:dyDescent="0.3">
      <c r="F8331"/>
      <c r="H8331"/>
    </row>
    <row r="8332" spans="6:8" x14ac:dyDescent="0.3">
      <c r="F8332"/>
      <c r="H8332"/>
    </row>
    <row r="8333" spans="6:8" x14ac:dyDescent="0.3">
      <c r="F8333"/>
      <c r="H8333"/>
    </row>
    <row r="8334" spans="6:8" x14ac:dyDescent="0.3">
      <c r="F8334"/>
      <c r="H8334"/>
    </row>
    <row r="8335" spans="6:8" x14ac:dyDescent="0.3">
      <c r="F8335"/>
      <c r="H8335"/>
    </row>
    <row r="8336" spans="6:8" x14ac:dyDescent="0.3">
      <c r="F8336"/>
      <c r="H8336"/>
    </row>
    <row r="8337" spans="6:8" x14ac:dyDescent="0.3">
      <c r="F8337"/>
      <c r="H8337"/>
    </row>
    <row r="8338" spans="6:8" x14ac:dyDescent="0.3">
      <c r="F8338"/>
      <c r="H8338"/>
    </row>
    <row r="8339" spans="6:8" x14ac:dyDescent="0.3">
      <c r="F8339"/>
      <c r="H8339"/>
    </row>
    <row r="8340" spans="6:8" x14ac:dyDescent="0.3">
      <c r="F8340"/>
      <c r="H8340"/>
    </row>
    <row r="8341" spans="6:8" x14ac:dyDescent="0.3">
      <c r="F8341"/>
      <c r="H8341"/>
    </row>
    <row r="8342" spans="6:8" x14ac:dyDescent="0.3">
      <c r="F8342"/>
      <c r="H8342"/>
    </row>
    <row r="8343" spans="6:8" x14ac:dyDescent="0.3">
      <c r="F8343"/>
      <c r="H8343"/>
    </row>
    <row r="8344" spans="6:8" x14ac:dyDescent="0.3">
      <c r="F8344"/>
      <c r="H8344"/>
    </row>
    <row r="8345" spans="6:8" x14ac:dyDescent="0.3">
      <c r="F8345"/>
      <c r="H8345"/>
    </row>
    <row r="8346" spans="6:8" x14ac:dyDescent="0.3">
      <c r="F8346"/>
      <c r="H8346"/>
    </row>
    <row r="8347" spans="6:8" x14ac:dyDescent="0.3">
      <c r="F8347"/>
      <c r="H8347"/>
    </row>
    <row r="8348" spans="6:8" x14ac:dyDescent="0.3">
      <c r="F8348"/>
      <c r="H8348"/>
    </row>
    <row r="8349" spans="6:8" x14ac:dyDescent="0.3">
      <c r="F8349"/>
      <c r="H8349"/>
    </row>
    <row r="8350" spans="6:8" x14ac:dyDescent="0.3">
      <c r="F8350"/>
      <c r="H8350"/>
    </row>
    <row r="8351" spans="6:8" x14ac:dyDescent="0.3">
      <c r="F8351"/>
      <c r="H8351"/>
    </row>
    <row r="8352" spans="6:8" x14ac:dyDescent="0.3">
      <c r="F8352"/>
      <c r="H8352"/>
    </row>
    <row r="8353" spans="6:8" x14ac:dyDescent="0.3">
      <c r="F8353"/>
      <c r="H8353"/>
    </row>
    <row r="8354" spans="6:8" x14ac:dyDescent="0.3">
      <c r="F8354"/>
      <c r="H8354"/>
    </row>
    <row r="8355" spans="6:8" x14ac:dyDescent="0.3">
      <c r="F8355"/>
      <c r="H8355"/>
    </row>
    <row r="8356" spans="6:8" x14ac:dyDescent="0.3">
      <c r="F8356"/>
      <c r="H8356"/>
    </row>
    <row r="8357" spans="6:8" x14ac:dyDescent="0.3">
      <c r="F8357"/>
      <c r="H8357"/>
    </row>
    <row r="8358" spans="6:8" x14ac:dyDescent="0.3">
      <c r="F8358"/>
      <c r="H8358"/>
    </row>
    <row r="8359" spans="6:8" x14ac:dyDescent="0.3">
      <c r="F8359"/>
      <c r="H8359"/>
    </row>
    <row r="8360" spans="6:8" x14ac:dyDescent="0.3">
      <c r="F8360"/>
      <c r="H8360"/>
    </row>
    <row r="8361" spans="6:8" x14ac:dyDescent="0.3">
      <c r="F8361"/>
      <c r="H8361"/>
    </row>
    <row r="8362" spans="6:8" x14ac:dyDescent="0.3">
      <c r="F8362"/>
      <c r="H8362"/>
    </row>
    <row r="8363" spans="6:8" x14ac:dyDescent="0.3">
      <c r="F8363"/>
      <c r="H8363"/>
    </row>
    <row r="8364" spans="6:8" x14ac:dyDescent="0.3">
      <c r="F8364"/>
      <c r="H8364"/>
    </row>
    <row r="8365" spans="6:8" x14ac:dyDescent="0.3">
      <c r="F8365"/>
      <c r="H8365"/>
    </row>
    <row r="8366" spans="6:8" x14ac:dyDescent="0.3">
      <c r="F8366"/>
      <c r="H8366"/>
    </row>
    <row r="8367" spans="6:8" x14ac:dyDescent="0.3">
      <c r="F8367"/>
      <c r="H8367"/>
    </row>
    <row r="8368" spans="6:8" x14ac:dyDescent="0.3">
      <c r="F8368"/>
      <c r="H8368"/>
    </row>
    <row r="8369" spans="6:8" x14ac:dyDescent="0.3">
      <c r="F8369"/>
      <c r="H8369"/>
    </row>
    <row r="8370" spans="6:8" x14ac:dyDescent="0.3">
      <c r="F8370"/>
      <c r="H8370"/>
    </row>
    <row r="8371" spans="6:8" x14ac:dyDescent="0.3">
      <c r="F8371"/>
      <c r="H8371"/>
    </row>
    <row r="8372" spans="6:8" x14ac:dyDescent="0.3">
      <c r="F8372"/>
      <c r="H8372"/>
    </row>
    <row r="8373" spans="6:8" x14ac:dyDescent="0.3">
      <c r="F8373"/>
      <c r="H8373"/>
    </row>
    <row r="8374" spans="6:8" x14ac:dyDescent="0.3">
      <c r="F8374"/>
      <c r="H8374"/>
    </row>
    <row r="8375" spans="6:8" x14ac:dyDescent="0.3">
      <c r="F8375"/>
      <c r="H8375"/>
    </row>
    <row r="8376" spans="6:8" x14ac:dyDescent="0.3">
      <c r="F8376"/>
      <c r="H8376"/>
    </row>
    <row r="8377" spans="6:8" x14ac:dyDescent="0.3">
      <c r="F8377"/>
      <c r="H8377"/>
    </row>
    <row r="8378" spans="6:8" x14ac:dyDescent="0.3">
      <c r="F8378"/>
      <c r="H8378"/>
    </row>
    <row r="8379" spans="6:8" x14ac:dyDescent="0.3">
      <c r="F8379"/>
      <c r="H8379"/>
    </row>
    <row r="8380" spans="6:8" x14ac:dyDescent="0.3">
      <c r="F8380"/>
      <c r="H8380"/>
    </row>
    <row r="8381" spans="6:8" x14ac:dyDescent="0.3">
      <c r="F8381"/>
      <c r="H8381"/>
    </row>
    <row r="8382" spans="6:8" x14ac:dyDescent="0.3">
      <c r="F8382"/>
      <c r="H8382"/>
    </row>
    <row r="8383" spans="6:8" x14ac:dyDescent="0.3">
      <c r="F8383"/>
      <c r="H8383"/>
    </row>
    <row r="8384" spans="6:8" x14ac:dyDescent="0.3">
      <c r="F8384"/>
      <c r="H8384"/>
    </row>
    <row r="8385" spans="6:8" x14ac:dyDescent="0.3">
      <c r="F8385"/>
      <c r="H8385"/>
    </row>
    <row r="8386" spans="6:8" x14ac:dyDescent="0.3">
      <c r="F8386"/>
      <c r="H8386"/>
    </row>
    <row r="8387" spans="6:8" x14ac:dyDescent="0.3">
      <c r="F8387"/>
      <c r="H8387"/>
    </row>
    <row r="8388" spans="6:8" x14ac:dyDescent="0.3">
      <c r="F8388"/>
      <c r="H8388"/>
    </row>
    <row r="8389" spans="6:8" x14ac:dyDescent="0.3">
      <c r="F8389"/>
      <c r="H8389"/>
    </row>
    <row r="8390" spans="6:8" x14ac:dyDescent="0.3">
      <c r="F8390"/>
      <c r="H8390"/>
    </row>
    <row r="8391" spans="6:8" x14ac:dyDescent="0.3">
      <c r="F8391"/>
      <c r="H8391"/>
    </row>
    <row r="8392" spans="6:8" x14ac:dyDescent="0.3">
      <c r="F8392"/>
      <c r="H8392"/>
    </row>
    <row r="8393" spans="6:8" x14ac:dyDescent="0.3">
      <c r="F8393"/>
      <c r="H8393"/>
    </row>
    <row r="8394" spans="6:8" x14ac:dyDescent="0.3">
      <c r="F8394"/>
      <c r="H8394"/>
    </row>
    <row r="8395" spans="6:8" x14ac:dyDescent="0.3">
      <c r="F8395"/>
      <c r="H8395"/>
    </row>
    <row r="8396" spans="6:8" x14ac:dyDescent="0.3">
      <c r="F8396"/>
      <c r="H8396"/>
    </row>
    <row r="8397" spans="6:8" x14ac:dyDescent="0.3">
      <c r="F8397"/>
      <c r="H8397"/>
    </row>
    <row r="8398" spans="6:8" x14ac:dyDescent="0.3">
      <c r="F8398"/>
      <c r="H8398"/>
    </row>
    <row r="8399" spans="6:8" x14ac:dyDescent="0.3">
      <c r="F8399"/>
      <c r="H8399"/>
    </row>
    <row r="8400" spans="6:8" x14ac:dyDescent="0.3">
      <c r="F8400"/>
      <c r="H8400"/>
    </row>
    <row r="8401" spans="6:8" x14ac:dyDescent="0.3">
      <c r="F8401"/>
      <c r="H8401"/>
    </row>
    <row r="8402" spans="6:8" x14ac:dyDescent="0.3">
      <c r="F8402"/>
      <c r="H8402"/>
    </row>
    <row r="8403" spans="6:8" x14ac:dyDescent="0.3">
      <c r="F8403"/>
      <c r="H8403"/>
    </row>
    <row r="8404" spans="6:8" x14ac:dyDescent="0.3">
      <c r="F8404"/>
      <c r="H8404"/>
    </row>
    <row r="8405" spans="6:8" x14ac:dyDescent="0.3">
      <c r="F8405"/>
      <c r="H8405"/>
    </row>
    <row r="8406" spans="6:8" x14ac:dyDescent="0.3">
      <c r="F8406"/>
      <c r="H8406"/>
    </row>
    <row r="8407" spans="6:8" x14ac:dyDescent="0.3">
      <c r="F8407"/>
      <c r="H8407"/>
    </row>
    <row r="8408" spans="6:8" x14ac:dyDescent="0.3">
      <c r="F8408"/>
      <c r="H8408"/>
    </row>
    <row r="8409" spans="6:8" x14ac:dyDescent="0.3">
      <c r="F8409"/>
      <c r="H8409"/>
    </row>
    <row r="8410" spans="6:8" x14ac:dyDescent="0.3">
      <c r="F8410"/>
      <c r="H8410"/>
    </row>
    <row r="8411" spans="6:8" x14ac:dyDescent="0.3">
      <c r="F8411"/>
      <c r="H8411"/>
    </row>
    <row r="8412" spans="6:8" x14ac:dyDescent="0.3">
      <c r="F8412"/>
      <c r="H8412"/>
    </row>
    <row r="8413" spans="6:8" x14ac:dyDescent="0.3">
      <c r="F8413"/>
      <c r="H8413"/>
    </row>
    <row r="8414" spans="6:8" x14ac:dyDescent="0.3">
      <c r="F8414"/>
      <c r="H8414"/>
    </row>
    <row r="8415" spans="6:8" x14ac:dyDescent="0.3">
      <c r="F8415"/>
      <c r="H8415"/>
    </row>
    <row r="8416" spans="6:8" x14ac:dyDescent="0.3">
      <c r="F8416"/>
      <c r="H8416"/>
    </row>
    <row r="8417" spans="6:8" x14ac:dyDescent="0.3">
      <c r="F8417"/>
      <c r="H8417"/>
    </row>
    <row r="8418" spans="6:8" x14ac:dyDescent="0.3">
      <c r="F8418"/>
      <c r="H8418"/>
    </row>
    <row r="8419" spans="6:8" x14ac:dyDescent="0.3">
      <c r="F8419"/>
      <c r="H8419"/>
    </row>
    <row r="8420" spans="6:8" x14ac:dyDescent="0.3">
      <c r="F8420"/>
      <c r="H8420"/>
    </row>
    <row r="8421" spans="6:8" x14ac:dyDescent="0.3">
      <c r="F8421"/>
      <c r="H8421"/>
    </row>
    <row r="8422" spans="6:8" x14ac:dyDescent="0.3">
      <c r="F8422"/>
      <c r="H8422"/>
    </row>
    <row r="8423" spans="6:8" x14ac:dyDescent="0.3">
      <c r="F8423"/>
      <c r="H8423"/>
    </row>
    <row r="8424" spans="6:8" x14ac:dyDescent="0.3">
      <c r="F8424"/>
      <c r="H8424"/>
    </row>
    <row r="8425" spans="6:8" x14ac:dyDescent="0.3">
      <c r="F8425"/>
      <c r="H8425"/>
    </row>
    <row r="8426" spans="6:8" x14ac:dyDescent="0.3">
      <c r="F8426"/>
      <c r="H8426"/>
    </row>
    <row r="8427" spans="6:8" x14ac:dyDescent="0.3">
      <c r="F8427"/>
      <c r="H8427"/>
    </row>
    <row r="8428" spans="6:8" x14ac:dyDescent="0.3">
      <c r="F8428"/>
      <c r="H8428"/>
    </row>
    <row r="8429" spans="6:8" x14ac:dyDescent="0.3">
      <c r="F8429"/>
      <c r="H8429"/>
    </row>
    <row r="8430" spans="6:8" x14ac:dyDescent="0.3">
      <c r="F8430"/>
      <c r="H8430"/>
    </row>
    <row r="8431" spans="6:8" x14ac:dyDescent="0.3">
      <c r="F8431"/>
      <c r="H8431"/>
    </row>
    <row r="8432" spans="6:8" x14ac:dyDescent="0.3">
      <c r="F8432"/>
      <c r="H8432"/>
    </row>
    <row r="8433" spans="6:8" x14ac:dyDescent="0.3">
      <c r="F8433"/>
      <c r="H8433"/>
    </row>
    <row r="8434" spans="6:8" x14ac:dyDescent="0.3">
      <c r="F8434"/>
      <c r="H8434"/>
    </row>
    <row r="8435" spans="6:8" x14ac:dyDescent="0.3">
      <c r="F8435"/>
      <c r="H8435"/>
    </row>
    <row r="8436" spans="6:8" x14ac:dyDescent="0.3">
      <c r="F8436"/>
      <c r="H8436"/>
    </row>
    <row r="8437" spans="6:8" x14ac:dyDescent="0.3">
      <c r="F8437"/>
      <c r="H8437"/>
    </row>
    <row r="8438" spans="6:8" x14ac:dyDescent="0.3">
      <c r="F8438"/>
      <c r="H8438"/>
    </row>
    <row r="8439" spans="6:8" x14ac:dyDescent="0.3">
      <c r="F8439"/>
      <c r="H8439"/>
    </row>
    <row r="8440" spans="6:8" x14ac:dyDescent="0.3">
      <c r="F8440"/>
      <c r="H8440"/>
    </row>
    <row r="8441" spans="6:8" x14ac:dyDescent="0.3">
      <c r="F8441"/>
      <c r="H8441"/>
    </row>
    <row r="8442" spans="6:8" x14ac:dyDescent="0.3">
      <c r="F8442"/>
      <c r="H8442"/>
    </row>
    <row r="8443" spans="6:8" x14ac:dyDescent="0.3">
      <c r="F8443"/>
      <c r="H8443"/>
    </row>
    <row r="8444" spans="6:8" x14ac:dyDescent="0.3">
      <c r="F8444"/>
      <c r="H8444"/>
    </row>
    <row r="8445" spans="6:8" x14ac:dyDescent="0.3">
      <c r="F8445"/>
      <c r="H8445"/>
    </row>
    <row r="8446" spans="6:8" x14ac:dyDescent="0.3">
      <c r="F8446"/>
      <c r="H8446"/>
    </row>
    <row r="8447" spans="6:8" x14ac:dyDescent="0.3">
      <c r="F8447"/>
      <c r="H8447"/>
    </row>
    <row r="8448" spans="6:8" x14ac:dyDescent="0.3">
      <c r="F8448"/>
      <c r="H8448"/>
    </row>
    <row r="8449" spans="6:8" x14ac:dyDescent="0.3">
      <c r="F8449"/>
      <c r="H8449"/>
    </row>
    <row r="8450" spans="6:8" x14ac:dyDescent="0.3">
      <c r="F8450"/>
      <c r="H8450"/>
    </row>
    <row r="8451" spans="6:8" x14ac:dyDescent="0.3">
      <c r="F8451"/>
      <c r="H8451"/>
    </row>
    <row r="8452" spans="6:8" x14ac:dyDescent="0.3">
      <c r="F8452"/>
      <c r="H8452"/>
    </row>
    <row r="8453" spans="6:8" x14ac:dyDescent="0.3">
      <c r="F8453"/>
      <c r="H8453"/>
    </row>
    <row r="8454" spans="6:8" x14ac:dyDescent="0.3">
      <c r="F8454"/>
      <c r="H8454"/>
    </row>
    <row r="8455" spans="6:8" x14ac:dyDescent="0.3">
      <c r="F8455"/>
      <c r="H8455"/>
    </row>
    <row r="8456" spans="6:8" x14ac:dyDescent="0.3">
      <c r="F8456"/>
      <c r="H8456"/>
    </row>
    <row r="8457" spans="6:8" x14ac:dyDescent="0.3">
      <c r="F8457"/>
      <c r="H8457"/>
    </row>
    <row r="8458" spans="6:8" x14ac:dyDescent="0.3">
      <c r="F8458"/>
      <c r="H8458"/>
    </row>
    <row r="8459" spans="6:8" x14ac:dyDescent="0.3">
      <c r="F8459"/>
      <c r="H8459"/>
    </row>
    <row r="8460" spans="6:8" x14ac:dyDescent="0.3">
      <c r="F8460"/>
      <c r="H8460"/>
    </row>
    <row r="8461" spans="6:8" x14ac:dyDescent="0.3">
      <c r="F8461"/>
      <c r="H8461"/>
    </row>
    <row r="8462" spans="6:8" x14ac:dyDescent="0.3">
      <c r="F8462"/>
      <c r="H8462"/>
    </row>
    <row r="8463" spans="6:8" x14ac:dyDescent="0.3">
      <c r="F8463"/>
      <c r="H8463"/>
    </row>
    <row r="8464" spans="6:8" x14ac:dyDescent="0.3">
      <c r="F8464"/>
      <c r="H8464"/>
    </row>
    <row r="8465" spans="6:8" x14ac:dyDescent="0.3">
      <c r="F8465"/>
      <c r="H8465"/>
    </row>
    <row r="8466" spans="6:8" x14ac:dyDescent="0.3">
      <c r="F8466"/>
      <c r="H8466"/>
    </row>
    <row r="8467" spans="6:8" x14ac:dyDescent="0.3">
      <c r="F8467"/>
      <c r="H8467"/>
    </row>
    <row r="8468" spans="6:8" x14ac:dyDescent="0.3">
      <c r="F8468"/>
      <c r="H8468"/>
    </row>
    <row r="8469" spans="6:8" x14ac:dyDescent="0.3">
      <c r="F8469"/>
      <c r="H8469"/>
    </row>
    <row r="8470" spans="6:8" x14ac:dyDescent="0.3">
      <c r="F8470"/>
      <c r="H8470"/>
    </row>
    <row r="8471" spans="6:8" x14ac:dyDescent="0.3">
      <c r="F8471"/>
      <c r="H8471"/>
    </row>
    <row r="8472" spans="6:8" x14ac:dyDescent="0.3">
      <c r="F8472"/>
      <c r="H8472"/>
    </row>
    <row r="8473" spans="6:8" x14ac:dyDescent="0.3">
      <c r="F8473"/>
      <c r="H8473"/>
    </row>
    <row r="8474" spans="6:8" x14ac:dyDescent="0.3">
      <c r="F8474"/>
      <c r="H8474"/>
    </row>
    <row r="8475" spans="6:8" x14ac:dyDescent="0.3">
      <c r="F8475"/>
      <c r="H8475"/>
    </row>
    <row r="8476" spans="6:8" x14ac:dyDescent="0.3">
      <c r="F8476"/>
      <c r="H8476"/>
    </row>
    <row r="8477" spans="6:8" x14ac:dyDescent="0.3">
      <c r="F8477"/>
      <c r="H8477"/>
    </row>
    <row r="8478" spans="6:8" x14ac:dyDescent="0.3">
      <c r="F8478"/>
      <c r="H8478"/>
    </row>
    <row r="8479" spans="6:8" x14ac:dyDescent="0.3">
      <c r="F8479"/>
      <c r="H8479"/>
    </row>
    <row r="8480" spans="6:8" x14ac:dyDescent="0.3">
      <c r="F8480"/>
      <c r="H8480"/>
    </row>
    <row r="8481" spans="6:8" x14ac:dyDescent="0.3">
      <c r="F8481"/>
      <c r="H8481"/>
    </row>
    <row r="8482" spans="6:8" x14ac:dyDescent="0.3">
      <c r="F8482"/>
      <c r="H8482"/>
    </row>
    <row r="8483" spans="6:8" x14ac:dyDescent="0.3">
      <c r="F8483"/>
      <c r="H8483"/>
    </row>
    <row r="8484" spans="6:8" x14ac:dyDescent="0.3">
      <c r="F8484"/>
      <c r="H8484"/>
    </row>
    <row r="8485" spans="6:8" x14ac:dyDescent="0.3">
      <c r="F8485"/>
      <c r="H8485"/>
    </row>
    <row r="8486" spans="6:8" x14ac:dyDescent="0.3">
      <c r="F8486"/>
      <c r="H8486"/>
    </row>
    <row r="8487" spans="6:8" x14ac:dyDescent="0.3">
      <c r="F8487"/>
      <c r="H8487"/>
    </row>
    <row r="8488" spans="6:8" x14ac:dyDescent="0.3">
      <c r="F8488"/>
      <c r="H8488"/>
    </row>
    <row r="8489" spans="6:8" x14ac:dyDescent="0.3">
      <c r="F8489"/>
      <c r="H8489"/>
    </row>
    <row r="8490" spans="6:8" x14ac:dyDescent="0.3">
      <c r="F8490"/>
      <c r="H8490"/>
    </row>
    <row r="8491" spans="6:8" x14ac:dyDescent="0.3">
      <c r="F8491"/>
      <c r="H8491"/>
    </row>
    <row r="8492" spans="6:8" x14ac:dyDescent="0.3">
      <c r="F8492"/>
      <c r="H8492"/>
    </row>
    <row r="8493" spans="6:8" x14ac:dyDescent="0.3">
      <c r="F8493"/>
      <c r="H8493"/>
    </row>
    <row r="8494" spans="6:8" x14ac:dyDescent="0.3">
      <c r="F8494"/>
      <c r="H8494"/>
    </row>
    <row r="8495" spans="6:8" x14ac:dyDescent="0.3">
      <c r="F8495"/>
      <c r="H8495"/>
    </row>
    <row r="8496" spans="6:8" x14ac:dyDescent="0.3">
      <c r="F8496"/>
      <c r="H8496"/>
    </row>
    <row r="8497" spans="6:8" x14ac:dyDescent="0.3">
      <c r="F8497"/>
      <c r="H8497"/>
    </row>
    <row r="8498" spans="6:8" x14ac:dyDescent="0.3">
      <c r="F8498"/>
      <c r="H8498"/>
    </row>
    <row r="8499" spans="6:8" x14ac:dyDescent="0.3">
      <c r="F8499"/>
      <c r="H8499"/>
    </row>
    <row r="8500" spans="6:8" x14ac:dyDescent="0.3">
      <c r="F8500"/>
      <c r="H8500"/>
    </row>
    <row r="8501" spans="6:8" x14ac:dyDescent="0.3">
      <c r="F8501"/>
      <c r="H8501"/>
    </row>
    <row r="8502" spans="6:8" x14ac:dyDescent="0.3">
      <c r="F8502"/>
      <c r="H8502"/>
    </row>
    <row r="8503" spans="6:8" x14ac:dyDescent="0.3">
      <c r="F8503"/>
      <c r="H8503"/>
    </row>
    <row r="8504" spans="6:8" x14ac:dyDescent="0.3">
      <c r="F8504"/>
      <c r="H8504"/>
    </row>
    <row r="8505" spans="6:8" x14ac:dyDescent="0.3">
      <c r="F8505"/>
      <c r="H8505"/>
    </row>
    <row r="8506" spans="6:8" x14ac:dyDescent="0.3">
      <c r="F8506"/>
      <c r="H8506"/>
    </row>
    <row r="8507" spans="6:8" x14ac:dyDescent="0.3">
      <c r="F8507"/>
      <c r="H8507"/>
    </row>
    <row r="8508" spans="6:8" x14ac:dyDescent="0.3">
      <c r="F8508"/>
      <c r="H8508"/>
    </row>
    <row r="8509" spans="6:8" x14ac:dyDescent="0.3">
      <c r="F8509"/>
      <c r="H8509"/>
    </row>
    <row r="8510" spans="6:8" x14ac:dyDescent="0.3">
      <c r="F8510"/>
      <c r="H8510"/>
    </row>
    <row r="8511" spans="6:8" x14ac:dyDescent="0.3">
      <c r="F8511"/>
      <c r="H8511"/>
    </row>
    <row r="8512" spans="6:8" x14ac:dyDescent="0.3">
      <c r="F8512"/>
      <c r="H8512"/>
    </row>
    <row r="8513" spans="6:8" x14ac:dyDescent="0.3">
      <c r="F8513"/>
      <c r="H8513"/>
    </row>
    <row r="8514" spans="6:8" x14ac:dyDescent="0.3">
      <c r="F8514"/>
      <c r="H8514"/>
    </row>
    <row r="8515" spans="6:8" x14ac:dyDescent="0.3">
      <c r="F8515"/>
      <c r="H8515"/>
    </row>
    <row r="8516" spans="6:8" x14ac:dyDescent="0.3">
      <c r="F8516"/>
      <c r="H8516"/>
    </row>
    <row r="8517" spans="6:8" x14ac:dyDescent="0.3">
      <c r="F8517"/>
      <c r="H8517"/>
    </row>
    <row r="8518" spans="6:8" x14ac:dyDescent="0.3">
      <c r="F8518"/>
      <c r="H8518"/>
    </row>
    <row r="8519" spans="6:8" x14ac:dyDescent="0.3">
      <c r="F8519"/>
      <c r="H8519"/>
    </row>
    <row r="8520" spans="6:8" x14ac:dyDescent="0.3">
      <c r="F8520"/>
      <c r="H8520"/>
    </row>
    <row r="8521" spans="6:8" x14ac:dyDescent="0.3">
      <c r="F8521"/>
      <c r="H8521"/>
    </row>
    <row r="8522" spans="6:8" x14ac:dyDescent="0.3">
      <c r="F8522"/>
      <c r="H8522"/>
    </row>
    <row r="8523" spans="6:8" x14ac:dyDescent="0.3">
      <c r="F8523"/>
      <c r="H8523"/>
    </row>
    <row r="8524" spans="6:8" x14ac:dyDescent="0.3">
      <c r="F8524"/>
      <c r="H8524"/>
    </row>
    <row r="8525" spans="6:8" x14ac:dyDescent="0.3">
      <c r="F8525"/>
      <c r="H8525"/>
    </row>
    <row r="8526" spans="6:8" x14ac:dyDescent="0.3">
      <c r="F8526"/>
      <c r="H8526"/>
    </row>
    <row r="8527" spans="6:8" x14ac:dyDescent="0.3">
      <c r="F8527"/>
      <c r="H8527"/>
    </row>
    <row r="8528" spans="6:8" x14ac:dyDescent="0.3">
      <c r="F8528"/>
      <c r="H8528"/>
    </row>
    <row r="8529" spans="6:8" x14ac:dyDescent="0.3">
      <c r="F8529"/>
      <c r="H8529"/>
    </row>
    <row r="8530" spans="6:8" x14ac:dyDescent="0.3">
      <c r="F8530"/>
      <c r="H8530"/>
    </row>
    <row r="8531" spans="6:8" x14ac:dyDescent="0.3">
      <c r="F8531"/>
      <c r="H8531"/>
    </row>
    <row r="8532" spans="6:8" x14ac:dyDescent="0.3">
      <c r="F8532"/>
      <c r="H8532"/>
    </row>
    <row r="8533" spans="6:8" x14ac:dyDescent="0.3">
      <c r="F8533"/>
      <c r="H8533"/>
    </row>
    <row r="8534" spans="6:8" x14ac:dyDescent="0.3">
      <c r="F8534"/>
      <c r="H8534"/>
    </row>
    <row r="8535" spans="6:8" x14ac:dyDescent="0.3">
      <c r="F8535"/>
      <c r="H8535"/>
    </row>
    <row r="8536" spans="6:8" x14ac:dyDescent="0.3">
      <c r="F8536"/>
      <c r="H8536"/>
    </row>
    <row r="8537" spans="6:8" x14ac:dyDescent="0.3">
      <c r="F8537"/>
      <c r="H8537"/>
    </row>
    <row r="8538" spans="6:8" x14ac:dyDescent="0.3">
      <c r="F8538"/>
      <c r="H8538"/>
    </row>
    <row r="8539" spans="6:8" x14ac:dyDescent="0.3">
      <c r="F8539"/>
      <c r="H8539"/>
    </row>
    <row r="8540" spans="6:8" x14ac:dyDescent="0.3">
      <c r="F8540"/>
      <c r="H8540"/>
    </row>
    <row r="8541" spans="6:8" x14ac:dyDescent="0.3">
      <c r="F8541"/>
      <c r="H8541"/>
    </row>
    <row r="8542" spans="6:8" x14ac:dyDescent="0.3">
      <c r="F8542"/>
      <c r="H8542"/>
    </row>
    <row r="8543" spans="6:8" x14ac:dyDescent="0.3">
      <c r="F8543"/>
      <c r="H8543"/>
    </row>
    <row r="8544" spans="6:8" x14ac:dyDescent="0.3">
      <c r="F8544"/>
      <c r="H8544"/>
    </row>
    <row r="8545" spans="6:8" x14ac:dyDescent="0.3">
      <c r="F8545"/>
      <c r="H8545"/>
    </row>
    <row r="8546" spans="6:8" x14ac:dyDescent="0.3">
      <c r="F8546"/>
      <c r="H8546"/>
    </row>
    <row r="8547" spans="6:8" x14ac:dyDescent="0.3">
      <c r="F8547"/>
      <c r="H8547"/>
    </row>
    <row r="8548" spans="6:8" x14ac:dyDescent="0.3">
      <c r="F8548"/>
      <c r="H8548"/>
    </row>
    <row r="8549" spans="6:8" x14ac:dyDescent="0.3">
      <c r="F8549"/>
      <c r="H8549"/>
    </row>
    <row r="8550" spans="6:8" x14ac:dyDescent="0.3">
      <c r="F8550"/>
      <c r="H8550"/>
    </row>
    <row r="8551" spans="6:8" x14ac:dyDescent="0.3">
      <c r="F8551"/>
      <c r="H8551"/>
    </row>
    <row r="8552" spans="6:8" x14ac:dyDescent="0.3">
      <c r="F8552"/>
      <c r="H8552"/>
    </row>
    <row r="8553" spans="6:8" x14ac:dyDescent="0.3">
      <c r="F8553"/>
      <c r="H8553"/>
    </row>
    <row r="8554" spans="6:8" x14ac:dyDescent="0.3">
      <c r="F8554"/>
      <c r="H8554"/>
    </row>
    <row r="8555" spans="6:8" x14ac:dyDescent="0.3">
      <c r="F8555"/>
      <c r="H8555"/>
    </row>
    <row r="8556" spans="6:8" x14ac:dyDescent="0.3">
      <c r="F8556"/>
      <c r="H8556"/>
    </row>
    <row r="8557" spans="6:8" x14ac:dyDescent="0.3">
      <c r="F8557"/>
      <c r="H8557"/>
    </row>
    <row r="8558" spans="6:8" x14ac:dyDescent="0.3">
      <c r="F8558"/>
      <c r="H8558"/>
    </row>
    <row r="8559" spans="6:8" x14ac:dyDescent="0.3">
      <c r="F8559"/>
      <c r="H8559"/>
    </row>
    <row r="8560" spans="6:8" x14ac:dyDescent="0.3">
      <c r="F8560"/>
      <c r="H8560"/>
    </row>
    <row r="8561" spans="6:8" x14ac:dyDescent="0.3">
      <c r="F8561"/>
      <c r="H8561"/>
    </row>
    <row r="8562" spans="6:8" x14ac:dyDescent="0.3">
      <c r="F8562"/>
      <c r="H8562"/>
    </row>
    <row r="8563" spans="6:8" x14ac:dyDescent="0.3">
      <c r="F8563"/>
      <c r="H8563"/>
    </row>
    <row r="8564" spans="6:8" x14ac:dyDescent="0.3">
      <c r="F8564"/>
      <c r="H8564"/>
    </row>
    <row r="8565" spans="6:8" x14ac:dyDescent="0.3">
      <c r="F8565"/>
      <c r="H8565"/>
    </row>
    <row r="8566" spans="6:8" x14ac:dyDescent="0.3">
      <c r="F8566"/>
      <c r="H8566"/>
    </row>
    <row r="8567" spans="6:8" x14ac:dyDescent="0.3">
      <c r="F8567"/>
      <c r="H8567"/>
    </row>
    <row r="8568" spans="6:8" x14ac:dyDescent="0.3">
      <c r="F8568"/>
      <c r="H8568"/>
    </row>
    <row r="8569" spans="6:8" x14ac:dyDescent="0.3">
      <c r="F8569"/>
      <c r="H8569"/>
    </row>
    <row r="8570" spans="6:8" x14ac:dyDescent="0.3">
      <c r="F8570"/>
      <c r="H8570"/>
    </row>
    <row r="8571" spans="6:8" x14ac:dyDescent="0.3">
      <c r="F8571"/>
      <c r="H8571"/>
    </row>
    <row r="8572" spans="6:8" x14ac:dyDescent="0.3">
      <c r="F8572"/>
      <c r="H8572"/>
    </row>
    <row r="8573" spans="6:8" x14ac:dyDescent="0.3">
      <c r="F8573"/>
      <c r="H8573"/>
    </row>
    <row r="8574" spans="6:8" x14ac:dyDescent="0.3">
      <c r="F8574"/>
      <c r="H8574"/>
    </row>
    <row r="8575" spans="6:8" x14ac:dyDescent="0.3">
      <c r="F8575"/>
      <c r="H8575"/>
    </row>
    <row r="8576" spans="6:8" x14ac:dyDescent="0.3">
      <c r="F8576"/>
      <c r="H8576"/>
    </row>
    <row r="8577" spans="6:8" x14ac:dyDescent="0.3">
      <c r="F8577"/>
      <c r="H8577"/>
    </row>
    <row r="8578" spans="6:8" x14ac:dyDescent="0.3">
      <c r="F8578"/>
      <c r="H8578"/>
    </row>
    <row r="8579" spans="6:8" x14ac:dyDescent="0.3">
      <c r="F8579"/>
      <c r="H8579"/>
    </row>
    <row r="8580" spans="6:8" x14ac:dyDescent="0.3">
      <c r="F8580"/>
      <c r="H8580"/>
    </row>
    <row r="8581" spans="6:8" x14ac:dyDescent="0.3">
      <c r="F8581"/>
      <c r="H8581"/>
    </row>
    <row r="8582" spans="6:8" x14ac:dyDescent="0.3">
      <c r="F8582"/>
      <c r="H8582"/>
    </row>
    <row r="8583" spans="6:8" x14ac:dyDescent="0.3">
      <c r="F8583"/>
      <c r="H8583"/>
    </row>
    <row r="8584" spans="6:8" x14ac:dyDescent="0.3">
      <c r="F8584"/>
      <c r="H8584"/>
    </row>
    <row r="8585" spans="6:8" x14ac:dyDescent="0.3">
      <c r="F8585"/>
      <c r="H8585"/>
    </row>
    <row r="8586" spans="6:8" x14ac:dyDescent="0.3">
      <c r="F8586"/>
      <c r="H8586"/>
    </row>
    <row r="8587" spans="6:8" x14ac:dyDescent="0.3">
      <c r="F8587"/>
      <c r="H8587"/>
    </row>
    <row r="8588" spans="6:8" x14ac:dyDescent="0.3">
      <c r="F8588"/>
      <c r="H8588"/>
    </row>
    <row r="8589" spans="6:8" x14ac:dyDescent="0.3">
      <c r="F8589"/>
      <c r="H8589"/>
    </row>
    <row r="8590" spans="6:8" x14ac:dyDescent="0.3">
      <c r="F8590"/>
      <c r="H8590"/>
    </row>
    <row r="8591" spans="6:8" x14ac:dyDescent="0.3">
      <c r="F8591"/>
      <c r="H8591"/>
    </row>
    <row r="8592" spans="6:8" x14ac:dyDescent="0.3">
      <c r="F8592"/>
      <c r="H8592"/>
    </row>
    <row r="8593" spans="6:8" x14ac:dyDescent="0.3">
      <c r="F8593"/>
      <c r="H8593"/>
    </row>
    <row r="8594" spans="6:8" x14ac:dyDescent="0.3">
      <c r="F8594"/>
      <c r="H8594"/>
    </row>
    <row r="8595" spans="6:8" x14ac:dyDescent="0.3">
      <c r="F8595"/>
      <c r="H8595"/>
    </row>
    <row r="8596" spans="6:8" x14ac:dyDescent="0.3">
      <c r="F8596"/>
      <c r="H8596"/>
    </row>
    <row r="8597" spans="6:8" x14ac:dyDescent="0.3">
      <c r="F8597"/>
      <c r="H8597"/>
    </row>
    <row r="8598" spans="6:8" x14ac:dyDescent="0.3">
      <c r="F8598"/>
      <c r="H8598"/>
    </row>
    <row r="8599" spans="6:8" x14ac:dyDescent="0.3">
      <c r="F8599"/>
      <c r="H8599"/>
    </row>
    <row r="8600" spans="6:8" x14ac:dyDescent="0.3">
      <c r="F8600"/>
      <c r="H8600"/>
    </row>
    <row r="8601" spans="6:8" x14ac:dyDescent="0.3">
      <c r="F8601"/>
      <c r="H8601"/>
    </row>
    <row r="8602" spans="6:8" x14ac:dyDescent="0.3">
      <c r="F8602"/>
      <c r="H8602"/>
    </row>
    <row r="8603" spans="6:8" x14ac:dyDescent="0.3">
      <c r="F8603"/>
      <c r="H8603"/>
    </row>
    <row r="8604" spans="6:8" x14ac:dyDescent="0.3">
      <c r="F8604"/>
      <c r="H8604"/>
    </row>
    <row r="8605" spans="6:8" x14ac:dyDescent="0.3">
      <c r="F8605"/>
      <c r="H8605"/>
    </row>
    <row r="8606" spans="6:8" x14ac:dyDescent="0.3">
      <c r="F8606"/>
      <c r="H8606"/>
    </row>
    <row r="8607" spans="6:8" x14ac:dyDescent="0.3">
      <c r="F8607"/>
      <c r="H8607"/>
    </row>
    <row r="8608" spans="6:8" x14ac:dyDescent="0.3">
      <c r="F8608"/>
      <c r="H8608"/>
    </row>
    <row r="8609" spans="6:8" x14ac:dyDescent="0.3">
      <c r="F8609"/>
      <c r="H8609"/>
    </row>
    <row r="8610" spans="6:8" x14ac:dyDescent="0.3">
      <c r="F8610"/>
      <c r="H8610"/>
    </row>
    <row r="8611" spans="6:8" x14ac:dyDescent="0.3">
      <c r="F8611"/>
      <c r="H8611"/>
    </row>
    <row r="8612" spans="6:8" x14ac:dyDescent="0.3">
      <c r="F8612"/>
      <c r="H8612"/>
    </row>
    <row r="8613" spans="6:8" x14ac:dyDescent="0.3">
      <c r="F8613"/>
      <c r="H8613"/>
    </row>
    <row r="8614" spans="6:8" x14ac:dyDescent="0.3">
      <c r="F8614"/>
      <c r="H8614"/>
    </row>
    <row r="8615" spans="6:8" x14ac:dyDescent="0.3">
      <c r="F8615"/>
      <c r="H8615"/>
    </row>
    <row r="8616" spans="6:8" x14ac:dyDescent="0.3">
      <c r="F8616"/>
      <c r="H8616"/>
    </row>
    <row r="8617" spans="6:8" x14ac:dyDescent="0.3">
      <c r="F8617"/>
      <c r="H8617"/>
    </row>
    <row r="8618" spans="6:8" x14ac:dyDescent="0.3">
      <c r="F8618"/>
      <c r="H8618"/>
    </row>
    <row r="8619" spans="6:8" x14ac:dyDescent="0.3">
      <c r="F8619"/>
      <c r="H8619"/>
    </row>
    <row r="8620" spans="6:8" x14ac:dyDescent="0.3">
      <c r="F8620"/>
      <c r="H8620"/>
    </row>
    <row r="8621" spans="6:8" x14ac:dyDescent="0.3">
      <c r="F8621"/>
      <c r="H8621"/>
    </row>
    <row r="8622" spans="6:8" x14ac:dyDescent="0.3">
      <c r="F8622"/>
      <c r="H8622"/>
    </row>
    <row r="8623" spans="6:8" x14ac:dyDescent="0.3">
      <c r="F8623"/>
      <c r="H8623"/>
    </row>
    <row r="8624" spans="6:8" x14ac:dyDescent="0.3">
      <c r="F8624"/>
      <c r="H8624"/>
    </row>
    <row r="8625" spans="6:8" x14ac:dyDescent="0.3">
      <c r="F8625"/>
      <c r="H8625"/>
    </row>
    <row r="8626" spans="6:8" x14ac:dyDescent="0.3">
      <c r="F8626"/>
      <c r="H8626"/>
    </row>
    <row r="8627" spans="6:8" x14ac:dyDescent="0.3">
      <c r="F8627"/>
      <c r="H8627"/>
    </row>
    <row r="8628" spans="6:8" x14ac:dyDescent="0.3">
      <c r="F8628"/>
      <c r="H8628"/>
    </row>
    <row r="8629" spans="6:8" x14ac:dyDescent="0.3">
      <c r="F8629"/>
      <c r="H8629"/>
    </row>
    <row r="8630" spans="6:8" x14ac:dyDescent="0.3">
      <c r="F8630"/>
      <c r="H8630"/>
    </row>
    <row r="8631" spans="6:8" x14ac:dyDescent="0.3">
      <c r="F8631"/>
      <c r="H8631"/>
    </row>
    <row r="8632" spans="6:8" x14ac:dyDescent="0.3">
      <c r="F8632"/>
      <c r="H8632"/>
    </row>
    <row r="8633" spans="6:8" x14ac:dyDescent="0.3">
      <c r="F8633"/>
      <c r="H8633"/>
    </row>
    <row r="8634" spans="6:8" x14ac:dyDescent="0.3">
      <c r="F8634"/>
      <c r="H8634"/>
    </row>
    <row r="8635" spans="6:8" x14ac:dyDescent="0.3">
      <c r="F8635"/>
      <c r="H8635"/>
    </row>
    <row r="8636" spans="6:8" x14ac:dyDescent="0.3">
      <c r="F8636"/>
      <c r="H8636"/>
    </row>
    <row r="8637" spans="6:8" x14ac:dyDescent="0.3">
      <c r="F8637"/>
      <c r="H8637"/>
    </row>
    <row r="8638" spans="6:8" x14ac:dyDescent="0.3">
      <c r="F8638"/>
      <c r="H8638"/>
    </row>
    <row r="8639" spans="6:8" x14ac:dyDescent="0.3">
      <c r="F8639"/>
      <c r="H8639"/>
    </row>
    <row r="8640" spans="6:8" x14ac:dyDescent="0.3">
      <c r="F8640"/>
      <c r="H8640"/>
    </row>
    <row r="8641" spans="6:8" x14ac:dyDescent="0.3">
      <c r="F8641"/>
      <c r="H8641"/>
    </row>
    <row r="8642" spans="6:8" x14ac:dyDescent="0.3">
      <c r="F8642"/>
      <c r="H8642"/>
    </row>
    <row r="8643" spans="6:8" x14ac:dyDescent="0.3">
      <c r="F8643"/>
      <c r="H8643"/>
    </row>
    <row r="8644" spans="6:8" x14ac:dyDescent="0.3">
      <c r="F8644"/>
      <c r="H8644"/>
    </row>
    <row r="8645" spans="6:8" x14ac:dyDescent="0.3">
      <c r="F8645"/>
      <c r="H8645"/>
    </row>
    <row r="8646" spans="6:8" x14ac:dyDescent="0.3">
      <c r="F8646"/>
      <c r="H8646"/>
    </row>
    <row r="8647" spans="6:8" x14ac:dyDescent="0.3">
      <c r="F8647"/>
      <c r="H8647"/>
    </row>
    <row r="8648" spans="6:8" x14ac:dyDescent="0.3">
      <c r="F8648"/>
      <c r="H8648"/>
    </row>
    <row r="8649" spans="6:8" x14ac:dyDescent="0.3">
      <c r="F8649"/>
      <c r="H8649"/>
    </row>
    <row r="8650" spans="6:8" x14ac:dyDescent="0.3">
      <c r="F8650"/>
      <c r="H8650"/>
    </row>
    <row r="8651" spans="6:8" x14ac:dyDescent="0.3">
      <c r="F8651"/>
      <c r="H8651"/>
    </row>
    <row r="8652" spans="6:8" x14ac:dyDescent="0.3">
      <c r="F8652"/>
      <c r="H8652"/>
    </row>
    <row r="8653" spans="6:8" x14ac:dyDescent="0.3">
      <c r="F8653"/>
      <c r="H8653"/>
    </row>
    <row r="8654" spans="6:8" x14ac:dyDescent="0.3">
      <c r="F8654"/>
      <c r="H8654"/>
    </row>
    <row r="8655" spans="6:8" x14ac:dyDescent="0.3">
      <c r="F8655"/>
      <c r="H8655"/>
    </row>
    <row r="8656" spans="6:8" x14ac:dyDescent="0.3">
      <c r="F8656"/>
      <c r="H8656"/>
    </row>
    <row r="8657" spans="6:8" x14ac:dyDescent="0.3">
      <c r="F8657"/>
      <c r="H8657"/>
    </row>
    <row r="8658" spans="6:8" x14ac:dyDescent="0.3">
      <c r="F8658"/>
      <c r="H8658"/>
    </row>
    <row r="8659" spans="6:8" x14ac:dyDescent="0.3">
      <c r="F8659"/>
      <c r="H8659"/>
    </row>
    <row r="8660" spans="6:8" x14ac:dyDescent="0.3">
      <c r="F8660"/>
      <c r="H8660"/>
    </row>
    <row r="8661" spans="6:8" x14ac:dyDescent="0.3">
      <c r="F8661"/>
      <c r="H8661"/>
    </row>
    <row r="8662" spans="6:8" x14ac:dyDescent="0.3">
      <c r="F8662"/>
      <c r="H8662"/>
    </row>
    <row r="8663" spans="6:8" x14ac:dyDescent="0.3">
      <c r="F8663"/>
      <c r="H8663"/>
    </row>
    <row r="8664" spans="6:8" x14ac:dyDescent="0.3">
      <c r="F8664"/>
      <c r="H8664"/>
    </row>
    <row r="8665" spans="6:8" x14ac:dyDescent="0.3">
      <c r="F8665"/>
      <c r="H8665"/>
    </row>
    <row r="8666" spans="6:8" x14ac:dyDescent="0.3">
      <c r="F8666"/>
      <c r="H8666"/>
    </row>
    <row r="8667" spans="6:8" x14ac:dyDescent="0.3">
      <c r="F8667"/>
      <c r="H8667"/>
    </row>
    <row r="8668" spans="6:8" x14ac:dyDescent="0.3">
      <c r="F8668"/>
      <c r="H8668"/>
    </row>
    <row r="8669" spans="6:8" x14ac:dyDescent="0.3">
      <c r="F8669"/>
      <c r="H8669"/>
    </row>
    <row r="8670" spans="6:8" x14ac:dyDescent="0.3">
      <c r="F8670"/>
      <c r="H8670"/>
    </row>
    <row r="8671" spans="6:8" x14ac:dyDescent="0.3">
      <c r="F8671"/>
      <c r="H8671"/>
    </row>
    <row r="8672" spans="6:8" x14ac:dyDescent="0.3">
      <c r="F8672"/>
      <c r="H8672"/>
    </row>
    <row r="8673" spans="6:8" x14ac:dyDescent="0.3">
      <c r="F8673"/>
      <c r="H8673"/>
    </row>
    <row r="8674" spans="6:8" x14ac:dyDescent="0.3">
      <c r="F8674"/>
      <c r="H8674"/>
    </row>
    <row r="8675" spans="6:8" x14ac:dyDescent="0.3">
      <c r="F8675"/>
      <c r="H8675"/>
    </row>
    <row r="8676" spans="6:8" x14ac:dyDescent="0.3">
      <c r="F8676"/>
      <c r="H8676"/>
    </row>
    <row r="8677" spans="6:8" x14ac:dyDescent="0.3">
      <c r="F8677"/>
      <c r="H8677"/>
    </row>
    <row r="8678" spans="6:8" x14ac:dyDescent="0.3">
      <c r="F8678"/>
      <c r="H8678"/>
    </row>
    <row r="8679" spans="6:8" x14ac:dyDescent="0.3">
      <c r="F8679"/>
      <c r="H8679"/>
    </row>
    <row r="8680" spans="6:8" x14ac:dyDescent="0.3">
      <c r="F8680"/>
      <c r="H8680"/>
    </row>
    <row r="8681" spans="6:8" x14ac:dyDescent="0.3">
      <c r="F8681"/>
      <c r="H8681"/>
    </row>
    <row r="8682" spans="6:8" x14ac:dyDescent="0.3">
      <c r="F8682"/>
      <c r="H8682"/>
    </row>
    <row r="8683" spans="6:8" x14ac:dyDescent="0.3">
      <c r="F8683"/>
      <c r="H8683"/>
    </row>
    <row r="8684" spans="6:8" x14ac:dyDescent="0.3">
      <c r="F8684"/>
      <c r="H8684"/>
    </row>
    <row r="8685" spans="6:8" x14ac:dyDescent="0.3">
      <c r="F8685"/>
      <c r="H8685"/>
    </row>
    <row r="8686" spans="6:8" x14ac:dyDescent="0.3">
      <c r="F8686"/>
      <c r="H8686"/>
    </row>
    <row r="8687" spans="6:8" x14ac:dyDescent="0.3">
      <c r="F8687"/>
      <c r="H8687"/>
    </row>
    <row r="8688" spans="6:8" x14ac:dyDescent="0.3">
      <c r="F8688"/>
      <c r="H8688"/>
    </row>
    <row r="8689" spans="6:8" x14ac:dyDescent="0.3">
      <c r="F8689"/>
      <c r="H8689"/>
    </row>
    <row r="8690" spans="6:8" x14ac:dyDescent="0.3">
      <c r="F8690"/>
      <c r="H8690"/>
    </row>
    <row r="8691" spans="6:8" x14ac:dyDescent="0.3">
      <c r="F8691"/>
      <c r="H8691"/>
    </row>
    <row r="8692" spans="6:8" x14ac:dyDescent="0.3">
      <c r="F8692"/>
      <c r="H8692"/>
    </row>
    <row r="8693" spans="6:8" x14ac:dyDescent="0.3">
      <c r="F8693"/>
      <c r="H8693"/>
    </row>
    <row r="8694" spans="6:8" x14ac:dyDescent="0.3">
      <c r="F8694"/>
      <c r="H8694"/>
    </row>
    <row r="8695" spans="6:8" x14ac:dyDescent="0.3">
      <c r="F8695"/>
      <c r="H8695"/>
    </row>
    <row r="8696" spans="6:8" x14ac:dyDescent="0.3">
      <c r="F8696"/>
      <c r="H8696"/>
    </row>
    <row r="8697" spans="6:8" x14ac:dyDescent="0.3">
      <c r="F8697"/>
      <c r="H8697"/>
    </row>
    <row r="8698" spans="6:8" x14ac:dyDescent="0.3">
      <c r="F8698"/>
      <c r="H8698"/>
    </row>
    <row r="8699" spans="6:8" x14ac:dyDescent="0.3">
      <c r="F8699"/>
      <c r="H8699"/>
    </row>
    <row r="8700" spans="6:8" x14ac:dyDescent="0.3">
      <c r="F8700"/>
      <c r="H8700"/>
    </row>
    <row r="8701" spans="6:8" x14ac:dyDescent="0.3">
      <c r="F8701"/>
      <c r="H8701"/>
    </row>
    <row r="8702" spans="6:8" x14ac:dyDescent="0.3">
      <c r="F8702"/>
      <c r="H8702"/>
    </row>
    <row r="8703" spans="6:8" x14ac:dyDescent="0.3">
      <c r="F8703"/>
      <c r="H8703"/>
    </row>
    <row r="8704" spans="6:8" x14ac:dyDescent="0.3">
      <c r="F8704"/>
      <c r="H8704"/>
    </row>
    <row r="8705" spans="6:8" x14ac:dyDescent="0.3">
      <c r="F8705"/>
      <c r="H8705"/>
    </row>
    <row r="8706" spans="6:8" x14ac:dyDescent="0.3">
      <c r="F8706"/>
      <c r="H8706"/>
    </row>
    <row r="8707" spans="6:8" x14ac:dyDescent="0.3">
      <c r="F8707"/>
      <c r="H8707"/>
    </row>
    <row r="8708" spans="6:8" x14ac:dyDescent="0.3">
      <c r="F8708"/>
      <c r="H8708"/>
    </row>
    <row r="8709" spans="6:8" x14ac:dyDescent="0.3">
      <c r="F8709"/>
      <c r="H8709"/>
    </row>
    <row r="8710" spans="6:8" x14ac:dyDescent="0.3">
      <c r="F8710"/>
      <c r="H8710"/>
    </row>
    <row r="8711" spans="6:8" x14ac:dyDescent="0.3">
      <c r="F8711"/>
      <c r="H8711"/>
    </row>
    <row r="8712" spans="6:8" x14ac:dyDescent="0.3">
      <c r="F8712"/>
      <c r="H8712"/>
    </row>
    <row r="8713" spans="6:8" x14ac:dyDescent="0.3">
      <c r="F8713"/>
      <c r="H8713"/>
    </row>
    <row r="8714" spans="6:8" x14ac:dyDescent="0.3">
      <c r="F8714"/>
      <c r="H8714"/>
    </row>
    <row r="8715" spans="6:8" x14ac:dyDescent="0.3">
      <c r="F8715"/>
      <c r="H8715"/>
    </row>
    <row r="8716" spans="6:8" x14ac:dyDescent="0.3">
      <c r="F8716"/>
      <c r="H8716"/>
    </row>
    <row r="8717" spans="6:8" x14ac:dyDescent="0.3">
      <c r="F8717"/>
      <c r="H8717"/>
    </row>
    <row r="8718" spans="6:8" x14ac:dyDescent="0.3">
      <c r="F8718"/>
      <c r="H8718"/>
    </row>
    <row r="8719" spans="6:8" x14ac:dyDescent="0.3">
      <c r="F8719"/>
      <c r="H8719"/>
    </row>
    <row r="8720" spans="6:8" x14ac:dyDescent="0.3">
      <c r="F8720"/>
      <c r="H8720"/>
    </row>
    <row r="8721" spans="6:8" x14ac:dyDescent="0.3">
      <c r="F8721"/>
      <c r="H8721"/>
    </row>
    <row r="8722" spans="6:8" x14ac:dyDescent="0.3">
      <c r="F8722"/>
      <c r="H8722"/>
    </row>
    <row r="8723" spans="6:8" x14ac:dyDescent="0.3">
      <c r="F8723"/>
      <c r="H8723"/>
    </row>
    <row r="8724" spans="6:8" x14ac:dyDescent="0.3">
      <c r="F8724"/>
      <c r="H8724"/>
    </row>
    <row r="8725" spans="6:8" x14ac:dyDescent="0.3">
      <c r="F8725"/>
      <c r="H8725"/>
    </row>
    <row r="8726" spans="6:8" x14ac:dyDescent="0.3">
      <c r="F8726"/>
      <c r="H8726"/>
    </row>
    <row r="8727" spans="6:8" x14ac:dyDescent="0.3">
      <c r="F8727"/>
      <c r="H8727"/>
    </row>
    <row r="8728" spans="6:8" x14ac:dyDescent="0.3">
      <c r="F8728"/>
      <c r="H8728"/>
    </row>
    <row r="8729" spans="6:8" x14ac:dyDescent="0.3">
      <c r="F8729"/>
      <c r="H8729"/>
    </row>
    <row r="8730" spans="6:8" x14ac:dyDescent="0.3">
      <c r="F8730"/>
      <c r="H8730"/>
    </row>
    <row r="8731" spans="6:8" x14ac:dyDescent="0.3">
      <c r="F8731"/>
      <c r="H8731"/>
    </row>
    <row r="8732" spans="6:8" x14ac:dyDescent="0.3">
      <c r="F8732"/>
      <c r="H8732"/>
    </row>
    <row r="8733" spans="6:8" x14ac:dyDescent="0.3">
      <c r="F8733"/>
      <c r="H8733"/>
    </row>
    <row r="8734" spans="6:8" x14ac:dyDescent="0.3">
      <c r="F8734"/>
      <c r="H8734"/>
    </row>
    <row r="8735" spans="6:8" x14ac:dyDescent="0.3">
      <c r="F8735"/>
      <c r="H8735"/>
    </row>
    <row r="8736" spans="6:8" x14ac:dyDescent="0.3">
      <c r="F8736"/>
      <c r="H8736"/>
    </row>
    <row r="8737" spans="6:8" x14ac:dyDescent="0.3">
      <c r="F8737"/>
      <c r="H8737"/>
    </row>
    <row r="8738" spans="6:8" x14ac:dyDescent="0.3">
      <c r="F8738"/>
      <c r="H8738"/>
    </row>
    <row r="8739" spans="6:8" x14ac:dyDescent="0.3">
      <c r="F8739"/>
      <c r="H8739"/>
    </row>
    <row r="8740" spans="6:8" x14ac:dyDescent="0.3">
      <c r="F8740"/>
      <c r="H8740"/>
    </row>
    <row r="8741" spans="6:8" x14ac:dyDescent="0.3">
      <c r="F8741"/>
      <c r="H8741"/>
    </row>
    <row r="8742" spans="6:8" x14ac:dyDescent="0.3">
      <c r="F8742"/>
      <c r="H8742"/>
    </row>
    <row r="8743" spans="6:8" x14ac:dyDescent="0.3">
      <c r="F8743"/>
      <c r="H8743"/>
    </row>
    <row r="8744" spans="6:8" x14ac:dyDescent="0.3">
      <c r="F8744"/>
      <c r="H8744"/>
    </row>
    <row r="8745" spans="6:8" x14ac:dyDescent="0.3">
      <c r="F8745"/>
      <c r="H8745"/>
    </row>
    <row r="8746" spans="6:8" x14ac:dyDescent="0.3">
      <c r="F8746"/>
      <c r="H8746"/>
    </row>
    <row r="8747" spans="6:8" x14ac:dyDescent="0.3">
      <c r="F8747"/>
      <c r="H8747"/>
    </row>
    <row r="8748" spans="6:8" x14ac:dyDescent="0.3">
      <c r="F8748"/>
      <c r="H8748"/>
    </row>
    <row r="8749" spans="6:8" x14ac:dyDescent="0.3">
      <c r="F8749"/>
      <c r="H8749"/>
    </row>
    <row r="8750" spans="6:8" x14ac:dyDescent="0.3">
      <c r="F8750"/>
      <c r="H8750"/>
    </row>
    <row r="8751" spans="6:8" x14ac:dyDescent="0.3">
      <c r="F8751"/>
      <c r="H8751"/>
    </row>
    <row r="8752" spans="6:8" x14ac:dyDescent="0.3">
      <c r="F8752"/>
      <c r="H8752"/>
    </row>
    <row r="8753" spans="6:8" x14ac:dyDescent="0.3">
      <c r="F8753"/>
      <c r="H8753"/>
    </row>
    <row r="8754" spans="6:8" x14ac:dyDescent="0.3">
      <c r="F8754"/>
      <c r="H8754"/>
    </row>
    <row r="8755" spans="6:8" x14ac:dyDescent="0.3">
      <c r="F8755"/>
      <c r="H8755"/>
    </row>
    <row r="8756" spans="6:8" x14ac:dyDescent="0.3">
      <c r="F8756"/>
      <c r="H8756"/>
    </row>
    <row r="8757" spans="6:8" x14ac:dyDescent="0.3">
      <c r="F8757"/>
      <c r="H8757"/>
    </row>
    <row r="8758" spans="6:8" x14ac:dyDescent="0.3">
      <c r="F8758"/>
      <c r="H8758"/>
    </row>
    <row r="8759" spans="6:8" x14ac:dyDescent="0.3">
      <c r="F8759"/>
      <c r="H8759"/>
    </row>
    <row r="8760" spans="6:8" x14ac:dyDescent="0.3">
      <c r="F8760"/>
      <c r="H8760"/>
    </row>
    <row r="8761" spans="6:8" x14ac:dyDescent="0.3">
      <c r="F8761"/>
      <c r="H8761"/>
    </row>
    <row r="8762" spans="6:8" x14ac:dyDescent="0.3">
      <c r="F8762"/>
      <c r="H8762"/>
    </row>
    <row r="8763" spans="6:8" x14ac:dyDescent="0.3">
      <c r="F8763"/>
      <c r="H8763"/>
    </row>
    <row r="8764" spans="6:8" x14ac:dyDescent="0.3">
      <c r="F8764"/>
      <c r="H8764"/>
    </row>
    <row r="8765" spans="6:8" x14ac:dyDescent="0.3">
      <c r="F8765"/>
      <c r="H8765"/>
    </row>
    <row r="8766" spans="6:8" x14ac:dyDescent="0.3">
      <c r="F8766"/>
      <c r="H8766"/>
    </row>
    <row r="8767" spans="6:8" x14ac:dyDescent="0.3">
      <c r="F8767"/>
      <c r="H8767"/>
    </row>
    <row r="8768" spans="6:8" x14ac:dyDescent="0.3">
      <c r="F8768"/>
      <c r="H8768"/>
    </row>
    <row r="8769" spans="6:8" x14ac:dyDescent="0.3">
      <c r="F8769"/>
      <c r="H8769"/>
    </row>
    <row r="8770" spans="6:8" x14ac:dyDescent="0.3">
      <c r="F8770"/>
      <c r="H8770"/>
    </row>
    <row r="8771" spans="6:8" x14ac:dyDescent="0.3">
      <c r="F8771"/>
      <c r="H8771"/>
    </row>
    <row r="8772" spans="6:8" x14ac:dyDescent="0.3">
      <c r="F8772"/>
      <c r="H8772"/>
    </row>
    <row r="8773" spans="6:8" x14ac:dyDescent="0.3">
      <c r="F8773"/>
      <c r="H8773"/>
    </row>
    <row r="8774" spans="6:8" x14ac:dyDescent="0.3">
      <c r="F8774"/>
      <c r="H8774"/>
    </row>
    <row r="8775" spans="6:8" x14ac:dyDescent="0.3">
      <c r="F8775"/>
      <c r="H8775"/>
    </row>
    <row r="8776" spans="6:8" x14ac:dyDescent="0.3">
      <c r="F8776"/>
      <c r="H8776"/>
    </row>
    <row r="8777" spans="6:8" x14ac:dyDescent="0.3">
      <c r="F8777"/>
      <c r="H8777"/>
    </row>
    <row r="8778" spans="6:8" x14ac:dyDescent="0.3">
      <c r="F8778"/>
      <c r="H8778"/>
    </row>
    <row r="8779" spans="6:8" x14ac:dyDescent="0.3">
      <c r="F8779"/>
      <c r="H8779"/>
    </row>
    <row r="8780" spans="6:8" x14ac:dyDescent="0.3">
      <c r="F8780"/>
      <c r="H8780"/>
    </row>
    <row r="8781" spans="6:8" x14ac:dyDescent="0.3">
      <c r="F8781"/>
      <c r="H8781"/>
    </row>
    <row r="8782" spans="6:8" x14ac:dyDescent="0.3">
      <c r="F8782"/>
      <c r="H8782"/>
    </row>
    <row r="8783" spans="6:8" x14ac:dyDescent="0.3">
      <c r="F8783"/>
      <c r="H8783"/>
    </row>
    <row r="8784" spans="6:8" x14ac:dyDescent="0.3">
      <c r="F8784"/>
      <c r="H8784"/>
    </row>
    <row r="8785" spans="6:8" x14ac:dyDescent="0.3">
      <c r="F8785"/>
      <c r="H8785"/>
    </row>
    <row r="8786" spans="6:8" x14ac:dyDescent="0.3">
      <c r="F8786"/>
      <c r="H8786"/>
    </row>
    <row r="8787" spans="6:8" x14ac:dyDescent="0.3">
      <c r="F8787"/>
      <c r="H8787"/>
    </row>
    <row r="8788" spans="6:8" x14ac:dyDescent="0.3">
      <c r="F8788"/>
      <c r="H8788"/>
    </row>
    <row r="8789" spans="6:8" x14ac:dyDescent="0.3">
      <c r="F8789"/>
      <c r="H8789"/>
    </row>
    <row r="8790" spans="6:8" x14ac:dyDescent="0.3">
      <c r="F8790"/>
      <c r="H8790"/>
    </row>
    <row r="8791" spans="6:8" x14ac:dyDescent="0.3">
      <c r="F8791"/>
      <c r="H8791"/>
    </row>
    <row r="8792" spans="6:8" x14ac:dyDescent="0.3">
      <c r="F8792"/>
      <c r="H8792"/>
    </row>
    <row r="8793" spans="6:8" x14ac:dyDescent="0.3">
      <c r="F8793"/>
      <c r="H8793"/>
    </row>
    <row r="8794" spans="6:8" x14ac:dyDescent="0.3">
      <c r="F8794"/>
      <c r="H8794"/>
    </row>
    <row r="8795" spans="6:8" x14ac:dyDescent="0.3">
      <c r="F8795"/>
      <c r="H8795"/>
    </row>
    <row r="8796" spans="6:8" x14ac:dyDescent="0.3">
      <c r="F8796"/>
      <c r="H8796"/>
    </row>
    <row r="8797" spans="6:8" x14ac:dyDescent="0.3">
      <c r="F8797"/>
      <c r="H8797"/>
    </row>
    <row r="8798" spans="6:8" x14ac:dyDescent="0.3">
      <c r="F8798"/>
      <c r="H8798"/>
    </row>
    <row r="8799" spans="6:8" x14ac:dyDescent="0.3">
      <c r="F8799"/>
      <c r="H8799"/>
    </row>
    <row r="8800" spans="6:8" x14ac:dyDescent="0.3">
      <c r="F8800"/>
      <c r="H8800"/>
    </row>
    <row r="8801" spans="6:8" x14ac:dyDescent="0.3">
      <c r="F8801"/>
      <c r="H8801"/>
    </row>
    <row r="8802" spans="6:8" x14ac:dyDescent="0.3">
      <c r="F8802"/>
      <c r="H8802"/>
    </row>
    <row r="8803" spans="6:8" x14ac:dyDescent="0.3">
      <c r="F8803"/>
      <c r="H8803"/>
    </row>
    <row r="8804" spans="6:8" x14ac:dyDescent="0.3">
      <c r="F8804"/>
      <c r="H8804"/>
    </row>
    <row r="8805" spans="6:8" x14ac:dyDescent="0.3">
      <c r="F8805"/>
      <c r="H8805"/>
    </row>
    <row r="8806" spans="6:8" x14ac:dyDescent="0.3">
      <c r="F8806"/>
      <c r="H8806"/>
    </row>
    <row r="8807" spans="6:8" x14ac:dyDescent="0.3">
      <c r="F8807"/>
      <c r="H8807"/>
    </row>
    <row r="8808" spans="6:8" x14ac:dyDescent="0.3">
      <c r="F8808"/>
      <c r="H8808"/>
    </row>
    <row r="8809" spans="6:8" x14ac:dyDescent="0.3">
      <c r="F8809"/>
      <c r="H8809"/>
    </row>
    <row r="8810" spans="6:8" x14ac:dyDescent="0.3">
      <c r="F8810"/>
      <c r="H8810"/>
    </row>
    <row r="8811" spans="6:8" x14ac:dyDescent="0.3">
      <c r="F8811"/>
      <c r="H8811"/>
    </row>
    <row r="8812" spans="6:8" x14ac:dyDescent="0.3">
      <c r="F8812"/>
      <c r="H8812"/>
    </row>
    <row r="8813" spans="6:8" x14ac:dyDescent="0.3">
      <c r="F8813"/>
      <c r="H8813"/>
    </row>
    <row r="8814" spans="6:8" x14ac:dyDescent="0.3">
      <c r="F8814"/>
      <c r="H8814"/>
    </row>
    <row r="8815" spans="6:8" x14ac:dyDescent="0.3">
      <c r="F8815"/>
      <c r="H8815"/>
    </row>
    <row r="8816" spans="6:8" x14ac:dyDescent="0.3">
      <c r="F8816"/>
      <c r="H8816"/>
    </row>
    <row r="8817" spans="6:8" x14ac:dyDescent="0.3">
      <c r="F8817"/>
      <c r="H8817"/>
    </row>
    <row r="8818" spans="6:8" x14ac:dyDescent="0.3">
      <c r="F8818"/>
      <c r="H8818"/>
    </row>
    <row r="8819" spans="6:8" x14ac:dyDescent="0.3">
      <c r="F8819"/>
      <c r="H8819"/>
    </row>
    <row r="8820" spans="6:8" x14ac:dyDescent="0.3">
      <c r="F8820"/>
      <c r="H8820"/>
    </row>
    <row r="8821" spans="6:8" x14ac:dyDescent="0.3">
      <c r="F8821"/>
      <c r="H8821"/>
    </row>
    <row r="8822" spans="6:8" x14ac:dyDescent="0.3">
      <c r="F8822"/>
      <c r="H8822"/>
    </row>
    <row r="8823" spans="6:8" x14ac:dyDescent="0.3">
      <c r="F8823"/>
      <c r="H8823"/>
    </row>
    <row r="8824" spans="6:8" x14ac:dyDescent="0.3">
      <c r="F8824"/>
      <c r="H8824"/>
    </row>
    <row r="8825" spans="6:8" x14ac:dyDescent="0.3">
      <c r="F8825"/>
      <c r="H8825"/>
    </row>
    <row r="8826" spans="6:8" x14ac:dyDescent="0.3">
      <c r="F8826"/>
      <c r="H8826"/>
    </row>
    <row r="8827" spans="6:8" x14ac:dyDescent="0.3">
      <c r="F8827"/>
      <c r="H8827"/>
    </row>
    <row r="8828" spans="6:8" x14ac:dyDescent="0.3">
      <c r="F8828"/>
      <c r="H8828"/>
    </row>
    <row r="8829" spans="6:8" x14ac:dyDescent="0.3">
      <c r="F8829"/>
      <c r="H8829"/>
    </row>
    <row r="8830" spans="6:8" x14ac:dyDescent="0.3">
      <c r="F8830"/>
      <c r="H8830"/>
    </row>
    <row r="8831" spans="6:8" x14ac:dyDescent="0.3">
      <c r="F8831"/>
      <c r="H8831"/>
    </row>
    <row r="8832" spans="6:8" x14ac:dyDescent="0.3">
      <c r="F8832"/>
      <c r="H8832"/>
    </row>
    <row r="8833" spans="6:8" x14ac:dyDescent="0.3">
      <c r="F8833"/>
      <c r="H8833"/>
    </row>
    <row r="8834" spans="6:8" x14ac:dyDescent="0.3">
      <c r="F8834"/>
      <c r="H8834"/>
    </row>
    <row r="8835" spans="6:8" x14ac:dyDescent="0.3">
      <c r="F8835"/>
      <c r="H8835"/>
    </row>
    <row r="8836" spans="6:8" x14ac:dyDescent="0.3">
      <c r="F8836"/>
      <c r="H8836"/>
    </row>
    <row r="8837" spans="6:8" x14ac:dyDescent="0.3">
      <c r="F8837"/>
      <c r="H8837"/>
    </row>
    <row r="8838" spans="6:8" x14ac:dyDescent="0.3">
      <c r="F8838"/>
      <c r="H8838"/>
    </row>
    <row r="8839" spans="6:8" x14ac:dyDescent="0.3">
      <c r="F8839"/>
      <c r="H8839"/>
    </row>
    <row r="8840" spans="6:8" x14ac:dyDescent="0.3">
      <c r="F8840"/>
      <c r="H8840"/>
    </row>
    <row r="8841" spans="6:8" x14ac:dyDescent="0.3">
      <c r="F8841"/>
      <c r="H8841"/>
    </row>
    <row r="8842" spans="6:8" x14ac:dyDescent="0.3">
      <c r="F8842"/>
      <c r="H8842"/>
    </row>
    <row r="8843" spans="6:8" x14ac:dyDescent="0.3">
      <c r="F8843"/>
      <c r="H8843"/>
    </row>
    <row r="8844" spans="6:8" x14ac:dyDescent="0.3">
      <c r="F8844"/>
      <c r="H8844"/>
    </row>
    <row r="8845" spans="6:8" x14ac:dyDescent="0.3">
      <c r="F8845"/>
      <c r="H8845"/>
    </row>
    <row r="8846" spans="6:8" x14ac:dyDescent="0.3">
      <c r="F8846"/>
      <c r="H8846"/>
    </row>
    <row r="8847" spans="6:8" x14ac:dyDescent="0.3">
      <c r="F8847"/>
      <c r="H8847"/>
    </row>
    <row r="8848" spans="6:8" x14ac:dyDescent="0.3">
      <c r="F8848"/>
      <c r="H8848"/>
    </row>
    <row r="8849" spans="6:8" x14ac:dyDescent="0.3">
      <c r="F8849"/>
      <c r="H8849"/>
    </row>
    <row r="8850" spans="6:8" x14ac:dyDescent="0.3">
      <c r="F8850"/>
      <c r="H8850"/>
    </row>
    <row r="8851" spans="6:8" x14ac:dyDescent="0.3">
      <c r="F8851"/>
      <c r="H8851"/>
    </row>
    <row r="8852" spans="6:8" x14ac:dyDescent="0.3">
      <c r="F8852"/>
      <c r="H8852"/>
    </row>
    <row r="8853" spans="6:8" x14ac:dyDescent="0.3">
      <c r="F8853"/>
      <c r="H8853"/>
    </row>
    <row r="8854" spans="6:8" x14ac:dyDescent="0.3">
      <c r="F8854"/>
      <c r="H8854"/>
    </row>
    <row r="8855" spans="6:8" x14ac:dyDescent="0.3">
      <c r="F8855"/>
      <c r="H8855"/>
    </row>
    <row r="8856" spans="6:8" x14ac:dyDescent="0.3">
      <c r="F8856"/>
      <c r="H8856"/>
    </row>
    <row r="8857" spans="6:8" x14ac:dyDescent="0.3">
      <c r="F8857"/>
      <c r="H8857"/>
    </row>
    <row r="8858" spans="6:8" x14ac:dyDescent="0.3">
      <c r="F8858"/>
      <c r="H8858"/>
    </row>
    <row r="8859" spans="6:8" x14ac:dyDescent="0.3">
      <c r="F8859"/>
      <c r="H8859"/>
    </row>
    <row r="8860" spans="6:8" x14ac:dyDescent="0.3">
      <c r="F8860"/>
      <c r="H8860"/>
    </row>
    <row r="8861" spans="6:8" x14ac:dyDescent="0.3">
      <c r="F8861"/>
      <c r="H8861"/>
    </row>
    <row r="8862" spans="6:8" x14ac:dyDescent="0.3">
      <c r="F8862"/>
      <c r="H8862"/>
    </row>
    <row r="8863" spans="6:8" x14ac:dyDescent="0.3">
      <c r="F8863"/>
      <c r="H8863"/>
    </row>
    <row r="8864" spans="6:8" x14ac:dyDescent="0.3">
      <c r="F8864"/>
      <c r="H8864"/>
    </row>
    <row r="8865" spans="6:8" x14ac:dyDescent="0.3">
      <c r="F8865"/>
      <c r="H8865"/>
    </row>
    <row r="8866" spans="6:8" x14ac:dyDescent="0.3">
      <c r="F8866"/>
      <c r="H8866"/>
    </row>
    <row r="8867" spans="6:8" x14ac:dyDescent="0.3">
      <c r="F8867"/>
      <c r="H8867"/>
    </row>
    <row r="8868" spans="6:8" x14ac:dyDescent="0.3">
      <c r="F8868"/>
      <c r="H8868"/>
    </row>
    <row r="8869" spans="6:8" x14ac:dyDescent="0.3">
      <c r="F8869"/>
      <c r="H8869"/>
    </row>
    <row r="8870" spans="6:8" x14ac:dyDescent="0.3">
      <c r="F8870"/>
      <c r="H8870"/>
    </row>
    <row r="8871" spans="6:8" x14ac:dyDescent="0.3">
      <c r="F8871"/>
      <c r="H8871"/>
    </row>
    <row r="8872" spans="6:8" x14ac:dyDescent="0.3">
      <c r="F8872"/>
      <c r="H8872"/>
    </row>
    <row r="8873" spans="6:8" x14ac:dyDescent="0.3">
      <c r="F8873"/>
      <c r="H8873"/>
    </row>
    <row r="8874" spans="6:8" x14ac:dyDescent="0.3">
      <c r="F8874"/>
      <c r="H8874"/>
    </row>
    <row r="8875" spans="6:8" x14ac:dyDescent="0.3">
      <c r="F8875"/>
      <c r="H8875"/>
    </row>
    <row r="8876" spans="6:8" x14ac:dyDescent="0.3">
      <c r="F8876"/>
      <c r="H8876"/>
    </row>
    <row r="8877" spans="6:8" x14ac:dyDescent="0.3">
      <c r="F8877"/>
      <c r="H8877"/>
    </row>
    <row r="8878" spans="6:8" x14ac:dyDescent="0.3">
      <c r="F8878"/>
      <c r="H8878"/>
    </row>
    <row r="8879" spans="6:8" x14ac:dyDescent="0.3">
      <c r="F8879"/>
      <c r="H8879"/>
    </row>
    <row r="8880" spans="6:8" x14ac:dyDescent="0.3">
      <c r="F8880"/>
      <c r="H8880"/>
    </row>
    <row r="8881" spans="6:8" x14ac:dyDescent="0.3">
      <c r="F8881"/>
      <c r="H8881"/>
    </row>
    <row r="8882" spans="6:8" x14ac:dyDescent="0.3">
      <c r="F8882"/>
      <c r="H8882"/>
    </row>
    <row r="8883" spans="6:8" x14ac:dyDescent="0.3">
      <c r="F8883"/>
      <c r="H8883"/>
    </row>
    <row r="8884" spans="6:8" x14ac:dyDescent="0.3">
      <c r="F8884"/>
      <c r="H8884"/>
    </row>
    <row r="8885" spans="6:8" x14ac:dyDescent="0.3">
      <c r="F8885"/>
      <c r="H8885"/>
    </row>
    <row r="8886" spans="6:8" x14ac:dyDescent="0.3">
      <c r="F8886"/>
      <c r="H8886"/>
    </row>
    <row r="8887" spans="6:8" x14ac:dyDescent="0.3">
      <c r="F8887"/>
      <c r="H8887"/>
    </row>
    <row r="8888" spans="6:8" x14ac:dyDescent="0.3">
      <c r="F8888"/>
      <c r="H8888"/>
    </row>
    <row r="8889" spans="6:8" x14ac:dyDescent="0.3">
      <c r="F8889"/>
      <c r="H8889"/>
    </row>
    <row r="8890" spans="6:8" x14ac:dyDescent="0.3">
      <c r="F8890"/>
      <c r="H8890"/>
    </row>
    <row r="8891" spans="6:8" x14ac:dyDescent="0.3">
      <c r="F8891"/>
      <c r="H8891"/>
    </row>
    <row r="8892" spans="6:8" x14ac:dyDescent="0.3">
      <c r="F8892"/>
      <c r="H8892"/>
    </row>
    <row r="8893" spans="6:8" x14ac:dyDescent="0.3">
      <c r="F8893"/>
      <c r="H8893"/>
    </row>
    <row r="8894" spans="6:8" x14ac:dyDescent="0.3">
      <c r="F8894"/>
      <c r="H8894"/>
    </row>
    <row r="8895" spans="6:8" x14ac:dyDescent="0.3">
      <c r="F8895"/>
      <c r="H8895"/>
    </row>
    <row r="8896" spans="6:8" x14ac:dyDescent="0.3">
      <c r="F8896"/>
      <c r="H8896"/>
    </row>
    <row r="8897" spans="6:8" x14ac:dyDescent="0.3">
      <c r="F8897"/>
      <c r="H8897"/>
    </row>
    <row r="8898" spans="6:8" x14ac:dyDescent="0.3">
      <c r="F8898"/>
      <c r="H8898"/>
    </row>
    <row r="8899" spans="6:8" x14ac:dyDescent="0.3">
      <c r="F8899"/>
      <c r="H8899"/>
    </row>
    <row r="8900" spans="6:8" x14ac:dyDescent="0.3">
      <c r="F8900"/>
      <c r="H8900"/>
    </row>
    <row r="8901" spans="6:8" x14ac:dyDescent="0.3">
      <c r="F8901"/>
      <c r="H8901"/>
    </row>
    <row r="8902" spans="6:8" x14ac:dyDescent="0.3">
      <c r="F8902"/>
      <c r="H8902"/>
    </row>
    <row r="8903" spans="6:8" x14ac:dyDescent="0.3">
      <c r="F8903"/>
      <c r="H8903"/>
    </row>
    <row r="8904" spans="6:8" x14ac:dyDescent="0.3">
      <c r="F8904"/>
      <c r="H8904"/>
    </row>
    <row r="8905" spans="6:8" x14ac:dyDescent="0.3">
      <c r="F8905"/>
      <c r="H8905"/>
    </row>
    <row r="8906" spans="6:8" x14ac:dyDescent="0.3">
      <c r="F8906"/>
      <c r="H8906"/>
    </row>
    <row r="8907" spans="6:8" x14ac:dyDescent="0.3">
      <c r="F8907"/>
      <c r="H8907"/>
    </row>
    <row r="8908" spans="6:8" x14ac:dyDescent="0.3">
      <c r="F8908"/>
      <c r="H8908"/>
    </row>
    <row r="8909" spans="6:8" x14ac:dyDescent="0.3">
      <c r="F8909"/>
      <c r="H8909"/>
    </row>
    <row r="8910" spans="6:8" x14ac:dyDescent="0.3">
      <c r="F8910"/>
      <c r="H8910"/>
    </row>
    <row r="8911" spans="6:8" x14ac:dyDescent="0.3">
      <c r="F8911"/>
      <c r="H8911"/>
    </row>
    <row r="8912" spans="6:8" x14ac:dyDescent="0.3">
      <c r="F8912"/>
      <c r="H8912"/>
    </row>
    <row r="8913" spans="6:8" x14ac:dyDescent="0.3">
      <c r="F8913"/>
      <c r="H8913"/>
    </row>
    <row r="8914" spans="6:8" x14ac:dyDescent="0.3">
      <c r="F8914"/>
      <c r="H8914"/>
    </row>
    <row r="8915" spans="6:8" x14ac:dyDescent="0.3">
      <c r="F8915"/>
      <c r="H8915"/>
    </row>
    <row r="8916" spans="6:8" x14ac:dyDescent="0.3">
      <c r="F8916"/>
      <c r="H8916"/>
    </row>
    <row r="8917" spans="6:8" x14ac:dyDescent="0.3">
      <c r="F8917"/>
      <c r="H8917"/>
    </row>
    <row r="8918" spans="6:8" x14ac:dyDescent="0.3">
      <c r="F8918"/>
      <c r="H8918"/>
    </row>
    <row r="8919" spans="6:8" x14ac:dyDescent="0.3">
      <c r="F8919"/>
      <c r="H8919"/>
    </row>
    <row r="8920" spans="6:8" x14ac:dyDescent="0.3">
      <c r="F8920"/>
      <c r="H8920"/>
    </row>
    <row r="8921" spans="6:8" x14ac:dyDescent="0.3">
      <c r="F8921"/>
      <c r="H8921"/>
    </row>
    <row r="8922" spans="6:8" x14ac:dyDescent="0.3">
      <c r="F8922"/>
      <c r="H8922"/>
    </row>
    <row r="8923" spans="6:8" x14ac:dyDescent="0.3">
      <c r="F8923"/>
      <c r="H8923"/>
    </row>
    <row r="8924" spans="6:8" x14ac:dyDescent="0.3">
      <c r="F8924"/>
      <c r="H8924"/>
    </row>
    <row r="8925" spans="6:8" x14ac:dyDescent="0.3">
      <c r="F8925"/>
      <c r="H8925"/>
    </row>
    <row r="8926" spans="6:8" x14ac:dyDescent="0.3">
      <c r="F8926"/>
      <c r="H8926"/>
    </row>
    <row r="8927" spans="6:8" x14ac:dyDescent="0.3">
      <c r="F8927"/>
      <c r="H8927"/>
    </row>
    <row r="8928" spans="6:8" x14ac:dyDescent="0.3">
      <c r="F8928"/>
      <c r="H8928"/>
    </row>
    <row r="8929" spans="6:8" x14ac:dyDescent="0.3">
      <c r="F8929"/>
      <c r="H8929"/>
    </row>
    <row r="8930" spans="6:8" x14ac:dyDescent="0.3">
      <c r="F8930"/>
      <c r="H8930"/>
    </row>
    <row r="8931" spans="6:8" x14ac:dyDescent="0.3">
      <c r="F8931"/>
      <c r="H8931"/>
    </row>
    <row r="8932" spans="6:8" x14ac:dyDescent="0.3">
      <c r="F8932"/>
      <c r="H8932"/>
    </row>
    <row r="8933" spans="6:8" x14ac:dyDescent="0.3">
      <c r="F8933"/>
      <c r="H8933"/>
    </row>
    <row r="8934" spans="6:8" x14ac:dyDescent="0.3">
      <c r="F8934"/>
      <c r="H8934"/>
    </row>
    <row r="8935" spans="6:8" x14ac:dyDescent="0.3">
      <c r="F8935"/>
      <c r="H8935"/>
    </row>
    <row r="8936" spans="6:8" x14ac:dyDescent="0.3">
      <c r="F8936"/>
      <c r="H8936"/>
    </row>
    <row r="8937" spans="6:8" x14ac:dyDescent="0.3">
      <c r="F8937"/>
      <c r="H8937"/>
    </row>
    <row r="8938" spans="6:8" x14ac:dyDescent="0.3">
      <c r="F8938"/>
      <c r="H8938"/>
    </row>
    <row r="8939" spans="6:8" x14ac:dyDescent="0.3">
      <c r="F8939"/>
      <c r="H8939"/>
    </row>
    <row r="8940" spans="6:8" x14ac:dyDescent="0.3">
      <c r="F8940"/>
      <c r="H8940"/>
    </row>
    <row r="8941" spans="6:8" x14ac:dyDescent="0.3">
      <c r="F8941"/>
      <c r="H8941"/>
    </row>
    <row r="8942" spans="6:8" x14ac:dyDescent="0.3">
      <c r="F8942"/>
      <c r="H8942"/>
    </row>
    <row r="8943" spans="6:8" x14ac:dyDescent="0.3">
      <c r="F8943"/>
      <c r="H8943"/>
    </row>
    <row r="8944" spans="6:8" x14ac:dyDescent="0.3">
      <c r="F8944"/>
      <c r="H8944"/>
    </row>
    <row r="8945" spans="6:8" x14ac:dyDescent="0.3">
      <c r="F8945"/>
      <c r="H8945"/>
    </row>
    <row r="8946" spans="6:8" x14ac:dyDescent="0.3">
      <c r="F8946"/>
      <c r="H8946"/>
    </row>
    <row r="8947" spans="6:8" x14ac:dyDescent="0.3">
      <c r="F8947"/>
      <c r="H8947"/>
    </row>
    <row r="8948" spans="6:8" x14ac:dyDescent="0.3">
      <c r="F8948"/>
      <c r="H8948"/>
    </row>
    <row r="8949" spans="6:8" x14ac:dyDescent="0.3">
      <c r="F8949"/>
      <c r="H8949"/>
    </row>
    <row r="8950" spans="6:8" x14ac:dyDescent="0.3">
      <c r="F8950"/>
      <c r="H8950"/>
    </row>
    <row r="8951" spans="6:8" x14ac:dyDescent="0.3">
      <c r="F8951"/>
      <c r="H8951"/>
    </row>
    <row r="8952" spans="6:8" x14ac:dyDescent="0.3">
      <c r="F8952"/>
      <c r="H8952"/>
    </row>
    <row r="8953" spans="6:8" x14ac:dyDescent="0.3">
      <c r="F8953"/>
      <c r="H8953"/>
    </row>
    <row r="8954" spans="6:8" x14ac:dyDescent="0.3">
      <c r="F8954"/>
      <c r="H8954"/>
    </row>
    <row r="8955" spans="6:8" x14ac:dyDescent="0.3">
      <c r="F8955"/>
      <c r="H8955"/>
    </row>
    <row r="8956" spans="6:8" x14ac:dyDescent="0.3">
      <c r="F8956"/>
      <c r="H8956"/>
    </row>
    <row r="8957" spans="6:8" x14ac:dyDescent="0.3">
      <c r="F8957"/>
      <c r="H8957"/>
    </row>
    <row r="8958" spans="6:8" x14ac:dyDescent="0.3">
      <c r="F8958"/>
      <c r="H8958"/>
    </row>
    <row r="8959" spans="6:8" x14ac:dyDescent="0.3">
      <c r="F8959"/>
      <c r="H8959"/>
    </row>
    <row r="8960" spans="6:8" x14ac:dyDescent="0.3">
      <c r="F8960"/>
      <c r="H8960"/>
    </row>
    <row r="8961" spans="6:8" x14ac:dyDescent="0.3">
      <c r="F8961"/>
      <c r="H8961"/>
    </row>
    <row r="8962" spans="6:8" x14ac:dyDescent="0.3">
      <c r="F8962"/>
      <c r="H8962"/>
    </row>
    <row r="8963" spans="6:8" x14ac:dyDescent="0.3">
      <c r="F8963"/>
      <c r="H8963"/>
    </row>
    <row r="8964" spans="6:8" x14ac:dyDescent="0.3">
      <c r="F8964"/>
      <c r="H8964"/>
    </row>
    <row r="8965" spans="6:8" x14ac:dyDescent="0.3">
      <c r="F8965"/>
      <c r="H8965"/>
    </row>
    <row r="8966" spans="6:8" x14ac:dyDescent="0.3">
      <c r="F8966"/>
      <c r="H8966"/>
    </row>
    <row r="8967" spans="6:8" x14ac:dyDescent="0.3">
      <c r="F8967"/>
      <c r="H8967"/>
    </row>
    <row r="8968" spans="6:8" x14ac:dyDescent="0.3">
      <c r="F8968"/>
      <c r="H8968"/>
    </row>
    <row r="8969" spans="6:8" x14ac:dyDescent="0.3">
      <c r="F8969"/>
      <c r="H8969"/>
    </row>
    <row r="8970" spans="6:8" x14ac:dyDescent="0.3">
      <c r="F8970"/>
      <c r="H8970"/>
    </row>
    <row r="8971" spans="6:8" x14ac:dyDescent="0.3">
      <c r="F8971"/>
      <c r="H8971"/>
    </row>
    <row r="8972" spans="6:8" x14ac:dyDescent="0.3">
      <c r="F8972"/>
      <c r="H8972"/>
    </row>
    <row r="8973" spans="6:8" x14ac:dyDescent="0.3">
      <c r="F8973"/>
      <c r="H8973"/>
    </row>
    <row r="8974" spans="6:8" x14ac:dyDescent="0.3">
      <c r="F8974"/>
      <c r="H8974"/>
    </row>
    <row r="8975" spans="6:8" x14ac:dyDescent="0.3">
      <c r="F8975"/>
      <c r="H8975"/>
    </row>
    <row r="8976" spans="6:8" x14ac:dyDescent="0.3">
      <c r="F8976"/>
      <c r="H8976"/>
    </row>
    <row r="8977" spans="6:8" x14ac:dyDescent="0.3">
      <c r="F8977"/>
      <c r="H8977"/>
    </row>
    <row r="8978" spans="6:8" x14ac:dyDescent="0.3">
      <c r="F8978"/>
      <c r="H8978"/>
    </row>
    <row r="8979" spans="6:8" x14ac:dyDescent="0.3">
      <c r="F8979"/>
      <c r="H8979"/>
    </row>
    <row r="8980" spans="6:8" x14ac:dyDescent="0.3">
      <c r="F8980"/>
      <c r="H8980"/>
    </row>
    <row r="8981" spans="6:8" x14ac:dyDescent="0.3">
      <c r="F8981"/>
      <c r="H8981"/>
    </row>
    <row r="8982" spans="6:8" x14ac:dyDescent="0.3">
      <c r="F8982"/>
      <c r="H8982"/>
    </row>
    <row r="8983" spans="6:8" x14ac:dyDescent="0.3">
      <c r="F8983"/>
      <c r="H8983"/>
    </row>
    <row r="8984" spans="6:8" x14ac:dyDescent="0.3">
      <c r="F8984"/>
      <c r="H8984"/>
    </row>
    <row r="8985" spans="6:8" x14ac:dyDescent="0.3">
      <c r="F8985"/>
      <c r="H8985"/>
    </row>
    <row r="8986" spans="6:8" x14ac:dyDescent="0.3">
      <c r="F8986"/>
      <c r="H8986"/>
    </row>
    <row r="8987" spans="6:8" x14ac:dyDescent="0.3">
      <c r="F8987"/>
      <c r="H8987"/>
    </row>
    <row r="8988" spans="6:8" x14ac:dyDescent="0.3">
      <c r="F8988"/>
      <c r="H8988"/>
    </row>
    <row r="8989" spans="6:8" x14ac:dyDescent="0.3">
      <c r="F8989"/>
      <c r="H8989"/>
    </row>
    <row r="8990" spans="6:8" x14ac:dyDescent="0.3">
      <c r="F8990"/>
      <c r="H8990"/>
    </row>
    <row r="8991" spans="6:8" x14ac:dyDescent="0.3">
      <c r="F8991"/>
      <c r="H8991"/>
    </row>
    <row r="8992" spans="6:8" x14ac:dyDescent="0.3">
      <c r="F8992"/>
      <c r="H8992"/>
    </row>
    <row r="8993" spans="6:8" x14ac:dyDescent="0.3">
      <c r="F8993"/>
      <c r="H8993"/>
    </row>
    <row r="8994" spans="6:8" x14ac:dyDescent="0.3">
      <c r="F8994"/>
      <c r="H8994"/>
    </row>
    <row r="8995" spans="6:8" x14ac:dyDescent="0.3">
      <c r="F8995"/>
      <c r="H8995"/>
    </row>
    <row r="8996" spans="6:8" x14ac:dyDescent="0.3">
      <c r="F8996"/>
      <c r="H8996"/>
    </row>
    <row r="8997" spans="6:8" x14ac:dyDescent="0.3">
      <c r="F8997"/>
      <c r="H8997"/>
    </row>
    <row r="8998" spans="6:8" x14ac:dyDescent="0.3">
      <c r="F8998"/>
      <c r="H8998"/>
    </row>
    <row r="8999" spans="6:8" x14ac:dyDescent="0.3">
      <c r="F8999"/>
      <c r="H8999"/>
    </row>
    <row r="9000" spans="6:8" x14ac:dyDescent="0.3">
      <c r="F9000"/>
      <c r="H9000"/>
    </row>
    <row r="9001" spans="6:8" x14ac:dyDescent="0.3">
      <c r="F9001"/>
      <c r="H9001"/>
    </row>
    <row r="9002" spans="6:8" x14ac:dyDescent="0.3">
      <c r="F9002"/>
      <c r="H9002"/>
    </row>
    <row r="9003" spans="6:8" x14ac:dyDescent="0.3">
      <c r="F9003"/>
      <c r="H9003"/>
    </row>
    <row r="9004" spans="6:8" x14ac:dyDescent="0.3">
      <c r="F9004"/>
      <c r="H9004"/>
    </row>
    <row r="9005" spans="6:8" x14ac:dyDescent="0.3">
      <c r="F9005"/>
      <c r="H9005"/>
    </row>
    <row r="9006" spans="6:8" x14ac:dyDescent="0.3">
      <c r="F9006"/>
      <c r="H9006"/>
    </row>
    <row r="9007" spans="6:8" x14ac:dyDescent="0.3">
      <c r="F9007"/>
      <c r="H9007"/>
    </row>
    <row r="9008" spans="6:8" x14ac:dyDescent="0.3">
      <c r="F9008"/>
      <c r="H9008"/>
    </row>
    <row r="9009" spans="6:8" x14ac:dyDescent="0.3">
      <c r="F9009"/>
      <c r="H9009"/>
    </row>
    <row r="9010" spans="6:8" x14ac:dyDescent="0.3">
      <c r="F9010"/>
      <c r="H9010"/>
    </row>
    <row r="9011" spans="6:8" x14ac:dyDescent="0.3">
      <c r="F9011"/>
      <c r="H9011"/>
    </row>
    <row r="9012" spans="6:8" x14ac:dyDescent="0.3">
      <c r="F9012"/>
      <c r="H9012"/>
    </row>
    <row r="9013" spans="6:8" x14ac:dyDescent="0.3">
      <c r="F9013"/>
      <c r="H9013"/>
    </row>
    <row r="9014" spans="6:8" x14ac:dyDescent="0.3">
      <c r="F9014"/>
      <c r="H9014"/>
    </row>
    <row r="9015" spans="6:8" x14ac:dyDescent="0.3">
      <c r="F9015"/>
      <c r="H9015"/>
    </row>
    <row r="9016" spans="6:8" x14ac:dyDescent="0.3">
      <c r="F9016"/>
      <c r="H9016"/>
    </row>
    <row r="9017" spans="6:8" x14ac:dyDescent="0.3">
      <c r="F9017"/>
      <c r="H9017"/>
    </row>
    <row r="9018" spans="6:8" x14ac:dyDescent="0.3">
      <c r="F9018"/>
      <c r="H9018"/>
    </row>
    <row r="9019" spans="6:8" x14ac:dyDescent="0.3">
      <c r="F9019"/>
      <c r="H9019"/>
    </row>
    <row r="9020" spans="6:8" x14ac:dyDescent="0.3">
      <c r="F9020"/>
      <c r="H9020"/>
    </row>
    <row r="9021" spans="6:8" x14ac:dyDescent="0.3">
      <c r="F9021"/>
      <c r="H9021"/>
    </row>
    <row r="9022" spans="6:8" x14ac:dyDescent="0.3">
      <c r="F9022"/>
      <c r="H9022"/>
    </row>
    <row r="9023" spans="6:8" x14ac:dyDescent="0.3">
      <c r="F9023"/>
      <c r="H9023"/>
    </row>
    <row r="9024" spans="6:8" x14ac:dyDescent="0.3">
      <c r="F9024"/>
      <c r="H9024"/>
    </row>
    <row r="9025" spans="6:8" x14ac:dyDescent="0.3">
      <c r="F9025"/>
      <c r="H9025"/>
    </row>
    <row r="9026" spans="6:8" x14ac:dyDescent="0.3">
      <c r="F9026"/>
      <c r="H9026"/>
    </row>
    <row r="9027" spans="6:8" x14ac:dyDescent="0.3">
      <c r="F9027"/>
      <c r="H9027"/>
    </row>
    <row r="9028" spans="6:8" x14ac:dyDescent="0.3">
      <c r="F9028"/>
      <c r="H9028"/>
    </row>
    <row r="9029" spans="6:8" x14ac:dyDescent="0.3">
      <c r="F9029"/>
      <c r="H9029"/>
    </row>
    <row r="9030" spans="6:8" x14ac:dyDescent="0.3">
      <c r="F9030"/>
      <c r="H9030"/>
    </row>
    <row r="9031" spans="6:8" x14ac:dyDescent="0.3">
      <c r="F9031"/>
      <c r="H9031"/>
    </row>
    <row r="9032" spans="6:8" x14ac:dyDescent="0.3">
      <c r="F9032"/>
      <c r="H9032"/>
    </row>
    <row r="9033" spans="6:8" x14ac:dyDescent="0.3">
      <c r="F9033"/>
      <c r="H9033"/>
    </row>
    <row r="9034" spans="6:8" x14ac:dyDescent="0.3">
      <c r="F9034"/>
      <c r="H9034"/>
    </row>
    <row r="9035" spans="6:8" x14ac:dyDescent="0.3">
      <c r="F9035"/>
      <c r="H9035"/>
    </row>
    <row r="9036" spans="6:8" x14ac:dyDescent="0.3">
      <c r="F9036"/>
      <c r="H9036"/>
    </row>
    <row r="9037" spans="6:8" x14ac:dyDescent="0.3">
      <c r="F9037"/>
      <c r="H9037"/>
    </row>
    <row r="9038" spans="6:8" x14ac:dyDescent="0.3">
      <c r="F9038"/>
      <c r="H9038"/>
    </row>
    <row r="9039" spans="6:8" x14ac:dyDescent="0.3">
      <c r="F9039"/>
      <c r="H9039"/>
    </row>
    <row r="9040" spans="6:8" x14ac:dyDescent="0.3">
      <c r="F9040"/>
      <c r="H9040"/>
    </row>
    <row r="9041" spans="6:8" x14ac:dyDescent="0.3">
      <c r="F9041"/>
      <c r="H9041"/>
    </row>
    <row r="9042" spans="6:8" x14ac:dyDescent="0.3">
      <c r="F9042"/>
      <c r="H9042"/>
    </row>
    <row r="9043" spans="6:8" x14ac:dyDescent="0.3">
      <c r="F9043"/>
      <c r="H9043"/>
    </row>
    <row r="9044" spans="6:8" x14ac:dyDescent="0.3">
      <c r="F9044"/>
      <c r="H9044"/>
    </row>
    <row r="9045" spans="6:8" x14ac:dyDescent="0.3">
      <c r="F9045"/>
      <c r="H9045"/>
    </row>
    <row r="9046" spans="6:8" x14ac:dyDescent="0.3">
      <c r="F9046"/>
      <c r="H9046"/>
    </row>
    <row r="9047" spans="6:8" x14ac:dyDescent="0.3">
      <c r="F9047"/>
      <c r="H9047"/>
    </row>
    <row r="9048" spans="6:8" x14ac:dyDescent="0.3">
      <c r="F9048"/>
      <c r="H9048"/>
    </row>
    <row r="9049" spans="6:8" x14ac:dyDescent="0.3">
      <c r="F9049"/>
      <c r="H9049"/>
    </row>
    <row r="9050" spans="6:8" x14ac:dyDescent="0.3">
      <c r="F9050"/>
      <c r="H9050"/>
    </row>
    <row r="9051" spans="6:8" x14ac:dyDescent="0.3">
      <c r="F9051"/>
      <c r="H9051"/>
    </row>
    <row r="9052" spans="6:8" x14ac:dyDescent="0.3">
      <c r="F9052"/>
      <c r="H9052"/>
    </row>
    <row r="9053" spans="6:8" x14ac:dyDescent="0.3">
      <c r="F9053"/>
      <c r="H9053"/>
    </row>
    <row r="9054" spans="6:8" x14ac:dyDescent="0.3">
      <c r="F9054"/>
      <c r="H9054"/>
    </row>
    <row r="9055" spans="6:8" x14ac:dyDescent="0.3">
      <c r="F9055"/>
      <c r="H9055"/>
    </row>
    <row r="9056" spans="6:8" x14ac:dyDescent="0.3">
      <c r="F9056"/>
      <c r="H9056"/>
    </row>
    <row r="9057" spans="6:8" x14ac:dyDescent="0.3">
      <c r="F9057"/>
      <c r="H9057"/>
    </row>
    <row r="9058" spans="6:8" x14ac:dyDescent="0.3">
      <c r="F9058"/>
      <c r="H9058"/>
    </row>
    <row r="9059" spans="6:8" x14ac:dyDescent="0.3">
      <c r="F9059"/>
      <c r="H9059"/>
    </row>
    <row r="9060" spans="6:8" x14ac:dyDescent="0.3">
      <c r="F9060"/>
      <c r="H9060"/>
    </row>
    <row r="9061" spans="6:8" x14ac:dyDescent="0.3">
      <c r="F9061"/>
      <c r="H9061"/>
    </row>
    <row r="9062" spans="6:8" x14ac:dyDescent="0.3">
      <c r="F9062"/>
      <c r="H9062"/>
    </row>
    <row r="9063" spans="6:8" x14ac:dyDescent="0.3">
      <c r="F9063"/>
      <c r="H9063"/>
    </row>
    <row r="9064" spans="6:8" x14ac:dyDescent="0.3">
      <c r="F9064"/>
      <c r="H9064"/>
    </row>
    <row r="9065" spans="6:8" x14ac:dyDescent="0.3">
      <c r="F9065"/>
      <c r="H9065"/>
    </row>
    <row r="9066" spans="6:8" x14ac:dyDescent="0.3">
      <c r="F9066"/>
      <c r="H9066"/>
    </row>
    <row r="9067" spans="6:8" x14ac:dyDescent="0.3">
      <c r="F9067"/>
      <c r="H9067"/>
    </row>
    <row r="9068" spans="6:8" x14ac:dyDescent="0.3">
      <c r="F9068"/>
      <c r="H9068"/>
    </row>
    <row r="9069" spans="6:8" x14ac:dyDescent="0.3">
      <c r="F9069"/>
      <c r="H9069"/>
    </row>
    <row r="9070" spans="6:8" x14ac:dyDescent="0.3">
      <c r="F9070"/>
      <c r="H9070"/>
    </row>
    <row r="9071" spans="6:8" x14ac:dyDescent="0.3">
      <c r="F9071"/>
      <c r="H9071"/>
    </row>
    <row r="9072" spans="6:8" x14ac:dyDescent="0.3">
      <c r="F9072"/>
      <c r="H9072"/>
    </row>
    <row r="9073" spans="6:8" x14ac:dyDescent="0.3">
      <c r="F9073"/>
      <c r="H9073"/>
    </row>
    <row r="9074" spans="6:8" x14ac:dyDescent="0.3">
      <c r="F9074"/>
      <c r="H9074"/>
    </row>
    <row r="9075" spans="6:8" x14ac:dyDescent="0.3">
      <c r="F9075"/>
      <c r="H9075"/>
    </row>
    <row r="9076" spans="6:8" x14ac:dyDescent="0.3">
      <c r="F9076"/>
      <c r="H9076"/>
    </row>
    <row r="9077" spans="6:8" x14ac:dyDescent="0.3">
      <c r="F9077"/>
      <c r="H9077"/>
    </row>
    <row r="9078" spans="6:8" x14ac:dyDescent="0.3">
      <c r="F9078"/>
      <c r="H9078"/>
    </row>
    <row r="9079" spans="6:8" x14ac:dyDescent="0.3">
      <c r="F9079"/>
      <c r="H9079"/>
    </row>
    <row r="9080" spans="6:8" x14ac:dyDescent="0.3">
      <c r="F9080"/>
      <c r="H9080"/>
    </row>
    <row r="9081" spans="6:8" x14ac:dyDescent="0.3">
      <c r="F9081"/>
      <c r="H9081"/>
    </row>
    <row r="9082" spans="6:8" x14ac:dyDescent="0.3">
      <c r="F9082"/>
      <c r="H9082"/>
    </row>
    <row r="9083" spans="6:8" x14ac:dyDescent="0.3">
      <c r="F9083"/>
      <c r="H9083"/>
    </row>
    <row r="9084" spans="6:8" x14ac:dyDescent="0.3">
      <c r="F9084"/>
      <c r="H9084"/>
    </row>
    <row r="9085" spans="6:8" x14ac:dyDescent="0.3">
      <c r="F9085"/>
      <c r="H9085"/>
    </row>
    <row r="9086" spans="6:8" x14ac:dyDescent="0.3">
      <c r="F9086"/>
      <c r="H9086"/>
    </row>
    <row r="9087" spans="6:8" x14ac:dyDescent="0.3">
      <c r="F9087"/>
      <c r="H9087"/>
    </row>
    <row r="9088" spans="6:8" x14ac:dyDescent="0.3">
      <c r="F9088"/>
      <c r="H9088"/>
    </row>
    <row r="9089" spans="6:8" x14ac:dyDescent="0.3">
      <c r="F9089"/>
      <c r="H9089"/>
    </row>
    <row r="9090" spans="6:8" x14ac:dyDescent="0.3">
      <c r="F9090"/>
      <c r="H9090"/>
    </row>
    <row r="9091" spans="6:8" x14ac:dyDescent="0.3">
      <c r="F9091"/>
      <c r="H9091"/>
    </row>
    <row r="9092" spans="6:8" x14ac:dyDescent="0.3">
      <c r="F9092"/>
      <c r="H9092"/>
    </row>
    <row r="9093" spans="6:8" x14ac:dyDescent="0.3">
      <c r="F9093"/>
      <c r="H9093"/>
    </row>
    <row r="9094" spans="6:8" x14ac:dyDescent="0.3">
      <c r="F9094"/>
      <c r="H9094"/>
    </row>
    <row r="9095" spans="6:8" x14ac:dyDescent="0.3">
      <c r="F9095"/>
      <c r="H9095"/>
    </row>
    <row r="9096" spans="6:8" x14ac:dyDescent="0.3">
      <c r="F9096"/>
      <c r="H9096"/>
    </row>
    <row r="9097" spans="6:8" x14ac:dyDescent="0.3">
      <c r="F9097"/>
      <c r="H9097"/>
    </row>
    <row r="9098" spans="6:8" x14ac:dyDescent="0.3">
      <c r="F9098"/>
      <c r="H9098"/>
    </row>
    <row r="9099" spans="6:8" x14ac:dyDescent="0.3">
      <c r="F9099"/>
      <c r="H9099"/>
    </row>
    <row r="9100" spans="6:8" x14ac:dyDescent="0.3">
      <c r="F9100"/>
      <c r="H9100"/>
    </row>
    <row r="9101" spans="6:8" x14ac:dyDescent="0.3">
      <c r="F9101"/>
      <c r="H9101"/>
    </row>
    <row r="9102" spans="6:8" x14ac:dyDescent="0.3">
      <c r="F9102"/>
      <c r="H9102"/>
    </row>
    <row r="9103" spans="6:8" x14ac:dyDescent="0.3">
      <c r="F9103"/>
      <c r="H9103"/>
    </row>
    <row r="9104" spans="6:8" x14ac:dyDescent="0.3">
      <c r="F9104"/>
      <c r="H9104"/>
    </row>
    <row r="9105" spans="6:8" x14ac:dyDescent="0.3">
      <c r="F9105"/>
      <c r="H9105"/>
    </row>
    <row r="9106" spans="6:8" x14ac:dyDescent="0.3">
      <c r="F9106"/>
      <c r="H9106"/>
    </row>
    <row r="9107" spans="6:8" x14ac:dyDescent="0.3">
      <c r="F9107"/>
      <c r="H9107"/>
    </row>
    <row r="9108" spans="6:8" x14ac:dyDescent="0.3">
      <c r="F9108"/>
      <c r="H9108"/>
    </row>
    <row r="9109" spans="6:8" x14ac:dyDescent="0.3">
      <c r="F9109"/>
      <c r="H9109"/>
    </row>
    <row r="9110" spans="6:8" x14ac:dyDescent="0.3">
      <c r="F9110"/>
      <c r="H9110"/>
    </row>
    <row r="9111" spans="6:8" x14ac:dyDescent="0.3">
      <c r="F9111"/>
      <c r="H9111"/>
    </row>
    <row r="9112" spans="6:8" x14ac:dyDescent="0.3">
      <c r="F9112"/>
      <c r="H9112"/>
    </row>
    <row r="9113" spans="6:8" x14ac:dyDescent="0.3">
      <c r="F9113"/>
      <c r="H9113"/>
    </row>
    <row r="9114" spans="6:8" x14ac:dyDescent="0.3">
      <c r="F9114"/>
      <c r="H9114"/>
    </row>
    <row r="9115" spans="6:8" x14ac:dyDescent="0.3">
      <c r="F9115"/>
      <c r="H9115"/>
    </row>
    <row r="9116" spans="6:8" x14ac:dyDescent="0.3">
      <c r="F9116"/>
      <c r="H9116"/>
    </row>
    <row r="9117" spans="6:8" x14ac:dyDescent="0.3">
      <c r="F9117"/>
      <c r="H9117"/>
    </row>
    <row r="9118" spans="6:8" x14ac:dyDescent="0.3">
      <c r="F9118"/>
      <c r="H9118"/>
    </row>
    <row r="9119" spans="6:8" x14ac:dyDescent="0.3">
      <c r="F9119"/>
      <c r="H9119"/>
    </row>
    <row r="9120" spans="6:8" x14ac:dyDescent="0.3">
      <c r="F9120"/>
      <c r="H9120"/>
    </row>
    <row r="9121" spans="6:8" x14ac:dyDescent="0.3">
      <c r="F9121"/>
      <c r="H9121"/>
    </row>
    <row r="9122" spans="6:8" x14ac:dyDescent="0.3">
      <c r="F9122"/>
      <c r="H9122"/>
    </row>
    <row r="9123" spans="6:8" x14ac:dyDescent="0.3">
      <c r="F9123"/>
      <c r="H9123"/>
    </row>
    <row r="9124" spans="6:8" x14ac:dyDescent="0.3">
      <c r="F9124"/>
      <c r="H9124"/>
    </row>
    <row r="9125" spans="6:8" x14ac:dyDescent="0.3">
      <c r="F9125"/>
      <c r="H9125"/>
    </row>
    <row r="9126" spans="6:8" x14ac:dyDescent="0.3">
      <c r="F9126"/>
      <c r="H9126"/>
    </row>
    <row r="9127" spans="6:8" x14ac:dyDescent="0.3">
      <c r="F9127"/>
      <c r="H9127"/>
    </row>
    <row r="9128" spans="6:8" x14ac:dyDescent="0.3">
      <c r="F9128"/>
      <c r="H9128"/>
    </row>
    <row r="9129" spans="6:8" x14ac:dyDescent="0.3">
      <c r="F9129"/>
      <c r="H9129"/>
    </row>
    <row r="9130" spans="6:8" x14ac:dyDescent="0.3">
      <c r="F9130"/>
      <c r="H9130"/>
    </row>
    <row r="9131" spans="6:8" x14ac:dyDescent="0.3">
      <c r="F9131"/>
      <c r="H9131"/>
    </row>
    <row r="9132" spans="6:8" x14ac:dyDescent="0.3">
      <c r="F9132"/>
      <c r="H9132"/>
    </row>
    <row r="9133" spans="6:8" x14ac:dyDescent="0.3">
      <c r="F9133"/>
      <c r="H9133"/>
    </row>
    <row r="9134" spans="6:8" x14ac:dyDescent="0.3">
      <c r="F9134"/>
      <c r="H9134"/>
    </row>
    <row r="9135" spans="6:8" x14ac:dyDescent="0.3">
      <c r="F9135"/>
      <c r="H9135"/>
    </row>
    <row r="9136" spans="6:8" x14ac:dyDescent="0.3">
      <c r="F9136"/>
      <c r="H9136"/>
    </row>
    <row r="9137" spans="6:8" x14ac:dyDescent="0.3">
      <c r="F9137"/>
      <c r="H9137"/>
    </row>
    <row r="9138" spans="6:8" x14ac:dyDescent="0.3">
      <c r="F9138"/>
      <c r="H9138"/>
    </row>
    <row r="9139" spans="6:8" x14ac:dyDescent="0.3">
      <c r="F9139"/>
      <c r="H9139"/>
    </row>
    <row r="9140" spans="6:8" x14ac:dyDescent="0.3">
      <c r="F9140"/>
      <c r="H9140"/>
    </row>
    <row r="9141" spans="6:8" x14ac:dyDescent="0.3">
      <c r="F9141"/>
      <c r="H9141"/>
    </row>
    <row r="9142" spans="6:8" x14ac:dyDescent="0.3">
      <c r="F9142"/>
      <c r="H9142"/>
    </row>
    <row r="9143" spans="6:8" x14ac:dyDescent="0.3">
      <c r="F9143"/>
      <c r="H9143"/>
    </row>
    <row r="9144" spans="6:8" x14ac:dyDescent="0.3">
      <c r="F9144"/>
      <c r="H9144"/>
    </row>
    <row r="9145" spans="6:8" x14ac:dyDescent="0.3">
      <c r="F9145"/>
      <c r="H9145"/>
    </row>
    <row r="9146" spans="6:8" x14ac:dyDescent="0.3">
      <c r="F9146"/>
      <c r="H9146"/>
    </row>
    <row r="9147" spans="6:8" x14ac:dyDescent="0.3">
      <c r="F9147"/>
      <c r="H9147"/>
    </row>
    <row r="9148" spans="6:8" x14ac:dyDescent="0.3">
      <c r="F9148"/>
      <c r="H9148"/>
    </row>
    <row r="9149" spans="6:8" x14ac:dyDescent="0.3">
      <c r="F9149"/>
      <c r="H9149"/>
    </row>
    <row r="9150" spans="6:8" x14ac:dyDescent="0.3">
      <c r="F9150"/>
      <c r="H9150"/>
    </row>
    <row r="9151" spans="6:8" x14ac:dyDescent="0.3">
      <c r="F9151"/>
      <c r="H9151"/>
    </row>
    <row r="9152" spans="6:8" x14ac:dyDescent="0.3">
      <c r="F9152"/>
      <c r="H9152"/>
    </row>
    <row r="9153" spans="6:8" x14ac:dyDescent="0.3">
      <c r="F9153"/>
      <c r="H9153"/>
    </row>
    <row r="9154" spans="6:8" x14ac:dyDescent="0.3">
      <c r="F9154"/>
      <c r="H9154"/>
    </row>
    <row r="9155" spans="6:8" x14ac:dyDescent="0.3">
      <c r="F9155"/>
      <c r="H9155"/>
    </row>
    <row r="9156" spans="6:8" x14ac:dyDescent="0.3">
      <c r="F9156"/>
      <c r="H9156"/>
    </row>
    <row r="9157" spans="6:8" x14ac:dyDescent="0.3">
      <c r="F9157"/>
      <c r="H9157"/>
    </row>
    <row r="9158" spans="6:8" x14ac:dyDescent="0.3">
      <c r="F9158"/>
      <c r="H9158"/>
    </row>
    <row r="9159" spans="6:8" x14ac:dyDescent="0.3">
      <c r="F9159"/>
      <c r="H9159"/>
    </row>
    <row r="9160" spans="6:8" x14ac:dyDescent="0.3">
      <c r="F9160"/>
      <c r="H9160"/>
    </row>
    <row r="9161" spans="6:8" x14ac:dyDescent="0.3">
      <c r="F9161"/>
      <c r="H9161"/>
    </row>
    <row r="9162" spans="6:8" x14ac:dyDescent="0.3">
      <c r="F9162"/>
      <c r="H9162"/>
    </row>
    <row r="9163" spans="6:8" x14ac:dyDescent="0.3">
      <c r="F9163"/>
      <c r="H9163"/>
    </row>
    <row r="9164" spans="6:8" x14ac:dyDescent="0.3">
      <c r="F9164"/>
      <c r="H9164"/>
    </row>
    <row r="9165" spans="6:8" x14ac:dyDescent="0.3">
      <c r="F9165"/>
      <c r="H9165"/>
    </row>
    <row r="9166" spans="6:8" x14ac:dyDescent="0.3">
      <c r="F9166"/>
      <c r="H9166"/>
    </row>
    <row r="9167" spans="6:8" x14ac:dyDescent="0.3">
      <c r="F9167"/>
      <c r="H9167"/>
    </row>
    <row r="9168" spans="6:8" x14ac:dyDescent="0.3">
      <c r="F9168"/>
      <c r="H9168"/>
    </row>
    <row r="9169" spans="6:8" x14ac:dyDescent="0.3">
      <c r="F9169"/>
      <c r="H9169"/>
    </row>
    <row r="9170" spans="6:8" x14ac:dyDescent="0.3">
      <c r="F9170"/>
      <c r="H9170"/>
    </row>
    <row r="9171" spans="6:8" x14ac:dyDescent="0.3">
      <c r="F9171"/>
      <c r="H9171"/>
    </row>
    <row r="9172" spans="6:8" x14ac:dyDescent="0.3">
      <c r="F9172"/>
      <c r="H9172"/>
    </row>
    <row r="9173" spans="6:8" x14ac:dyDescent="0.3">
      <c r="F9173"/>
      <c r="H9173"/>
    </row>
    <row r="9174" spans="6:8" x14ac:dyDescent="0.3">
      <c r="F9174"/>
      <c r="H9174"/>
    </row>
    <row r="9175" spans="6:8" x14ac:dyDescent="0.3">
      <c r="F9175"/>
      <c r="H9175"/>
    </row>
    <row r="9176" spans="6:8" x14ac:dyDescent="0.3">
      <c r="F9176"/>
      <c r="H9176"/>
    </row>
    <row r="9177" spans="6:8" x14ac:dyDescent="0.3">
      <c r="F9177"/>
      <c r="H9177"/>
    </row>
    <row r="9178" spans="6:8" x14ac:dyDescent="0.3">
      <c r="F9178"/>
      <c r="H9178"/>
    </row>
    <row r="9179" spans="6:8" x14ac:dyDescent="0.3">
      <c r="F9179"/>
      <c r="H9179"/>
    </row>
    <row r="9180" spans="6:8" x14ac:dyDescent="0.3">
      <c r="F9180"/>
      <c r="H9180"/>
    </row>
    <row r="9181" spans="6:8" x14ac:dyDescent="0.3">
      <c r="F9181"/>
      <c r="H9181"/>
    </row>
    <row r="9182" spans="6:8" x14ac:dyDescent="0.3">
      <c r="F9182"/>
      <c r="H9182"/>
    </row>
    <row r="9183" spans="6:8" x14ac:dyDescent="0.3">
      <c r="F9183"/>
      <c r="H9183"/>
    </row>
    <row r="9184" spans="6:8" x14ac:dyDescent="0.3">
      <c r="F9184"/>
      <c r="H9184"/>
    </row>
    <row r="9185" spans="6:8" x14ac:dyDescent="0.3">
      <c r="F9185"/>
      <c r="H9185"/>
    </row>
    <row r="9186" spans="6:8" x14ac:dyDescent="0.3">
      <c r="F9186"/>
      <c r="H9186"/>
    </row>
    <row r="9187" spans="6:8" x14ac:dyDescent="0.3">
      <c r="F9187"/>
      <c r="H9187"/>
    </row>
    <row r="9188" spans="6:8" x14ac:dyDescent="0.3">
      <c r="F9188"/>
      <c r="H9188"/>
    </row>
    <row r="9189" spans="6:8" x14ac:dyDescent="0.3">
      <c r="F9189"/>
      <c r="H9189"/>
    </row>
    <row r="9190" spans="6:8" x14ac:dyDescent="0.3">
      <c r="F9190"/>
      <c r="H9190"/>
    </row>
    <row r="9191" spans="6:8" x14ac:dyDescent="0.3">
      <c r="F9191"/>
      <c r="H9191"/>
    </row>
    <row r="9192" spans="6:8" x14ac:dyDescent="0.3">
      <c r="F9192"/>
      <c r="H9192"/>
    </row>
    <row r="9193" spans="6:8" x14ac:dyDescent="0.3">
      <c r="F9193"/>
      <c r="H9193"/>
    </row>
    <row r="9194" spans="6:8" x14ac:dyDescent="0.3">
      <c r="F9194"/>
      <c r="H9194"/>
    </row>
    <row r="9195" spans="6:8" x14ac:dyDescent="0.3">
      <c r="F9195"/>
      <c r="H9195"/>
    </row>
    <row r="9196" spans="6:8" x14ac:dyDescent="0.3">
      <c r="F9196"/>
      <c r="H9196"/>
    </row>
    <row r="9197" spans="6:8" x14ac:dyDescent="0.3">
      <c r="F9197"/>
      <c r="H9197"/>
    </row>
    <row r="9198" spans="6:8" x14ac:dyDescent="0.3">
      <c r="F9198"/>
      <c r="H9198"/>
    </row>
    <row r="9199" spans="6:8" x14ac:dyDescent="0.3">
      <c r="F9199"/>
      <c r="H9199"/>
    </row>
    <row r="9200" spans="6:8" x14ac:dyDescent="0.3">
      <c r="F9200"/>
      <c r="H9200"/>
    </row>
    <row r="9201" spans="6:8" x14ac:dyDescent="0.3">
      <c r="F9201"/>
      <c r="H9201"/>
    </row>
    <row r="9202" spans="6:8" x14ac:dyDescent="0.3">
      <c r="F9202"/>
      <c r="H9202"/>
    </row>
    <row r="9203" spans="6:8" x14ac:dyDescent="0.3">
      <c r="F9203"/>
      <c r="H9203"/>
    </row>
    <row r="9204" spans="6:8" x14ac:dyDescent="0.3">
      <c r="F9204"/>
      <c r="H9204"/>
    </row>
    <row r="9205" spans="6:8" x14ac:dyDescent="0.3">
      <c r="F9205"/>
      <c r="H9205"/>
    </row>
    <row r="9206" spans="6:8" x14ac:dyDescent="0.3">
      <c r="F9206"/>
      <c r="H9206"/>
    </row>
    <row r="9207" spans="6:8" x14ac:dyDescent="0.3">
      <c r="F9207"/>
      <c r="H9207"/>
    </row>
    <row r="9208" spans="6:8" x14ac:dyDescent="0.3">
      <c r="F9208"/>
      <c r="H9208"/>
    </row>
    <row r="9209" spans="6:8" x14ac:dyDescent="0.3">
      <c r="F9209"/>
      <c r="H9209"/>
    </row>
    <row r="9210" spans="6:8" x14ac:dyDescent="0.3">
      <c r="F9210"/>
      <c r="H9210"/>
    </row>
    <row r="9211" spans="6:8" x14ac:dyDescent="0.3">
      <c r="F9211"/>
      <c r="H9211"/>
    </row>
    <row r="9212" spans="6:8" x14ac:dyDescent="0.3">
      <c r="F9212"/>
      <c r="H9212"/>
    </row>
    <row r="9213" spans="6:8" x14ac:dyDescent="0.3">
      <c r="F9213"/>
      <c r="H9213"/>
    </row>
    <row r="9214" spans="6:8" x14ac:dyDescent="0.3">
      <c r="F9214"/>
      <c r="H9214"/>
    </row>
    <row r="9215" spans="6:8" x14ac:dyDescent="0.3">
      <c r="F9215"/>
      <c r="H9215"/>
    </row>
    <row r="9216" spans="6:8" x14ac:dyDescent="0.3">
      <c r="F9216"/>
      <c r="H9216"/>
    </row>
    <row r="9217" spans="6:8" x14ac:dyDescent="0.3">
      <c r="F9217"/>
      <c r="H9217"/>
    </row>
    <row r="9218" spans="6:8" x14ac:dyDescent="0.3">
      <c r="F9218"/>
      <c r="H9218"/>
    </row>
    <row r="9219" spans="6:8" x14ac:dyDescent="0.3">
      <c r="F9219"/>
      <c r="H9219"/>
    </row>
    <row r="9220" spans="6:8" x14ac:dyDescent="0.3">
      <c r="F9220"/>
      <c r="H9220"/>
    </row>
    <row r="9221" spans="6:8" x14ac:dyDescent="0.3">
      <c r="F9221"/>
      <c r="H9221"/>
    </row>
    <row r="9222" spans="6:8" x14ac:dyDescent="0.3">
      <c r="F9222"/>
      <c r="H9222"/>
    </row>
    <row r="9223" spans="6:8" x14ac:dyDescent="0.3">
      <c r="F9223"/>
      <c r="H9223"/>
    </row>
    <row r="9224" spans="6:8" x14ac:dyDescent="0.3">
      <c r="F9224"/>
      <c r="H9224"/>
    </row>
    <row r="9225" spans="6:8" x14ac:dyDescent="0.3">
      <c r="F9225"/>
      <c r="H9225"/>
    </row>
    <row r="9226" spans="6:8" x14ac:dyDescent="0.3">
      <c r="F9226"/>
      <c r="H9226"/>
    </row>
    <row r="9227" spans="6:8" x14ac:dyDescent="0.3">
      <c r="F9227"/>
      <c r="H9227"/>
    </row>
    <row r="9228" spans="6:8" x14ac:dyDescent="0.3">
      <c r="F9228"/>
      <c r="H9228"/>
    </row>
    <row r="9229" spans="6:8" x14ac:dyDescent="0.3">
      <c r="F9229"/>
      <c r="H9229"/>
    </row>
    <row r="9230" spans="6:8" x14ac:dyDescent="0.3">
      <c r="F9230"/>
      <c r="H9230"/>
    </row>
    <row r="9231" spans="6:8" x14ac:dyDescent="0.3">
      <c r="F9231"/>
      <c r="H9231"/>
    </row>
    <row r="9232" spans="6:8" x14ac:dyDescent="0.3">
      <c r="F9232"/>
      <c r="H9232"/>
    </row>
    <row r="9233" spans="6:8" x14ac:dyDescent="0.3">
      <c r="F9233"/>
      <c r="H9233"/>
    </row>
    <row r="9234" spans="6:8" x14ac:dyDescent="0.3">
      <c r="F9234"/>
      <c r="H9234"/>
    </row>
    <row r="9235" spans="6:8" x14ac:dyDescent="0.3">
      <c r="F9235"/>
      <c r="H9235"/>
    </row>
    <row r="9236" spans="6:8" x14ac:dyDescent="0.3">
      <c r="F9236"/>
      <c r="H9236"/>
    </row>
    <row r="9237" spans="6:8" x14ac:dyDescent="0.3">
      <c r="F9237"/>
      <c r="H9237"/>
    </row>
    <row r="9238" spans="6:8" x14ac:dyDescent="0.3">
      <c r="F9238"/>
      <c r="H9238"/>
    </row>
    <row r="9239" spans="6:8" x14ac:dyDescent="0.3">
      <c r="F9239"/>
      <c r="H9239"/>
    </row>
    <row r="9240" spans="6:8" x14ac:dyDescent="0.3">
      <c r="F9240"/>
      <c r="H9240"/>
    </row>
    <row r="9241" spans="6:8" x14ac:dyDescent="0.3">
      <c r="F9241"/>
      <c r="H9241"/>
    </row>
    <row r="9242" spans="6:8" x14ac:dyDescent="0.3">
      <c r="F9242"/>
      <c r="H9242"/>
    </row>
    <row r="9243" spans="6:8" x14ac:dyDescent="0.3">
      <c r="F9243"/>
      <c r="H9243"/>
    </row>
    <row r="9244" spans="6:8" x14ac:dyDescent="0.3">
      <c r="F9244"/>
      <c r="H9244"/>
    </row>
    <row r="9245" spans="6:8" x14ac:dyDescent="0.3">
      <c r="F9245"/>
      <c r="H9245"/>
    </row>
    <row r="9246" spans="6:8" x14ac:dyDescent="0.3">
      <c r="F9246"/>
      <c r="H9246"/>
    </row>
    <row r="9247" spans="6:8" x14ac:dyDescent="0.3">
      <c r="F9247"/>
      <c r="H9247"/>
    </row>
    <row r="9248" spans="6:8" x14ac:dyDescent="0.3">
      <c r="F9248"/>
      <c r="H9248"/>
    </row>
    <row r="9249" spans="6:8" x14ac:dyDescent="0.3">
      <c r="F9249"/>
      <c r="H9249"/>
    </row>
    <row r="9250" spans="6:8" x14ac:dyDescent="0.3">
      <c r="F9250"/>
      <c r="H9250"/>
    </row>
    <row r="9251" spans="6:8" x14ac:dyDescent="0.3">
      <c r="F9251"/>
      <c r="H9251"/>
    </row>
    <row r="9252" spans="6:8" x14ac:dyDescent="0.3">
      <c r="F9252"/>
      <c r="H9252"/>
    </row>
    <row r="9253" spans="6:8" x14ac:dyDescent="0.3">
      <c r="F9253"/>
      <c r="H9253"/>
    </row>
    <row r="9254" spans="6:8" x14ac:dyDescent="0.3">
      <c r="F9254"/>
      <c r="H9254"/>
    </row>
    <row r="9255" spans="6:8" x14ac:dyDescent="0.3">
      <c r="F9255"/>
      <c r="H9255"/>
    </row>
    <row r="9256" spans="6:8" x14ac:dyDescent="0.3">
      <c r="F9256"/>
      <c r="H9256"/>
    </row>
    <row r="9257" spans="6:8" x14ac:dyDescent="0.3">
      <c r="F9257"/>
      <c r="H9257"/>
    </row>
    <row r="9258" spans="6:8" x14ac:dyDescent="0.3">
      <c r="F9258"/>
      <c r="H9258"/>
    </row>
    <row r="9259" spans="6:8" x14ac:dyDescent="0.3">
      <c r="F9259"/>
      <c r="H9259"/>
    </row>
    <row r="9260" spans="6:8" x14ac:dyDescent="0.3">
      <c r="F9260"/>
      <c r="H9260"/>
    </row>
    <row r="9261" spans="6:8" x14ac:dyDescent="0.3">
      <c r="F9261"/>
      <c r="H9261"/>
    </row>
    <row r="9262" spans="6:8" x14ac:dyDescent="0.3">
      <c r="F9262"/>
      <c r="H9262"/>
    </row>
    <row r="9263" spans="6:8" x14ac:dyDescent="0.3">
      <c r="F9263"/>
      <c r="H9263"/>
    </row>
    <row r="9264" spans="6:8" x14ac:dyDescent="0.3">
      <c r="F9264"/>
      <c r="H9264"/>
    </row>
    <row r="9265" spans="6:8" x14ac:dyDescent="0.3">
      <c r="F9265"/>
      <c r="H9265"/>
    </row>
    <row r="9266" spans="6:8" x14ac:dyDescent="0.3">
      <c r="F9266"/>
      <c r="H9266"/>
    </row>
    <row r="9267" spans="6:8" x14ac:dyDescent="0.3">
      <c r="F9267"/>
      <c r="H9267"/>
    </row>
    <row r="9268" spans="6:8" x14ac:dyDescent="0.3">
      <c r="F9268"/>
      <c r="H9268"/>
    </row>
    <row r="9269" spans="6:8" x14ac:dyDescent="0.3">
      <c r="F9269"/>
      <c r="H9269"/>
    </row>
    <row r="9270" spans="6:8" x14ac:dyDescent="0.3">
      <c r="F9270"/>
      <c r="H9270"/>
    </row>
    <row r="9271" spans="6:8" x14ac:dyDescent="0.3">
      <c r="F9271"/>
      <c r="H9271"/>
    </row>
    <row r="9272" spans="6:8" x14ac:dyDescent="0.3">
      <c r="F9272"/>
      <c r="H9272"/>
    </row>
    <row r="9273" spans="6:8" x14ac:dyDescent="0.3">
      <c r="F9273"/>
      <c r="H9273"/>
    </row>
    <row r="9274" spans="6:8" x14ac:dyDescent="0.3">
      <c r="F9274"/>
      <c r="H9274"/>
    </row>
    <row r="9275" spans="6:8" x14ac:dyDescent="0.3">
      <c r="F9275"/>
      <c r="H9275"/>
    </row>
    <row r="9276" spans="6:8" x14ac:dyDescent="0.3">
      <c r="F9276"/>
      <c r="H9276"/>
    </row>
    <row r="9277" spans="6:8" x14ac:dyDescent="0.3">
      <c r="F9277"/>
      <c r="H9277"/>
    </row>
    <row r="9278" spans="6:8" x14ac:dyDescent="0.3">
      <c r="F9278"/>
      <c r="H9278"/>
    </row>
    <row r="9279" spans="6:8" x14ac:dyDescent="0.3">
      <c r="F9279"/>
      <c r="H9279"/>
    </row>
    <row r="9280" spans="6:8" x14ac:dyDescent="0.3">
      <c r="F9280"/>
      <c r="H9280"/>
    </row>
    <row r="9281" spans="6:8" x14ac:dyDescent="0.3">
      <c r="F9281"/>
      <c r="H9281"/>
    </row>
    <row r="9282" spans="6:8" x14ac:dyDescent="0.3">
      <c r="F9282"/>
      <c r="H9282"/>
    </row>
    <row r="9283" spans="6:8" x14ac:dyDescent="0.3">
      <c r="F9283"/>
      <c r="H9283"/>
    </row>
    <row r="9284" spans="6:8" x14ac:dyDescent="0.3">
      <c r="F9284"/>
      <c r="H9284"/>
    </row>
    <row r="9285" spans="6:8" x14ac:dyDescent="0.3">
      <c r="F9285"/>
      <c r="H9285"/>
    </row>
    <row r="9286" spans="6:8" x14ac:dyDescent="0.3">
      <c r="F9286"/>
      <c r="H9286"/>
    </row>
    <row r="9287" spans="6:8" x14ac:dyDescent="0.3">
      <c r="F9287"/>
      <c r="H9287"/>
    </row>
    <row r="9288" spans="6:8" x14ac:dyDescent="0.3">
      <c r="F9288"/>
      <c r="H9288"/>
    </row>
    <row r="9289" spans="6:8" x14ac:dyDescent="0.3">
      <c r="F9289"/>
      <c r="H9289"/>
    </row>
    <row r="9290" spans="6:8" x14ac:dyDescent="0.3">
      <c r="F9290"/>
      <c r="H9290"/>
    </row>
    <row r="9291" spans="6:8" x14ac:dyDescent="0.3">
      <c r="F9291"/>
      <c r="H9291"/>
    </row>
    <row r="9292" spans="6:8" x14ac:dyDescent="0.3">
      <c r="F9292"/>
      <c r="H9292"/>
    </row>
    <row r="9293" spans="6:8" x14ac:dyDescent="0.3">
      <c r="F9293"/>
      <c r="H9293"/>
    </row>
    <row r="9294" spans="6:8" x14ac:dyDescent="0.3">
      <c r="F9294"/>
      <c r="H9294"/>
    </row>
    <row r="9295" spans="6:8" x14ac:dyDescent="0.3">
      <c r="F9295"/>
      <c r="H9295"/>
    </row>
    <row r="9296" spans="6:8" x14ac:dyDescent="0.3">
      <c r="F9296"/>
      <c r="H9296"/>
    </row>
    <row r="9297" spans="6:8" x14ac:dyDescent="0.3">
      <c r="F9297"/>
      <c r="H9297"/>
    </row>
    <row r="9298" spans="6:8" x14ac:dyDescent="0.3">
      <c r="F9298"/>
      <c r="H9298"/>
    </row>
    <row r="9299" spans="6:8" x14ac:dyDescent="0.3">
      <c r="F9299"/>
      <c r="H9299"/>
    </row>
    <row r="9300" spans="6:8" x14ac:dyDescent="0.3">
      <c r="F9300"/>
      <c r="H9300"/>
    </row>
    <row r="9301" spans="6:8" x14ac:dyDescent="0.3">
      <c r="F9301"/>
      <c r="H9301"/>
    </row>
    <row r="9302" spans="6:8" x14ac:dyDescent="0.3">
      <c r="F9302"/>
      <c r="H9302"/>
    </row>
    <row r="9303" spans="6:8" x14ac:dyDescent="0.3">
      <c r="F9303"/>
      <c r="H9303"/>
    </row>
    <row r="9304" spans="6:8" x14ac:dyDescent="0.3">
      <c r="F9304"/>
      <c r="H9304"/>
    </row>
    <row r="9305" spans="6:8" x14ac:dyDescent="0.3">
      <c r="F9305"/>
      <c r="H9305"/>
    </row>
    <row r="9306" spans="6:8" x14ac:dyDescent="0.3">
      <c r="F9306"/>
      <c r="H9306"/>
    </row>
    <row r="9307" spans="6:8" x14ac:dyDescent="0.3">
      <c r="F9307"/>
      <c r="H9307"/>
    </row>
    <row r="9308" spans="6:8" x14ac:dyDescent="0.3">
      <c r="F9308"/>
      <c r="H9308"/>
    </row>
    <row r="9309" spans="6:8" x14ac:dyDescent="0.3">
      <c r="F9309"/>
      <c r="H9309"/>
    </row>
    <row r="9310" spans="6:8" x14ac:dyDescent="0.3">
      <c r="F9310"/>
      <c r="H9310"/>
    </row>
    <row r="9311" spans="6:8" x14ac:dyDescent="0.3">
      <c r="F9311"/>
      <c r="H9311"/>
    </row>
    <row r="9312" spans="6:8" x14ac:dyDescent="0.3">
      <c r="F9312"/>
      <c r="H9312"/>
    </row>
    <row r="9313" spans="6:8" x14ac:dyDescent="0.3">
      <c r="F9313"/>
      <c r="H9313"/>
    </row>
    <row r="9314" spans="6:8" x14ac:dyDescent="0.3">
      <c r="F9314"/>
      <c r="H9314"/>
    </row>
    <row r="9315" spans="6:8" x14ac:dyDescent="0.3">
      <c r="F9315"/>
      <c r="H9315"/>
    </row>
    <row r="9316" spans="6:8" x14ac:dyDescent="0.3">
      <c r="F9316"/>
      <c r="H9316"/>
    </row>
    <row r="9317" spans="6:8" x14ac:dyDescent="0.3">
      <c r="F9317"/>
      <c r="H9317"/>
    </row>
    <row r="9318" spans="6:8" x14ac:dyDescent="0.3">
      <c r="F9318"/>
      <c r="H9318"/>
    </row>
    <row r="9319" spans="6:8" x14ac:dyDescent="0.3">
      <c r="F9319"/>
      <c r="H9319"/>
    </row>
    <row r="9320" spans="6:8" x14ac:dyDescent="0.3">
      <c r="F9320"/>
      <c r="H9320"/>
    </row>
    <row r="9321" spans="6:8" x14ac:dyDescent="0.3">
      <c r="F9321"/>
      <c r="H9321"/>
    </row>
    <row r="9322" spans="6:8" x14ac:dyDescent="0.3">
      <c r="F9322"/>
      <c r="H9322"/>
    </row>
    <row r="9323" spans="6:8" x14ac:dyDescent="0.3">
      <c r="F9323"/>
      <c r="H9323"/>
    </row>
    <row r="9324" spans="6:8" x14ac:dyDescent="0.3">
      <c r="F9324"/>
      <c r="H9324"/>
    </row>
    <row r="9325" spans="6:8" x14ac:dyDescent="0.3">
      <c r="F9325"/>
      <c r="H9325"/>
    </row>
    <row r="9326" spans="6:8" x14ac:dyDescent="0.3">
      <c r="F9326"/>
      <c r="H9326"/>
    </row>
    <row r="9327" spans="6:8" x14ac:dyDescent="0.3">
      <c r="F9327"/>
      <c r="H9327"/>
    </row>
    <row r="9328" spans="6:8" x14ac:dyDescent="0.3">
      <c r="F9328"/>
      <c r="H9328"/>
    </row>
    <row r="9329" spans="6:8" x14ac:dyDescent="0.3">
      <c r="F9329"/>
      <c r="H9329"/>
    </row>
    <row r="9330" spans="6:8" x14ac:dyDescent="0.3">
      <c r="F9330"/>
      <c r="H9330"/>
    </row>
    <row r="9331" spans="6:8" x14ac:dyDescent="0.3">
      <c r="F9331"/>
      <c r="H9331"/>
    </row>
    <row r="9332" spans="6:8" x14ac:dyDescent="0.3">
      <c r="F9332"/>
      <c r="H9332"/>
    </row>
    <row r="9333" spans="6:8" x14ac:dyDescent="0.3">
      <c r="F9333"/>
      <c r="H9333"/>
    </row>
    <row r="9334" spans="6:8" x14ac:dyDescent="0.3">
      <c r="F9334"/>
      <c r="H9334"/>
    </row>
    <row r="9335" spans="6:8" x14ac:dyDescent="0.3">
      <c r="F9335"/>
      <c r="H9335"/>
    </row>
    <row r="9336" spans="6:8" x14ac:dyDescent="0.3">
      <c r="F9336"/>
      <c r="H9336"/>
    </row>
    <row r="9337" spans="6:8" x14ac:dyDescent="0.3">
      <c r="F9337"/>
      <c r="H9337"/>
    </row>
    <row r="9338" spans="6:8" x14ac:dyDescent="0.3">
      <c r="F9338"/>
      <c r="H9338"/>
    </row>
    <row r="9339" spans="6:8" x14ac:dyDescent="0.3">
      <c r="F9339"/>
      <c r="H9339"/>
    </row>
    <row r="9340" spans="6:8" x14ac:dyDescent="0.3">
      <c r="F9340"/>
      <c r="H9340"/>
    </row>
    <row r="9341" spans="6:8" x14ac:dyDescent="0.3">
      <c r="F9341"/>
      <c r="H9341"/>
    </row>
    <row r="9342" spans="6:8" x14ac:dyDescent="0.3">
      <c r="F9342"/>
      <c r="H9342"/>
    </row>
    <row r="9343" spans="6:8" x14ac:dyDescent="0.3">
      <c r="F9343"/>
      <c r="H9343"/>
    </row>
    <row r="9344" spans="6:8" x14ac:dyDescent="0.3">
      <c r="F9344"/>
      <c r="H9344"/>
    </row>
    <row r="9345" spans="6:8" x14ac:dyDescent="0.3">
      <c r="F9345"/>
      <c r="H9345"/>
    </row>
    <row r="9346" spans="6:8" x14ac:dyDescent="0.3">
      <c r="F9346"/>
      <c r="H9346"/>
    </row>
    <row r="9347" spans="6:8" x14ac:dyDescent="0.3">
      <c r="F9347"/>
      <c r="H9347"/>
    </row>
    <row r="9348" spans="6:8" x14ac:dyDescent="0.3">
      <c r="F9348"/>
      <c r="H9348"/>
    </row>
    <row r="9349" spans="6:8" x14ac:dyDescent="0.3">
      <c r="F9349"/>
      <c r="H9349"/>
    </row>
    <row r="9350" spans="6:8" x14ac:dyDescent="0.3">
      <c r="F9350"/>
      <c r="H9350"/>
    </row>
    <row r="9351" spans="6:8" x14ac:dyDescent="0.3">
      <c r="F9351"/>
      <c r="H9351"/>
    </row>
    <row r="9352" spans="6:8" x14ac:dyDescent="0.3">
      <c r="F9352"/>
      <c r="H9352"/>
    </row>
    <row r="9353" spans="6:8" x14ac:dyDescent="0.3">
      <c r="F9353"/>
      <c r="H9353"/>
    </row>
    <row r="9354" spans="6:8" x14ac:dyDescent="0.3">
      <c r="F9354"/>
      <c r="H9354"/>
    </row>
    <row r="9355" spans="6:8" x14ac:dyDescent="0.3">
      <c r="F9355"/>
      <c r="H9355"/>
    </row>
    <row r="9356" spans="6:8" x14ac:dyDescent="0.3">
      <c r="F9356"/>
      <c r="H9356"/>
    </row>
    <row r="9357" spans="6:8" x14ac:dyDescent="0.3">
      <c r="F9357"/>
      <c r="H9357"/>
    </row>
    <row r="9358" spans="6:8" x14ac:dyDescent="0.3">
      <c r="F9358"/>
      <c r="H9358"/>
    </row>
    <row r="9359" spans="6:8" x14ac:dyDescent="0.3">
      <c r="F9359"/>
      <c r="H9359"/>
    </row>
    <row r="9360" spans="6:8" x14ac:dyDescent="0.3">
      <c r="F9360"/>
      <c r="H9360"/>
    </row>
    <row r="9361" spans="6:8" x14ac:dyDescent="0.3">
      <c r="F9361"/>
      <c r="H9361"/>
    </row>
    <row r="9362" spans="6:8" x14ac:dyDescent="0.3">
      <c r="F9362"/>
      <c r="H9362"/>
    </row>
    <row r="9363" spans="6:8" x14ac:dyDescent="0.3">
      <c r="F9363"/>
      <c r="H9363"/>
    </row>
    <row r="9364" spans="6:8" x14ac:dyDescent="0.3">
      <c r="F9364"/>
      <c r="H9364"/>
    </row>
    <row r="9365" spans="6:8" x14ac:dyDescent="0.3">
      <c r="F9365"/>
      <c r="H9365"/>
    </row>
    <row r="9366" spans="6:8" x14ac:dyDescent="0.3">
      <c r="F9366"/>
      <c r="H9366"/>
    </row>
    <row r="9367" spans="6:8" x14ac:dyDescent="0.3">
      <c r="F9367"/>
      <c r="H9367"/>
    </row>
    <row r="9368" spans="6:8" x14ac:dyDescent="0.3">
      <c r="F9368"/>
      <c r="H9368"/>
    </row>
    <row r="9369" spans="6:8" x14ac:dyDescent="0.3">
      <c r="F9369"/>
      <c r="H9369"/>
    </row>
    <row r="9370" spans="6:8" x14ac:dyDescent="0.3">
      <c r="F9370"/>
      <c r="H9370"/>
    </row>
    <row r="9371" spans="6:8" x14ac:dyDescent="0.3">
      <c r="F9371"/>
      <c r="H9371"/>
    </row>
    <row r="9372" spans="6:8" x14ac:dyDescent="0.3">
      <c r="F9372"/>
      <c r="H9372"/>
    </row>
    <row r="9373" spans="6:8" x14ac:dyDescent="0.3">
      <c r="F9373"/>
      <c r="H9373"/>
    </row>
    <row r="9374" spans="6:8" x14ac:dyDescent="0.3">
      <c r="F9374"/>
      <c r="H9374"/>
    </row>
    <row r="9375" spans="6:8" x14ac:dyDescent="0.3">
      <c r="F9375"/>
      <c r="H9375"/>
    </row>
    <row r="9376" spans="6:8" x14ac:dyDescent="0.3">
      <c r="F9376"/>
      <c r="H9376"/>
    </row>
    <row r="9377" spans="6:8" x14ac:dyDescent="0.3">
      <c r="F9377"/>
      <c r="H9377"/>
    </row>
    <row r="9378" spans="6:8" x14ac:dyDescent="0.3">
      <c r="F9378"/>
      <c r="H9378"/>
    </row>
    <row r="9379" spans="6:8" x14ac:dyDescent="0.3">
      <c r="F9379"/>
      <c r="H9379"/>
    </row>
    <row r="9380" spans="6:8" x14ac:dyDescent="0.3">
      <c r="F9380"/>
      <c r="H9380"/>
    </row>
    <row r="9381" spans="6:8" x14ac:dyDescent="0.3">
      <c r="F9381"/>
      <c r="H9381"/>
    </row>
    <row r="9382" spans="6:8" x14ac:dyDescent="0.3">
      <c r="F9382"/>
      <c r="H9382"/>
    </row>
    <row r="9383" spans="6:8" x14ac:dyDescent="0.3">
      <c r="F9383"/>
      <c r="H9383"/>
    </row>
    <row r="9384" spans="6:8" x14ac:dyDescent="0.3">
      <c r="F9384"/>
      <c r="H9384"/>
    </row>
    <row r="9385" spans="6:8" x14ac:dyDescent="0.3">
      <c r="F9385"/>
      <c r="H9385"/>
    </row>
    <row r="9386" spans="6:8" x14ac:dyDescent="0.3">
      <c r="F9386"/>
      <c r="H9386"/>
    </row>
    <row r="9387" spans="6:8" x14ac:dyDescent="0.3">
      <c r="F9387"/>
      <c r="H9387"/>
    </row>
    <row r="9388" spans="6:8" x14ac:dyDescent="0.3">
      <c r="F9388"/>
      <c r="H9388"/>
    </row>
    <row r="9389" spans="6:8" x14ac:dyDescent="0.3">
      <c r="F9389"/>
      <c r="H9389"/>
    </row>
    <row r="9390" spans="6:8" x14ac:dyDescent="0.3">
      <c r="F9390"/>
      <c r="H9390"/>
    </row>
    <row r="9391" spans="6:8" x14ac:dyDescent="0.3">
      <c r="F9391"/>
      <c r="H9391"/>
    </row>
    <row r="9392" spans="6:8" x14ac:dyDescent="0.3">
      <c r="F9392"/>
      <c r="H9392"/>
    </row>
    <row r="9393" spans="6:8" x14ac:dyDescent="0.3">
      <c r="F9393"/>
      <c r="H9393"/>
    </row>
    <row r="9394" spans="6:8" x14ac:dyDescent="0.3">
      <c r="F9394"/>
      <c r="H9394"/>
    </row>
    <row r="9395" spans="6:8" x14ac:dyDescent="0.3">
      <c r="F9395"/>
      <c r="H9395"/>
    </row>
    <row r="9396" spans="6:8" x14ac:dyDescent="0.3">
      <c r="F9396"/>
      <c r="H9396"/>
    </row>
    <row r="9397" spans="6:8" x14ac:dyDescent="0.3">
      <c r="F9397"/>
      <c r="H9397"/>
    </row>
    <row r="9398" spans="6:8" x14ac:dyDescent="0.3">
      <c r="F9398"/>
      <c r="H9398"/>
    </row>
    <row r="9399" spans="6:8" x14ac:dyDescent="0.3">
      <c r="F9399"/>
      <c r="H9399"/>
    </row>
    <row r="9400" spans="6:8" x14ac:dyDescent="0.3">
      <c r="F9400"/>
      <c r="H9400"/>
    </row>
    <row r="9401" spans="6:8" x14ac:dyDescent="0.3">
      <c r="F9401"/>
      <c r="H9401"/>
    </row>
    <row r="9402" spans="6:8" x14ac:dyDescent="0.3">
      <c r="F9402"/>
      <c r="H9402"/>
    </row>
    <row r="9403" spans="6:8" x14ac:dyDescent="0.3">
      <c r="F9403"/>
      <c r="H9403"/>
    </row>
    <row r="9404" spans="6:8" x14ac:dyDescent="0.3">
      <c r="F9404"/>
      <c r="H9404"/>
    </row>
    <row r="9405" spans="6:8" x14ac:dyDescent="0.3">
      <c r="F9405"/>
      <c r="H9405"/>
    </row>
    <row r="9406" spans="6:8" x14ac:dyDescent="0.3">
      <c r="F9406"/>
      <c r="H9406"/>
    </row>
    <row r="9407" spans="6:8" x14ac:dyDescent="0.3">
      <c r="F9407"/>
      <c r="H9407"/>
    </row>
    <row r="9408" spans="6:8" x14ac:dyDescent="0.3">
      <c r="F9408"/>
      <c r="H9408"/>
    </row>
    <row r="9409" spans="6:8" x14ac:dyDescent="0.3">
      <c r="F9409"/>
      <c r="H9409"/>
    </row>
    <row r="9410" spans="6:8" x14ac:dyDescent="0.3">
      <c r="F9410"/>
      <c r="H9410"/>
    </row>
    <row r="9411" spans="6:8" x14ac:dyDescent="0.3">
      <c r="F9411"/>
      <c r="H9411"/>
    </row>
    <row r="9412" spans="6:8" x14ac:dyDescent="0.3">
      <c r="F9412"/>
      <c r="H9412"/>
    </row>
    <row r="9413" spans="6:8" x14ac:dyDescent="0.3">
      <c r="F9413"/>
      <c r="H9413"/>
    </row>
    <row r="9414" spans="6:8" x14ac:dyDescent="0.3">
      <c r="F9414"/>
      <c r="H9414"/>
    </row>
    <row r="9415" spans="6:8" x14ac:dyDescent="0.3">
      <c r="F9415"/>
      <c r="H9415"/>
    </row>
    <row r="9416" spans="6:8" x14ac:dyDescent="0.3">
      <c r="F9416"/>
      <c r="H9416"/>
    </row>
    <row r="9417" spans="6:8" x14ac:dyDescent="0.3">
      <c r="F9417"/>
      <c r="H9417"/>
    </row>
    <row r="9418" spans="6:8" x14ac:dyDescent="0.3">
      <c r="F9418"/>
      <c r="H9418"/>
    </row>
    <row r="9419" spans="6:8" x14ac:dyDescent="0.3">
      <c r="F9419"/>
      <c r="H9419"/>
    </row>
    <row r="9420" spans="6:8" x14ac:dyDescent="0.3">
      <c r="F9420"/>
      <c r="H9420"/>
    </row>
    <row r="9421" spans="6:8" x14ac:dyDescent="0.3">
      <c r="F9421"/>
      <c r="H9421"/>
    </row>
    <row r="9422" spans="6:8" x14ac:dyDescent="0.3">
      <c r="F9422"/>
      <c r="H9422"/>
    </row>
    <row r="9423" spans="6:8" x14ac:dyDescent="0.3">
      <c r="F9423"/>
      <c r="H9423"/>
    </row>
    <row r="9424" spans="6:8" x14ac:dyDescent="0.3">
      <c r="F9424"/>
      <c r="H9424"/>
    </row>
    <row r="9425" spans="6:8" x14ac:dyDescent="0.3">
      <c r="F9425"/>
      <c r="H9425"/>
    </row>
    <row r="9426" spans="6:8" x14ac:dyDescent="0.3">
      <c r="F9426"/>
      <c r="H9426"/>
    </row>
    <row r="9427" spans="6:8" x14ac:dyDescent="0.3">
      <c r="F9427"/>
      <c r="H9427"/>
    </row>
    <row r="9428" spans="6:8" x14ac:dyDescent="0.3">
      <c r="F9428"/>
      <c r="H9428"/>
    </row>
    <row r="9429" spans="6:8" x14ac:dyDescent="0.3">
      <c r="F9429"/>
      <c r="H9429"/>
    </row>
    <row r="9430" spans="6:8" x14ac:dyDescent="0.3">
      <c r="F9430"/>
      <c r="H9430"/>
    </row>
    <row r="9431" spans="6:8" x14ac:dyDescent="0.3">
      <c r="F9431"/>
      <c r="H9431"/>
    </row>
    <row r="9432" spans="6:8" x14ac:dyDescent="0.3">
      <c r="F9432"/>
      <c r="H9432"/>
    </row>
    <row r="9433" spans="6:8" x14ac:dyDescent="0.3">
      <c r="F9433"/>
      <c r="H9433"/>
    </row>
    <row r="9434" spans="6:8" x14ac:dyDescent="0.3">
      <c r="F9434"/>
      <c r="H9434"/>
    </row>
    <row r="9435" spans="6:8" x14ac:dyDescent="0.3">
      <c r="F9435"/>
      <c r="H9435"/>
    </row>
    <row r="9436" spans="6:8" x14ac:dyDescent="0.3">
      <c r="F9436"/>
      <c r="H9436"/>
    </row>
    <row r="9437" spans="6:8" x14ac:dyDescent="0.3">
      <c r="F9437"/>
      <c r="H9437"/>
    </row>
    <row r="9438" spans="6:8" x14ac:dyDescent="0.3">
      <c r="F9438"/>
      <c r="H9438"/>
    </row>
    <row r="9439" spans="6:8" x14ac:dyDescent="0.3">
      <c r="F9439"/>
      <c r="H9439"/>
    </row>
    <row r="9440" spans="6:8" x14ac:dyDescent="0.3">
      <c r="F9440"/>
      <c r="H9440"/>
    </row>
    <row r="9441" spans="6:8" x14ac:dyDescent="0.3">
      <c r="F9441"/>
      <c r="H9441"/>
    </row>
    <row r="9442" spans="6:8" x14ac:dyDescent="0.3">
      <c r="F9442"/>
      <c r="H9442"/>
    </row>
    <row r="9443" spans="6:8" x14ac:dyDescent="0.3">
      <c r="F9443"/>
      <c r="H9443"/>
    </row>
    <row r="9444" spans="6:8" x14ac:dyDescent="0.3">
      <c r="F9444"/>
      <c r="H9444"/>
    </row>
    <row r="9445" spans="6:8" x14ac:dyDescent="0.3">
      <c r="F9445"/>
      <c r="H9445"/>
    </row>
    <row r="9446" spans="6:8" x14ac:dyDescent="0.3">
      <c r="F9446"/>
      <c r="H9446"/>
    </row>
    <row r="9447" spans="6:8" x14ac:dyDescent="0.3">
      <c r="F9447"/>
      <c r="H9447"/>
    </row>
    <row r="9448" spans="6:8" x14ac:dyDescent="0.3">
      <c r="F9448"/>
      <c r="H9448"/>
    </row>
    <row r="9449" spans="6:8" x14ac:dyDescent="0.3">
      <c r="F9449"/>
      <c r="H9449"/>
    </row>
    <row r="9450" spans="6:8" x14ac:dyDescent="0.3">
      <c r="F9450"/>
      <c r="H9450"/>
    </row>
    <row r="9451" spans="6:8" x14ac:dyDescent="0.3">
      <c r="F9451"/>
      <c r="H9451"/>
    </row>
    <row r="9452" spans="6:8" x14ac:dyDescent="0.3">
      <c r="F9452"/>
      <c r="H9452"/>
    </row>
    <row r="9453" spans="6:8" x14ac:dyDescent="0.3">
      <c r="F9453"/>
      <c r="H9453"/>
    </row>
    <row r="9454" spans="6:8" x14ac:dyDescent="0.3">
      <c r="F9454"/>
      <c r="H9454"/>
    </row>
    <row r="9455" spans="6:8" x14ac:dyDescent="0.3">
      <c r="F9455"/>
      <c r="H9455"/>
    </row>
    <row r="9456" spans="6:8" x14ac:dyDescent="0.3">
      <c r="F9456"/>
      <c r="H9456"/>
    </row>
    <row r="9457" spans="6:8" x14ac:dyDescent="0.3">
      <c r="F9457"/>
      <c r="H9457"/>
    </row>
    <row r="9458" spans="6:8" x14ac:dyDescent="0.3">
      <c r="F9458"/>
      <c r="H9458"/>
    </row>
    <row r="9459" spans="6:8" x14ac:dyDescent="0.3">
      <c r="F9459"/>
      <c r="H9459"/>
    </row>
    <row r="9460" spans="6:8" x14ac:dyDescent="0.3">
      <c r="F9460"/>
      <c r="H9460"/>
    </row>
    <row r="9461" spans="6:8" x14ac:dyDescent="0.3">
      <c r="F9461"/>
      <c r="H9461"/>
    </row>
    <row r="9462" spans="6:8" x14ac:dyDescent="0.3">
      <c r="F9462"/>
      <c r="H9462"/>
    </row>
    <row r="9463" spans="6:8" x14ac:dyDescent="0.3">
      <c r="F9463"/>
      <c r="H9463"/>
    </row>
    <row r="9464" spans="6:8" x14ac:dyDescent="0.3">
      <c r="F9464"/>
      <c r="H9464"/>
    </row>
    <row r="9465" spans="6:8" x14ac:dyDescent="0.3">
      <c r="F9465"/>
      <c r="H9465"/>
    </row>
    <row r="9466" spans="6:8" x14ac:dyDescent="0.3">
      <c r="F9466"/>
      <c r="H9466"/>
    </row>
    <row r="9467" spans="6:8" x14ac:dyDescent="0.3">
      <c r="F9467"/>
      <c r="H9467"/>
    </row>
    <row r="9468" spans="6:8" x14ac:dyDescent="0.3">
      <c r="F9468"/>
      <c r="H9468"/>
    </row>
    <row r="9469" spans="6:8" x14ac:dyDescent="0.3">
      <c r="F9469"/>
      <c r="H9469"/>
    </row>
    <row r="9470" spans="6:8" x14ac:dyDescent="0.3">
      <c r="F9470"/>
      <c r="H9470"/>
    </row>
    <row r="9471" spans="6:8" x14ac:dyDescent="0.3">
      <c r="F9471"/>
      <c r="H9471"/>
    </row>
    <row r="9472" spans="6:8" x14ac:dyDescent="0.3">
      <c r="F9472"/>
      <c r="H9472"/>
    </row>
    <row r="9473" spans="6:8" x14ac:dyDescent="0.3">
      <c r="F9473"/>
      <c r="H9473"/>
    </row>
    <row r="9474" spans="6:8" x14ac:dyDescent="0.3">
      <c r="F9474"/>
      <c r="H9474"/>
    </row>
    <row r="9475" spans="6:8" x14ac:dyDescent="0.3">
      <c r="F9475"/>
      <c r="H9475"/>
    </row>
    <row r="9476" spans="6:8" x14ac:dyDescent="0.3">
      <c r="F9476"/>
      <c r="H9476"/>
    </row>
    <row r="9477" spans="6:8" x14ac:dyDescent="0.3">
      <c r="F9477"/>
      <c r="H9477"/>
    </row>
    <row r="9478" spans="6:8" x14ac:dyDescent="0.3">
      <c r="F9478"/>
      <c r="H9478"/>
    </row>
    <row r="9479" spans="6:8" x14ac:dyDescent="0.3">
      <c r="F9479"/>
      <c r="H9479"/>
    </row>
    <row r="9480" spans="6:8" x14ac:dyDescent="0.3">
      <c r="F9480"/>
      <c r="H9480"/>
    </row>
    <row r="9481" spans="6:8" x14ac:dyDescent="0.3">
      <c r="F9481"/>
      <c r="H9481"/>
    </row>
    <row r="9482" spans="6:8" x14ac:dyDescent="0.3">
      <c r="F9482"/>
      <c r="H9482"/>
    </row>
    <row r="9483" spans="6:8" x14ac:dyDescent="0.3">
      <c r="F9483"/>
      <c r="H9483"/>
    </row>
    <row r="9484" spans="6:8" x14ac:dyDescent="0.3">
      <c r="F9484"/>
      <c r="H9484"/>
    </row>
    <row r="9485" spans="6:8" x14ac:dyDescent="0.3">
      <c r="F9485"/>
      <c r="H9485"/>
    </row>
    <row r="9486" spans="6:8" x14ac:dyDescent="0.3">
      <c r="F9486"/>
      <c r="H9486"/>
    </row>
    <row r="9487" spans="6:8" x14ac:dyDescent="0.3">
      <c r="F9487"/>
      <c r="H9487"/>
    </row>
    <row r="9488" spans="6:8" x14ac:dyDescent="0.3">
      <c r="F9488"/>
      <c r="H9488"/>
    </row>
    <row r="9489" spans="6:8" x14ac:dyDescent="0.3">
      <c r="F9489"/>
      <c r="H9489"/>
    </row>
    <row r="9490" spans="6:8" x14ac:dyDescent="0.3">
      <c r="F9490"/>
      <c r="H9490"/>
    </row>
    <row r="9491" spans="6:8" x14ac:dyDescent="0.3">
      <c r="F9491"/>
      <c r="H9491"/>
    </row>
    <row r="9492" spans="6:8" x14ac:dyDescent="0.3">
      <c r="F9492"/>
      <c r="H9492"/>
    </row>
    <row r="9493" spans="6:8" x14ac:dyDescent="0.3">
      <c r="F9493"/>
      <c r="H9493"/>
    </row>
    <row r="9494" spans="6:8" x14ac:dyDescent="0.3">
      <c r="F9494"/>
      <c r="H9494"/>
    </row>
    <row r="9495" spans="6:8" x14ac:dyDescent="0.3">
      <c r="F9495"/>
      <c r="H9495"/>
    </row>
    <row r="9496" spans="6:8" x14ac:dyDescent="0.3">
      <c r="F9496"/>
      <c r="H9496"/>
    </row>
    <row r="9497" spans="6:8" x14ac:dyDescent="0.3">
      <c r="F9497"/>
      <c r="H9497"/>
    </row>
    <row r="9498" spans="6:8" x14ac:dyDescent="0.3">
      <c r="F9498"/>
      <c r="H9498"/>
    </row>
    <row r="9499" spans="6:8" x14ac:dyDescent="0.3">
      <c r="F9499"/>
      <c r="H9499"/>
    </row>
    <row r="9500" spans="6:8" x14ac:dyDescent="0.3">
      <c r="F9500"/>
      <c r="H9500"/>
    </row>
    <row r="9501" spans="6:8" x14ac:dyDescent="0.3">
      <c r="F9501"/>
      <c r="H9501"/>
    </row>
    <row r="9502" spans="6:8" x14ac:dyDescent="0.3">
      <c r="F9502"/>
      <c r="H9502"/>
    </row>
    <row r="9503" spans="6:8" x14ac:dyDescent="0.3">
      <c r="F9503"/>
      <c r="H9503"/>
    </row>
    <row r="9504" spans="6:8" x14ac:dyDescent="0.3">
      <c r="F9504"/>
      <c r="H9504"/>
    </row>
    <row r="9505" spans="6:8" x14ac:dyDescent="0.3">
      <c r="F9505"/>
      <c r="H9505"/>
    </row>
    <row r="9506" spans="6:8" x14ac:dyDescent="0.3">
      <c r="F9506"/>
      <c r="H9506"/>
    </row>
    <row r="9507" spans="6:8" x14ac:dyDescent="0.3">
      <c r="F9507"/>
      <c r="H9507"/>
    </row>
    <row r="9508" spans="6:8" x14ac:dyDescent="0.3">
      <c r="F9508"/>
      <c r="H9508"/>
    </row>
    <row r="9509" spans="6:8" x14ac:dyDescent="0.3">
      <c r="F9509"/>
      <c r="H9509"/>
    </row>
    <row r="9510" spans="6:8" x14ac:dyDescent="0.3">
      <c r="F9510"/>
      <c r="H9510"/>
    </row>
    <row r="9511" spans="6:8" x14ac:dyDescent="0.3">
      <c r="F9511"/>
      <c r="H9511"/>
    </row>
    <row r="9512" spans="6:8" x14ac:dyDescent="0.3">
      <c r="F9512"/>
      <c r="H9512"/>
    </row>
    <row r="9513" spans="6:8" x14ac:dyDescent="0.3">
      <c r="F9513"/>
      <c r="H9513"/>
    </row>
    <row r="9514" spans="6:8" x14ac:dyDescent="0.3">
      <c r="F9514"/>
      <c r="H9514"/>
    </row>
    <row r="9515" spans="6:8" x14ac:dyDescent="0.3">
      <c r="F9515"/>
      <c r="H9515"/>
    </row>
    <row r="9516" spans="6:8" x14ac:dyDescent="0.3">
      <c r="F9516"/>
      <c r="H9516"/>
    </row>
    <row r="9517" spans="6:8" x14ac:dyDescent="0.3">
      <c r="F9517"/>
      <c r="H9517"/>
    </row>
    <row r="9518" spans="6:8" x14ac:dyDescent="0.3">
      <c r="F9518"/>
      <c r="H9518"/>
    </row>
    <row r="9519" spans="6:8" x14ac:dyDescent="0.3">
      <c r="F9519"/>
      <c r="H9519"/>
    </row>
    <row r="9520" spans="6:8" x14ac:dyDescent="0.3">
      <c r="F9520"/>
      <c r="H9520"/>
    </row>
    <row r="9521" spans="6:8" x14ac:dyDescent="0.3">
      <c r="F9521"/>
      <c r="H9521"/>
    </row>
    <row r="9522" spans="6:8" x14ac:dyDescent="0.3">
      <c r="F9522"/>
      <c r="H9522"/>
    </row>
    <row r="9523" spans="6:8" x14ac:dyDescent="0.3">
      <c r="F9523"/>
      <c r="H9523"/>
    </row>
    <row r="9524" spans="6:8" x14ac:dyDescent="0.3">
      <c r="F9524"/>
      <c r="H9524"/>
    </row>
    <row r="9525" spans="6:8" x14ac:dyDescent="0.3">
      <c r="F9525"/>
      <c r="H9525"/>
    </row>
    <row r="9526" spans="6:8" x14ac:dyDescent="0.3">
      <c r="F9526"/>
      <c r="H9526"/>
    </row>
    <row r="9527" spans="6:8" x14ac:dyDescent="0.3">
      <c r="F9527"/>
      <c r="H9527"/>
    </row>
    <row r="9528" spans="6:8" x14ac:dyDescent="0.3">
      <c r="F9528"/>
      <c r="H9528"/>
    </row>
    <row r="9529" spans="6:8" x14ac:dyDescent="0.3">
      <c r="F9529"/>
      <c r="H9529"/>
    </row>
    <row r="9530" spans="6:8" x14ac:dyDescent="0.3">
      <c r="F9530"/>
      <c r="H9530"/>
    </row>
    <row r="9531" spans="6:8" x14ac:dyDescent="0.3">
      <c r="F9531"/>
      <c r="H9531"/>
    </row>
    <row r="9532" spans="6:8" x14ac:dyDescent="0.3">
      <c r="F9532"/>
      <c r="H9532"/>
    </row>
    <row r="9533" spans="6:8" x14ac:dyDescent="0.3">
      <c r="F9533"/>
      <c r="H9533"/>
    </row>
    <row r="9534" spans="6:8" x14ac:dyDescent="0.3">
      <c r="F9534"/>
      <c r="H9534"/>
    </row>
    <row r="9535" spans="6:8" x14ac:dyDescent="0.3">
      <c r="F9535"/>
      <c r="H9535"/>
    </row>
    <row r="9536" spans="6:8" x14ac:dyDescent="0.3">
      <c r="F9536"/>
      <c r="H9536"/>
    </row>
    <row r="9537" spans="6:8" x14ac:dyDescent="0.3">
      <c r="F9537"/>
      <c r="H9537"/>
    </row>
    <row r="9538" spans="6:8" x14ac:dyDescent="0.3">
      <c r="F9538"/>
      <c r="H9538"/>
    </row>
    <row r="9539" spans="6:8" x14ac:dyDescent="0.3">
      <c r="F9539"/>
      <c r="H9539"/>
    </row>
    <row r="9540" spans="6:8" x14ac:dyDescent="0.3">
      <c r="F9540"/>
      <c r="H9540"/>
    </row>
    <row r="9541" spans="6:8" x14ac:dyDescent="0.3">
      <c r="F9541"/>
      <c r="H9541"/>
    </row>
    <row r="9542" spans="6:8" x14ac:dyDescent="0.3">
      <c r="F9542"/>
      <c r="H9542"/>
    </row>
    <row r="9543" spans="6:8" x14ac:dyDescent="0.3">
      <c r="F9543"/>
      <c r="H9543"/>
    </row>
    <row r="9544" spans="6:8" x14ac:dyDescent="0.3">
      <c r="F9544"/>
      <c r="H9544"/>
    </row>
    <row r="9545" spans="6:8" x14ac:dyDescent="0.3">
      <c r="F9545"/>
      <c r="H9545"/>
    </row>
    <row r="9546" spans="6:8" x14ac:dyDescent="0.3">
      <c r="F9546"/>
      <c r="H9546"/>
    </row>
    <row r="9547" spans="6:8" x14ac:dyDescent="0.3">
      <c r="F9547"/>
      <c r="H9547"/>
    </row>
    <row r="9548" spans="6:8" x14ac:dyDescent="0.3">
      <c r="F9548"/>
      <c r="H9548"/>
    </row>
    <row r="9549" spans="6:8" x14ac:dyDescent="0.3">
      <c r="F9549"/>
      <c r="H9549"/>
    </row>
    <row r="9550" spans="6:8" x14ac:dyDescent="0.3">
      <c r="F9550"/>
      <c r="H9550"/>
    </row>
    <row r="9551" spans="6:8" x14ac:dyDescent="0.3">
      <c r="F9551"/>
      <c r="H9551"/>
    </row>
    <row r="9552" spans="6:8" x14ac:dyDescent="0.3">
      <c r="F9552"/>
      <c r="H9552"/>
    </row>
    <row r="9553" spans="6:8" x14ac:dyDescent="0.3">
      <c r="F9553"/>
      <c r="H9553"/>
    </row>
    <row r="9554" spans="6:8" x14ac:dyDescent="0.3">
      <c r="F9554"/>
      <c r="H9554"/>
    </row>
    <row r="9555" spans="6:8" x14ac:dyDescent="0.3">
      <c r="F9555"/>
      <c r="H9555"/>
    </row>
    <row r="9556" spans="6:8" x14ac:dyDescent="0.3">
      <c r="F9556"/>
      <c r="H9556"/>
    </row>
    <row r="9557" spans="6:8" x14ac:dyDescent="0.3">
      <c r="F9557"/>
      <c r="H9557"/>
    </row>
    <row r="9558" spans="6:8" x14ac:dyDescent="0.3">
      <c r="F9558"/>
      <c r="H9558"/>
    </row>
    <row r="9559" spans="6:8" x14ac:dyDescent="0.3">
      <c r="F9559"/>
      <c r="H9559"/>
    </row>
    <row r="9560" spans="6:8" x14ac:dyDescent="0.3">
      <c r="F9560"/>
      <c r="H9560"/>
    </row>
    <row r="9561" spans="6:8" x14ac:dyDescent="0.3">
      <c r="F9561"/>
      <c r="H9561"/>
    </row>
    <row r="9562" spans="6:8" x14ac:dyDescent="0.3">
      <c r="F9562"/>
      <c r="H9562"/>
    </row>
    <row r="9563" spans="6:8" x14ac:dyDescent="0.3">
      <c r="F9563"/>
      <c r="H9563"/>
    </row>
    <row r="9564" spans="6:8" x14ac:dyDescent="0.3">
      <c r="F9564"/>
      <c r="H9564"/>
    </row>
    <row r="9565" spans="6:8" x14ac:dyDescent="0.3">
      <c r="F9565"/>
      <c r="H9565"/>
    </row>
    <row r="9566" spans="6:8" x14ac:dyDescent="0.3">
      <c r="F9566"/>
      <c r="H9566"/>
    </row>
    <row r="9567" spans="6:8" x14ac:dyDescent="0.3">
      <c r="F9567"/>
      <c r="H9567"/>
    </row>
    <row r="9568" spans="6:8" x14ac:dyDescent="0.3">
      <c r="F9568"/>
      <c r="H9568"/>
    </row>
    <row r="9569" spans="6:8" x14ac:dyDescent="0.3">
      <c r="F9569"/>
      <c r="H9569"/>
    </row>
    <row r="9570" spans="6:8" x14ac:dyDescent="0.3">
      <c r="F9570"/>
      <c r="H9570"/>
    </row>
    <row r="9571" spans="6:8" x14ac:dyDescent="0.3">
      <c r="F9571"/>
      <c r="H9571"/>
    </row>
    <row r="9572" spans="6:8" x14ac:dyDescent="0.3">
      <c r="F9572"/>
      <c r="H9572"/>
    </row>
    <row r="9573" spans="6:8" x14ac:dyDescent="0.3">
      <c r="F9573"/>
      <c r="H9573"/>
    </row>
    <row r="9574" spans="6:8" x14ac:dyDescent="0.3">
      <c r="F9574"/>
      <c r="H9574"/>
    </row>
    <row r="9575" spans="6:8" x14ac:dyDescent="0.3">
      <c r="F9575"/>
      <c r="H9575"/>
    </row>
    <row r="9576" spans="6:8" x14ac:dyDescent="0.3">
      <c r="F9576"/>
      <c r="H9576"/>
    </row>
    <row r="9577" spans="6:8" x14ac:dyDescent="0.3">
      <c r="F9577"/>
      <c r="H9577"/>
    </row>
    <row r="9578" spans="6:8" x14ac:dyDescent="0.3">
      <c r="F9578"/>
      <c r="H9578"/>
    </row>
    <row r="9579" spans="6:8" x14ac:dyDescent="0.3">
      <c r="F9579"/>
      <c r="H9579"/>
    </row>
    <row r="9580" spans="6:8" x14ac:dyDescent="0.3">
      <c r="F9580"/>
      <c r="H9580"/>
    </row>
    <row r="9581" spans="6:8" x14ac:dyDescent="0.3">
      <c r="F9581"/>
      <c r="H9581"/>
    </row>
    <row r="9582" spans="6:8" x14ac:dyDescent="0.3">
      <c r="F9582"/>
      <c r="H9582"/>
    </row>
    <row r="9583" spans="6:8" x14ac:dyDescent="0.3">
      <c r="F9583"/>
      <c r="H9583"/>
    </row>
    <row r="9584" spans="6:8" x14ac:dyDescent="0.3">
      <c r="F9584"/>
      <c r="H9584"/>
    </row>
    <row r="9585" spans="6:8" x14ac:dyDescent="0.3">
      <c r="F9585"/>
      <c r="H9585"/>
    </row>
    <row r="9586" spans="6:8" x14ac:dyDescent="0.3">
      <c r="F9586"/>
      <c r="H9586"/>
    </row>
    <row r="9587" spans="6:8" x14ac:dyDescent="0.3">
      <c r="F9587"/>
      <c r="H9587"/>
    </row>
    <row r="9588" spans="6:8" x14ac:dyDescent="0.3">
      <c r="F9588"/>
      <c r="H9588"/>
    </row>
    <row r="9589" spans="6:8" x14ac:dyDescent="0.3">
      <c r="F9589"/>
      <c r="H9589"/>
    </row>
    <row r="9590" spans="6:8" x14ac:dyDescent="0.3">
      <c r="F9590"/>
      <c r="H9590"/>
    </row>
    <row r="9591" spans="6:8" x14ac:dyDescent="0.3">
      <c r="F9591"/>
      <c r="H9591"/>
    </row>
    <row r="9592" spans="6:8" x14ac:dyDescent="0.3">
      <c r="F9592"/>
      <c r="H9592"/>
    </row>
    <row r="9593" spans="6:8" x14ac:dyDescent="0.3">
      <c r="F9593"/>
      <c r="H9593"/>
    </row>
    <row r="9594" spans="6:8" x14ac:dyDescent="0.3">
      <c r="F9594"/>
      <c r="H9594"/>
    </row>
    <row r="9595" spans="6:8" x14ac:dyDescent="0.3">
      <c r="F9595"/>
      <c r="H9595"/>
    </row>
    <row r="9596" spans="6:8" x14ac:dyDescent="0.3">
      <c r="F9596"/>
      <c r="H9596"/>
    </row>
    <row r="9597" spans="6:8" x14ac:dyDescent="0.3">
      <c r="F9597"/>
      <c r="H9597"/>
    </row>
    <row r="9598" spans="6:8" x14ac:dyDescent="0.3">
      <c r="F9598"/>
      <c r="H9598"/>
    </row>
    <row r="9599" spans="6:8" x14ac:dyDescent="0.3">
      <c r="F9599"/>
      <c r="H9599"/>
    </row>
    <row r="9600" spans="6:8" x14ac:dyDescent="0.3">
      <c r="F9600"/>
      <c r="H9600"/>
    </row>
    <row r="9601" spans="6:8" x14ac:dyDescent="0.3">
      <c r="F9601"/>
      <c r="H9601"/>
    </row>
    <row r="9602" spans="6:8" x14ac:dyDescent="0.3">
      <c r="F9602"/>
      <c r="H9602"/>
    </row>
    <row r="9603" spans="6:8" x14ac:dyDescent="0.3">
      <c r="F9603"/>
      <c r="H9603"/>
    </row>
    <row r="9604" spans="6:8" x14ac:dyDescent="0.3">
      <c r="F9604"/>
      <c r="H9604"/>
    </row>
    <row r="9605" spans="6:8" x14ac:dyDescent="0.3">
      <c r="F9605"/>
      <c r="H9605"/>
    </row>
    <row r="9606" spans="6:8" x14ac:dyDescent="0.3">
      <c r="F9606"/>
      <c r="H9606"/>
    </row>
    <row r="9607" spans="6:8" x14ac:dyDescent="0.3">
      <c r="F9607"/>
      <c r="H9607"/>
    </row>
    <row r="9608" spans="6:8" x14ac:dyDescent="0.3">
      <c r="F9608"/>
      <c r="H9608"/>
    </row>
    <row r="9609" spans="6:8" x14ac:dyDescent="0.3">
      <c r="F9609"/>
      <c r="H9609"/>
    </row>
    <row r="9610" spans="6:8" x14ac:dyDescent="0.3">
      <c r="F9610"/>
      <c r="H9610"/>
    </row>
    <row r="9611" spans="6:8" x14ac:dyDescent="0.3">
      <c r="F9611"/>
      <c r="H9611"/>
    </row>
    <row r="9612" spans="6:8" x14ac:dyDescent="0.3">
      <c r="F9612"/>
      <c r="H9612"/>
    </row>
    <row r="9613" spans="6:8" x14ac:dyDescent="0.3">
      <c r="F9613"/>
      <c r="H9613"/>
    </row>
    <row r="9614" spans="6:8" x14ac:dyDescent="0.3">
      <c r="F9614"/>
      <c r="H9614"/>
    </row>
    <row r="9615" spans="6:8" x14ac:dyDescent="0.3">
      <c r="F9615"/>
      <c r="H9615"/>
    </row>
    <row r="9616" spans="6:8" x14ac:dyDescent="0.3">
      <c r="F9616"/>
      <c r="H9616"/>
    </row>
    <row r="9617" spans="6:8" x14ac:dyDescent="0.3">
      <c r="F9617"/>
      <c r="H9617"/>
    </row>
    <row r="9618" spans="6:8" x14ac:dyDescent="0.3">
      <c r="F9618"/>
      <c r="H9618"/>
    </row>
    <row r="9619" spans="6:8" x14ac:dyDescent="0.3">
      <c r="F9619"/>
      <c r="H9619"/>
    </row>
    <row r="9620" spans="6:8" x14ac:dyDescent="0.3">
      <c r="F9620"/>
      <c r="H9620"/>
    </row>
    <row r="9621" spans="6:8" x14ac:dyDescent="0.3">
      <c r="F9621"/>
      <c r="H9621"/>
    </row>
    <row r="9622" spans="6:8" x14ac:dyDescent="0.3">
      <c r="F9622"/>
      <c r="H9622"/>
    </row>
    <row r="9623" spans="6:8" x14ac:dyDescent="0.3">
      <c r="F9623"/>
      <c r="H9623"/>
    </row>
    <row r="9624" spans="6:8" x14ac:dyDescent="0.3">
      <c r="F9624"/>
      <c r="H9624"/>
    </row>
    <row r="9625" spans="6:8" x14ac:dyDescent="0.3">
      <c r="F9625"/>
      <c r="H9625"/>
    </row>
    <row r="9626" spans="6:8" x14ac:dyDescent="0.3">
      <c r="F9626"/>
      <c r="H9626"/>
    </row>
    <row r="9627" spans="6:8" x14ac:dyDescent="0.3">
      <c r="F9627"/>
      <c r="H9627"/>
    </row>
    <row r="9628" spans="6:8" x14ac:dyDescent="0.3">
      <c r="F9628"/>
      <c r="H9628"/>
    </row>
    <row r="9629" spans="6:8" x14ac:dyDescent="0.3">
      <c r="F9629"/>
      <c r="H9629"/>
    </row>
    <row r="9630" spans="6:8" x14ac:dyDescent="0.3">
      <c r="F9630"/>
      <c r="H9630"/>
    </row>
    <row r="9631" spans="6:8" x14ac:dyDescent="0.3">
      <c r="F9631"/>
      <c r="H9631"/>
    </row>
    <row r="9632" spans="6:8" x14ac:dyDescent="0.3">
      <c r="F9632"/>
      <c r="H9632"/>
    </row>
    <row r="9633" spans="6:8" x14ac:dyDescent="0.3">
      <c r="F9633"/>
      <c r="H9633"/>
    </row>
    <row r="9634" spans="6:8" x14ac:dyDescent="0.3">
      <c r="F9634"/>
      <c r="H9634"/>
    </row>
    <row r="9635" spans="6:8" x14ac:dyDescent="0.3">
      <c r="F9635"/>
      <c r="H9635"/>
    </row>
    <row r="9636" spans="6:8" x14ac:dyDescent="0.3">
      <c r="F9636"/>
      <c r="H9636"/>
    </row>
    <row r="9637" spans="6:8" x14ac:dyDescent="0.3">
      <c r="F9637"/>
      <c r="H9637"/>
    </row>
    <row r="9638" spans="6:8" x14ac:dyDescent="0.3">
      <c r="F9638"/>
      <c r="H9638"/>
    </row>
    <row r="9639" spans="6:8" x14ac:dyDescent="0.3">
      <c r="F9639"/>
      <c r="H9639"/>
    </row>
    <row r="9640" spans="6:8" x14ac:dyDescent="0.3">
      <c r="F9640"/>
      <c r="H9640"/>
    </row>
    <row r="9641" spans="6:8" x14ac:dyDescent="0.3">
      <c r="F9641"/>
      <c r="H9641"/>
    </row>
    <row r="9642" spans="6:8" x14ac:dyDescent="0.3">
      <c r="F9642"/>
      <c r="H9642"/>
    </row>
    <row r="9643" spans="6:8" x14ac:dyDescent="0.3">
      <c r="F9643"/>
      <c r="H9643"/>
    </row>
    <row r="9644" spans="6:8" x14ac:dyDescent="0.3">
      <c r="F9644"/>
      <c r="H9644"/>
    </row>
    <row r="9645" spans="6:8" x14ac:dyDescent="0.3">
      <c r="F9645"/>
      <c r="H9645"/>
    </row>
    <row r="9646" spans="6:8" x14ac:dyDescent="0.3">
      <c r="F9646"/>
      <c r="H9646"/>
    </row>
    <row r="9647" spans="6:8" x14ac:dyDescent="0.3">
      <c r="F9647"/>
      <c r="H9647"/>
    </row>
    <row r="9648" spans="6:8" x14ac:dyDescent="0.3">
      <c r="F9648"/>
      <c r="H9648"/>
    </row>
    <row r="9649" spans="6:8" x14ac:dyDescent="0.3">
      <c r="F9649"/>
      <c r="H9649"/>
    </row>
    <row r="9650" spans="6:8" x14ac:dyDescent="0.3">
      <c r="F9650"/>
      <c r="H9650"/>
    </row>
    <row r="9651" spans="6:8" x14ac:dyDescent="0.3">
      <c r="F9651"/>
      <c r="H9651"/>
    </row>
    <row r="9652" spans="6:8" x14ac:dyDescent="0.3">
      <c r="F9652"/>
      <c r="H9652"/>
    </row>
    <row r="9653" spans="6:8" x14ac:dyDescent="0.3">
      <c r="F9653"/>
      <c r="H9653"/>
    </row>
    <row r="9654" spans="6:8" x14ac:dyDescent="0.3">
      <c r="F9654"/>
      <c r="H9654"/>
    </row>
    <row r="9655" spans="6:8" x14ac:dyDescent="0.3">
      <c r="F9655"/>
      <c r="H9655"/>
    </row>
    <row r="9656" spans="6:8" x14ac:dyDescent="0.3">
      <c r="F9656"/>
      <c r="H9656"/>
    </row>
    <row r="9657" spans="6:8" x14ac:dyDescent="0.3">
      <c r="F9657"/>
      <c r="H9657"/>
    </row>
    <row r="9658" spans="6:8" x14ac:dyDescent="0.3">
      <c r="F9658"/>
      <c r="H9658"/>
    </row>
    <row r="9659" spans="6:8" x14ac:dyDescent="0.3">
      <c r="F9659"/>
      <c r="H9659"/>
    </row>
    <row r="9660" spans="6:8" x14ac:dyDescent="0.3">
      <c r="F9660"/>
      <c r="H9660"/>
    </row>
    <row r="9661" spans="6:8" x14ac:dyDescent="0.3">
      <c r="F9661"/>
      <c r="H9661"/>
    </row>
    <row r="9662" spans="6:8" x14ac:dyDescent="0.3">
      <c r="F9662"/>
      <c r="H9662"/>
    </row>
    <row r="9663" spans="6:8" x14ac:dyDescent="0.3">
      <c r="F9663"/>
      <c r="H9663"/>
    </row>
    <row r="9664" spans="6:8" x14ac:dyDescent="0.3">
      <c r="F9664"/>
      <c r="H9664"/>
    </row>
    <row r="9665" spans="6:8" x14ac:dyDescent="0.3">
      <c r="F9665"/>
      <c r="H9665"/>
    </row>
    <row r="9666" spans="6:8" x14ac:dyDescent="0.3">
      <c r="F9666"/>
      <c r="H9666"/>
    </row>
    <row r="9667" spans="6:8" x14ac:dyDescent="0.3">
      <c r="F9667"/>
      <c r="H9667"/>
    </row>
    <row r="9668" spans="6:8" x14ac:dyDescent="0.3">
      <c r="F9668"/>
      <c r="H9668"/>
    </row>
    <row r="9669" spans="6:8" x14ac:dyDescent="0.3">
      <c r="F9669"/>
      <c r="H9669"/>
    </row>
    <row r="9670" spans="6:8" x14ac:dyDescent="0.3">
      <c r="F9670"/>
      <c r="H9670"/>
    </row>
    <row r="9671" spans="6:8" x14ac:dyDescent="0.3">
      <c r="F9671"/>
      <c r="H9671"/>
    </row>
    <row r="9672" spans="6:8" x14ac:dyDescent="0.3">
      <c r="F9672"/>
      <c r="H9672"/>
    </row>
    <row r="9673" spans="6:8" x14ac:dyDescent="0.3">
      <c r="F9673"/>
      <c r="H9673"/>
    </row>
    <row r="9674" spans="6:8" x14ac:dyDescent="0.3">
      <c r="F9674"/>
      <c r="H9674"/>
    </row>
    <row r="9675" spans="6:8" x14ac:dyDescent="0.3">
      <c r="F9675"/>
      <c r="H9675"/>
    </row>
    <row r="9676" spans="6:8" x14ac:dyDescent="0.3">
      <c r="F9676"/>
      <c r="H9676"/>
    </row>
    <row r="9677" spans="6:8" x14ac:dyDescent="0.3">
      <c r="F9677"/>
      <c r="H9677"/>
    </row>
    <row r="9678" spans="6:8" x14ac:dyDescent="0.3">
      <c r="F9678"/>
      <c r="H9678"/>
    </row>
    <row r="9679" spans="6:8" x14ac:dyDescent="0.3">
      <c r="F9679"/>
      <c r="H9679"/>
    </row>
    <row r="9680" spans="6:8" x14ac:dyDescent="0.3">
      <c r="F9680"/>
      <c r="H9680"/>
    </row>
    <row r="9681" spans="6:8" x14ac:dyDescent="0.3">
      <c r="F9681"/>
      <c r="H9681"/>
    </row>
    <row r="9682" spans="6:8" x14ac:dyDescent="0.3">
      <c r="F9682"/>
      <c r="H9682"/>
    </row>
    <row r="9683" spans="6:8" x14ac:dyDescent="0.3">
      <c r="F9683"/>
      <c r="H9683"/>
    </row>
    <row r="9684" spans="6:8" x14ac:dyDescent="0.3">
      <c r="F9684"/>
      <c r="H9684"/>
    </row>
    <row r="9685" spans="6:8" x14ac:dyDescent="0.3">
      <c r="F9685"/>
      <c r="H9685"/>
    </row>
    <row r="9686" spans="6:8" x14ac:dyDescent="0.3">
      <c r="F9686"/>
      <c r="H9686"/>
    </row>
    <row r="9687" spans="6:8" x14ac:dyDescent="0.3">
      <c r="F9687"/>
      <c r="H9687"/>
    </row>
    <row r="9688" spans="6:8" x14ac:dyDescent="0.3">
      <c r="F9688"/>
      <c r="H9688"/>
    </row>
    <row r="9689" spans="6:8" x14ac:dyDescent="0.3">
      <c r="F9689"/>
      <c r="H9689"/>
    </row>
    <row r="9690" spans="6:8" x14ac:dyDescent="0.3">
      <c r="F9690"/>
      <c r="H9690"/>
    </row>
    <row r="9691" spans="6:8" x14ac:dyDescent="0.3">
      <c r="F9691"/>
      <c r="H9691"/>
    </row>
    <row r="9692" spans="6:8" x14ac:dyDescent="0.3">
      <c r="F9692"/>
      <c r="H9692"/>
    </row>
    <row r="9693" spans="6:8" x14ac:dyDescent="0.3">
      <c r="F9693"/>
      <c r="H9693"/>
    </row>
    <row r="9694" spans="6:8" x14ac:dyDescent="0.3">
      <c r="F9694"/>
      <c r="H9694"/>
    </row>
    <row r="9695" spans="6:8" x14ac:dyDescent="0.3">
      <c r="F9695"/>
      <c r="H9695"/>
    </row>
    <row r="9696" spans="6:8" x14ac:dyDescent="0.3">
      <c r="F9696"/>
      <c r="H9696"/>
    </row>
    <row r="9697" spans="6:8" x14ac:dyDescent="0.3">
      <c r="F9697"/>
      <c r="H9697"/>
    </row>
    <row r="9698" spans="6:8" x14ac:dyDescent="0.3">
      <c r="F9698"/>
      <c r="H9698"/>
    </row>
    <row r="9699" spans="6:8" x14ac:dyDescent="0.3">
      <c r="F9699"/>
      <c r="H9699"/>
    </row>
    <row r="9700" spans="6:8" x14ac:dyDescent="0.3">
      <c r="F9700"/>
      <c r="H9700"/>
    </row>
    <row r="9701" spans="6:8" x14ac:dyDescent="0.3">
      <c r="F9701"/>
      <c r="H9701"/>
    </row>
    <row r="9702" spans="6:8" x14ac:dyDescent="0.3">
      <c r="F9702"/>
      <c r="H9702"/>
    </row>
    <row r="9703" spans="6:8" x14ac:dyDescent="0.3">
      <c r="F9703"/>
      <c r="H9703"/>
    </row>
    <row r="9704" spans="6:8" x14ac:dyDescent="0.3">
      <c r="F9704"/>
      <c r="H9704"/>
    </row>
    <row r="9705" spans="6:8" x14ac:dyDescent="0.3">
      <c r="F9705"/>
      <c r="H9705"/>
    </row>
    <row r="9706" spans="6:8" x14ac:dyDescent="0.3">
      <c r="F9706"/>
      <c r="H9706"/>
    </row>
    <row r="9707" spans="6:8" x14ac:dyDescent="0.3">
      <c r="F9707"/>
      <c r="H9707"/>
    </row>
    <row r="9708" spans="6:8" x14ac:dyDescent="0.3">
      <c r="F9708"/>
      <c r="H9708"/>
    </row>
    <row r="9709" spans="6:8" x14ac:dyDescent="0.3">
      <c r="F9709"/>
      <c r="H9709"/>
    </row>
    <row r="9710" spans="6:8" x14ac:dyDescent="0.3">
      <c r="F9710"/>
      <c r="H9710"/>
    </row>
    <row r="9711" spans="6:8" x14ac:dyDescent="0.3">
      <c r="F9711"/>
      <c r="H9711"/>
    </row>
    <row r="9712" spans="6:8" x14ac:dyDescent="0.3">
      <c r="F9712"/>
      <c r="H9712"/>
    </row>
    <row r="9713" spans="6:8" x14ac:dyDescent="0.3">
      <c r="F9713"/>
      <c r="H9713"/>
    </row>
    <row r="9714" spans="6:8" x14ac:dyDescent="0.3">
      <c r="F9714"/>
      <c r="H9714"/>
    </row>
    <row r="9715" spans="6:8" x14ac:dyDescent="0.3">
      <c r="F9715"/>
      <c r="H9715"/>
    </row>
    <row r="9716" spans="6:8" x14ac:dyDescent="0.3">
      <c r="F9716"/>
      <c r="H9716"/>
    </row>
    <row r="9717" spans="6:8" x14ac:dyDescent="0.3">
      <c r="F9717"/>
      <c r="H9717"/>
    </row>
    <row r="9718" spans="6:8" x14ac:dyDescent="0.3">
      <c r="F9718"/>
      <c r="H9718"/>
    </row>
    <row r="9719" spans="6:8" x14ac:dyDescent="0.3">
      <c r="F9719"/>
      <c r="H9719"/>
    </row>
    <row r="9720" spans="6:8" x14ac:dyDescent="0.3">
      <c r="F9720"/>
      <c r="H9720"/>
    </row>
    <row r="9721" spans="6:8" x14ac:dyDescent="0.3">
      <c r="F9721"/>
      <c r="H9721"/>
    </row>
    <row r="9722" spans="6:8" x14ac:dyDescent="0.3">
      <c r="F9722"/>
      <c r="H9722"/>
    </row>
    <row r="9723" spans="6:8" x14ac:dyDescent="0.3">
      <c r="F9723"/>
      <c r="H9723"/>
    </row>
    <row r="9724" spans="6:8" x14ac:dyDescent="0.3">
      <c r="F9724"/>
      <c r="H9724"/>
    </row>
    <row r="9725" spans="6:8" x14ac:dyDescent="0.3">
      <c r="F9725"/>
      <c r="H9725"/>
    </row>
    <row r="9726" spans="6:8" x14ac:dyDescent="0.3">
      <c r="F9726"/>
      <c r="H9726"/>
    </row>
    <row r="9727" spans="6:8" x14ac:dyDescent="0.3">
      <c r="F9727"/>
      <c r="H9727"/>
    </row>
    <row r="9728" spans="6:8" x14ac:dyDescent="0.3">
      <c r="F9728"/>
      <c r="H9728"/>
    </row>
    <row r="9729" spans="6:8" x14ac:dyDescent="0.3">
      <c r="F9729"/>
      <c r="H9729"/>
    </row>
    <row r="9730" spans="6:8" x14ac:dyDescent="0.3">
      <c r="F9730"/>
      <c r="H9730"/>
    </row>
    <row r="9731" spans="6:8" x14ac:dyDescent="0.3">
      <c r="F9731"/>
      <c r="H9731"/>
    </row>
    <row r="9732" spans="6:8" x14ac:dyDescent="0.3">
      <c r="F9732"/>
      <c r="H9732"/>
    </row>
    <row r="9733" spans="6:8" x14ac:dyDescent="0.3">
      <c r="F9733"/>
      <c r="H9733"/>
    </row>
    <row r="9734" spans="6:8" x14ac:dyDescent="0.3">
      <c r="F9734"/>
      <c r="H9734"/>
    </row>
    <row r="9735" spans="6:8" x14ac:dyDescent="0.3">
      <c r="F9735"/>
      <c r="H9735"/>
    </row>
    <row r="9736" spans="6:8" x14ac:dyDescent="0.3">
      <c r="F9736"/>
      <c r="H9736"/>
    </row>
    <row r="9737" spans="6:8" x14ac:dyDescent="0.3">
      <c r="F9737"/>
      <c r="H9737"/>
    </row>
    <row r="9738" spans="6:8" x14ac:dyDescent="0.3">
      <c r="F9738"/>
      <c r="H9738"/>
    </row>
    <row r="9739" spans="6:8" x14ac:dyDescent="0.3">
      <c r="F9739"/>
      <c r="H9739"/>
    </row>
    <row r="9740" spans="6:8" x14ac:dyDescent="0.3">
      <c r="F9740"/>
      <c r="H9740"/>
    </row>
    <row r="9741" spans="6:8" x14ac:dyDescent="0.3">
      <c r="F9741"/>
      <c r="H9741"/>
    </row>
    <row r="9742" spans="6:8" x14ac:dyDescent="0.3">
      <c r="F9742"/>
      <c r="H9742"/>
    </row>
    <row r="9743" spans="6:8" x14ac:dyDescent="0.3">
      <c r="F9743"/>
      <c r="H9743"/>
    </row>
    <row r="9744" spans="6:8" x14ac:dyDescent="0.3">
      <c r="F9744"/>
      <c r="H9744"/>
    </row>
    <row r="9745" spans="6:8" x14ac:dyDescent="0.3">
      <c r="F9745"/>
      <c r="H9745"/>
    </row>
    <row r="9746" spans="6:8" x14ac:dyDescent="0.3">
      <c r="F9746"/>
      <c r="H9746"/>
    </row>
    <row r="9747" spans="6:8" x14ac:dyDescent="0.3">
      <c r="F9747"/>
      <c r="H9747"/>
    </row>
    <row r="9748" spans="6:8" x14ac:dyDescent="0.3">
      <c r="F9748"/>
      <c r="H9748"/>
    </row>
    <row r="9749" spans="6:8" x14ac:dyDescent="0.3">
      <c r="F9749"/>
      <c r="H9749"/>
    </row>
    <row r="9750" spans="6:8" x14ac:dyDescent="0.3">
      <c r="F9750"/>
      <c r="H9750"/>
    </row>
    <row r="9751" spans="6:8" x14ac:dyDescent="0.3">
      <c r="F9751"/>
      <c r="H9751"/>
    </row>
    <row r="9752" spans="6:8" x14ac:dyDescent="0.3">
      <c r="F9752"/>
      <c r="H9752"/>
    </row>
    <row r="9753" spans="6:8" x14ac:dyDescent="0.3">
      <c r="F9753"/>
      <c r="H9753"/>
    </row>
    <row r="9754" spans="6:8" x14ac:dyDescent="0.3">
      <c r="F9754"/>
      <c r="H9754"/>
    </row>
    <row r="9755" spans="6:8" x14ac:dyDescent="0.3">
      <c r="F9755"/>
      <c r="H9755"/>
    </row>
    <row r="9756" spans="6:8" x14ac:dyDescent="0.3">
      <c r="F9756"/>
      <c r="H9756"/>
    </row>
    <row r="9757" spans="6:8" x14ac:dyDescent="0.3">
      <c r="F9757"/>
      <c r="H9757"/>
    </row>
    <row r="9758" spans="6:8" x14ac:dyDescent="0.3">
      <c r="F9758"/>
      <c r="H9758"/>
    </row>
    <row r="9759" spans="6:8" x14ac:dyDescent="0.3">
      <c r="F9759"/>
      <c r="H9759"/>
    </row>
    <row r="9760" spans="6:8" x14ac:dyDescent="0.3">
      <c r="F9760"/>
      <c r="H9760"/>
    </row>
    <row r="9761" spans="6:8" x14ac:dyDescent="0.3">
      <c r="F9761"/>
      <c r="H9761"/>
    </row>
    <row r="9762" spans="6:8" x14ac:dyDescent="0.3">
      <c r="F9762"/>
      <c r="H9762"/>
    </row>
    <row r="9763" spans="6:8" x14ac:dyDescent="0.3">
      <c r="F9763"/>
      <c r="H9763"/>
    </row>
    <row r="9764" spans="6:8" x14ac:dyDescent="0.3">
      <c r="F9764"/>
      <c r="H9764"/>
    </row>
    <row r="9765" spans="6:8" x14ac:dyDescent="0.3">
      <c r="F9765"/>
      <c r="H9765"/>
    </row>
    <row r="9766" spans="6:8" x14ac:dyDescent="0.3">
      <c r="F9766"/>
      <c r="H9766"/>
    </row>
    <row r="9767" spans="6:8" x14ac:dyDescent="0.3">
      <c r="F9767"/>
      <c r="H9767"/>
    </row>
    <row r="9768" spans="6:8" x14ac:dyDescent="0.3">
      <c r="F9768"/>
      <c r="H9768"/>
    </row>
    <row r="9769" spans="6:8" x14ac:dyDescent="0.3">
      <c r="F9769"/>
      <c r="H9769"/>
    </row>
    <row r="9770" spans="6:8" x14ac:dyDescent="0.3">
      <c r="F9770"/>
      <c r="H9770"/>
    </row>
    <row r="9771" spans="6:8" x14ac:dyDescent="0.3">
      <c r="F9771"/>
      <c r="H9771"/>
    </row>
    <row r="9772" spans="6:8" x14ac:dyDescent="0.3">
      <c r="F9772"/>
      <c r="H9772"/>
    </row>
    <row r="9773" spans="6:8" x14ac:dyDescent="0.3">
      <c r="F9773"/>
      <c r="H9773"/>
    </row>
    <row r="9774" spans="6:8" x14ac:dyDescent="0.3">
      <c r="F9774"/>
      <c r="H9774"/>
    </row>
    <row r="9775" spans="6:8" x14ac:dyDescent="0.3">
      <c r="F9775"/>
      <c r="H9775"/>
    </row>
    <row r="9776" spans="6:8" x14ac:dyDescent="0.3">
      <c r="F9776"/>
      <c r="H9776"/>
    </row>
    <row r="9777" spans="6:8" x14ac:dyDescent="0.3">
      <c r="F9777"/>
      <c r="H9777"/>
    </row>
    <row r="9778" spans="6:8" x14ac:dyDescent="0.3">
      <c r="F9778"/>
      <c r="H9778"/>
    </row>
    <row r="9779" spans="6:8" x14ac:dyDescent="0.3">
      <c r="F9779"/>
      <c r="H9779"/>
    </row>
    <row r="9780" spans="6:8" x14ac:dyDescent="0.3">
      <c r="F9780"/>
      <c r="H9780"/>
    </row>
    <row r="9781" spans="6:8" x14ac:dyDescent="0.3">
      <c r="F9781"/>
      <c r="H9781"/>
    </row>
    <row r="9782" spans="6:8" x14ac:dyDescent="0.3">
      <c r="F9782"/>
      <c r="H9782"/>
    </row>
    <row r="9783" spans="6:8" x14ac:dyDescent="0.3">
      <c r="F9783"/>
      <c r="H9783"/>
    </row>
    <row r="9784" spans="6:8" x14ac:dyDescent="0.3">
      <c r="F9784"/>
      <c r="H9784"/>
    </row>
    <row r="9785" spans="6:8" x14ac:dyDescent="0.3">
      <c r="F9785"/>
      <c r="H9785"/>
    </row>
    <row r="9786" spans="6:8" x14ac:dyDescent="0.3">
      <c r="F9786"/>
      <c r="H9786"/>
    </row>
    <row r="9787" spans="6:8" x14ac:dyDescent="0.3">
      <c r="F9787"/>
      <c r="H9787"/>
    </row>
    <row r="9788" spans="6:8" x14ac:dyDescent="0.3">
      <c r="F9788"/>
      <c r="H9788"/>
    </row>
    <row r="9789" spans="6:8" x14ac:dyDescent="0.3">
      <c r="F9789"/>
      <c r="H9789"/>
    </row>
    <row r="9790" spans="6:8" x14ac:dyDescent="0.3">
      <c r="F9790"/>
      <c r="H9790"/>
    </row>
    <row r="9791" spans="6:8" x14ac:dyDescent="0.3">
      <c r="F9791"/>
      <c r="H9791"/>
    </row>
    <row r="9792" spans="6:8" x14ac:dyDescent="0.3">
      <c r="F9792"/>
      <c r="H9792"/>
    </row>
    <row r="9793" spans="6:8" x14ac:dyDescent="0.3">
      <c r="F9793"/>
      <c r="H9793"/>
    </row>
    <row r="9794" spans="6:8" x14ac:dyDescent="0.3">
      <c r="F9794"/>
      <c r="H9794"/>
    </row>
    <row r="9795" spans="6:8" x14ac:dyDescent="0.3">
      <c r="F9795"/>
      <c r="H9795"/>
    </row>
    <row r="9796" spans="6:8" x14ac:dyDescent="0.3">
      <c r="F9796"/>
      <c r="H9796"/>
    </row>
    <row r="9797" spans="6:8" x14ac:dyDescent="0.3">
      <c r="F9797"/>
      <c r="H9797"/>
    </row>
    <row r="9798" spans="6:8" x14ac:dyDescent="0.3">
      <c r="F9798"/>
      <c r="H9798"/>
    </row>
    <row r="9799" spans="6:8" x14ac:dyDescent="0.3">
      <c r="F9799"/>
      <c r="H9799"/>
    </row>
    <row r="9800" spans="6:8" x14ac:dyDescent="0.3">
      <c r="F9800"/>
      <c r="H9800"/>
    </row>
    <row r="9801" spans="6:8" x14ac:dyDescent="0.3">
      <c r="F9801"/>
      <c r="H9801"/>
    </row>
    <row r="9802" spans="6:8" x14ac:dyDescent="0.3">
      <c r="F9802"/>
      <c r="H9802"/>
    </row>
    <row r="9803" spans="6:8" x14ac:dyDescent="0.3">
      <c r="F9803"/>
      <c r="H9803"/>
    </row>
    <row r="9804" spans="6:8" x14ac:dyDescent="0.3">
      <c r="F9804"/>
      <c r="H9804"/>
    </row>
    <row r="9805" spans="6:8" x14ac:dyDescent="0.3">
      <c r="F9805"/>
      <c r="H9805"/>
    </row>
    <row r="9806" spans="6:8" x14ac:dyDescent="0.3">
      <c r="F9806"/>
      <c r="H9806"/>
    </row>
    <row r="9807" spans="6:8" x14ac:dyDescent="0.3">
      <c r="F9807"/>
      <c r="H9807"/>
    </row>
    <row r="9808" spans="6:8" x14ac:dyDescent="0.3">
      <c r="F9808"/>
      <c r="H9808"/>
    </row>
    <row r="9809" spans="6:8" x14ac:dyDescent="0.3">
      <c r="F9809"/>
      <c r="H9809"/>
    </row>
    <row r="9810" spans="6:8" x14ac:dyDescent="0.3">
      <c r="F9810"/>
      <c r="H9810"/>
    </row>
    <row r="9811" spans="6:8" x14ac:dyDescent="0.3">
      <c r="F9811"/>
      <c r="H9811"/>
    </row>
    <row r="9812" spans="6:8" x14ac:dyDescent="0.3">
      <c r="F9812"/>
      <c r="H9812"/>
    </row>
    <row r="9813" spans="6:8" x14ac:dyDescent="0.3">
      <c r="F9813"/>
      <c r="H9813"/>
    </row>
    <row r="9814" spans="6:8" x14ac:dyDescent="0.3">
      <c r="F9814"/>
      <c r="H9814"/>
    </row>
    <row r="9815" spans="6:8" x14ac:dyDescent="0.3">
      <c r="F9815"/>
      <c r="H9815"/>
    </row>
    <row r="9816" spans="6:8" x14ac:dyDescent="0.3">
      <c r="F9816"/>
      <c r="H9816"/>
    </row>
    <row r="9817" spans="6:8" x14ac:dyDescent="0.3">
      <c r="F9817"/>
      <c r="H9817"/>
    </row>
    <row r="9818" spans="6:8" x14ac:dyDescent="0.3">
      <c r="F9818"/>
      <c r="H9818"/>
    </row>
    <row r="9819" spans="6:8" x14ac:dyDescent="0.3">
      <c r="F9819"/>
      <c r="H9819"/>
    </row>
    <row r="9820" spans="6:8" x14ac:dyDescent="0.3">
      <c r="F9820"/>
      <c r="H9820"/>
    </row>
    <row r="9821" spans="6:8" x14ac:dyDescent="0.3">
      <c r="F9821"/>
      <c r="H9821"/>
    </row>
    <row r="9822" spans="6:8" x14ac:dyDescent="0.3">
      <c r="F9822"/>
      <c r="H9822"/>
    </row>
    <row r="9823" spans="6:8" x14ac:dyDescent="0.3">
      <c r="F9823"/>
      <c r="H9823"/>
    </row>
    <row r="9824" spans="6:8" x14ac:dyDescent="0.3">
      <c r="F9824"/>
      <c r="H9824"/>
    </row>
    <row r="9825" spans="6:8" x14ac:dyDescent="0.3">
      <c r="F9825"/>
      <c r="H9825"/>
    </row>
    <row r="9826" spans="6:8" x14ac:dyDescent="0.3">
      <c r="F9826"/>
      <c r="H9826"/>
    </row>
    <row r="9827" spans="6:8" x14ac:dyDescent="0.3">
      <c r="F9827"/>
      <c r="H9827"/>
    </row>
    <row r="9828" spans="6:8" x14ac:dyDescent="0.3">
      <c r="F9828"/>
      <c r="H9828"/>
    </row>
    <row r="9829" spans="6:8" x14ac:dyDescent="0.3">
      <c r="F9829"/>
      <c r="H9829"/>
    </row>
    <row r="9830" spans="6:8" x14ac:dyDescent="0.3">
      <c r="F9830"/>
      <c r="H9830"/>
    </row>
    <row r="9831" spans="6:8" x14ac:dyDescent="0.3">
      <c r="F9831"/>
      <c r="H9831"/>
    </row>
    <row r="9832" spans="6:8" x14ac:dyDescent="0.3">
      <c r="F9832"/>
      <c r="H9832"/>
    </row>
    <row r="9833" spans="6:8" x14ac:dyDescent="0.3">
      <c r="F9833"/>
      <c r="H9833"/>
    </row>
    <row r="9834" spans="6:8" x14ac:dyDescent="0.3">
      <c r="F9834"/>
      <c r="H9834"/>
    </row>
    <row r="9835" spans="6:8" x14ac:dyDescent="0.3">
      <c r="F9835"/>
      <c r="H9835"/>
    </row>
    <row r="9836" spans="6:8" x14ac:dyDescent="0.3">
      <c r="F9836"/>
      <c r="H9836"/>
    </row>
    <row r="9837" spans="6:8" x14ac:dyDescent="0.3">
      <c r="F9837"/>
      <c r="H9837"/>
    </row>
    <row r="9838" spans="6:8" x14ac:dyDescent="0.3">
      <c r="F9838"/>
      <c r="H9838"/>
    </row>
    <row r="9839" spans="6:8" x14ac:dyDescent="0.3">
      <c r="F9839"/>
      <c r="H9839"/>
    </row>
    <row r="9840" spans="6:8" x14ac:dyDescent="0.3">
      <c r="F9840"/>
      <c r="H9840"/>
    </row>
    <row r="9841" spans="6:8" x14ac:dyDescent="0.3">
      <c r="F9841"/>
      <c r="H9841"/>
    </row>
    <row r="9842" spans="6:8" x14ac:dyDescent="0.3">
      <c r="F9842"/>
      <c r="H9842"/>
    </row>
    <row r="9843" spans="6:8" x14ac:dyDescent="0.3">
      <c r="F9843"/>
      <c r="H9843"/>
    </row>
    <row r="9844" spans="6:8" x14ac:dyDescent="0.3">
      <c r="F9844"/>
      <c r="H9844"/>
    </row>
    <row r="9845" spans="6:8" x14ac:dyDescent="0.3">
      <c r="F9845"/>
      <c r="H9845"/>
    </row>
    <row r="9846" spans="6:8" x14ac:dyDescent="0.3">
      <c r="F9846"/>
      <c r="H9846"/>
    </row>
    <row r="9847" spans="6:8" x14ac:dyDescent="0.3">
      <c r="F9847"/>
      <c r="H9847"/>
    </row>
    <row r="9848" spans="6:8" x14ac:dyDescent="0.3">
      <c r="F9848"/>
      <c r="H9848"/>
    </row>
    <row r="9849" spans="6:8" x14ac:dyDescent="0.3">
      <c r="F9849"/>
      <c r="H9849"/>
    </row>
    <row r="9850" spans="6:8" x14ac:dyDescent="0.3">
      <c r="F9850"/>
      <c r="H9850"/>
    </row>
    <row r="9851" spans="6:8" x14ac:dyDescent="0.3">
      <c r="F9851"/>
      <c r="H9851"/>
    </row>
    <row r="9852" spans="6:8" x14ac:dyDescent="0.3">
      <c r="F9852"/>
      <c r="H9852"/>
    </row>
    <row r="9853" spans="6:8" x14ac:dyDescent="0.3">
      <c r="F9853"/>
      <c r="H9853"/>
    </row>
    <row r="9854" spans="6:8" x14ac:dyDescent="0.3">
      <c r="F9854"/>
      <c r="H9854"/>
    </row>
    <row r="9855" spans="6:8" x14ac:dyDescent="0.3">
      <c r="F9855"/>
      <c r="H9855"/>
    </row>
    <row r="9856" spans="6:8" x14ac:dyDescent="0.3">
      <c r="F9856"/>
      <c r="H9856"/>
    </row>
    <row r="9857" spans="6:8" x14ac:dyDescent="0.3">
      <c r="F9857"/>
      <c r="H9857"/>
    </row>
    <row r="9858" spans="6:8" x14ac:dyDescent="0.3">
      <c r="F9858"/>
      <c r="H9858"/>
    </row>
    <row r="9859" spans="6:8" x14ac:dyDescent="0.3">
      <c r="F9859"/>
      <c r="H9859"/>
    </row>
    <row r="9860" spans="6:8" x14ac:dyDescent="0.3">
      <c r="F9860"/>
      <c r="H9860"/>
    </row>
    <row r="9861" spans="6:8" x14ac:dyDescent="0.3">
      <c r="F9861"/>
      <c r="H9861"/>
    </row>
    <row r="9862" spans="6:8" x14ac:dyDescent="0.3">
      <c r="F9862"/>
      <c r="H9862"/>
    </row>
    <row r="9863" spans="6:8" x14ac:dyDescent="0.3">
      <c r="F9863"/>
      <c r="H9863"/>
    </row>
    <row r="9864" spans="6:8" x14ac:dyDescent="0.3">
      <c r="F9864"/>
      <c r="H9864"/>
    </row>
    <row r="9865" spans="6:8" x14ac:dyDescent="0.3">
      <c r="F9865"/>
      <c r="H9865"/>
    </row>
    <row r="9866" spans="6:8" x14ac:dyDescent="0.3">
      <c r="F9866"/>
      <c r="H9866"/>
    </row>
    <row r="9867" spans="6:8" x14ac:dyDescent="0.3">
      <c r="F9867"/>
      <c r="H9867"/>
    </row>
    <row r="9868" spans="6:8" x14ac:dyDescent="0.3">
      <c r="F9868"/>
      <c r="H9868"/>
    </row>
    <row r="9869" spans="6:8" x14ac:dyDescent="0.3">
      <c r="F9869"/>
      <c r="H9869"/>
    </row>
    <row r="9870" spans="6:8" x14ac:dyDescent="0.3">
      <c r="F9870"/>
      <c r="H9870"/>
    </row>
    <row r="9871" spans="6:8" x14ac:dyDescent="0.3">
      <c r="F9871"/>
      <c r="H9871"/>
    </row>
    <row r="9872" spans="6:8" x14ac:dyDescent="0.3">
      <c r="F9872"/>
      <c r="H9872"/>
    </row>
    <row r="9873" spans="6:8" x14ac:dyDescent="0.3">
      <c r="F9873"/>
      <c r="H9873"/>
    </row>
    <row r="9874" spans="6:8" x14ac:dyDescent="0.3">
      <c r="F9874"/>
      <c r="H9874"/>
    </row>
    <row r="9875" spans="6:8" x14ac:dyDescent="0.3">
      <c r="F9875"/>
      <c r="H9875"/>
    </row>
    <row r="9876" spans="6:8" x14ac:dyDescent="0.3">
      <c r="F9876"/>
      <c r="H9876"/>
    </row>
    <row r="9877" spans="6:8" x14ac:dyDescent="0.3">
      <c r="F9877"/>
      <c r="H9877"/>
    </row>
    <row r="9878" spans="6:8" x14ac:dyDescent="0.3">
      <c r="F9878"/>
      <c r="H9878"/>
    </row>
    <row r="9879" spans="6:8" x14ac:dyDescent="0.3">
      <c r="F9879"/>
      <c r="H9879"/>
    </row>
    <row r="9880" spans="6:8" x14ac:dyDescent="0.3">
      <c r="F9880"/>
      <c r="H9880"/>
    </row>
    <row r="9881" spans="6:8" x14ac:dyDescent="0.3">
      <c r="F9881"/>
      <c r="H9881"/>
    </row>
    <row r="9882" spans="6:8" x14ac:dyDescent="0.3">
      <c r="F9882"/>
      <c r="H9882"/>
    </row>
    <row r="9883" spans="6:8" x14ac:dyDescent="0.3">
      <c r="F9883"/>
      <c r="H9883"/>
    </row>
    <row r="9884" spans="6:8" x14ac:dyDescent="0.3">
      <c r="F9884"/>
      <c r="H9884"/>
    </row>
    <row r="9885" spans="6:8" x14ac:dyDescent="0.3">
      <c r="F9885"/>
      <c r="H9885"/>
    </row>
    <row r="9886" spans="6:8" x14ac:dyDescent="0.3">
      <c r="F9886"/>
      <c r="H9886"/>
    </row>
    <row r="9887" spans="6:8" x14ac:dyDescent="0.3">
      <c r="F9887"/>
      <c r="H9887"/>
    </row>
    <row r="9888" spans="6:8" x14ac:dyDescent="0.3">
      <c r="F9888"/>
      <c r="H9888"/>
    </row>
    <row r="9889" spans="6:8" x14ac:dyDescent="0.3">
      <c r="F9889"/>
      <c r="H9889"/>
    </row>
    <row r="9890" spans="6:8" x14ac:dyDescent="0.3">
      <c r="F9890"/>
      <c r="H9890"/>
    </row>
    <row r="9891" spans="6:8" x14ac:dyDescent="0.3">
      <c r="F9891"/>
      <c r="H9891"/>
    </row>
    <row r="9892" spans="6:8" x14ac:dyDescent="0.3">
      <c r="F9892"/>
      <c r="H9892"/>
    </row>
    <row r="9893" spans="6:8" x14ac:dyDescent="0.3">
      <c r="F9893"/>
      <c r="H9893"/>
    </row>
    <row r="9894" spans="6:8" x14ac:dyDescent="0.3">
      <c r="F9894"/>
      <c r="H9894"/>
    </row>
    <row r="9895" spans="6:8" x14ac:dyDescent="0.3">
      <c r="F9895"/>
      <c r="H9895"/>
    </row>
    <row r="9896" spans="6:8" x14ac:dyDescent="0.3">
      <c r="F9896"/>
      <c r="H9896"/>
    </row>
    <row r="9897" spans="6:8" x14ac:dyDescent="0.3">
      <c r="F9897"/>
      <c r="H9897"/>
    </row>
    <row r="9898" spans="6:8" x14ac:dyDescent="0.3">
      <c r="F9898"/>
      <c r="H9898"/>
    </row>
    <row r="9899" spans="6:8" x14ac:dyDescent="0.3">
      <c r="F9899"/>
      <c r="H9899"/>
    </row>
    <row r="9900" spans="6:8" x14ac:dyDescent="0.3">
      <c r="F9900"/>
      <c r="H9900"/>
    </row>
    <row r="9901" spans="6:8" x14ac:dyDescent="0.3">
      <c r="F9901"/>
      <c r="H9901"/>
    </row>
    <row r="9902" spans="6:8" x14ac:dyDescent="0.3">
      <c r="F9902"/>
      <c r="H9902"/>
    </row>
    <row r="9903" spans="6:8" x14ac:dyDescent="0.3">
      <c r="F9903"/>
      <c r="H9903"/>
    </row>
    <row r="9904" spans="6:8" x14ac:dyDescent="0.3">
      <c r="F9904"/>
      <c r="H9904"/>
    </row>
    <row r="9905" spans="6:8" x14ac:dyDescent="0.3">
      <c r="F9905"/>
      <c r="H9905"/>
    </row>
    <row r="9906" spans="6:8" x14ac:dyDescent="0.3">
      <c r="F9906"/>
      <c r="H9906"/>
    </row>
    <row r="9907" spans="6:8" x14ac:dyDescent="0.3">
      <c r="F9907"/>
      <c r="H9907"/>
    </row>
    <row r="9908" spans="6:8" x14ac:dyDescent="0.3">
      <c r="F9908"/>
      <c r="H9908"/>
    </row>
    <row r="9909" spans="6:8" x14ac:dyDescent="0.3">
      <c r="F9909"/>
      <c r="H9909"/>
    </row>
    <row r="9910" spans="6:8" x14ac:dyDescent="0.3">
      <c r="F9910"/>
      <c r="H9910"/>
    </row>
    <row r="9911" spans="6:8" x14ac:dyDescent="0.3">
      <c r="F9911"/>
      <c r="H9911"/>
    </row>
    <row r="9912" spans="6:8" x14ac:dyDescent="0.3">
      <c r="F9912"/>
      <c r="H9912"/>
    </row>
    <row r="9913" spans="6:8" x14ac:dyDescent="0.3">
      <c r="F9913"/>
      <c r="H9913"/>
    </row>
    <row r="9914" spans="6:8" x14ac:dyDescent="0.3">
      <c r="F9914"/>
      <c r="H9914"/>
    </row>
    <row r="9915" spans="6:8" x14ac:dyDescent="0.3">
      <c r="F9915"/>
      <c r="H9915"/>
    </row>
    <row r="9916" spans="6:8" x14ac:dyDescent="0.3">
      <c r="F9916"/>
      <c r="H9916"/>
    </row>
    <row r="9917" spans="6:8" x14ac:dyDescent="0.3">
      <c r="F9917"/>
      <c r="H9917"/>
    </row>
    <row r="9918" spans="6:8" x14ac:dyDescent="0.3">
      <c r="F9918"/>
      <c r="H9918"/>
    </row>
    <row r="9919" spans="6:8" x14ac:dyDescent="0.3">
      <c r="F9919"/>
      <c r="H9919"/>
    </row>
    <row r="9920" spans="6:8" x14ac:dyDescent="0.3">
      <c r="F9920"/>
      <c r="H9920"/>
    </row>
    <row r="9921" spans="6:8" x14ac:dyDescent="0.3">
      <c r="F9921"/>
      <c r="H9921"/>
    </row>
    <row r="9922" spans="6:8" x14ac:dyDescent="0.3">
      <c r="F9922"/>
      <c r="H9922"/>
    </row>
    <row r="9923" spans="6:8" x14ac:dyDescent="0.3">
      <c r="F9923"/>
      <c r="H9923"/>
    </row>
    <row r="9924" spans="6:8" x14ac:dyDescent="0.3">
      <c r="F9924"/>
      <c r="H9924"/>
    </row>
    <row r="9925" spans="6:8" x14ac:dyDescent="0.3">
      <c r="F9925"/>
      <c r="H9925"/>
    </row>
    <row r="9926" spans="6:8" x14ac:dyDescent="0.3">
      <c r="F9926"/>
      <c r="H9926"/>
    </row>
    <row r="9927" spans="6:8" x14ac:dyDescent="0.3">
      <c r="F9927"/>
      <c r="H9927"/>
    </row>
    <row r="9928" spans="6:8" x14ac:dyDescent="0.3">
      <c r="F9928"/>
      <c r="H9928"/>
    </row>
    <row r="9929" spans="6:8" x14ac:dyDescent="0.3">
      <c r="F9929"/>
      <c r="H9929"/>
    </row>
    <row r="9930" spans="6:8" x14ac:dyDescent="0.3">
      <c r="F9930"/>
      <c r="H9930"/>
    </row>
    <row r="9931" spans="6:8" x14ac:dyDescent="0.3">
      <c r="F9931"/>
      <c r="H9931"/>
    </row>
    <row r="9932" spans="6:8" x14ac:dyDescent="0.3">
      <c r="F9932"/>
      <c r="H9932"/>
    </row>
    <row r="9933" spans="6:8" x14ac:dyDescent="0.3">
      <c r="F9933"/>
      <c r="H9933"/>
    </row>
    <row r="9934" spans="6:8" x14ac:dyDescent="0.3">
      <c r="F9934"/>
      <c r="H9934"/>
    </row>
    <row r="9935" spans="6:8" x14ac:dyDescent="0.3">
      <c r="F9935"/>
      <c r="H9935"/>
    </row>
    <row r="9936" spans="6:8" x14ac:dyDescent="0.3">
      <c r="F9936"/>
      <c r="H9936"/>
    </row>
    <row r="9937" spans="6:8" x14ac:dyDescent="0.3">
      <c r="F9937"/>
      <c r="H9937"/>
    </row>
    <row r="9938" spans="6:8" x14ac:dyDescent="0.3">
      <c r="F9938"/>
      <c r="H9938"/>
    </row>
    <row r="9939" spans="6:8" x14ac:dyDescent="0.3">
      <c r="F9939"/>
      <c r="H9939"/>
    </row>
    <row r="9940" spans="6:8" x14ac:dyDescent="0.3">
      <c r="F9940"/>
      <c r="H9940"/>
    </row>
    <row r="9941" spans="6:8" x14ac:dyDescent="0.3">
      <c r="F9941"/>
      <c r="H9941"/>
    </row>
    <row r="9942" spans="6:8" x14ac:dyDescent="0.3">
      <c r="F9942"/>
      <c r="H9942"/>
    </row>
    <row r="9943" spans="6:8" x14ac:dyDescent="0.3">
      <c r="F9943"/>
      <c r="H9943"/>
    </row>
    <row r="9944" spans="6:8" x14ac:dyDescent="0.3">
      <c r="F9944"/>
      <c r="H9944"/>
    </row>
    <row r="9945" spans="6:8" x14ac:dyDescent="0.3">
      <c r="F9945"/>
      <c r="H9945"/>
    </row>
    <row r="9946" spans="6:8" x14ac:dyDescent="0.3">
      <c r="F9946"/>
      <c r="H9946"/>
    </row>
    <row r="9947" spans="6:8" x14ac:dyDescent="0.3">
      <c r="F9947"/>
      <c r="H9947"/>
    </row>
    <row r="9948" spans="6:8" x14ac:dyDescent="0.3">
      <c r="F9948"/>
      <c r="H9948"/>
    </row>
    <row r="9949" spans="6:8" x14ac:dyDescent="0.3">
      <c r="F9949"/>
      <c r="H9949"/>
    </row>
    <row r="9950" spans="6:8" x14ac:dyDescent="0.3">
      <c r="F9950"/>
      <c r="H9950"/>
    </row>
    <row r="9951" spans="6:8" x14ac:dyDescent="0.3">
      <c r="F9951"/>
      <c r="H9951"/>
    </row>
    <row r="9952" spans="6:8" x14ac:dyDescent="0.3">
      <c r="F9952"/>
      <c r="H9952"/>
    </row>
    <row r="9953" spans="6:8" x14ac:dyDescent="0.3">
      <c r="F9953"/>
      <c r="H9953"/>
    </row>
    <row r="9954" spans="6:8" x14ac:dyDescent="0.3">
      <c r="F9954"/>
      <c r="H9954"/>
    </row>
    <row r="9955" spans="6:8" x14ac:dyDescent="0.3">
      <c r="F9955"/>
      <c r="H9955"/>
    </row>
    <row r="9956" spans="6:8" x14ac:dyDescent="0.3">
      <c r="F9956"/>
      <c r="H9956"/>
    </row>
    <row r="9957" spans="6:8" x14ac:dyDescent="0.3">
      <c r="F9957"/>
      <c r="H9957"/>
    </row>
    <row r="9958" spans="6:8" x14ac:dyDescent="0.3">
      <c r="F9958"/>
      <c r="H9958"/>
    </row>
    <row r="9959" spans="6:8" x14ac:dyDescent="0.3">
      <c r="F9959"/>
      <c r="H9959"/>
    </row>
    <row r="9960" spans="6:8" x14ac:dyDescent="0.3">
      <c r="F9960"/>
      <c r="H9960"/>
    </row>
    <row r="9961" spans="6:8" x14ac:dyDescent="0.3">
      <c r="F9961"/>
      <c r="H9961"/>
    </row>
    <row r="9962" spans="6:8" x14ac:dyDescent="0.3">
      <c r="F9962"/>
      <c r="H9962"/>
    </row>
    <row r="9963" spans="6:8" x14ac:dyDescent="0.3">
      <c r="F9963"/>
      <c r="H9963"/>
    </row>
    <row r="9964" spans="6:8" x14ac:dyDescent="0.3">
      <c r="F9964"/>
      <c r="H9964"/>
    </row>
    <row r="9965" spans="6:8" x14ac:dyDescent="0.3">
      <c r="F9965"/>
      <c r="H9965"/>
    </row>
    <row r="9966" spans="6:8" x14ac:dyDescent="0.3">
      <c r="F9966"/>
      <c r="H9966"/>
    </row>
    <row r="9967" spans="6:8" x14ac:dyDescent="0.3">
      <c r="F9967"/>
      <c r="H9967"/>
    </row>
    <row r="9968" spans="6:8" x14ac:dyDescent="0.3">
      <c r="F9968"/>
      <c r="H9968"/>
    </row>
    <row r="9969" spans="6:8" x14ac:dyDescent="0.3">
      <c r="F9969"/>
      <c r="H9969"/>
    </row>
    <row r="9970" spans="6:8" x14ac:dyDescent="0.3">
      <c r="F9970"/>
      <c r="H9970"/>
    </row>
    <row r="9971" spans="6:8" x14ac:dyDescent="0.3">
      <c r="F9971"/>
      <c r="H9971"/>
    </row>
    <row r="9972" spans="6:8" x14ac:dyDescent="0.3">
      <c r="F9972"/>
      <c r="H9972"/>
    </row>
    <row r="9973" spans="6:8" x14ac:dyDescent="0.3">
      <c r="F9973"/>
      <c r="H9973"/>
    </row>
    <row r="9974" spans="6:8" x14ac:dyDescent="0.3">
      <c r="F9974"/>
      <c r="H9974"/>
    </row>
    <row r="9975" spans="6:8" x14ac:dyDescent="0.3">
      <c r="F9975"/>
      <c r="H9975"/>
    </row>
    <row r="9976" spans="6:8" x14ac:dyDescent="0.3">
      <c r="F9976"/>
      <c r="H9976"/>
    </row>
    <row r="9977" spans="6:8" x14ac:dyDescent="0.3">
      <c r="F9977"/>
      <c r="H9977"/>
    </row>
    <row r="9978" spans="6:8" x14ac:dyDescent="0.3">
      <c r="F9978"/>
      <c r="H9978"/>
    </row>
    <row r="9979" spans="6:8" x14ac:dyDescent="0.3">
      <c r="F9979"/>
      <c r="H9979"/>
    </row>
    <row r="9980" spans="6:8" x14ac:dyDescent="0.3">
      <c r="F9980"/>
      <c r="H9980"/>
    </row>
    <row r="9981" spans="6:8" x14ac:dyDescent="0.3">
      <c r="F9981"/>
      <c r="H9981"/>
    </row>
    <row r="9982" spans="6:8" x14ac:dyDescent="0.3">
      <c r="F9982"/>
      <c r="H9982"/>
    </row>
    <row r="9983" spans="6:8" x14ac:dyDescent="0.3">
      <c r="F9983"/>
      <c r="H9983"/>
    </row>
    <row r="9984" spans="6:8" x14ac:dyDescent="0.3">
      <c r="F9984"/>
      <c r="H9984"/>
    </row>
    <row r="9985" spans="6:8" x14ac:dyDescent="0.3">
      <c r="F9985"/>
      <c r="H9985"/>
    </row>
    <row r="9986" spans="6:8" x14ac:dyDescent="0.3">
      <c r="F9986"/>
      <c r="H9986"/>
    </row>
    <row r="9987" spans="6:8" x14ac:dyDescent="0.3">
      <c r="F9987"/>
      <c r="H9987"/>
    </row>
    <row r="9988" spans="6:8" x14ac:dyDescent="0.3">
      <c r="F9988"/>
      <c r="H9988"/>
    </row>
    <row r="9989" spans="6:8" x14ac:dyDescent="0.3">
      <c r="F9989"/>
      <c r="H9989"/>
    </row>
    <row r="9990" spans="6:8" x14ac:dyDescent="0.3">
      <c r="F9990"/>
      <c r="H9990"/>
    </row>
    <row r="9991" spans="6:8" x14ac:dyDescent="0.3">
      <c r="F9991"/>
      <c r="H9991"/>
    </row>
    <row r="9992" spans="6:8" x14ac:dyDescent="0.3">
      <c r="F9992"/>
      <c r="H9992"/>
    </row>
    <row r="9993" spans="6:8" x14ac:dyDescent="0.3">
      <c r="F9993"/>
      <c r="H9993"/>
    </row>
    <row r="9994" spans="6:8" x14ac:dyDescent="0.3">
      <c r="F9994"/>
      <c r="H9994"/>
    </row>
    <row r="9995" spans="6:8" x14ac:dyDescent="0.3">
      <c r="F9995"/>
      <c r="H999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55F94-C8EE-4C50-8AC5-D020735D2890}">
  <dimension ref="B2:L3"/>
  <sheetViews>
    <sheetView showGridLines="0" tabSelected="1" zoomScale="70" zoomScaleNormal="70" workbookViewId="0">
      <selection activeCell="L157" sqref="L157"/>
    </sheetView>
  </sheetViews>
  <sheetFormatPr defaultRowHeight="14.4" x14ac:dyDescent="0.3"/>
  <cols>
    <col min="1" max="1" width="8.21875" style="10" customWidth="1"/>
    <col min="2" max="2" width="24.88671875" style="10" bestFit="1" customWidth="1"/>
    <col min="3" max="3" width="12.21875" style="10" bestFit="1" customWidth="1"/>
    <col min="4" max="4" width="24.88671875" style="10" bestFit="1" customWidth="1"/>
    <col min="5" max="5" width="8.88671875" style="10"/>
    <col min="6" max="6" width="14.44140625" style="10" bestFit="1" customWidth="1"/>
    <col min="7" max="7" width="8.88671875" style="10"/>
    <col min="8" max="8" width="18" style="10" bestFit="1" customWidth="1"/>
    <col min="9" max="9" width="12.21875" style="10" bestFit="1" customWidth="1"/>
    <col min="10" max="10" width="19.5546875" style="10" bestFit="1" customWidth="1"/>
    <col min="11" max="11" width="8.88671875" style="10"/>
    <col min="12" max="12" width="22.6640625" style="10" bestFit="1" customWidth="1"/>
    <col min="13" max="13" width="18.33203125" style="10" bestFit="1" customWidth="1"/>
    <col min="14" max="14" width="12.21875" style="10" bestFit="1" customWidth="1"/>
    <col min="15" max="15" width="8.88671875" style="10"/>
    <col min="16" max="16" width="11.88671875" style="10" bestFit="1" customWidth="1"/>
    <col min="17" max="17" width="8.88671875" style="10"/>
    <col min="18" max="18" width="19.33203125" style="10" bestFit="1" customWidth="1"/>
    <col min="19" max="19" width="8.88671875" style="10"/>
    <col min="20" max="20" width="22.44140625" style="10" bestFit="1" customWidth="1"/>
    <col min="21" max="16384" width="8.88671875" style="10"/>
  </cols>
  <sheetData>
    <row r="2" spans="2:12" ht="15.6" x14ac:dyDescent="0.3">
      <c r="B2" s="11" t="s">
        <v>3641</v>
      </c>
      <c r="C2" s="12"/>
      <c r="D2" s="11" t="s">
        <v>3642</v>
      </c>
      <c r="F2" s="11" t="s">
        <v>3635</v>
      </c>
      <c r="G2" s="12"/>
      <c r="H2" s="11" t="s">
        <v>3643</v>
      </c>
      <c r="I2" s="12"/>
      <c r="J2" s="11" t="s">
        <v>3644</v>
      </c>
      <c r="K2" s="12"/>
      <c r="L2" s="11" t="s">
        <v>3645</v>
      </c>
    </row>
    <row r="3" spans="2:12" ht="28.8" x14ac:dyDescent="0.3">
      <c r="B3" s="13">
        <f>SUM(SalesData[Sales])</f>
        <v>887917.31159999734</v>
      </c>
      <c r="D3" s="14">
        <f>SUM(SalesData[Profit])</f>
        <v>108803.31510000002</v>
      </c>
      <c r="F3" s="15">
        <f>D3/B3</f>
        <v>0.12253766615265117</v>
      </c>
      <c r="H3" s="16">
        <f>COUNTA(SalesData[Order ID])</f>
        <v>4042</v>
      </c>
      <c r="J3" s="17">
        <f>B3/H3</f>
        <v>219.67276387926702</v>
      </c>
      <c r="L3" s="18">
        <f>D3/H3</f>
        <v>26.918187803067795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9D0E6-7453-4747-A7A0-45EFC9086E97}">
  <dimension ref="B1:P38"/>
  <sheetViews>
    <sheetView showGridLines="0" showRowColHeaders="0" zoomScale="85" zoomScaleNormal="100" workbookViewId="0">
      <selection activeCell="E33" sqref="E33"/>
    </sheetView>
  </sheetViews>
  <sheetFormatPr defaultRowHeight="14.4" x14ac:dyDescent="0.3"/>
  <cols>
    <col min="1" max="1" width="8.77734375" style="6" customWidth="1"/>
    <col min="2" max="2" width="19.88671875" style="6" bestFit="1" customWidth="1"/>
    <col min="3" max="3" width="12" style="6" bestFit="1" customWidth="1"/>
    <col min="4" max="4" width="8.77734375" style="6" customWidth="1"/>
    <col min="5" max="5" width="17.88671875" style="6" bestFit="1" customWidth="1"/>
    <col min="6" max="6" width="12" style="6" bestFit="1" customWidth="1"/>
    <col min="7" max="7" width="8.77734375" style="6" customWidth="1"/>
    <col min="8" max="8" width="20" style="6" customWidth="1"/>
    <col min="9" max="9" width="12" style="6" bestFit="1" customWidth="1"/>
    <col min="10" max="10" width="8.77734375" style="6" customWidth="1"/>
    <col min="11" max="11" width="54.77734375" style="6" bestFit="1" customWidth="1"/>
    <col min="12" max="12" width="12" style="6" bestFit="1" customWidth="1"/>
    <col min="13" max="13" width="8.77734375" style="6" customWidth="1"/>
    <col min="14" max="14" width="15.77734375" style="6" bestFit="1" customWidth="1"/>
    <col min="15" max="15" width="12" style="6" bestFit="1" customWidth="1"/>
    <col min="16" max="16" width="8.77734375" style="6" customWidth="1"/>
    <col min="17" max="16384" width="8.88671875" style="6"/>
  </cols>
  <sheetData>
    <row r="1" spans="2:15" ht="23.4" x14ac:dyDescent="0.45">
      <c r="E1"/>
      <c r="H1" s="20" t="s">
        <v>3665</v>
      </c>
    </row>
    <row r="5" spans="2:15" ht="15.6" x14ac:dyDescent="0.3">
      <c r="B5" s="5" t="s">
        <v>3647</v>
      </c>
      <c r="E5" s="5" t="s">
        <v>3648</v>
      </c>
      <c r="H5" s="6" t="s">
        <v>3649</v>
      </c>
      <c r="K5" s="6" t="s">
        <v>3662</v>
      </c>
      <c r="N5" s="6" t="s">
        <v>3663</v>
      </c>
    </row>
    <row r="6" spans="2:15" x14ac:dyDescent="0.3">
      <c r="B6" s="7" t="s">
        <v>3</v>
      </c>
      <c r="C6" s="6" t="s">
        <v>3646</v>
      </c>
      <c r="E6" s="7" t="s">
        <v>2</v>
      </c>
      <c r="F6" s="6" t="s">
        <v>3646</v>
      </c>
      <c r="H6" s="7" t="s">
        <v>3638</v>
      </c>
      <c r="I6" s="6" t="s">
        <v>3646</v>
      </c>
      <c r="K6" s="7" t="s">
        <v>4</v>
      </c>
      <c r="L6" s="6" t="s">
        <v>3646</v>
      </c>
      <c r="N6" s="7" t="s">
        <v>3</v>
      </c>
      <c r="O6" s="6" t="s">
        <v>3664</v>
      </c>
    </row>
    <row r="7" spans="2:15" x14ac:dyDescent="0.3">
      <c r="B7" s="8" t="s">
        <v>14</v>
      </c>
      <c r="C7" s="9">
        <v>289736.28060000052</v>
      </c>
      <c r="E7" s="8" t="s">
        <v>9</v>
      </c>
      <c r="F7" s="9">
        <v>214272.09359999996</v>
      </c>
      <c r="H7" s="8" t="s">
        <v>3650</v>
      </c>
      <c r="I7" s="9">
        <v>95524.566399999865</v>
      </c>
      <c r="K7" s="8" t="s">
        <v>1990</v>
      </c>
      <c r="L7" s="9">
        <v>17499.95</v>
      </c>
      <c r="N7" s="8" t="s">
        <v>14</v>
      </c>
      <c r="O7" s="19">
        <v>8944.9305000000077</v>
      </c>
    </row>
    <row r="8" spans="2:15" x14ac:dyDescent="0.3">
      <c r="B8" s="8" t="s">
        <v>21</v>
      </c>
      <c r="C8" s="9">
        <v>259573.56699999995</v>
      </c>
      <c r="E8" s="8" t="s">
        <v>17</v>
      </c>
      <c r="F8" s="9">
        <v>249123.12900000007</v>
      </c>
      <c r="H8" s="8" t="s">
        <v>3651</v>
      </c>
      <c r="I8" s="9">
        <v>105139.12400000008</v>
      </c>
      <c r="K8" s="8" t="s">
        <v>682</v>
      </c>
      <c r="L8" s="9">
        <v>11219.934000000001</v>
      </c>
      <c r="N8" s="8" t="s">
        <v>21</v>
      </c>
      <c r="O8" s="19">
        <v>36533.963700000029</v>
      </c>
    </row>
    <row r="9" spans="2:15" x14ac:dyDescent="0.3">
      <c r="B9" s="8" t="s">
        <v>10</v>
      </c>
      <c r="C9" s="9">
        <v>338607.46400000021</v>
      </c>
      <c r="E9" s="8" t="s">
        <v>46</v>
      </c>
      <c r="F9" s="9">
        <v>147643.06749999989</v>
      </c>
      <c r="H9" s="8" t="s">
        <v>3652</v>
      </c>
      <c r="I9" s="9">
        <v>72319.924599999955</v>
      </c>
      <c r="K9" s="8" t="s">
        <v>1942</v>
      </c>
      <c r="L9" s="9">
        <v>8749.9500000000007</v>
      </c>
      <c r="N9" s="8" t="s">
        <v>10</v>
      </c>
      <c r="O9" s="19">
        <v>63324.420900000034</v>
      </c>
    </row>
    <row r="10" spans="2:15" x14ac:dyDescent="0.3">
      <c r="E10" s="8" t="s">
        <v>13</v>
      </c>
      <c r="F10" s="9">
        <v>276879.02150000021</v>
      </c>
      <c r="H10" s="8" t="s">
        <v>3653</v>
      </c>
      <c r="I10" s="9">
        <v>68162.339000000022</v>
      </c>
      <c r="K10" s="8" t="s">
        <v>170</v>
      </c>
      <c r="L10" s="9">
        <v>8521.4049999999988</v>
      </c>
    </row>
    <row r="11" spans="2:15" x14ac:dyDescent="0.3">
      <c r="H11" s="8" t="s">
        <v>3654</v>
      </c>
      <c r="I11" s="9">
        <v>64520.508799999981</v>
      </c>
      <c r="K11" s="8" t="s">
        <v>1601</v>
      </c>
      <c r="L11" s="9">
        <v>8298.8315999999995</v>
      </c>
    </row>
    <row r="12" spans="2:15" x14ac:dyDescent="0.3">
      <c r="H12" s="8" t="s">
        <v>3655</v>
      </c>
      <c r="I12" s="9">
        <v>53306.858000000015</v>
      </c>
    </row>
    <row r="13" spans="2:15" x14ac:dyDescent="0.3">
      <c r="H13" s="8" t="s">
        <v>3656</v>
      </c>
      <c r="I13" s="9">
        <v>62610.906500000012</v>
      </c>
    </row>
    <row r="14" spans="2:15" x14ac:dyDescent="0.3">
      <c r="H14" s="8" t="s">
        <v>3657</v>
      </c>
      <c r="I14" s="9">
        <v>101577.95059999995</v>
      </c>
    </row>
    <row r="15" spans="2:15" x14ac:dyDescent="0.3">
      <c r="H15" s="8" t="s">
        <v>3658</v>
      </c>
      <c r="I15" s="9">
        <v>66582.364999999947</v>
      </c>
    </row>
    <row r="16" spans="2:15" x14ac:dyDescent="0.3">
      <c r="H16" s="8" t="s">
        <v>3659</v>
      </c>
      <c r="I16" s="9">
        <v>62993.841000000015</v>
      </c>
    </row>
    <row r="17" spans="8:9" x14ac:dyDescent="0.3">
      <c r="H17" s="8" t="s">
        <v>3660</v>
      </c>
      <c r="I17" s="9">
        <v>69615.231500000024</v>
      </c>
    </row>
    <row r="18" spans="8:9" x14ac:dyDescent="0.3">
      <c r="H18" s="8" t="s">
        <v>3661</v>
      </c>
      <c r="I18" s="9">
        <v>65563.696199999962</v>
      </c>
    </row>
    <row r="37" spans="15:16" x14ac:dyDescent="0.3">
      <c r="P37" s="21"/>
    </row>
    <row r="38" spans="15:16" x14ac:dyDescent="0.3">
      <c r="O38" s="21"/>
      <c r="P38" s="21" t="str">
        <f ca="1">"Last Updated: " &amp; TEXT(TODAY(),"dd-mmm-yyyy")</f>
        <v>Last Updated: 19-Feb-2026</v>
      </c>
    </row>
  </sheetData>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21AEE4E-DDB9-46F3-AA68-750B49D3C5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SalesData</vt:lpstr>
      <vt:lpstr>KPI Dashboard</vt:lpstr>
      <vt:lpstr>Pivot_Data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chandrachintu2007@gmail.com</dc:creator>
  <cp:lastModifiedBy>chandrachintu2007@gmail.com</cp:lastModifiedBy>
  <dcterms:created xsi:type="dcterms:W3CDTF">2026-02-19T10:44:43Z</dcterms:created>
  <dcterms:modified xsi:type="dcterms:W3CDTF">2026-02-19T14:59:05Z</dcterms:modified>
</cp:coreProperties>
</file>